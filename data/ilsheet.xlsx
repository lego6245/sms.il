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<sst xmlns="http://schemas.openxmlformats.org/spreadsheetml/2006/main" count="27972" uniqueCount="11602">
  <si>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</si>
  <si>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</si>
  <si>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</si>
  <si>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</si>
  <si>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</si>
  <si>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</si>
  <si>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</si>
  <si>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</si>
  <si>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</si>
  <si>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</si>
  <si>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</si>
  <si>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</si>
  <si>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</si>
  <si>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</si>
  <si>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</si>
  <si>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</si>
  <si>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</si>
  <si>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</si>
  <si>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</si>
  <si>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</si>
  <si>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</si>
  <si>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</si>
  <si>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</si>
  <si>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</si>
  <si>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</si>
  <si>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</si>
  <si>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</si>
  <si>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</si>
  <si>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</si>
  <si>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</si>
  <si>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</si>
  <si>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</si>
  <si>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</si>
  <si>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</si>
  <si>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</si>
  <si>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</si>
  <si>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</si>
  <si>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</si>
  <si>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</si>
  <si>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</si>
  <si>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</si>
  <si>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</si>
  <si>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</si>
  <si>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</si>
  <si>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</si>
  <si>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</si>
  <si>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</si>
  <si>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</si>
  <si>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</si>
  <si>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</si>
  <si>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</si>
  <si>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</si>
  <si>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</si>
  <si>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</si>
  <si>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</si>
  <si>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</si>
  <si>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</si>
  <si>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</si>
  <si>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</si>
  <si>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</si>
  <si>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</si>
  <si>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</si>
  <si>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</si>
  <si>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</si>
  <si>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</si>
  <si>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</si>
  <si>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</si>
  <si>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</si>
  <si>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</si>
  <si>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</si>
  <si>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</si>
  <si>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</si>
  <si>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</si>
  <si>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</si>
  <si>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</si>
  <si>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</si>
  <si>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</si>
  <si>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</si>
  <si>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</si>
  <si>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</si>
  <si>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</si>
  <si>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</si>
  <si>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</si>
  <si>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</si>
  <si>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</si>
  <si>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</si>
  <si>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</si>
  <si>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</si>
  <si>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</si>
  <si>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</si>
  <si>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</si>
  <si>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</si>
  <si>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</si>
  <si>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</si>
  <si>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</si>
  <si>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</si>
  <si>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</si>
  <si>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</si>
  <si>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</si>
  <si>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</si>
  <si>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</si>
  <si>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</si>
  <si>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</si>
  <si>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</si>
  <si>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</si>
  <si>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</si>
  <si>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</si>
  <si>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</si>
  <si>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</si>
  <si>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</si>
  <si>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</si>
  <si>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</si>
  <si>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</si>
  <si>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</si>
  <si>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</si>
  <si>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</si>
  <si>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</si>
  <si>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</si>
  <si>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</si>
  <si>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</si>
  <si>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</si>
  <si>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</si>
  <si>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</si>
  <si>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</si>
  <si>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</si>
  <si>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</si>
  <si>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</si>
  <si>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</si>
  <si>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</si>
  <si>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</si>
  <si>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</si>
  <si>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</si>
  <si>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</si>
  <si>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</si>
  <si>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</si>
  <si>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</si>
  <si>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</si>
  <si>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</si>
  <si>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</si>
  <si>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</si>
  <si>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</si>
  <si>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</si>
  <si>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</si>
  <si>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</si>
  <si>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</si>
  <si>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</si>
  <si>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</si>
  <si>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</si>
  <si>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</si>
  <si>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</si>
  <si>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</si>
  <si>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</si>
  <si>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</si>
  <si>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</si>
  <si>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</si>
  <si>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</si>
  <si>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</si>
  <si>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</si>
  <si>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</si>
  <si>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</si>
  <si>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</si>
  <si>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</si>
  <si>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</si>
  <si>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</si>
  <si>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</si>
  <si>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</si>
  <si>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</si>
  <si>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</si>
  <si>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</si>
  <si>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</si>
  <si>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</si>
  <si>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</si>
  <si>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</si>
  <si>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</si>
  <si>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</si>
  <si>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</si>
  <si>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</si>
  <si>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</si>
  <si>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</si>
  <si>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</si>
  <si>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</si>
  <si>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</si>
  <si>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</si>
  <si>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</si>
  <si>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</si>
  <si>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</si>
  <si>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</si>
  <si>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</si>
  <si>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</si>
  <si>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</si>
  <si>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</si>
  <si>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</si>
  <si>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</si>
  <si>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</si>
  <si>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</si>
  <si>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</si>
  <si>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</si>
  <si>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</si>
  <si>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</si>
  <si>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</si>
  <si>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</si>
  <si>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</si>
  <si>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</si>
  <si>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</si>
  <si>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</si>
  <si>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</si>
  <si>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</si>
  <si>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</si>
  <si>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</si>
  <si>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</si>
  <si>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</si>
  <si>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</si>
  <si>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</si>
  <si>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</si>
  <si>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</si>
  <si>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</si>
  <si>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</si>
  <si>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</si>
  <si>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</si>
  <si>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</si>
  <si>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</si>
  <si>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</si>
  <si>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</si>
  <si>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</si>
  <si>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</si>
  <si>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</si>
  <si>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</si>
  <si>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</si>
  <si>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</si>
  <si>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</si>
  <si>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</si>
  <si>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</si>
  <si>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</si>
  <si>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</si>
  <si>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</si>
  <si>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</si>
  <si>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</si>
  <si>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</si>
  <si>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</si>
  <si>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</si>
  <si>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</si>
  <si>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</si>
  <si>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</si>
  <si>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</si>
  <si>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</si>
  <si>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</si>
  <si>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</si>
  <si>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</si>
  <si>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</si>
  <si>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</si>
  <si>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</si>
  <si>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</si>
  <si>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</si>
  <si>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</si>
  <si>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</si>
  <si>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</si>
  <si>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</si>
  <si>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</si>
  <si>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</si>
  <si>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</si>
  <si>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</si>
  <si>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</si>
  <si>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</si>
  <si>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</si>
  <si>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</si>
  <si>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</si>
  <si>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</si>
  <si>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</si>
  <si>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</si>
  <si>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</si>
  <si>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</si>
  <si>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</si>
  <si>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</si>
  <si>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</si>
  <si>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</si>
  <si>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</si>
  <si>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</si>
  <si>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</si>
  <si>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</si>
  <si>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</si>
  <si>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</si>
  <si>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</si>
  <si>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</si>
  <si>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</si>
  <si>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</si>
  <si>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</si>
  <si>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</si>
  <si>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</si>
  <si>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</si>
  <si>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</si>
  <si>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</si>
  <si>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</si>
  <si>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</si>
  <si>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</si>
  <si>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</si>
  <si>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</si>
  <si>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</si>
  <si>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</si>
  <si>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</si>
  <si>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</si>
  <si>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</si>
  <si>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</si>
  <si>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</si>
  <si>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</si>
  <si>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</si>
  <si>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</si>
  <si>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</si>
  <si>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</si>
  <si>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</si>
  <si>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</si>
  <si>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</si>
  <si>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</si>
  <si>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</si>
  <si>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</si>
  <si>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</si>
  <si>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</si>
  <si>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</si>
  <si>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</si>
  <si>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</si>
  <si>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</si>
  <si>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</si>
  <si>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</si>
  <si>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</si>
  <si>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</si>
  <si>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</si>
  <si>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</si>
  <si>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</si>
  <si>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</si>
  <si>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</si>
  <si>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</si>
  <si>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</si>
  <si>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</si>
  <si>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</si>
  <si>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</si>
  <si>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</si>
  <si>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</si>
  <si>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</si>
  <si>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</si>
  <si>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</si>
  <si>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</si>
  <si>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</si>
  <si>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</si>
  <si>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</si>
  <si>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</si>
  <si>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</si>
  <si>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</si>
  <si>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</si>
  <si>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</si>
  <si>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</si>
  <si>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</si>
  <si>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</si>
  <si>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</si>
  <si>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</si>
  <si>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</si>
  <si>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</si>
  <si>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</si>
  <si>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</si>
  <si>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</si>
  <si>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</si>
  <si>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</si>
  <si>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</si>
  <si>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</si>
  <si>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</si>
  <si>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</si>
  <si>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</si>
  <si>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</si>
  <si>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</si>
  <si>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</si>
  <si>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</si>
  <si>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</si>
  <si>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</si>
  <si>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</si>
  <si>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</si>
  <si>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</si>
  <si>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</si>
  <si>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</si>
  <si>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</si>
  <si>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</si>
  <si>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</si>
  <si>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</si>
  <si>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</si>
  <si>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</si>
  <si>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</si>
  <si>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</si>
  <si>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</si>
  <si>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</si>
  <si>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</si>
  <si>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</si>
  <si>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</si>
  <si>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</si>
  <si>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</si>
  <si>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</si>
  <si>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</si>
  <si>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</si>
  <si>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</si>
  <si>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</si>
  <si>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</si>
  <si>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</si>
  <si>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</si>
  <si>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</si>
  <si>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</si>
  <si>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</si>
  <si>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</si>
  <si>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</si>
  <si>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</si>
  <si>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</si>
  <si>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</si>
  <si>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</si>
  <si>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</si>
  <si>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</si>
  <si>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</si>
  <si>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</si>
  <si>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</si>
  <si>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</si>
  <si>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</si>
  <si>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</si>
  <si>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</si>
  <si>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</si>
  <si>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</si>
  <si>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</si>
  <si>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</si>
  <si>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</si>
  <si>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</si>
  <si>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</si>
  <si>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</si>
  <si>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</si>
  <si>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</si>
  <si>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</si>
  <si>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</si>
  <si>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</si>
  <si>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</si>
  <si>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</si>
  <si>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</si>
  <si>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</si>
  <si>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</si>
  <si>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</si>
  <si>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</si>
  <si>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</si>
  <si>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</si>
  <si>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</si>
  <si>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</si>
  <si>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</si>
  <si>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</si>
  <si>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</si>
  <si>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</si>
  <si>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</si>
  <si>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</si>
  <si>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</si>
  <si>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</si>
  <si>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</si>
  <si>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</si>
  <si>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</si>
  <si>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</si>
  <si>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</si>
  <si>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</si>
  <si>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</si>
  <si>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</si>
  <si>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</si>
  <si>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</si>
  <si>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</si>
  <si>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</si>
  <si>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</si>
  <si>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</si>
  <si>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</si>
  <si>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</si>
  <si>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</si>
  <si>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</si>
  <si>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</si>
  <si>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</si>
  <si>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</si>
  <si>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</si>
  <si>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</si>
  <si>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</si>
  <si>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</si>
  <si>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</si>
  <si>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</si>
  <si>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</si>
  <si>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</si>
  <si>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</si>
  <si>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</si>
  <si>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</si>
  <si>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</si>
  <si>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</si>
  <si>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</si>
  <si>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</si>
  <si>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</si>
  <si>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</si>
  <si>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</si>
  <si>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</si>
  <si>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</si>
  <si>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</si>
  <si>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</si>
  <si>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</si>
  <si>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</si>
  <si>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</si>
  <si>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</si>
  <si>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</si>
  <si>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</si>
  <si>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</si>
  <si>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</si>
  <si>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</si>
  <si>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</si>
  <si>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</si>
  <si>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</si>
  <si>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</si>
  <si>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</si>
  <si>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</si>
  <si>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</si>
  <si>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</si>
  <si>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</si>
  <si>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</si>
  <si>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</si>
  <si>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</si>
  <si>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</si>
  <si>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</si>
  <si>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</si>
  <si>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</si>
  <si>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</si>
  <si>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</si>
  <si>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</si>
  <si>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</si>
  <si>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</si>
  <si>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</si>
  <si>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</si>
  <si>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</si>
  <si>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</si>
  <si>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</si>
  <si>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</si>
  <si>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</si>
  <si>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</si>
  <si>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</si>
  <si>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</si>
  <si>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</si>
  <si>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</si>
  <si>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</si>
  <si>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</si>
  <si>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</si>
  <si>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</si>
  <si>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</si>
  <si>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</si>
  <si>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</si>
  <si>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</si>
  <si>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</si>
  <si>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</si>
  <si>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</si>
  <si>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</si>
  <si>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</si>
  <si>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</si>
  <si>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</si>
  <si>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</si>
  <si>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</si>
  <si>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</si>
  <si>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</si>
  <si>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</si>
  <si>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</si>
  <si>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</si>
  <si>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</si>
  <si>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</si>
  <si>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</si>
  <si>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</si>
  <si>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</si>
  <si>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</si>
  <si>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</si>
  <si>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</si>
  <si>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</si>
  <si>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</si>
  <si>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</si>
  <si>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</si>
  <si>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</si>
  <si>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</si>
  <si>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</si>
  <si>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</si>
  <si>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</si>
  <si>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</si>
  <si>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</si>
  <si>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</si>
  <si>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</si>
  <si>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</si>
  <si>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</si>
  <si>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</si>
  <si>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</si>
  <si>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</si>
  <si>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</si>
  <si>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</si>
  <si>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</si>
  <si>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</si>
  <si>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</si>
  <si>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</si>
  <si>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</si>
  <si>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</si>
  <si>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</si>
  <si>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</si>
  <si>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</si>
  <si>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</si>
  <si>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</si>
  <si>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</si>
  <si>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</si>
  <si>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</si>
  <si>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</si>
  <si>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</si>
  <si>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</si>
  <si>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</si>
  <si>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</si>
  <si>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</si>
  <si>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</si>
  <si>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</si>
  <si>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</si>
  <si>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</si>
  <si>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</si>
  <si>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</si>
  <si>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</si>
  <si>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</si>
  <si>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</si>
  <si>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</si>
  <si>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</si>
  <si>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</si>
  <si>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</si>
  <si>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</si>
  <si>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</si>
  <si>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</si>
  <si>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</si>
  <si>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</si>
  <si>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</si>
  <si>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</si>
  <si>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</si>
  <si>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</si>
  <si>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</si>
  <si>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</si>
  <si>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</si>
  <si>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</si>
  <si>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</si>
  <si>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</si>
  <si>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</si>
  <si>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</si>
  <si>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</si>
  <si>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</si>
  <si>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</si>
  <si>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</si>
  <si>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</si>
  <si>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</si>
  <si>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</si>
  <si>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</si>
  <si>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</si>
  <si>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</si>
  <si>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</si>
  <si>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</si>
  <si>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</si>
  <si>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</si>
  <si>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</si>
  <si>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</si>
  <si>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</si>
  <si>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</si>
  <si>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</si>
  <si>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</si>
  <si>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</si>
  <si>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</si>
  <si>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</si>
  <si>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</si>
  <si>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</si>
  <si>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</si>
  <si>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</si>
  <si>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</si>
  <si>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</si>
  <si>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</si>
  <si>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</si>
  <si>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</si>
  <si>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</si>
  <si>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</si>
  <si>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</si>
  <si>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</si>
  <si>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</si>
  <si>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</si>
  <si>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</si>
  <si>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</si>
  <si>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</si>
  <si>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</si>
  <si>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</si>
  <si>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</si>
  <si>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</si>
  <si>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</si>
  <si>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</si>
  <si>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</si>
  <si>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</si>
  <si>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</si>
  <si>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</si>
  <si>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</si>
  <si>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</si>
  <si>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</si>
  <si>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</si>
  <si>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</si>
  <si>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</si>
  <si>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</si>
  <si>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</si>
  <si>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</si>
  <si>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</si>
  <si>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</si>
  <si>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</si>
  <si>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</si>
  <si>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</si>
  <si>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</si>
  <si>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</si>
  <si>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</si>
  <si>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</si>
  <si>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</si>
  <si>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</si>
  <si>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</si>
  <si>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</si>
  <si>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</si>
  <si>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</si>
  <si>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</si>
  <si>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</si>
  <si>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</si>
  <si>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</si>
  <si>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</si>
  <si>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</si>
  <si>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</si>
  <si>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</si>
  <si>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</si>
  <si>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</si>
  <si>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</si>
  <si>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</si>
  <si>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</si>
  <si>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</si>
  <si>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</si>
  <si>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</si>
  <si>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</si>
  <si>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</si>
  <si>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</si>
  <si>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</si>
  <si>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</si>
  <si>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</si>
  <si>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</si>
  <si>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</si>
  <si>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</si>
  <si>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</si>
  <si>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</si>
  <si>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</si>
  <si>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</si>
  <si>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</si>
  <si>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</si>
  <si>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</si>
  <si>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</si>
  <si>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</si>
  <si>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</si>
  <si>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</si>
  <si>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</si>
  <si>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</si>
  <si>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</si>
  <si>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</si>
  <si>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</si>
  <si>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</si>
  <si>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</si>
  <si>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</si>
  <si>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</si>
  <si>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</si>
  <si>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</si>
  <si>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</si>
  <si>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</si>
  <si>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</si>
  <si>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</si>
  <si>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</si>
  <si>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</si>
  <si>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</si>
  <si>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</si>
  <si>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</si>
  <si>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</si>
  <si>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</si>
  <si>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</si>
  <si>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</si>
  <si>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</si>
  <si>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</si>
  <si>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</si>
  <si>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</si>
  <si>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</si>
  <si>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</si>
  <si>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</si>
  <si>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</si>
  <si>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</si>
  <si>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</si>
  <si>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</si>
  <si>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</si>
  <si>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</si>
  <si>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</si>
  <si>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</si>
  <si>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</si>
  <si>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</si>
  <si>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</si>
  <si>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</si>
  <si>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</si>
  <si>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</si>
  <si>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</si>
  <si>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</si>
  <si>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</si>
  <si>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</si>
  <si>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</si>
  <si>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</si>
  <si>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</si>
  <si>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</si>
  <si>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</si>
  <si>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</si>
  <si>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</si>
  <si>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</si>
  <si>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</si>
  <si>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</si>
  <si>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</si>
  <si>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</si>
  <si>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</si>
  <si>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</si>
  <si>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</si>
  <si>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</si>
  <si>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</si>
  <si>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</si>
  <si>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</si>
  <si>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</si>
  <si>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</si>
  <si>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</si>
  <si>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</si>
  <si>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</si>
  <si>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</si>
  <si>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</si>
  <si>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</si>
  <si>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</si>
  <si>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</si>
  <si>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</si>
  <si>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</si>
  <si>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</si>
  <si>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</si>
  <si>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</si>
  <si>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</si>
  <si>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</si>
  <si>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</si>
  <si>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</si>
  <si>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</si>
  <si>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</si>
  <si>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</si>
  <si>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</si>
  <si>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</si>
  <si>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</si>
  <si>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</si>
  <si>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</si>
  <si>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</si>
  <si>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</si>
  <si>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</si>
  <si>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</si>
  <si>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</si>
  <si>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</si>
  <si>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</si>
  <si>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</si>
  <si>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</si>
  <si>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</si>
  <si>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</si>
  <si>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</si>
  <si>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</si>
  <si>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</si>
  <si>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</si>
  <si>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</si>
  <si>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</si>
  <si>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</si>
  <si>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</si>
  <si>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</si>
  <si>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</si>
  <si>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</si>
  <si>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</si>
  <si>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</si>
  <si>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</si>
  <si>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</si>
  <si>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</si>
  <si>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</si>
  <si>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</si>
  <si>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</si>
  <si>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</si>
  <si>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</si>
  <si>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</si>
  <si>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</si>
  <si>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</si>
  <si>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</si>
  <si>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</si>
  <si>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</si>
  <si>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</si>
  <si>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</si>
  <si>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</si>
  <si>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</si>
  <si>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</si>
  <si>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</si>
  <si>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</si>
  <si>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</si>
  <si>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</si>
  <si>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</si>
  <si>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</si>
  <si>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</si>
  <si>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</si>
  <si>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</si>
  <si>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</si>
  <si>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</si>
  <si>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</si>
  <si>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</si>
  <si>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</si>
  <si>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</si>
  <si>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</si>
  <si>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</si>
  <si>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</si>
  <si>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</si>
  <si>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</si>
  <si>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</si>
  <si>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</si>
  <si>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</si>
  <si>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</si>
  <si>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</si>
  <si>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</si>
  <si>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</si>
  <si>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</si>
  <si>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</si>
  <si>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</si>
  <si>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</si>
  <si>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</si>
  <si>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</si>
  <si>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</si>
  <si>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</si>
  <si>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</si>
  <si>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</si>
  <si>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</si>
  <si>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</si>
  <si>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</si>
  <si>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</si>
  <si>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</si>
  <si>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</si>
  <si>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</si>
  <si>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</si>
  <si>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</si>
  <si>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</si>
  <si>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</si>
  <si>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</si>
  <si>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</si>
  <si>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</si>
  <si>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</si>
  <si>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</si>
  <si>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</si>
  <si>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</si>
  <si>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</si>
  <si>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</si>
  <si>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</si>
  <si>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</si>
  <si>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</si>
  <si>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</si>
  <si>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</si>
  <si>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</si>
  <si>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</si>
  <si>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</si>
  <si>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</si>
  <si>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</si>
  <si>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</si>
  <si>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</si>
  <si>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</si>
  <si>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</si>
  <si>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</si>
  <si>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</si>
  <si>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</si>
  <si>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</si>
  <si>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</si>
  <si>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</si>
  <si>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</si>
  <si>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</si>
  <si>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</si>
  <si>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</si>
  <si>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</si>
  <si>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</si>
  <si>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</si>
  <si>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</si>
  <si>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</si>
  <si>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</si>
  <si>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</si>
  <si>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</si>
  <si>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</si>
  <si>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</si>
  <si>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</si>
  <si>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</si>
  <si>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</si>
  <si>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</si>
  <si>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</si>
  <si>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</si>
  <si>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</si>
  <si>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</si>
  <si>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</si>
  <si>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</si>
  <si>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</si>
  <si>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</si>
  <si>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</si>
  <si>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</si>
  <si>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</si>
  <si>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</si>
  <si>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</si>
  <si>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</si>
  <si>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</si>
  <si>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</si>
  <si>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</si>
  <si>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</si>
  <si>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</si>
  <si>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</si>
  <si>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</si>
  <si>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</si>
  <si>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</si>
  <si>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</si>
  <si>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</si>
  <si>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</si>
  <si>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</si>
  <si>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</si>
  <si>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</si>
  <si>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</si>
  <si>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</si>
  <si>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</si>
  <si>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</si>
  <si>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</si>
  <si>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</si>
  <si>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</si>
  <si>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</si>
  <si>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</si>
  <si>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</si>
  <si>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</si>
  <si>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</si>
  <si>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</si>
  <si>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</si>
  <si>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</si>
  <si>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</si>
  <si>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</si>
  <si>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</si>
  <si>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</si>
  <si>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</si>
  <si>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</si>
  <si>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</si>
  <si>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</si>
  <si>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</si>
  <si>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</si>
  <si>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</si>
  <si>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</si>
  <si>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</si>
  <si>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</si>
  <si>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</si>
  <si>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</si>
  <si>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</si>
  <si>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</si>
  <si>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</si>
  <si>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</si>
  <si>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</si>
  <si>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</si>
  <si>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</si>
  <si>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</si>
  <si>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</si>
  <si>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</si>
  <si>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</si>
  <si>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</si>
  <si>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</si>
  <si>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</si>
  <si>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</si>
  <si>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</si>
  <si>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</si>
  <si>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</si>
  <si>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</si>
  <si>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</si>
  <si>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</si>
  <si>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</si>
  <si>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</si>
  <si>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</si>
  <si>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</si>
  <si>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</si>
  <si>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</si>
  <si>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</si>
  <si>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</si>
  <si>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</si>
  <si>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</si>
  <si>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</si>
  <si>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</si>
  <si>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</si>
  <si>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</si>
  <si>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</si>
  <si>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</si>
  <si>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</si>
  <si>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</si>
  <si>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</si>
  <si>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</si>
  <si>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</si>
  <si>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</si>
  <si>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</si>
  <si>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</si>
  <si>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</si>
  <si>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</si>
  <si>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</si>
  <si>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</si>
  <si>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</si>
  <si>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</si>
  <si>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</si>
  <si>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</si>
  <si>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</si>
  <si>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</si>
  <si>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</si>
  <si>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</si>
  <si>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</si>
  <si>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</si>
  <si>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</si>
  <si>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</si>
  <si>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</si>
  <si>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</si>
  <si>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</si>
  <si>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</si>
  <si>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</si>
  <si>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</si>
  <si>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</si>
  <si>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</si>
  <si>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</si>
  <si>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</si>
  <si>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</si>
  <si>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</si>
  <si>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</si>
  <si>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</si>
  <si>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</si>
  <si>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</si>
  <si>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</si>
  <si>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</si>
  <si>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</si>
  <si>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</si>
  <si>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</si>
  <si>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</si>
  <si>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</si>
  <si>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</si>
  <si>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</si>
  <si>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</si>
  <si>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</si>
  <si>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</si>
  <si>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</si>
  <si>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</si>
  <si>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</si>
  <si>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</si>
  <si>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</si>
  <si>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</si>
  <si>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</si>
  <si>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</si>
  <si>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</si>
  <si>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</si>
  <si>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</si>
  <si>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</si>
  <si>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</si>
  <si>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</si>
  <si>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</si>
  <si>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</si>
  <si>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</si>
  <si>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</si>
  <si>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</si>
  <si>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</si>
  <si>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</si>
  <si>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</si>
  <si>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</si>
  <si>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</si>
  <si>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</si>
  <si>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</si>
  <si>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</si>
  <si>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</si>
  <si>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</si>
  <si>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</si>
  <si>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</si>
  <si>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</si>
  <si>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</si>
  <si>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</si>
  <si>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</si>
  <si>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</si>
  <si>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</si>
  <si>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</si>
  <si>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</si>
  <si>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</si>
  <si>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</si>
  <si>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</si>
  <si>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</si>
  <si>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</si>
  <si>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</si>
  <si>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</si>
  <si>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</si>
  <si>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</si>
  <si>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</si>
  <si>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</si>
  <si>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</si>
  <si>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</si>
  <si>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</si>
  <si>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</si>
  <si>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</si>
  <si>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</si>
  <si>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</si>
  <si>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</si>
  <si>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</si>
  <si>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</si>
  <si>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</si>
  <si>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</si>
  <si>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</si>
  <si>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</si>
  <si>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</si>
  <si>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</si>
  <si>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</si>
  <si>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</si>
  <si>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</si>
  <si>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</si>
  <si>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</si>
  <si>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</si>
  <si>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</si>
  <si>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</si>
  <si>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</si>
  <si>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</si>
  <si>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</si>
  <si>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</si>
  <si>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</si>
  <si>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</si>
  <si>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</si>
  <si>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</si>
  <si>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</si>
  <si>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</si>
  <si>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</si>
  <si>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</si>
  <si>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</si>
  <si>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</si>
  <si>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</si>
  <si>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</si>
  <si>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</si>
  <si>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</si>
  <si>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</si>
  <si>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</si>
  <si>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</si>
  <si>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</si>
  <si>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</si>
  <si>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</si>
  <si>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</si>
  <si>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</si>
  <si>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</si>
  <si>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</si>
  <si>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</si>
  <si>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</si>
  <si>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</si>
  <si>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</si>
  <si>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</si>
  <si>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</si>
  <si>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</si>
  <si>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</si>
  <si>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</si>
  <si>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</si>
  <si>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</si>
  <si>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</si>
  <si>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</si>
  <si>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</si>
  <si>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</si>
  <si>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</si>
  <si>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</si>
  <si>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</si>
  <si>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</si>
  <si>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</si>
  <si>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</si>
  <si>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</si>
  <si>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</si>
  <si>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</si>
  <si>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</si>
  <si>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</si>
  <si>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</si>
  <si>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</si>
  <si>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</si>
  <si>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</si>
  <si>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</si>
  <si>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</si>
  <si>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</si>
  <si>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</si>
  <si>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</si>
  <si>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</si>
  <si>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</si>
  <si>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</si>
  <si>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</si>
  <si>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</si>
  <si>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</si>
  <si>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</si>
  <si>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</si>
  <si>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</si>
  <si>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</si>
  <si>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</si>
  <si>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</si>
  <si>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</si>
  <si>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</si>
  <si>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</si>
  <si>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</si>
  <si>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</si>
  <si>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</si>
  <si>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</si>
  <si>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</si>
  <si>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</si>
  <si>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</si>
  <si>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</si>
  <si>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</si>
  <si>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</si>
  <si>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</si>
  <si>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</si>
  <si>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</si>
  <si>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</si>
  <si>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</si>
  <si>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</si>
  <si>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</si>
  <si>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</si>
  <si>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</si>
  <si>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</si>
  <si>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</si>
  <si>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</si>
  <si>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</si>
  <si>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</si>
  <si>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</si>
  <si>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</si>
  <si>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</si>
  <si>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</si>
  <si>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</si>
  <si>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</si>
  <si>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</si>
  <si>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</si>
  <si>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</si>
  <si>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</si>
  <si>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</si>
  <si>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</si>
  <si>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</si>
  <si>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</si>
  <si>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</si>
  <si>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</si>
  <si>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</si>
  <si>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</si>
  <si>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</si>
  <si>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</si>
  <si>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</si>
  <si>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</si>
  <si>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</si>
  <si>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</si>
  <si>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</si>
  <si>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</si>
  <si>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</si>
  <si>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</si>
  <si>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</si>
  <si>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</si>
  <si>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</si>
  <si>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</si>
  <si>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</si>
  <si>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</si>
  <si>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</si>
  <si>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</si>
  <si>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</si>
  <si>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</si>
  <si>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</si>
  <si>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</si>
  <si>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</si>
  <si>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</si>
  <si>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</si>
  <si>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</si>
  <si>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</si>
  <si>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</si>
  <si>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</si>
  <si>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</si>
  <si>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</si>
  <si>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</si>
  <si>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</si>
  <si>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</si>
  <si>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</si>
  <si>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</si>
  <si>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</si>
  <si>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</si>
  <si>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</si>
  <si>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</si>
  <si>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</si>
  <si>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</si>
  <si>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</si>
  <si>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</si>
  <si>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</si>
  <si>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</si>
  <si>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</si>
  <si>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</si>
  <si>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</si>
  <si>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</si>
  <si>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</si>
  <si>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</si>
  <si>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</si>
  <si>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</si>
  <si>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</si>
  <si>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</si>
  <si>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</si>
  <si>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</si>
  <si>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</si>
  <si>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</si>
  <si>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</si>
  <si>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</si>
  <si>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</si>
  <si>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</si>
  <si>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</si>
  <si>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</si>
  <si>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</si>
  <si>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</si>
  <si>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</si>
  <si>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</si>
  <si>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</si>
  <si>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</si>
  <si>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</si>
  <si>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</si>
  <si>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</si>
  <si>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</si>
  <si>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</si>
  <si>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</si>
  <si>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</si>
  <si>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</si>
  <si>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</si>
  <si>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</si>
  <si>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</si>
  <si>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</si>
  <si>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</si>
  <si>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</si>
  <si>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</si>
  <si>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</si>
  <si>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</si>
  <si>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</si>
  <si>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</si>
  <si>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</si>
  <si>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</si>
  <si>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</si>
  <si>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</si>
  <si>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</si>
  <si>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</si>
  <si>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</si>
  <si>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</si>
  <si>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</si>
  <si>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</si>
  <si>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</si>
  <si>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</si>
  <si>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</si>
  <si>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</si>
  <si>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</si>
  <si>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</si>
  <si>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</si>
  <si>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</si>
  <si>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</si>
  <si>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</si>
  <si>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</si>
  <si>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</si>
  <si>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</si>
  <si>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</si>
  <si>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</si>
  <si>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</si>
  <si>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</si>
  <si>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</si>
  <si>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</si>
  <si>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</si>
  <si>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</si>
  <si>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</si>
  <si>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</si>
  <si>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</si>
  <si>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</si>
  <si>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</si>
  <si>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</si>
  <si>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</si>
  <si>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</si>
  <si>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</si>
  <si>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</si>
  <si>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</si>
  <si>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</si>
  <si>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</si>
  <si>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</si>
  <si>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</si>
  <si>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</si>
  <si>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</si>
  <si>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</si>
  <si>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</si>
  <si>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</si>
  <si>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</si>
  <si>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</si>
  <si>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</si>
  <si>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</si>
  <si>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</si>
  <si>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</si>
  <si>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</si>
  <si>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</si>
  <si>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</si>
  <si>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</si>
  <si>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</si>
  <si>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</si>
  <si>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</si>
  <si>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</si>
  <si>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</si>
  <si>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</si>
  <si>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</si>
  <si>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</si>
  <si>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</si>
  <si>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</si>
  <si>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</si>
  <si>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</si>
  <si>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</si>
  <si>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</si>
  <si>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</si>
  <si>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</si>
  <si>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</si>
  <si>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</si>
  <si>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</si>
  <si>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</si>
  <si>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</si>
  <si>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</si>
  <si>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</si>
  <si>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</si>
  <si>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</si>
  <si>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</si>
  <si>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</si>
  <si>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</si>
  <si>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</si>
  <si>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</si>
  <si>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</si>
  <si>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</si>
  <si>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</si>
  <si>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</si>
  <si>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</si>
  <si>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</si>
  <si>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</si>
  <si>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</si>
  <si>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</si>
  <si>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</si>
  <si>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</si>
  <si>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</si>
  <si>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</si>
  <si>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</si>
  <si>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</si>
  <si>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</si>
  <si>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</si>
  <si>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</si>
  <si>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</si>
  <si>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</si>
  <si>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</si>
  <si>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</si>
  <si>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</si>
  <si>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</si>
  <si>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</si>
  <si>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</si>
  <si>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</si>
  <si>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</si>
  <si>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</si>
  <si>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</si>
  <si>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</si>
  <si>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</si>
  <si>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</si>
  <si>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</si>
  <si>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</si>
  <si>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</si>
  <si>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</si>
  <si>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</si>
  <si>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</si>
  <si>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</si>
  <si>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</si>
  <si>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</si>
  <si>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</si>
  <si>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</si>
  <si>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</si>
  <si>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</si>
  <si>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</si>
  <si>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</si>
  <si>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</si>
  <si>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</si>
  <si>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</si>
  <si>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</si>
  <si>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</si>
  <si>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</si>
  <si>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</si>
  <si>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</si>
  <si>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</si>
  <si>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</si>
  <si>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</si>
  <si>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</si>
  <si>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</si>
  <si>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</si>
  <si>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</si>
  <si>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</si>
  <si>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</si>
  <si>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</si>
  <si>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</si>
  <si>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</si>
  <si>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</si>
  <si>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</si>
  <si>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</si>
  <si>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</si>
  <si>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</si>
  <si>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</si>
  <si>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</si>
  <si>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</si>
  <si>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</si>
  <si>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</si>
  <si>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</si>
  <si>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</si>
  <si>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</si>
  <si>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</si>
  <si>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</si>
  <si>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</si>
  <si>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</si>
  <si>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</si>
  <si>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</si>
  <si>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</si>
  <si>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</si>
  <si>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</si>
  <si>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</si>
  <si>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</si>
  <si>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</si>
  <si>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</si>
  <si>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</si>
  <si>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</si>
  <si>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</si>
  <si>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</si>
  <si>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</si>
  <si>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</si>
  <si>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</si>
  <si>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</si>
  <si>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</si>
  <si>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</si>
  <si>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</si>
  <si>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</si>
  <si>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</si>
  <si>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</si>
  <si>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</si>
  <si>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</si>
  <si>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</si>
  <si>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</si>
  <si>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</si>
  <si>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</si>
  <si>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</si>
  <si>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</si>
  <si>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</si>
  <si>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</si>
  <si>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</si>
  <si>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</si>
  <si>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</si>
  <si>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</si>
  <si>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</si>
  <si>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</si>
  <si>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</si>
  <si>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</si>
  <si>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</si>
  <si>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</si>
  <si>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</si>
  <si>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</si>
  <si>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</si>
  <si>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</si>
  <si>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</si>
  <si>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</si>
  <si>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</si>
  <si>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</si>
  <si>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</si>
  <si>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</si>
  <si>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</si>
  <si>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</si>
  <si>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</si>
  <si>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</si>
  <si>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</si>
  <si>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</si>
  <si>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</si>
  <si>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</si>
  <si>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</si>
  <si>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</si>
  <si>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</si>
  <si>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</si>
  <si>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</si>
  <si>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</si>
  <si>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</si>
  <si>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</si>
  <si>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</si>
  <si>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</si>
  <si>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</si>
  <si>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</si>
  <si>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</si>
  <si>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</si>
  <si>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</si>
  <si>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</si>
  <si>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</si>
  <si>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</si>
  <si>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</si>
  <si>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</si>
  <si>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</si>
  <si>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</si>
  <si>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</si>
  <si>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</si>
  <si>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</si>
  <si>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</si>
  <si>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</si>
  <si>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</si>
  <si>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</si>
  <si>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</si>
  <si>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</si>
  <si>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</si>
  <si>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</si>
  <si>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</si>
  <si>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</si>
  <si>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</si>
  <si>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</si>
  <si>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</si>
  <si>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</si>
  <si>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</si>
  <si>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</si>
  <si>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</si>
  <si>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</si>
  <si>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</si>
  <si>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</si>
  <si>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</si>
  <si>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</si>
  <si>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</si>
  <si>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</si>
  <si>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</si>
  <si>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</si>
  <si>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</si>
  <si>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</si>
  <si>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</si>
  <si>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</si>
  <si>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</si>
  <si>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</si>
  <si>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</si>
  <si>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</si>
  <si>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</si>
  <si>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</si>
  <si>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</si>
  <si>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</si>
  <si>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</si>
  <si>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</si>
  <si>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</si>
  <si>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</si>
  <si>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</si>
  <si>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</si>
  <si>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</si>
  <si>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</si>
  <si>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</si>
  <si>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</si>
  <si>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</si>
  <si>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</si>
  <si>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</si>
  <si>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</si>
  <si>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</si>
  <si>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</si>
  <si>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</si>
  <si>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</si>
  <si>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</si>
  <si>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</si>
  <si>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</si>
  <si>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</si>
  <si>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</si>
  <si>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</si>
  <si>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</si>
  <si>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</si>
  <si>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</si>
  <si>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</si>
  <si>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</si>
  <si>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</si>
  <si>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</si>
  <si>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</si>
  <si>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</si>
  <si>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</si>
  <si>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</si>
  <si>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</si>
  <si>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</si>
  <si>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</si>
  <si>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</si>
  <si>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</si>
  <si>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</si>
  <si>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</si>
  <si>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</si>
  <si>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</si>
  <si>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</si>
  <si>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</si>
  <si>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</si>
  <si>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</si>
  <si>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</si>
  <si>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</si>
  <si>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</si>
  <si>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</si>
  <si>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</si>
  <si>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</si>
  <si>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</si>
  <si>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</si>
  <si>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</si>
  <si>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</si>
  <si>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</si>
  <si>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</si>
  <si>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</si>
  <si>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</si>
  <si>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</si>
  <si>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</si>
  <si>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</si>
  <si>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</si>
  <si>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</si>
  <si>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</si>
  <si>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</si>
  <si>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</si>
  <si>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</si>
  <si>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</si>
  <si>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</si>
  <si>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</si>
  <si>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</si>
  <si>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</si>
  <si>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</si>
  <si>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</si>
  <si>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</si>
  <si>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</si>
  <si>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</si>
  <si>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</si>
  <si>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</si>
  <si>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</si>
  <si>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</si>
  <si>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</si>
  <si>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</si>
  <si>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</si>
  <si>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</si>
  <si>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</si>
  <si>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</si>
  <si>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</si>
  <si>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</si>
  <si>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</si>
  <si>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</si>
  <si>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</si>
  <si>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</si>
  <si>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</si>
  <si>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</si>
  <si>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</si>
  <si>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</si>
  <si>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</si>
  <si>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</si>
  <si>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</si>
  <si>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</si>
  <si>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</si>
  <si>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</si>
  <si>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</si>
  <si>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</si>
  <si>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</si>
  <si>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</si>
  <si>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</si>
  <si>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</si>
  <si>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</si>
  <si>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</si>
  <si>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</si>
  <si>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</si>
  <si>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</si>
  <si>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</si>
  <si>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</si>
  <si>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</si>
  <si>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</si>
  <si>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</si>
  <si>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</si>
  <si>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</si>
  <si>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</si>
  <si>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</si>
  <si>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</si>
  <si>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</si>
  <si>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</si>
  <si>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</si>
  <si>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</si>
  <si>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</si>
  <si>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</si>
  <si>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</si>
  <si>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</si>
  <si>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</si>
  <si>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</si>
  <si>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</si>
  <si>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</si>
  <si>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</si>
  <si>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</si>
  <si>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</si>
  <si>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</si>
  <si>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</si>
  <si>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</si>
  <si>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</si>
  <si>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</si>
  <si>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</si>
  <si>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</si>
  <si>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</si>
  <si>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</si>
  <si>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</si>
  <si>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</si>
  <si>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</si>
  <si>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</si>
  <si>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</si>
  <si>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</si>
  <si>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</si>
  <si>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</si>
  <si>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</si>
  <si>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</si>
  <si>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</si>
  <si>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</si>
  <si>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</si>
  <si>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</si>
  <si>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</si>
  <si>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</si>
  <si>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</si>
  <si>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</si>
  <si>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</si>
  <si>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</si>
  <si>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</si>
  <si>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</si>
  <si>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</si>
  <si>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</si>
  <si>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</si>
  <si>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</si>
  <si>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</si>
  <si>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</si>
  <si>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</si>
  <si>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</si>
  <si>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</si>
  <si>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</si>
  <si>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</si>
  <si>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</si>
  <si>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</si>
  <si>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</si>
  <si>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</si>
  <si>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</si>
  <si>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</si>
  <si>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</si>
  <si>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</si>
  <si>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</si>
  <si>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</si>
  <si>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</si>
  <si>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</si>
  <si>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</si>
  <si>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</si>
  <si>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</si>
  <si>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</si>
  <si>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</si>
  <si>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</si>
  <si>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</si>
  <si>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</si>
  <si>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</si>
  <si>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</si>
  <si>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</si>
  <si>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</si>
  <si>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</si>
  <si>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</si>
  <si>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</si>
  <si>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</si>
  <si>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</si>
  <si>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</si>
  <si>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</si>
  <si>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</si>
  <si>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</si>
  <si>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</si>
  <si>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</si>
  <si>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</si>
  <si>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</si>
  <si>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</si>
  <si>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</si>
  <si>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</si>
  <si>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</si>
  <si>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</si>
  <si>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</si>
  <si>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</si>
  <si>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</si>
  <si>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</si>
  <si>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</si>
  <si>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</si>
  <si>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</si>
  <si>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</si>
  <si>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</si>
  <si>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</si>
  <si>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</si>
  <si>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</si>
  <si>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</si>
  <si>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</si>
  <si>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</si>
  <si>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</si>
  <si>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</si>
  <si>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</si>
  <si>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</si>
  <si>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</si>
  <si>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</si>
  <si>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</si>
  <si>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</si>
  <si>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</si>
  <si>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</si>
  <si>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</si>
  <si>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</si>
  <si>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</si>
  <si>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</si>
  <si>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</si>
  <si>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</si>
  <si>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</si>
  <si>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</si>
  <si>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</si>
  <si>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</si>
  <si>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</si>
  <si>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</si>
  <si>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</si>
  <si>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</si>
  <si>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</si>
  <si>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</si>
  <si>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</si>
  <si>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</si>
  <si>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</si>
  <si>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</si>
  <si>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</si>
  <si>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</si>
  <si>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</si>
  <si>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</si>
  <si>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</si>
  <si>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</si>
  <si>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</si>
  <si>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</si>
  <si>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</si>
  <si>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</si>
  <si>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</si>
  <si>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</si>
  <si>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</si>
  <si>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</si>
  <si>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</si>
  <si>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</si>
  <si>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</si>
  <si>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</si>
  <si>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</si>
  <si>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</si>
  <si>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</si>
  <si>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</si>
  <si>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</si>
  <si>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</si>
  <si>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</si>
  <si>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</si>
  <si>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</si>
  <si>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</si>
  <si>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</si>
  <si>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</si>
  <si>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</si>
  <si>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</si>
  <si>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</si>
  <si>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</si>
  <si>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</si>
  <si>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</si>
  <si>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</si>
  <si>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</si>
  <si>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</si>
  <si>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</si>
  <si>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</si>
  <si>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</si>
  <si>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</si>
  <si>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</si>
  <si>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</si>
  <si>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</si>
  <si>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</si>
  <si>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</si>
  <si>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</si>
  <si>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</si>
  <si>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</si>
  <si>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</si>
  <si>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</si>
  <si>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</si>
  <si>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</si>
  <si>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</si>
  <si>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</si>
  <si>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</si>
  <si>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</si>
  <si>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</si>
  <si>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</si>
  <si>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</si>
  <si>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</si>
  <si>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</si>
  <si>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</si>
  <si>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</si>
  <si>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</si>
  <si>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</si>
  <si>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</si>
  <si>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</si>
  <si>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</si>
  <si>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</si>
  <si>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</si>
  <si>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</si>
  <si>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</si>
  <si>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</si>
  <si>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</si>
  <si>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</si>
  <si>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</si>
  <si>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</si>
  <si>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</si>
  <si>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</si>
  <si>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</si>
  <si>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</si>
  <si>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</si>
  <si>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</si>
  <si>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</si>
  <si>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</si>
  <si>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</si>
  <si>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</si>
  <si>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</si>
  <si>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</si>
  <si>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</si>
  <si>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</si>
  <si>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</si>
  <si>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</si>
  <si>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</si>
  <si>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</si>
  <si>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</si>
  <si>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</si>
  <si>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</si>
  <si>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</si>
  <si>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</si>
  <si>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</si>
  <si>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</si>
  <si>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</si>
  <si>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</si>
  <si>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</si>
  <si>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</si>
  <si>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</si>
  <si>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</si>
  <si>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</si>
  <si>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</si>
  <si>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</si>
  <si>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</si>
  <si>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</si>
  <si>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</si>
  <si>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</si>
  <si>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</si>
  <si>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</si>
  <si>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</si>
  <si>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</si>
  <si>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</si>
  <si>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</si>
  <si>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</si>
  <si>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</si>
  <si>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</si>
  <si>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</si>
  <si>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</si>
  <si>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</si>
  <si>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</si>
  <si>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</si>
  <si>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</si>
  <si>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</si>
  <si>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</si>
  <si>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</si>
  <si>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</si>
  <si>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</si>
  <si>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</si>
  <si>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</si>
  <si>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</si>
  <si>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</si>
  <si>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</si>
  <si>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</si>
  <si>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</si>
  <si>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</si>
  <si>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</si>
  <si>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</si>
  <si>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</si>
  <si>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</si>
  <si>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</si>
  <si>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</si>
  <si>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</si>
  <si>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</si>
  <si>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</si>
  <si>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</si>
  <si>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</si>
  <si>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</si>
  <si>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</si>
  <si>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</si>
  <si>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</si>
  <si>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</si>
  <si>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</si>
  <si>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</si>
  <si>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</si>
  <si>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</si>
  <si>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</si>
  <si>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</si>
  <si>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</si>
  <si>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</si>
  <si>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</si>
  <si>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</si>
  <si>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</si>
  <si>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</si>
  <si>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</si>
  <si>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</si>
  <si>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</si>
  <si>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</si>
  <si>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</si>
  <si>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</si>
  <si>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</si>
  <si>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</si>
  <si>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</si>
  <si>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</si>
  <si>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</si>
  <si>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</si>
  <si>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</si>
  <si>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</si>
  <si>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</si>
  <si>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</si>
  <si>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</si>
  <si>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</si>
  <si>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</si>
  <si>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</si>
  <si>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</si>
  <si>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</si>
  <si>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</si>
  <si>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</si>
  <si>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</si>
  <si>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</si>
  <si>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</si>
  <si>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</si>
  <si>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</si>
  <si>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</si>
  <si>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</si>
  <si>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</si>
  <si>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</si>
  <si>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</si>
  <si>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</si>
  <si>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</si>
  <si>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</si>
  <si>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</si>
  <si>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</si>
  <si>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</si>
  <si>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</si>
  <si>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</si>
  <si>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</si>
  <si>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</si>
  <si>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</si>
  <si>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</si>
  <si>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</si>
  <si>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</si>
  <si>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</si>
  <si>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</si>
  <si>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</si>
  <si>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</si>
  <si>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</si>
  <si>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</si>
  <si>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</si>
  <si>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</si>
  <si>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</si>
  <si>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</si>
  <si>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</si>
  <si>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</si>
  <si>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</si>
  <si>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</si>
  <si>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</si>
  <si>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</si>
  <si>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</si>
  <si>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</si>
  <si>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</si>
  <si>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</si>
  <si>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</si>
  <si>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</si>
  <si>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</si>
  <si>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</si>
  <si>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</si>
  <si>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</si>
  <si>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</si>
  <si>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</si>
  <si>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</si>
  <si>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</si>
  <si>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</si>
  <si>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</si>
  <si>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</si>
  <si>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</si>
  <si>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</si>
  <si>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</si>
  <si>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</si>
  <si>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</si>
  <si>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</si>
  <si>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</si>
  <si>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</si>
  <si>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</si>
  <si>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</si>
  <si>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</si>
  <si>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</si>
  <si>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</si>
  <si>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</si>
  <si>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</si>
  <si>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</si>
  <si>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</si>
  <si>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</si>
  <si>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</si>
  <si>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</si>
  <si>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</si>
  <si>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</si>
  <si>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</si>
  <si>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</si>
  <si>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</si>
  <si>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</si>
  <si>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</si>
  <si>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</si>
  <si>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</si>
  <si>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</si>
  <si>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</si>
  <si>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</si>
  <si>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</si>
  <si>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</si>
  <si>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</si>
  <si>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</si>
  <si>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</si>
  <si>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</si>
  <si>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</si>
  <si>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</si>
  <si>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</si>
  <si>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</si>
  <si>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</si>
  <si>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</si>
  <si>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</si>
  <si>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</si>
  <si>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</si>
  <si>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</si>
  <si>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</si>
  <si>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</si>
  <si>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</si>
  <si>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</si>
  <si>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</si>
  <si>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</si>
  <si>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</si>
  <si>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</si>
  <si>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</si>
  <si>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</si>
  <si>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</si>
  <si>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</si>
  <si>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</si>
  <si>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</si>
  <si>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</si>
  <si>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</si>
  <si>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</si>
  <si>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</si>
  <si>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</si>
  <si>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</si>
  <si>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</si>
  <si>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</si>
  <si>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</si>
  <si>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</si>
  <si>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</si>
  <si>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</si>
  <si>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</si>
  <si>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</si>
  <si>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</si>
  <si>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</si>
  <si>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</si>
  <si>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</si>
  <si>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</si>
  <si>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</si>
  <si>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</si>
  <si>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</si>
  <si>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</si>
  <si>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</si>
  <si>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</si>
  <si>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</si>
  <si>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</si>
  <si>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</si>
  <si>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</si>
  <si>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</si>
  <si>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</si>
  <si>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</si>
  <si>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</si>
  <si>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</si>
  <si>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</si>
  <si>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</si>
  <si>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</si>
  <si>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</si>
  <si>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</si>
  <si>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</si>
  <si>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</si>
  <si>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</si>
  <si>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</si>
  <si>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</si>
  <si>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</si>
  <si>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</si>
  <si>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</si>
  <si>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</si>
  <si>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</si>
  <si>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</si>
  <si>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</si>
  <si>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</si>
  <si>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</si>
  <si>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</si>
  <si>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</si>
  <si>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</si>
  <si>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</si>
  <si>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</si>
  <si>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</si>
  <si>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</si>
  <si>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</si>
  <si>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</si>
  <si>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</si>
  <si>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</si>
  <si>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</si>
  <si>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</si>
  <si>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</si>
  <si>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</si>
  <si>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</si>
  <si>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</si>
  <si>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</si>
  <si>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</si>
  <si>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</si>
  <si>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</si>
  <si>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</si>
  <si>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</si>
  <si>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</si>
  <si>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</si>
  <si>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</si>
  <si>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</si>
  <si>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</si>
  <si>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</si>
  <si>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</si>
  <si>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</si>
  <si>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</si>
  <si>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</si>
  <si>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</si>
  <si>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</si>
  <si>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</si>
  <si>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</si>
  <si>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</si>
  <si>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</si>
  <si>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</si>
  <si>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</si>
  <si>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</si>
  <si>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</si>
  <si>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</si>
  <si>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</si>
  <si>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</si>
  <si>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</si>
  <si>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</si>
  <si>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</si>
  <si>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</si>
  <si>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</si>
  <si>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</si>
  <si>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</si>
  <si>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</si>
  <si>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</si>
  <si>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</si>
  <si>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</si>
  <si>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</si>
  <si>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</si>
  <si>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</si>
  <si>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</si>
  <si>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</si>
  <si>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</si>
  <si>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</si>
  <si>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</si>
  <si>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</si>
  <si>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</si>
  <si>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</si>
  <si>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</si>
  <si>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</si>
  <si>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</si>
  <si>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</si>
  <si>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</si>
  <si>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</si>
  <si>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</si>
  <si>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</si>
  <si>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</si>
  <si>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</si>
  <si>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</si>
  <si>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</si>
  <si>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</si>
  <si>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</si>
  <si>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</si>
  <si>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</si>
  <si>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</si>
  <si>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</si>
  <si>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</si>
  <si>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</si>
  <si>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</si>
  <si>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</si>
  <si>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</si>
  <si>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</si>
  <si>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</si>
  <si>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</si>
  <si>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</si>
  <si>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</si>
  <si>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</si>
  <si>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</si>
  <si>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</si>
  <si>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</si>
  <si>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</si>
  <si>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</si>
  <si>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</si>
  <si>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</si>
  <si>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</si>
  <si>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</si>
  <si>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</si>
  <si>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</si>
  <si>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</si>
  <si>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</si>
  <si>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</si>
  <si>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</si>
  <si>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</si>
  <si>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</si>
  <si>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</si>
  <si>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</si>
  <si>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</si>
  <si>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</si>
  <si>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</si>
  <si>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</si>
  <si>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</si>
  <si>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</si>
  <si>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</si>
  <si>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</si>
  <si>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</si>
  <si>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</si>
  <si>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</si>
  <si>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</si>
  <si>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</si>
  <si>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</si>
  <si>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</si>
  <si>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</si>
  <si>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</si>
  <si>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</si>
  <si>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</si>
  <si>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</si>
  <si>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</si>
  <si>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</si>
  <si>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</si>
  <si>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</si>
  <si>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</si>
  <si>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</si>
  <si>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</si>
  <si>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</si>
  <si>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</si>
  <si>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</si>
  <si>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</si>
  <si>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</si>
  <si>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</si>
  <si>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</si>
  <si>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</si>
  <si>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</si>
  <si>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</si>
  <si>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</si>
  <si>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</si>
  <si>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</si>
  <si>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</si>
  <si>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</si>
  <si>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</si>
  <si>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</si>
  <si>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</si>
  <si>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</si>
  <si>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</si>
  <si>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</si>
  <si>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</si>
  <si>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</si>
  <si>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</si>
  <si>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</si>
  <si>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</si>
  <si>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</si>
  <si>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</si>
  <si>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</si>
  <si>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</si>
  <si>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</si>
  <si>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</si>
  <si>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</si>
  <si>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</si>
  <si>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</si>
  <si>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</si>
  <si>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</si>
  <si>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</si>
  <si>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</si>
  <si>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</si>
  <si>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</si>
  <si>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</si>
  <si>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</si>
  <si>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</si>
  <si>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</si>
  <si>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</si>
  <si>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</si>
  <si>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</si>
  <si>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</si>
  <si>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</si>
  <si>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</si>
  <si>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</si>
  <si>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</si>
  <si>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</si>
  <si>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</si>
  <si>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</si>
  <si>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</si>
  <si>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</si>
  <si>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</si>
  <si>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</si>
  <si>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</si>
  <si>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</si>
  <si>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</si>
  <si>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</si>
  <si>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</si>
  <si>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</si>
  <si>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</si>
  <si>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</si>
  <si>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</si>
  <si>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</si>
  <si>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</si>
  <si>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</si>
  <si>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</si>
  <si>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</si>
  <si>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</si>
  <si>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</si>
  <si>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</si>
  <si>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</si>
  <si>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</si>
  <si>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</si>
  <si>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</si>
  <si>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</si>
  <si>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</si>
  <si>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</si>
  <si>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</si>
  <si>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</si>
  <si>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</si>
  <si>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</si>
  <si>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</si>
  <si>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</si>
  <si>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</si>
  <si>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</si>
  <si>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</si>
  <si>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</si>
  <si>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</si>
  <si>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</si>
  <si>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</si>
  <si>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</si>
  <si>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</si>
  <si>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</si>
  <si>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</si>
  <si>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</si>
  <si>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</si>
  <si>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</si>
  <si>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</si>
  <si>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</si>
  <si>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</si>
  <si>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</si>
  <si>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</si>
  <si>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</si>
  <si>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</si>
  <si>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</si>
  <si>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</si>
  <si>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</si>
  <si>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</si>
  <si>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</si>
  <si>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</si>
  <si>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</si>
  <si>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</si>
  <si>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</si>
  <si>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</si>
  <si>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</si>
  <si>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</si>
  <si>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</si>
  <si>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</si>
  <si>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</si>
  <si>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</si>
  <si>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</si>
  <si>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</si>
  <si>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</si>
  <si>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</si>
  <si>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</si>
  <si>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</si>
  <si>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</si>
  <si>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</si>
  <si>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</si>
  <si>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</si>
  <si>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</si>
  <si>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</si>
  <si>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</si>
  <si>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</si>
  <si>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</si>
  <si>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</si>
  <si>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</si>
  <si>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</si>
  <si>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</si>
  <si>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</si>
  <si>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</si>
  <si>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</si>
  <si>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</si>
  <si>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</si>
  <si>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</si>
  <si>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</si>
  <si>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</si>
  <si>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</si>
  <si>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</si>
  <si>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</si>
  <si>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</si>
  <si>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</si>
  <si>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</si>
  <si>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</si>
  <si>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</si>
  <si>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</si>
  <si>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</si>
  <si>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</si>
  <si>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</si>
  <si>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</si>
  <si>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</si>
  <si>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</si>
  <si>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</si>
  <si>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</si>
  <si>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</si>
  <si>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</si>
  <si>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</si>
  <si>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</si>
  <si>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</si>
  <si>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</si>
  <si>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</si>
  <si>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</si>
  <si>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</si>
  <si>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</si>
  <si>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</si>
  <si>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</si>
  <si>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</si>
  <si>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</si>
  <si>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</si>
  <si>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</si>
  <si>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</si>
  <si>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</si>
  <si>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</si>
  <si>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</si>
  <si>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</si>
  <si>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</si>
  <si>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</si>
  <si>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</si>
  <si>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</si>
  <si>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</si>
  <si>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</si>
  <si>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</si>
  <si>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</si>
  <si>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</si>
  <si>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</si>
  <si>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</si>
  <si>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</si>
  <si>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</si>
  <si>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</si>
  <si>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</si>
  <si>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</si>
  <si>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</si>
  <si>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</si>
  <si>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</si>
  <si>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</si>
  <si>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</si>
  <si>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</si>
  <si>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</si>
  <si>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</si>
  <si>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</si>
  <si>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</si>
  <si>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</si>
  <si>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</si>
  <si>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</si>
  <si>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</si>
  <si>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</si>
  <si>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</si>
  <si>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</si>
  <si>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</si>
  <si>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</si>
  <si>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</si>
  <si>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</si>
  <si>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</si>
  <si>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</si>
  <si>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</si>
  <si>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</si>
  <si>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</si>
  <si>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</si>
  <si>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</si>
  <si>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</si>
  <si>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</si>
  <si>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</si>
  <si>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</si>
  <si>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</si>
  <si>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</si>
  <si>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</si>
  <si>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</si>
  <si>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</si>
  <si>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</si>
  <si>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</si>
  <si>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</si>
  <si>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</si>
  <si>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</si>
  <si>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</si>
  <si>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</si>
  <si>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</si>
  <si>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</si>
  <si>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</si>
  <si>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</si>
  <si>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</si>
  <si>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</si>
  <si>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</si>
  <si>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</si>
  <si>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</si>
  <si>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</si>
  <si>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</si>
  <si>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</si>
  <si>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</si>
  <si>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</si>
  <si>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</si>
  <si>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</si>
  <si>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</si>
  <si>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</si>
  <si>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</si>
  <si>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</si>
  <si>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</si>
  <si>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</si>
  <si>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</si>
  <si>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</si>
  <si>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</si>
  <si>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</si>
  <si>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</si>
  <si>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</si>
  <si>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</si>
  <si>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</si>
  <si>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</si>
  <si>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</si>
  <si>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</si>
  <si>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</si>
  <si>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</si>
  <si>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</si>
  <si>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</si>
  <si>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</si>
  <si>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</si>
  <si>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</si>
  <si>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</si>
  <si>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</si>
  <si>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</si>
  <si>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</si>
  <si>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</si>
  <si>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</si>
  <si>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</si>
  <si>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</si>
  <si>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</si>
  <si>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</si>
  <si>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</si>
  <si>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</si>
  <si>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</si>
  <si>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</si>
  <si>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</si>
  <si>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</si>
  <si>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</si>
  <si>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</si>
  <si>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</si>
  <si>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</si>
  <si>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</si>
  <si>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</si>
  <si>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</si>
  <si>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</si>
  <si>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</si>
  <si>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</si>
  <si>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</si>
  <si>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</si>
  <si>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</si>
  <si>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</si>
  <si>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</si>
  <si>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</si>
  <si>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</si>
  <si>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</si>
  <si>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</si>
  <si>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</si>
  <si>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</si>
  <si>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</si>
  <si>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</si>
  <si>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</si>
  <si>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</si>
  <si>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</si>
  <si>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</si>
  <si>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</si>
  <si>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</si>
  <si>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</si>
  <si>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</si>
  <si>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</si>
  <si>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</si>
  <si>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</si>
  <si>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</si>
  <si>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</si>
  <si>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</si>
  <si>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</si>
  <si>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</si>
  <si>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</si>
  <si>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</si>
  <si>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</si>
  <si>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</si>
  <si>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</si>
  <si>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</si>
  <si>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</si>
  <si>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</si>
  <si>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</si>
  <si>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</si>
  <si>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</si>
  <si>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</si>
  <si>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</si>
  <si>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</si>
  <si>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</si>
  <si>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</si>
  <si>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</si>
  <si>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</si>
  <si>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</si>
  <si>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</si>
  <si>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</si>
  <si>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</si>
  <si>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</si>
  <si>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</si>
  <si>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</si>
  <si>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</si>
  <si>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</si>
  <si>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</si>
  <si>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</si>
  <si>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</si>
  <si>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</si>
  <si>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</si>
  <si>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</si>
  <si>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</si>
  <si>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</si>
  <si>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</si>
  <si>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</si>
  <si>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</si>
  <si>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</si>
  <si>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</si>
  <si>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</si>
  <si>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</si>
  <si>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</si>
  <si>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</si>
  <si>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</si>
  <si>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</si>
  <si>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</si>
  <si>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</si>
  <si>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</si>
  <si>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</si>
  <si>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</si>
  <si>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</si>
  <si>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</si>
  <si>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</si>
  <si>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</si>
  <si>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</si>
  <si>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</si>
  <si>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</si>
  <si>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</si>
  <si>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</si>
  <si>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</si>
  <si>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</si>
  <si>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</si>
  <si>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</si>
  <si>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</si>
  <si>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</si>
  <si>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</si>
  <si>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</si>
  <si>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</si>
  <si>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</si>
  <si>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</si>
  <si>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</si>
  <si>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</si>
  <si>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</si>
  <si>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</si>
  <si>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</si>
  <si>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</si>
  <si>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</si>
  <si>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</si>
  <si>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</si>
  <si>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</si>
  <si>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</si>
  <si>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</si>
  <si>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</si>
  <si>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</si>
  <si>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</si>
  <si>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</si>
  <si>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</si>
  <si>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</si>
  <si>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</si>
  <si>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</si>
  <si>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</si>
  <si>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</si>
  <si>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</si>
  <si>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</si>
  <si>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</si>
  <si>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</si>
  <si>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</si>
  <si>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</si>
  <si>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</si>
  <si>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</si>
  <si>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</si>
  <si>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</si>
  <si>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</si>
  <si>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</si>
  <si>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</si>
  <si>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</si>
  <si>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</si>
  <si>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</si>
  <si>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</si>
  <si>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</si>
  <si>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</si>
  <si>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</si>
  <si>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</si>
  <si>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</si>
  <si>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</si>
  <si>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</si>
  <si>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</si>
  <si>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</si>
  <si>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</si>
  <si>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</si>
  <si>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</si>
  <si>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</si>
  <si>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</si>
  <si>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</si>
  <si>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</si>
  <si>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</si>
  <si>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</si>
  <si>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</si>
  <si>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</si>
  <si>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</si>
  <si>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</si>
  <si>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</si>
  <si>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</si>
  <si>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</si>
  <si>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</si>
  <si>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</si>
  <si>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</si>
  <si>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</si>
  <si>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</si>
  <si>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</si>
  <si>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</si>
  <si>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</si>
  <si>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</si>
  <si>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</si>
  <si>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</si>
  <si>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</si>
  <si>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</si>
  <si>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</si>
  <si>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</si>
  <si>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</si>
  <si>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</si>
  <si>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</si>
  <si>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</si>
  <si>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</si>
  <si>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</si>
  <si>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</si>
  <si>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</si>
  <si>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</si>
  <si>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</si>
  <si>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</si>
  <si>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</si>
  <si>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</si>
  <si>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</si>
  <si>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</si>
  <si>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</si>
  <si>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</si>
  <si>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</si>
  <si>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</si>
  <si>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</si>
  <si>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</si>
  <si>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</si>
  <si>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</si>
  <si>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</si>
  <si>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</si>
  <si>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</si>
  <si>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</si>
  <si>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</si>
  <si>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</si>
  <si>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</si>
  <si>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</si>
  <si>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</si>
  <si>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</si>
  <si>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</si>
  <si>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</si>
  <si>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</si>
  <si>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</si>
  <si>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</si>
  <si>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</si>
  <si>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</si>
  <si>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</si>
  <si>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</si>
  <si>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</si>
  <si>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</si>
  <si>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</si>
  <si>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</si>
  <si>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</si>
  <si>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</si>
  <si>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</si>
  <si>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</si>
  <si>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</si>
  <si>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</si>
  <si>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</si>
  <si>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</si>
  <si>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</si>
  <si>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</si>
  <si>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</si>
  <si>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</si>
  <si>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</si>
  <si>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</si>
  <si>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</si>
  <si>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</si>
  <si>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</si>
  <si>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</si>
  <si>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</si>
  <si>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</si>
  <si>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</si>
  <si>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</si>
  <si>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</si>
  <si>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</si>
  <si>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</si>
  <si>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</si>
  <si>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</si>
  <si>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</si>
  <si>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</si>
  <si>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</si>
  <si>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</si>
  <si>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</si>
  <si>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</si>
  <si>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</si>
  <si>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</si>
  <si>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</si>
  <si>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</si>
  <si>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</si>
  <si>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</si>
  <si>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</si>
  <si>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</si>
  <si>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</si>
  <si>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</si>
  <si>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</si>
  <si>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</si>
  <si>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</si>
  <si>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</si>
  <si>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</si>
  <si>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</si>
  <si>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</si>
  <si>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</si>
  <si>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</si>
  <si>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</si>
  <si>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</si>
  <si>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</si>
  <si>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</si>
  <si>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</si>
  <si>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</si>
  <si>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</si>
  <si>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</si>
  <si>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</si>
  <si>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</si>
  <si>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</si>
  <si>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</si>
  <si>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</si>
  <si>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</si>
  <si>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</si>
  <si>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</si>
  <si>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</si>
  <si>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</si>
  <si>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</si>
  <si>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</si>
  <si>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</si>
  <si>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</si>
  <si>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</si>
  <si>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</si>
  <si>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</si>
  <si>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</si>
  <si>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</si>
  <si>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</si>
  <si>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</si>
  <si>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</si>
  <si>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</si>
  <si>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</si>
  <si>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</si>
  <si>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</si>
  <si>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</si>
  <si>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</si>
  <si>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</si>
  <si>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</si>
  <si>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</si>
  <si>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</si>
  <si>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</si>
  <si>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</si>
  <si>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</si>
  <si>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</si>
  <si>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</si>
  <si>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</si>
  <si>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</si>
  <si>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</si>
  <si>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</si>
  <si>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</si>
  <si>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</si>
  <si>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</si>
  <si>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</si>
  <si>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</si>
  <si>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</si>
  <si>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</si>
  <si>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</si>
  <si>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</si>
  <si>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</si>
  <si>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</si>
  <si>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</si>
  <si>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</si>
  <si>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</si>
  <si>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</si>
  <si>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</si>
  <si>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</si>
  <si>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</si>
  <si>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</si>
  <si>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</si>
  <si>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</si>
  <si>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</si>
  <si>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</si>
  <si>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</si>
  <si>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</si>
  <si>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</si>
  <si>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</si>
  <si>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</si>
  <si>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</si>
  <si>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</si>
  <si>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</si>
  <si>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</si>
  <si>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</si>
  <si>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</si>
  <si>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</si>
  <si>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</si>
  <si>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</si>
  <si>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</si>
  <si>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</si>
  <si>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</si>
  <si>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</si>
  <si>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</si>
  <si>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</si>
  <si>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</si>
  <si>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</si>
  <si>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</si>
  <si>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</si>
  <si>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</si>
  <si>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</si>
  <si>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</si>
  <si>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</si>
  <si>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</si>
  <si>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</si>
  <si>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</si>
  <si>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</si>
  <si>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</si>
  <si>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</si>
  <si>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</si>
  <si>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</si>
  <si>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</si>
  <si>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</si>
  <si>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</si>
  <si>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</si>
  <si>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</si>
  <si>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</si>
  <si>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</si>
  <si>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</si>
  <si>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</si>
  <si>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</si>
  <si>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</si>
  <si>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</si>
  <si>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</si>
  <si>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</si>
  <si>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</si>
  <si>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</si>
  <si>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</si>
  <si>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</si>
  <si>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</si>
  <si>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</si>
  <si>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</si>
  <si>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</si>
  <si>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</si>
  <si>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</si>
  <si>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</si>
  <si>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</si>
  <si>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</si>
  <si>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</si>
  <si>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</si>
  <si>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</si>
  <si>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</si>
  <si>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</si>
  <si>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</si>
  <si>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</si>
  <si>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</si>
  <si>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</si>
  <si>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</si>
  <si>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</si>
  <si>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</si>
  <si>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</si>
  <si>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</si>
  <si>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</si>
  <si>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</si>
  <si>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</si>
  <si>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</si>
  <si>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</si>
  <si>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</si>
  <si>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</si>
  <si>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</si>
  <si>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</si>
  <si>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</si>
  <si>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</si>
  <si>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</si>
  <si>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</si>
  <si>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</si>
  <si>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</si>
  <si>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</si>
  <si>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</si>
  <si>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</si>
  <si>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</si>
  <si>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</si>
  <si>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</si>
  <si>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</si>
  <si>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</si>
  <si>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</si>
  <si>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</si>
  <si>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</si>
  <si>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</si>
  <si>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</si>
  <si>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</si>
  <si>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</si>
  <si>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</si>
  <si>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</si>
  <si>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</si>
  <si>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</si>
  <si>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</si>
  <si>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</si>
  <si>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</si>
  <si>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</si>
  <si>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</si>
  <si>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</si>
  <si>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</si>
  <si>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</si>
  <si>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</si>
  <si>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</si>
  <si>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</si>
  <si>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</si>
  <si>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</si>
  <si>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</si>
  <si>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</si>
  <si>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</si>
  <si>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</si>
  <si>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</si>
  <si>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</si>
  <si>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</si>
  <si>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</si>
  <si>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</si>
  <si>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</si>
  <si>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</si>
  <si>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</si>
  <si>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</si>
  <si>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</si>
  <si>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</si>
  <si>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</si>
  <si>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</si>
  <si>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</si>
  <si>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</si>
  <si>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</si>
  <si>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</si>
  <si>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</si>
  <si>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</si>
  <si>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</si>
  <si>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</si>
  <si>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</si>
  <si>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</si>
  <si>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</si>
  <si>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</si>
  <si>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</si>
  <si>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</si>
  <si>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</si>
  <si>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</si>
  <si>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</si>
  <si>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</si>
  <si>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</si>
  <si>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</si>
  <si>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</si>
  <si>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</si>
  <si>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</si>
  <si>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</si>
  <si>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</si>
  <si>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</si>
  <si>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</si>
  <si>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</si>
  <si>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</si>
  <si>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</si>
  <si>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</si>
  <si>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</si>
  <si>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</si>
  <si>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</si>
  <si>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</si>
  <si>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</si>
  <si>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</si>
  <si>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</si>
  <si>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</si>
  <si>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</si>
  <si>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</si>
  <si>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</si>
  <si>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</si>
  <si>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</si>
  <si>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</si>
  <si>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</si>
  <si>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</si>
  <si>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</si>
  <si>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</si>
  <si>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</si>
  <si>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</si>
  <si>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</si>
  <si>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</si>
  <si>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</si>
  <si>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</si>
  <si>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</si>
  <si>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</si>
  <si>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</si>
  <si>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</si>
  <si>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</si>
  <si>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</si>
  <si>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</si>
  <si>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</si>
  <si>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</si>
  <si>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</si>
  <si>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</si>
  <si>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</si>
  <si>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</si>
  <si>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</si>
  <si>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</si>
  <si>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</si>
  <si>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</si>
  <si>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</si>
  <si>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</si>
  <si>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</si>
  <si>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</si>
  <si>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</si>
  <si>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</si>
  <si>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</si>
  <si>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</si>
  <si>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</si>
  <si>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</si>
  <si>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</si>
  <si>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</si>
  <si>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</si>
  <si>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</si>
  <si>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</si>
  <si>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</si>
  <si>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</si>
  <si>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</si>
  <si>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</si>
  <si>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</si>
  <si>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</si>
  <si>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</si>
  <si>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</si>
  <si>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</si>
  <si>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</si>
  <si>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</si>
  <si>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</si>
  <si>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</si>
  <si>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</si>
  <si>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</si>
  <si>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</si>
  <si>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</si>
  <si>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</si>
  <si>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</si>
  <si>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</si>
  <si>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</si>
  <si>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</si>
  <si>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</si>
  <si>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</si>
  <si>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</si>
  <si>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</si>
  <si>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</si>
  <si>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</si>
  <si>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</si>
  <si>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</si>
  <si>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</si>
  <si>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</si>
  <si>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</si>
  <si>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</si>
  <si>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</si>
  <si>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</si>
  <si>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</si>
  <si>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</si>
  <si>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</si>
  <si>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</si>
  <si>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</si>
  <si>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</si>
  <si>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</si>
  <si>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</si>
  <si>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</si>
  <si>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</si>
  <si>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</si>
  <si>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</si>
  <si>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</si>
  <si>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</si>
  <si>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</si>
  <si>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</si>
  <si>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</si>
  <si>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</si>
  <si>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</si>
  <si>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</si>
  <si>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</si>
  <si>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</si>
  <si>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</si>
  <si>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</si>
  <si>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</si>
  <si>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</si>
  <si>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</si>
  <si>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</si>
  <si>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</si>
  <si>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</si>
  <si>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</si>
  <si>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</si>
  <si>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</si>
  <si>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</si>
  <si>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</si>
  <si>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</si>
  <si>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</si>
  <si>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</si>
  <si>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</si>
  <si>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</si>
  <si>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</si>
  <si>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</si>
  <si>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</si>
  <si>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</si>
  <si>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</si>
  <si>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</si>
  <si>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</si>
  <si>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</si>
  <si>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</si>
  <si>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</si>
  <si>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</si>
  <si>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</si>
  <si>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</si>
  <si>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</si>
  <si>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</si>
  <si>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</si>
  <si>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</si>
  <si>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</si>
  <si>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</si>
  <si>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</si>
  <si>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</si>
  <si>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</si>
  <si>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</si>
  <si>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</si>
  <si>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</si>
  <si>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</si>
  <si>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</si>
  <si>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</si>
  <si>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</si>
  <si>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</si>
  <si>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</si>
  <si>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</si>
  <si>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</si>
  <si>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</si>
  <si>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</si>
  <si>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</si>
  <si>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</si>
  <si>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</si>
  <si>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</si>
  <si>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</si>
  <si>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</si>
  <si>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</si>
  <si>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</si>
  <si>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</si>
  <si>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</si>
  <si>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</si>
  <si>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</si>
  <si>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</si>
  <si>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</si>
  <si>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</si>
  <si>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</si>
  <si>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</si>
  <si>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</si>
  <si>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</si>
  <si>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</si>
  <si>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</si>
  <si>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</si>
  <si>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</si>
  <si>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</si>
  <si>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</si>
  <si>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</si>
  <si>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</si>
  <si>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</si>
  <si>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</si>
  <si>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</si>
  <si>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</si>
  <si>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</si>
  <si>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</si>
  <si>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</si>
  <si>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</si>
  <si>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</si>
  <si>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</si>
  <si>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</si>
  <si>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</si>
  <si>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</si>
  <si>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</si>
  <si>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</si>
  <si>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</si>
  <si>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</si>
  <si>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</si>
  <si>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</si>
  <si>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</si>
  <si>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</si>
  <si>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</si>
  <si>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</si>
  <si>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</si>
  <si>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</si>
  <si>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</si>
  <si>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</si>
  <si>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</si>
  <si>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</si>
  <si>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</si>
  <si>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</si>
  <si>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</si>
  <si>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</si>
  <si>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</si>
  <si>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</si>
  <si>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</si>
  <si>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</si>
  <si>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</si>
  <si>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</si>
  <si>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</si>
  <si>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</si>
  <si>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</si>
  <si>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</si>
  <si>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</si>
  <si>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</si>
  <si>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</si>
  <si>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</si>
  <si>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</si>
  <si>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</si>
  <si>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</si>
  <si>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</si>
  <si>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</si>
  <si>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</si>
  <si>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</si>
  <si>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</si>
  <si>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</si>
  <si>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</si>
  <si>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</si>
  <si>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</si>
  <si>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</si>
  <si>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</si>
  <si>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</si>
  <si>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</si>
  <si>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</si>
  <si>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</si>
  <si>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</si>
  <si>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</si>
  <si>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</si>
  <si>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</si>
  <si>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</si>
  <si>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</si>
  <si>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</si>
  <si>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</si>
  <si>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</si>
  <si>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</si>
  <si>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</si>
  <si>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</si>
  <si>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</si>
  <si>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</si>
  <si>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</si>
  <si>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</si>
  <si>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</si>
  <si>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</si>
  <si>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</si>
  <si>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</si>
  <si>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</si>
  <si>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</si>
  <si>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</si>
  <si>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</si>
  <si>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</si>
  <si>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</si>
  <si>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</si>
  <si>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</si>
  <si>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</si>
  <si>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</si>
  <si>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</si>
  <si>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</si>
  <si>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</si>
  <si>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</si>
  <si>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</si>
  <si>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</si>
  <si>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</si>
  <si>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</si>
  <si>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</si>
  <si>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</si>
  <si>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</si>
  <si>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</si>
  <si>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</si>
  <si>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</si>
  <si>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</si>
  <si>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</si>
  <si>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</si>
  <si>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</si>
  <si>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</si>
  <si>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</si>
  <si>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</si>
  <si>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</si>
  <si>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</si>
  <si>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</si>
  <si>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</si>
  <si>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</si>
  <si>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</si>
  <si>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</si>
  <si>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</si>
  <si>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</si>
  <si>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</si>
  <si>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</si>
  <si>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</si>
  <si>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</si>
  <si>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</si>
  <si>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</si>
  <si>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</si>
  <si>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</si>
  <si>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</si>
  <si>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</si>
  <si>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</si>
  <si>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</si>
  <si>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</si>
  <si>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</si>
  <si>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</si>
  <si>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</si>
  <si>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</si>
  <si>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</si>
  <si>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</si>
  <si>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</si>
  <si>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</si>
  <si>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</si>
  <si>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</si>
  <si>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</si>
  <si>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</si>
  <si>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</si>
  <si>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</si>
  <si>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</si>
  <si>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</si>
  <si>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</si>
  <si>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</si>
  <si>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</si>
  <si>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</si>
  <si>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</si>
  <si>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</si>
  <si>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</si>
  <si>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</si>
  <si>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</si>
  <si>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</si>
  <si>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</si>
  <si>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</si>
  <si>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</si>
  <si>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</si>
  <si>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</si>
  <si>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</si>
  <si>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</si>
  <si>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</si>
  <si>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</si>
  <si>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</si>
  <si>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</si>
  <si>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</si>
  <si>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</si>
  <si>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</si>
  <si>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</si>
  <si>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</si>
  <si>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</si>
  <si>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</si>
  <si>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</si>
  <si>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</si>
  <si>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</si>
  <si>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</si>
  <si>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</si>
  <si>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</si>
  <si>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</si>
  <si>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</si>
  <si>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</si>
  <si>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</si>
  <si>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</si>
  <si>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</si>
  <si>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</si>
  <si>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</si>
  <si>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</si>
  <si>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</si>
  <si>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</si>
  <si>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</si>
  <si>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</si>
  <si>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</si>
  <si>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</si>
  <si>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</si>
  <si>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</si>
  <si>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</si>
  <si>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</si>
  <si>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</si>
  <si>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</si>
  <si>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</si>
  <si>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</si>
  <si>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</si>
  <si>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</si>
  <si>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</si>
  <si>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</si>
  <si>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</si>
  <si>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</si>
  <si>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</si>
  <si>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</si>
  <si>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</si>
  <si>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</si>
  <si>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</si>
  <si>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</si>
  <si>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</si>
  <si>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</si>
  <si>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</si>
  <si>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</si>
  <si>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</si>
  <si>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</si>
  <si>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</si>
  <si>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</si>
  <si>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</si>
  <si>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</si>
  <si>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</si>
  <si>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</si>
  <si>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</si>
  <si>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</si>
  <si>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</si>
  <si>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</si>
  <si>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</si>
  <si>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</si>
  <si>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</si>
  <si>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</si>
  <si>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</si>
  <si>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</si>
  <si>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</si>
  <si>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</si>
  <si>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</si>
  <si>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</si>
  <si>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</si>
  <si>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</si>
  <si>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</si>
  <si>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</si>
  <si>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</si>
  <si>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</si>
  <si>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</si>
  <si>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</si>
  <si>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</si>
  <si>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</si>
  <si>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</si>
  <si>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</si>
  <si>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</si>
  <si>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</si>
  <si>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</si>
  <si>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</si>
  <si>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</si>
  <si>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</si>
  <si>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</si>
  <si>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</si>
  <si>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</si>
  <si>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</si>
  <si>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</si>
  <si>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</si>
  <si>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</si>
  <si>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</si>
  <si>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</si>
  <si>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</si>
  <si>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</si>
  <si>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</si>
  <si>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</si>
  <si>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</si>
  <si>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</si>
  <si>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</si>
  <si>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</si>
  <si>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</si>
  <si>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</si>
  <si>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</si>
  <si>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</si>
  <si>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</si>
  <si>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</si>
  <si>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</si>
  <si>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</si>
  <si>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</si>
  <si>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</si>
  <si>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</si>
  <si>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</si>
  <si>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</si>
  <si>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</si>
  <si>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</si>
  <si>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</si>
  <si>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</si>
  <si>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</si>
  <si>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</si>
  <si>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</si>
  <si>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</si>
  <si>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</si>
  <si>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</si>
  <si>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</si>
  <si>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</si>
  <si>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</si>
  <si>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</si>
  <si>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</si>
  <si>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</si>
  <si>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</si>
  <si>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</si>
  <si>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</si>
  <si>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</si>
  <si>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</si>
  <si>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</si>
  <si>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</si>
  <si>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</si>
  <si>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</si>
  <si>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</si>
  <si>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</si>
  <si>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</si>
  <si>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</si>
  <si>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</si>
  <si>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</si>
  <si>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</si>
  <si>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</si>
  <si>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</si>
  <si>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</si>
  <si>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</si>
  <si>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</si>
  <si>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</si>
  <si>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</si>
  <si>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</si>
  <si>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</si>
  <si>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</si>
  <si>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</si>
  <si>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</si>
  <si>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</si>
  <si>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</si>
  <si>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</si>
  <si>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</si>
  <si>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</si>
  <si>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</si>
  <si>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</si>
  <si>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</si>
  <si>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</si>
  <si>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</si>
  <si>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</si>
  <si>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</si>
  <si>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</si>
  <si>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</si>
  <si>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</si>
  <si>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</si>
  <si>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</si>
  <si>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</si>
  <si>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</si>
  <si>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</si>
  <si>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</si>
  <si>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</si>
  <si>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</si>
  <si>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</si>
  <si>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</si>
  <si>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</si>
  <si>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</si>
  <si>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</si>
  <si>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</si>
  <si>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</si>
  <si>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</si>
  <si>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</si>
  <si>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</si>
  <si>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</si>
  <si>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</si>
  <si>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</si>
  <si>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</si>
  <si>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</si>
  <si>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</si>
  <si>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</si>
  <si>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</si>
  <si>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</si>
  <si>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</si>
  <si>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</si>
  <si>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</si>
  <si>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</si>
  <si>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</si>
  <si>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</si>
  <si>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</si>
  <si>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</si>
  <si>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</si>
  <si>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</si>
  <si>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</si>
  <si>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</si>
  <si>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</si>
  <si>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</si>
  <si>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</si>
  <si>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</si>
  <si>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</si>
  <si>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</si>
  <si>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</si>
  <si>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</si>
  <si>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</si>
  <si>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</si>
  <si>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</si>
  <si>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</si>
  <si>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</si>
  <si>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</si>
  <si>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</si>
  <si>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</si>
  <si>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</si>
  <si>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</si>
  <si>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</si>
  <si>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</si>
  <si>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</si>
  <si>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</si>
  <si>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</si>
  <si>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</si>
  <si>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</si>
  <si>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</si>
  <si>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</si>
  <si>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</si>
  <si>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</si>
  <si>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</si>
  <si>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</si>
  <si>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</si>
  <si>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</si>
  <si>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</si>
  <si>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</si>
  <si>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</si>
  <si>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</si>
  <si>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</si>
  <si>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</si>
  <si>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</si>
  <si>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</si>
  <si>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</si>
  <si>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</si>
  <si>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</si>
  <si>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</si>
  <si>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</si>
  <si>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</si>
  <si>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</si>
  <si>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</si>
  <si>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</si>
  <si>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</si>
  <si>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</si>
  <si>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</si>
  <si>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</si>
  <si>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</si>
  <si>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</si>
  <si>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</si>
  <si>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</si>
  <si>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</si>
  <si>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</si>
  <si>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</si>
  <si>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</si>
  <si>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</si>
  <si>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</si>
  <si>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</si>
  <si>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</si>
  <si>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</si>
  <si>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</si>
  <si>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</si>
  <si>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</si>
  <si>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</si>
  <si>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</si>
  <si>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</si>
  <si>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</si>
  <si>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</si>
  <si>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</si>
  <si>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</si>
  <si>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</si>
  <si>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</si>
  <si>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</si>
  <si>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</si>
  <si>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</si>
  <si>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</si>
  <si>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</si>
  <si>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</si>
  <si>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</si>
  <si>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</si>
  <si>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</si>
  <si>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</si>
  <si>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</si>
  <si>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</si>
  <si>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</si>
  <si>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</si>
  <si>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</si>
  <si>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</si>
  <si>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</si>
  <si>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</si>
  <si>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</si>
  <si>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</si>
  <si>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</si>
  <si>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</si>
  <si>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</si>
  <si>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</si>
  <si>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</si>
  <si>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</si>
  <si>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</si>
  <si>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</si>
  <si>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</si>
  <si>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</si>
  <si>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</si>
  <si>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</si>
  <si>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</si>
  <si>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</si>
  <si>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</si>
  <si>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</si>
  <si>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</si>
  <si>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</si>
  <si>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</si>
  <si>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</si>
  <si>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</si>
  <si>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</si>
  <si>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</si>
  <si>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</si>
  <si>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</si>
  <si>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</si>
  <si>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</si>
  <si>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</si>
  <si>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</si>
  <si>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</si>
  <si>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</si>
  <si>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</si>
  <si>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</si>
  <si>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</si>
  <si>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</si>
  <si>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</si>
  <si>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</si>
  <si>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</si>
  <si>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</si>
  <si>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</si>
  <si>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</si>
  <si>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</si>
  <si>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</si>
  <si>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</si>
  <si>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</si>
  <si>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</si>
  <si>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</si>
  <si>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</si>
  <si>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</si>
  <si>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</si>
  <si>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</si>
  <si>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</si>
  <si>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</si>
  <si>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</si>
  <si>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</si>
  <si>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</si>
  <si>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</si>
  <si>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</si>
  <si>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</si>
  <si>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</si>
  <si>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</si>
  <si>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</si>
  <si>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</si>
  <si>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</si>
  <si>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</si>
  <si>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</si>
  <si>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</si>
  <si>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</si>
  <si>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</si>
  <si>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</si>
  <si>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</si>
  <si>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</si>
  <si>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</si>
  <si>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</si>
  <si>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</si>
  <si>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</si>
  <si>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</si>
  <si>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</si>
  <si>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</si>
  <si>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</si>
  <si>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</si>
  <si>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</si>
  <si>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</si>
  <si>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</si>
  <si>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</si>
  <si>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</si>
  <si>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</si>
  <si>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</si>
  <si>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</si>
  <si>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</si>
  <si>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</si>
  <si>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</si>
  <si>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</si>
  <si>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</si>
  <si>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</si>
  <si>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</si>
  <si>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</si>
  <si>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</si>
  <si>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</si>
  <si>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</si>
  <si>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</si>
  <si>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</si>
  <si>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</si>
  <si>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</si>
  <si>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</si>
  <si>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</si>
  <si>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</si>
  <si>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</si>
  <si>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</si>
  <si>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</si>
  <si>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</si>
  <si>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</si>
  <si>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</si>
  <si>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</si>
  <si>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</si>
  <si>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</si>
  <si>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</si>
  <si>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</si>
  <si>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</si>
  <si>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</si>
  <si>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</si>
  <si>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</si>
  <si>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</si>
  <si>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</si>
  <si>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</si>
  <si>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</si>
  <si>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</si>
  <si>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</si>
  <si>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</si>
  <si>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</si>
  <si>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</si>
  <si>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</si>
  <si>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</si>
  <si>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</si>
  <si>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</si>
  <si>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</si>
  <si>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</si>
  <si>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</si>
  <si>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</si>
  <si>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</si>
  <si>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</si>
  <si>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</si>
  <si>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</si>
  <si>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</si>
  <si>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</si>
  <si>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</si>
  <si>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</si>
  <si>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</si>
  <si>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</si>
  <si>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</si>
  <si>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</si>
  <si>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</si>
  <si>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</si>
  <si>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</si>
  <si>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</si>
  <si>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</si>
  <si>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</si>
  <si>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</si>
  <si>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</si>
  <si>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</si>
  <si>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</si>
  <si>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</si>
  <si>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</si>
  <si>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</si>
  <si>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</si>
  <si>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</si>
  <si>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</si>
  <si>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</si>
  <si>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</si>
  <si>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</si>
  <si>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</si>
  <si>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</si>
  <si>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</si>
  <si>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</si>
  <si>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</si>
  <si>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</si>
  <si>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</si>
  <si>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</si>
  <si>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</si>
  <si>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</si>
  <si>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</si>
  <si>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</si>
  <si>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</si>
  <si>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</si>
  <si>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</si>
  <si>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</si>
  <si>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</si>
  <si>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</si>
  <si>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</si>
  <si>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</si>
  <si>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</si>
  <si>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</si>
  <si>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</si>
  <si>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</si>
  <si>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</si>
  <si>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</si>
  <si>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</si>
  <si>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</si>
  <si>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</si>
  <si>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</si>
  <si>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</si>
  <si>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</si>
  <si>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</si>
  <si>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</si>
  <si>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</si>
  <si>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</si>
  <si>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</si>
  <si>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</si>
  <si>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</si>
  <si>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</si>
  <si>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</si>
  <si>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</si>
  <si>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</si>
  <si>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</si>
  <si>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</si>
  <si>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</si>
  <si>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</si>
  <si>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</si>
  <si>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</si>
  <si>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</si>
  <si>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</si>
  <si>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</si>
  <si>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</si>
  <si>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</si>
  <si>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</si>
  <si>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</si>
  <si>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</si>
  <si>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</si>
  <si>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</si>
  <si>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</si>
  <si>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</si>
  <si>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</si>
  <si>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</si>
  <si>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</si>
  <si>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</si>
  <si>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</si>
  <si>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</si>
  <si>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</si>
  <si>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</si>
  <si>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</si>
  <si>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</si>
  <si>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</si>
  <si>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</si>
  <si>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</si>
  <si>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</si>
  <si>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</si>
  <si>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</si>
  <si>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</si>
  <si>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</si>
  <si>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</si>
  <si>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</si>
  <si>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</si>
  <si>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</si>
  <si>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</si>
  <si>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</si>
  <si>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</si>
  <si>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</si>
  <si>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</si>
  <si>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</si>
  <si>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</si>
  <si>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</si>
  <si>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</si>
  <si>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</si>
  <si>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</si>
  <si>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</si>
  <si>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</si>
  <si>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</si>
  <si>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</si>
  <si>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</si>
  <si>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</si>
  <si>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</si>
  <si>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</si>
  <si>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</si>
  <si>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</si>
  <si>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</si>
  <si>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</si>
  <si>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</si>
  <si>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</si>
  <si>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</si>
  <si>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</si>
  <si>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</si>
  <si>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</si>
  <si>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</si>
  <si>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</si>
  <si>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</si>
  <si>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</si>
  <si>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</si>
  <si>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</si>
  <si>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</si>
  <si>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</si>
  <si>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</si>
  <si>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</si>
  <si>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</si>
  <si>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</si>
  <si>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</si>
  <si>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</si>
  <si>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</si>
  <si>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</si>
  <si>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</si>
  <si>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</si>
  <si>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</si>
  <si>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</si>
  <si>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</si>
  <si>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</si>
  <si>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</si>
  <si>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</si>
  <si>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</si>
  <si>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</si>
  <si>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</si>
  <si>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</si>
  <si>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</si>
  <si>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</si>
  <si>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</si>
  <si>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</si>
  <si>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</si>
  <si>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</si>
  <si>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</si>
  <si>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</si>
  <si>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</si>
  <si>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</si>
  <si>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</si>
  <si>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</si>
  <si>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</si>
  <si>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</si>
  <si>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</si>
  <si>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</si>
  <si>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</si>
  <si>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</si>
  <si>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</si>
  <si>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</si>
  <si>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</si>
  <si>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</si>
  <si>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</si>
  <si>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</si>
  <si>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</si>
  <si>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</si>
  <si>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</si>
  <si>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</si>
  <si>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</si>
  <si>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</si>
  <si>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</si>
  <si>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</si>
  <si>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</si>
  <si>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</si>
  <si>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</si>
  <si>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</si>
  <si>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</si>
  <si>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</si>
  <si>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</si>
  <si>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</si>
  <si>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</si>
  <si>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</si>
  <si>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</si>
  <si>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</si>
  <si>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</si>
  <si>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</si>
  <si>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</si>
  <si>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</si>
  <si>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</si>
  <si>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</si>
  <si>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</si>
  <si>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</si>
  <si>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</si>
  <si>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</si>
  <si>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</si>
  <si>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</si>
  <si>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</si>
  <si>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</si>
  <si>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</si>
  <si>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</si>
  <si>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</si>
  <si>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</si>
  <si>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</si>
  <si>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</si>
  <si>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</si>
  <si>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</si>
  <si>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</si>
  <si>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</si>
  <si>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</si>
  <si>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</si>
  <si>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</si>
  <si>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</si>
  <si>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</si>
  <si>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</si>
  <si>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</si>
  <si>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</si>
  <si>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</si>
  <si>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</si>
  <si>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</si>
  <si>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</si>
  <si>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</si>
  <si>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</si>
  <si>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</si>
  <si>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</si>
  <si>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</si>
  <si>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</si>
  <si>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</si>
  <si>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</si>
  <si>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</si>
  <si>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</si>
  <si>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</si>
  <si>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</si>
  <si>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</si>
  <si>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</si>
  <si>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</si>
  <si>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</si>
  <si>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</si>
  <si>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</si>
  <si>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</si>
  <si>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</si>
  <si>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</si>
  <si>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</si>
  <si>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</si>
  <si>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</si>
  <si>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</si>
  <si>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</si>
  <si>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</si>
  <si>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</si>
  <si>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</si>
  <si>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</si>
  <si>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</si>
  <si>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</si>
  <si>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</si>
  <si>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</si>
  <si>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</si>
  <si>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</si>
  <si>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</si>
  <si>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</si>
  <si>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</si>
  <si>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</si>
  <si>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</si>
  <si>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</si>
  <si>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</si>
  <si>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</si>
  <si>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</si>
  <si>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</si>
  <si>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</si>
  <si>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</si>
  <si>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</si>
  <si>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</si>
  <si>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</si>
  <si>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</si>
  <si>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</si>
  <si>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</si>
  <si>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</si>
  <si>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</si>
  <si>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</si>
  <si>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</si>
  <si>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</si>
  <si>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</si>
  <si>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</si>
  <si>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</si>
  <si>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</si>
  <si>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</si>
  <si>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</si>
  <si>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</si>
  <si>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</si>
  <si>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</si>
  <si>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</si>
  <si>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</si>
  <si>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</si>
  <si>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</si>
  <si>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</si>
  <si>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</si>
  <si>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</si>
  <si>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</si>
  <si>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</si>
  <si>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</si>
  <si>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</si>
  <si>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</si>
  <si>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</si>
  <si>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</si>
  <si>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</si>
  <si>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</si>
  <si>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</si>
  <si>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</si>
  <si>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</si>
  <si>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</si>
  <si>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</si>
  <si>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</si>
  <si>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</si>
  <si>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</si>
  <si>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</si>
  <si>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</si>
  <si>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</si>
  <si>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</si>
  <si>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</si>
  <si>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</si>
  <si>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</si>
  <si>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</si>
  <si>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</si>
  <si>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</si>
  <si>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</si>
  <si>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</si>
  <si>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</si>
  <si>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</si>
  <si>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</si>
  <si>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</si>
  <si>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</si>
  <si>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</si>
  <si>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</si>
  <si>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</si>
  <si>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</si>
  <si>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</si>
  <si>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</si>
  <si>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</si>
  <si>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</si>
  <si>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</si>
  <si>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</si>
  <si>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</si>
  <si>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</si>
  <si>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</si>
  <si>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</si>
  <si>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</si>
  <si>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</si>
  <si>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</si>
  <si>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</si>
  <si>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</si>
  <si>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</si>
  <si>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</si>
  <si>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</si>
  <si>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</si>
  <si>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</si>
  <si>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</si>
  <si>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</si>
  <si>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</si>
  <si>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</si>
  <si>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</si>
  <si>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</si>
  <si>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</si>
  <si>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</si>
  <si>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</si>
  <si>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</si>
  <si>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</si>
  <si>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</si>
  <si>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</si>
  <si>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</si>
  <si>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</si>
  <si>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</si>
  <si>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</si>
  <si>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</si>
  <si>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</si>
  <si>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</si>
  <si>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</si>
  <si>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</si>
  <si>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</si>
  <si>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</si>
  <si>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</si>
  <si>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</si>
  <si>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</si>
  <si>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</si>
  <si>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</si>
  <si>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</si>
  <si>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</si>
  <si>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</si>
  <si>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</si>
  <si>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</si>
  <si>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</si>
  <si>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</si>
  <si>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</si>
  <si>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</si>
  <si>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</si>
  <si>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</si>
  <si>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</si>
  <si>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</si>
  <si>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</si>
  <si>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</si>
  <si>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</si>
  <si>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</si>
  <si>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</si>
  <si>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</si>
  <si>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</si>
  <si>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</si>
  <si>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</si>
  <si>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</si>
  <si>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</si>
  <si>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</si>
  <si>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</si>
  <si>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</si>
  <si>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</si>
  <si>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</si>
  <si>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</si>
  <si>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</si>
  <si>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</si>
  <si>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</si>
  <si>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</si>
  <si>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</si>
  <si>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</si>
  <si>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</si>
  <si>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</si>
  <si>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</si>
  <si>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</si>
  <si>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</si>
  <si>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</si>
  <si>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</si>
  <si>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</si>
  <si>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</si>
  <si>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</si>
  <si>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</si>
  <si>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</si>
  <si>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</si>
  <si>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</si>
  <si>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</si>
  <si>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</si>
  <si>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</si>
  <si>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</si>
  <si>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</si>
  <si>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</si>
  <si>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</si>
  <si>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</si>
  <si>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</si>
  <si>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</si>
  <si>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</si>
  <si>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</si>
  <si>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</si>
  <si>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</si>
  <si>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</si>
  <si>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3257</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</si>
  <si>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</si>
  <si>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</si>
  <si>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</si>
  <si>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</si>
  <si>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</si>
  <si>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</si>
  <si>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</si>
  <si>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</si>
  <si>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</si>
  <si>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</si>
  <si>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</si>
  <si>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</si>
  <si>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</si>
  <si>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</si>
  <si>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</si>
  <si>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</si>
  <si>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</si>
  <si>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</si>
  <si>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</si>
  <si>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</si>
  <si>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</si>
  <si>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</si>
  <si>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</si>
  <si>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</si>
  <si>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</si>
  <si>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</si>
  <si>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</si>
  <si>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</si>
  <si>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</si>
  <si>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</si>
  <si>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</si>
  <si>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</si>
  <si>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</si>
  <si>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</si>
  <si>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</si>
  <si>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</si>
  <si>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</si>
  <si>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</si>
  <si>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</si>
  <si>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</si>
  <si>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</si>
  <si>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</si>
  <si>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</si>
  <si>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</si>
  <si>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</si>
  <si>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</si>
  <si>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</si>
  <si>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</si>
  <si>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</si>
  <si>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</si>
  <si>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</si>
  <si>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</si>
  <si>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</si>
  <si>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</si>
  <si>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</si>
  <si>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</si>
  <si>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</si>
  <si>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</si>
  <si>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</si>
  <si>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</si>
  <si>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</si>
  <si>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</si>
  <si>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</si>
  <si>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</si>
  <si>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</si>
  <si>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</si>
  <si>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</si>
  <si>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</si>
  <si>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</si>
  <si>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</si>
  <si>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</si>
  <si>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</si>
  <si>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</si>
  <si>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</si>
  <si>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</si>
  <si>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</si>
  <si>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</si>
  <si>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</si>
  <si>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</si>
  <si>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</si>
  <si>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</si>
  <si>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</si>
  <si>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</si>
  <si>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</si>
  <si>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</si>
  <si>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</si>
  <si>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</si>
  <si>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</si>
  <si>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</si>
  <si>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</si>
  <si>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</si>
  <si>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</si>
  <si>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</si>
  <si>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</si>
  <si>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</si>
  <si>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</si>
  <si>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</si>
  <si>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</si>
  <si>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</si>
  <si>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</si>
  <si>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</si>
  <si>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</si>
  <si>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</si>
  <si>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</si>
  <si>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</si>
  <si>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</si>
  <si>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</si>
  <si>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</si>
  <si>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</si>
  <si>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</si>
  <si>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</si>
  <si>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</si>
  <si>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</si>
  <si>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</si>
  <si>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</si>
  <si>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</si>
  <si>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</si>
  <si>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</si>
  <si>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</si>
  <si>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</si>
  <si>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</si>
  <si>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</si>
  <si>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</si>
  <si>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</si>
  <si>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</si>
  <si>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</si>
  <si>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</si>
  <si>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</si>
  <si>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</si>
  <si>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</si>
  <si>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</si>
  <si>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</si>
  <si>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</si>
  <si>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</si>
  <si>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</si>
  <si>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</si>
  <si>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</si>
  <si>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</si>
  <si>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</si>
  <si>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</si>
  <si>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</si>
  <si>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</si>
  <si>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</si>
  <si>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</si>
  <si>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</si>
  <si>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</si>
  <si>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</si>
  <si>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</si>
  <si>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</si>
  <si>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</si>
  <si>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</si>
  <si>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</si>
  <si>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</si>
  <si>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</si>
  <si>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</si>
  <si>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</si>
  <si>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</si>
  <si>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</si>
  <si>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</si>
  <si>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</si>
  <si>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</si>
  <si>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</si>
  <si>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</si>
  <si>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</si>
  <si>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</si>
  <si>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</si>
  <si>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</si>
  <si>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</si>
  <si>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</si>
  <si>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</si>
  <si>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</si>
  <si>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</si>
  <si>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</si>
  <si>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</si>
  <si>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</si>
  <si>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</si>
  <si>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</si>
  <si>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</si>
  <si>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</si>
  <si>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</si>
  <si>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</si>
  <si>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</si>
  <si>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</si>
  <si>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</si>
  <si>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</si>
  <si>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</si>
  <si>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</si>
  <si>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</si>
  <si>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</si>
  <si>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</si>
  <si>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</si>
  <si>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</si>
  <si>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</si>
  <si>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</si>
  <si>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</si>
  <si>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</si>
  <si>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</si>
  <si>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</si>
  <si>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</si>
  <si>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</si>
  <si>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</si>
  <si>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</si>
  <si>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</si>
  <si>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</si>
  <si>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</si>
  <si>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</si>
  <si>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</si>
  <si>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</si>
  <si>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</si>
  <si>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</si>
  <si>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</si>
  <si>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</si>
  <si>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</si>
  <si>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</si>
  <si>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</si>
  <si>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</si>
  <si>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</si>
  <si>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</si>
  <si>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</si>
  <si>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</si>
  <si>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</si>
  <si>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</si>
  <si>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</si>
  <si>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</si>
  <si>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</si>
  <si>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</si>
  <si>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</si>
  <si>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</si>
  <si>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</si>
  <si>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</si>
  <si>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</si>
  <si>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</si>
  <si>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</si>
  <si>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</si>
  <si>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</si>
  <si>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</si>
  <si>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</si>
  <si>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</si>
  <si>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</si>
  <si>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</si>
  <si>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</si>
  <si>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</si>
  <si>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</si>
  <si>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</si>
  <si>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</si>
  <si>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</si>
  <si>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</si>
  <si>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</si>
  <si>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</si>
  <si>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</si>
  <si>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</si>
  <si>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</si>
  <si>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</si>
  <si>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</si>
  <si>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</si>
  <si>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</si>
  <si>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</si>
  <si>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</si>
  <si>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</si>
  <si>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</si>
  <si>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</si>
  <si>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</si>
  <si>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</si>
  <si>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</si>
  <si>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</si>
  <si>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</si>
  <si>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</si>
  <si>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</si>
  <si>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</si>
  <si>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</si>
  <si>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</si>
  <si>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</si>
  <si>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</si>
  <si>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</si>
  <si>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</si>
  <si>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</si>
  <si>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</si>
  <si>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</si>
  <si>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</si>
  <si>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</si>
  <si>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</si>
  <si>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</si>
  <si>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</si>
  <si>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</si>
  <si>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</si>
  <si>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</si>
  <si>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</si>
  <si>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</si>
  <si>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</si>
  <si>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</si>
  <si>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</si>
  <si>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</si>
  <si>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</si>
  <si>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</si>
  <si>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</si>
  <si>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</si>
  <si>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</si>
  <si>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</si>
  <si>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</si>
  <si>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</si>
  <si>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</si>
  <si>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</si>
  <si>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</si>
  <si>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</si>
  <si>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</si>
  <si>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</si>
  <si>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</si>
  <si>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</si>
  <si>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</si>
  <si>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</si>
  <si>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</si>
  <si>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</si>
  <si>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</si>
  <si>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</si>
  <si>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</si>
  <si>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</si>
  <si>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</si>
  <si>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</si>
  <si>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</si>
  <si>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</si>
  <si>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</si>
  <si>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</si>
  <si>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</si>
  <si>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</si>
  <si>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</si>
  <si>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</si>
  <si>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</si>
  <si>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</si>
  <si>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</si>
  <si>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</si>
  <si>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</si>
  <si>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</si>
  <si>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</si>
  <si>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</si>
  <si>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</si>
  <si>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</si>
  <si>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</si>
  <si>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</si>
  <si>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</si>
  <si>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</si>
  <si>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</si>
  <si>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</si>
  <si>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</si>
  <si>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</si>
  <si>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</si>
  <si>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</si>
  <si>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</si>
  <si>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</si>
  <si>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</si>
  <si>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</si>
  <si>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</si>
  <si>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</si>
  <si>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</si>
  <si>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</si>
  <si>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</si>
  <si>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</si>
  <si>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</si>
  <si>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</si>
  <si>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</si>
  <si>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</si>
  <si>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</si>
  <si>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</si>
  <si>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</si>
  <si>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</si>
  <si>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</si>
  <si>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</si>
  <si>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</si>
  <si>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</si>
  <si>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</si>
  <si>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</si>
  <si>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</si>
  <si>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</si>
  <si>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</si>
  <si>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</si>
  <si>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</si>
  <si>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</si>
  <si>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</si>
  <si>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</si>
  <si>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</si>
  <si>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</si>
  <si>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</si>
  <si>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</si>
  <si>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</si>
  <si>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</si>
  <si>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</si>
  <si>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</si>
  <si>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</si>
  <si>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</si>
  <si>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</si>
  <si>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</si>
  <si>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</si>
  <si>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</si>
  <si>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</si>
  <si>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</si>
  <si>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</si>
  <si>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</si>
  <si>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</si>
  <si>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</si>
  <si>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</si>
  <si>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</si>
  <si>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</si>
  <si>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</si>
  <si>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</si>
  <si>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</si>
  <si>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</si>
  <si>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</si>
  <si>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</si>
  <si>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</si>
  <si>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</si>
  <si>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</si>
  <si>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</si>
  <si>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</si>
  <si>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</si>
  <si>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</si>
  <si>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</si>
  <si>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</si>
  <si>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</si>
  <si>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</si>
  <si>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</si>
  <si>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</si>
  <si>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</si>
  <si>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</si>
  <si>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</si>
  <si>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</si>
  <si>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</si>
  <si>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</si>
  <si>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</si>
  <si>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</si>
  <si>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</si>
  <si>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</si>
  <si>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</si>
  <si>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</si>
  <si>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</si>
  <si>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</si>
  <si>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</si>
  <si>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</si>
  <si>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</si>
  <si>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</si>
  <si>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</si>
  <si>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</si>
  <si>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</si>
  <si>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</si>
  <si>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</si>
  <si>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</si>
  <si>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</si>
  <si>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</si>
  <si>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</si>
  <si>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</si>
  <si>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</si>
  <si>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</si>
  <si>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</si>
  <si>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</si>
  <si>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</si>
  <si>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</si>
  <si>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</si>
  <si>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</si>
  <si>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</si>
  <si>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</si>
  <si>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</si>
  <si>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</si>
  <si>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</si>
  <si>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</si>
  <si>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</si>
  <si>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</si>
  <si>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</si>
  <si>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</si>
  <si>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</si>
  <si>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</si>
  <si>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</si>
  <si>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</si>
  <si>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</si>
  <si>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</si>
  <si>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</si>
  <si>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</si>
  <si>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</si>
  <si>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</si>
  <si>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</si>
  <si>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</si>
  <si>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</si>
  <si>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</si>
  <si>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</si>
  <si>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</si>
  <si>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</si>
  <si>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</si>
  <si>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</si>
  <si>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</si>
  <si>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</si>
  <si>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</si>
  <si>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</si>
  <si>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</si>
  <si>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</si>
  <si>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</si>
  <si>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</si>
  <si>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</si>
  <si>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</si>
  <si>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</si>
  <si>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</si>
  <si>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</si>
  <si>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</si>
  <si>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</si>
  <si>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</si>
  <si>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</si>
  <si>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</si>
  <si>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</si>
  <si>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</si>
  <si>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</si>
  <si>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</si>
  <si>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</si>
  <si>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</si>
  <si>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</si>
  <si>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</si>
  <si>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</si>
  <si>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</si>
  <si>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</si>
  <si>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</si>
  <si>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</si>
  <si>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</si>
  <si>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</si>
  <si>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</si>
  <si>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</si>
  <si>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</si>
  <si>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</si>
  <si>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</si>
  <si>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</si>
  <si>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</si>
  <si>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</si>
  <si>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</si>
  <si>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</si>
  <si>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</si>
  <si>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</si>
  <si>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</si>
  <si>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</si>
  <si>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</si>
  <si>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</si>
  <si>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</si>
  <si>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</si>
  <si>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</si>
  <si>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</si>
  <si>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</si>
  <si>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</si>
  <si>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</si>
  <si>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</si>
  <si>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</si>
  <si>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</si>
  <si>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</si>
  <si>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</si>
  <si>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</si>
  <si>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</si>
  <si>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</si>
  <si>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</si>
  <si>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</si>
  <si>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</si>
  <si>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</si>
  <si>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</si>
  <si>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</si>
  <si>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</si>
  <si>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</si>
  <si>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</si>
  <si>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</si>
  <si>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</si>
  <si>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</si>
  <si>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</si>
  <si>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</si>
  <si>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</si>
  <si>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</si>
  <si>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</si>
  <si>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</si>
  <si>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</si>
  <si>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</si>
  <si>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</si>
  <si>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</si>
  <si>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</si>
  <si>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</si>
  <si>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</si>
  <si>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</si>
  <si>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</si>
  <si>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</si>
  <si>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</si>
  <si>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</si>
  <si>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</si>
  <si>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</si>
  <si>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</si>
  <si>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</si>
  <si>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</si>
  <si>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</si>
  <si>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</si>
  <si>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</si>
  <si>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</si>
  <si>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</si>
  <si>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</si>
  <si>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</si>
  <si>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</si>
  <si>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</si>
  <si>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</si>
  <si>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</si>
  <si>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</si>
  <si>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</si>
  <si>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</si>
  <si>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</si>
  <si>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</si>
  <si>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</si>
  <si>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</si>
  <si>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</si>
  <si>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</si>
  <si>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</si>
  <si>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</si>
  <si>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</si>
  <si>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</si>
  <si>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</si>
  <si>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</si>
  <si>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</si>
  <si>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</si>
  <si>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</si>
  <si>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</si>
  <si>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</si>
  <si>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</si>
  <si>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</si>
  <si>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</si>
  <si>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</si>
  <si>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</si>
  <si>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</si>
  <si>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</si>
  <si>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</si>
  <si>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</si>
  <si>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</si>
  <si>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</si>
  <si>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</si>
  <si>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</si>
  <si>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</si>
  <si>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</si>
  <si>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</si>
  <si>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</si>
  <si>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</si>
  <si>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</si>
  <si>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</si>
  <si>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</si>
  <si>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</si>
  <si>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</si>
  <si>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</si>
  <si>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</si>
  <si>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</si>
  <si>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</si>
  <si>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</si>
  <si>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</si>
  <si>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</si>
  <si>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</si>
  <si>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</si>
  <si>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</si>
  <si>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</si>
  <si>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</si>
  <si>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</si>
  <si>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</si>
  <si>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</si>
  <si>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</si>
  <si>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</si>
  <si>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</si>
  <si>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</si>
  <si>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</si>
  <si>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</si>
  <si>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</si>
  <si>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</si>
  <si>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</si>
  <si>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</si>
  <si>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</si>
  <si>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</si>
  <si>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</si>
  <si>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</si>
  <si>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</si>
  <si>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</si>
  <si>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</si>
  <si>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</si>
  <si>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</si>
  <si>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</si>
  <si>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</si>
  <si>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</si>
  <si>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</si>
  <si>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</si>
  <si>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</si>
  <si>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</si>
  <si>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</si>
  <si>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</si>
  <si>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</si>
  <si>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</si>
  <si>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</si>
  <si>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</si>
  <si>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</si>
  <si>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</si>
  <si>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</si>
  <si>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</si>
  <si>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</si>
  <si>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</si>
  <si>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</si>
  <si>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</si>
  <si>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</si>
  <si>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</si>
  <si>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</si>
  <si>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</si>
  <si>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</si>
  <si>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</si>
  <si>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</si>
  <si>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</si>
  <si>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</si>
  <si>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</si>
  <si>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</si>
  <si>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</si>
  <si>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</si>
  <si>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</si>
  <si>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</si>
  <si>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</si>
  <si>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</si>
  <si>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</si>
  <si>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</si>
  <si>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</si>
  <si>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</si>
  <si>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</si>
  <si>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</si>
  <si>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</si>
  <si>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</si>
  <si>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</si>
  <si>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</si>
  <si>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</si>
  <si>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</si>
  <si>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</si>
  <si>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</si>
  <si>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</si>
  <si>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</si>
  <si>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</si>
  <si>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</si>
  <si>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</si>
  <si>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</si>
  <si>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</si>
  <si>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</si>
  <si>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</si>
  <si>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</si>
  <si>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</si>
  <si>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</si>
  <si>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</si>
  <si>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</si>
  <si>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</si>
  <si>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</si>
  <si>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</si>
  <si>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</si>
  <si>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</si>
  <si>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</si>
  <si>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</si>
  <si>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</si>
  <si>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</si>
  <si>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</si>
  <si>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</si>
  <si>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</si>
  <si>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</si>
  <si>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</si>
  <si>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</si>
  <si>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</si>
  <si>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</si>
  <si>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</si>
  <si>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</si>
  <si>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</si>
  <si>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</si>
  <si>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</si>
  <si>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</si>
  <si>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</si>
  <si>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</si>
  <si>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</si>
  <si>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</si>
  <si>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</si>
  <si>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</si>
  <si>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</si>
  <si>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</si>
  <si>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</si>
  <si>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</si>
  <si>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</si>
  <si>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</si>
  <si>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</si>
  <si>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</si>
  <si>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</si>
  <si>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</si>
  <si>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</si>
  <si>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</si>
  <si>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</si>
  <si>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</si>
  <si>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</si>
  <si>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</si>
  <si>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</si>
  <si>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</si>
  <si>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</si>
  <si>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</si>
  <si>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</si>
  <si>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</si>
  <si>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</si>
  <si>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</si>
  <si>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</si>
  <si>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</si>
  <si>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</si>
  <si>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</si>
  <si>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</si>
  <si>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</si>
  <si>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</si>
  <si>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</si>
  <si>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</si>
  <si>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</si>
  <si>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</si>
  <si>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</si>
  <si>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</si>
  <si>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</si>
  <si>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</si>
  <si>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</si>
  <si>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</si>
  <si>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</si>
  <si>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</si>
  <si>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</si>
  <si>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</si>
  <si>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</si>
  <si>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</si>
  <si>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</si>
  <si>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</si>
  <si>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</si>
  <si>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</si>
  <si>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</si>
  <si>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</si>
  <si>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</si>
  <si>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</si>
  <si>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</si>
  <si>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</si>
  <si>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</si>
  <si>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</si>
  <si>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</si>
  <si>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</si>
  <si>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</si>
  <si>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</si>
  <si>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</si>
  <si>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</si>
  <si>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</si>
  <si>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</si>
  <si>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</si>
  <si>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</si>
  <si>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</si>
  <si>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</si>
  <si>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</si>
  <si>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</si>
  <si>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</si>
  <si>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</si>
  <si>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</si>
  <si>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</si>
  <si>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</si>
  <si>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</si>
  <si>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</si>
  <si>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</si>
  <si>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</si>
  <si>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</si>
  <si>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</si>
  <si>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</si>
  <si>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</si>
  <si>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</si>
  <si>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</si>
  <si>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</si>
  <si>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</si>
  <si>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</si>
  <si>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</si>
  <si>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</si>
  <si>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</si>
  <si>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</si>
  <si>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</si>
  <si>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</si>
  <si>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</si>
  <si>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</si>
  <si>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</si>
  <si>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</si>
  <si>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</si>
  <si>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</si>
  <si>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</si>
  <si>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</si>
  <si>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</si>
  <si>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</si>
  <si>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</si>
  <si>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</si>
  <si>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</si>
  <si>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</si>
  <si>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</si>
  <si>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</si>
  <si>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</si>
  <si>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</si>
  <si>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</si>
  <si>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</si>
  <si>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</si>
  <si>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</si>
  <si>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</si>
  <si>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</si>
  <si>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</si>
  <si>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</si>
  <si>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</si>
  <si>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</si>
  <si>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</si>
  <si>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</si>
  <si>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</si>
  <si>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</si>
  <si>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</si>
  <si>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</si>
  <si>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</si>
  <si>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</si>
  <si>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</si>
  <si>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</si>
  <si>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</si>
  <si>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</si>
  <si>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</si>
  <si>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</si>
  <si>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</si>
  <si>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</si>
  <si>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</si>
  <si>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</si>
  <si>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</si>
  <si>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</si>
  <si>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</si>
  <si>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</si>
  <si>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</si>
  <si>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</si>
  <si>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</si>
  <si>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</si>
  <si>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</si>
  <si>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</si>
  <si>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</si>
  <si>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</si>
  <si>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</si>
  <si>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</si>
  <si>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</si>
  <si>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</si>
  <si>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</si>
  <si>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</si>
  <si>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</si>
  <si>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</si>
  <si>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</si>
  <si>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</si>
  <si>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</si>
  <si>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</si>
  <si>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</si>
  <si>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</si>
  <si>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</si>
  <si>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</si>
  <si>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</si>
  <si>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</si>
  <si>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</si>
  <si>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</si>
  <si>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</si>
  <si>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</si>
  <si>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</si>
  <si>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</si>
  <si>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</si>
  <si>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</si>
  <si>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</si>
  <si>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</si>
  <si>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</si>
  <si>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</si>
  <si>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</si>
  <si>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</si>
  <si>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</si>
  <si>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</si>
  <si>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</si>
  <si>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</si>
  <si>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</si>
  <si>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</si>
  <si>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</si>
  <si>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</si>
  <si>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</si>
  <si>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</si>
  <si>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</si>
  <si>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</si>
  <si>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</si>
  <si>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</si>
  <si>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</si>
  <si>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</si>
  <si>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</si>
  <si>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</si>
  <si>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</si>
  <si>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</si>
  <si>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</si>
  <si>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</si>
  <si>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</si>
  <si>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</si>
  <si>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</si>
  <si>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</si>
  <si>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</si>
  <si>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</si>
  <si>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</si>
  <si>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</si>
  <si>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</si>
  <si>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</si>
  <si>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</si>
  <si>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</si>
  <si>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</si>
  <si>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</si>
  <si>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</si>
  <si>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</si>
  <si>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</si>
  <si>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</si>
  <si>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</si>
  <si>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</si>
  <si>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</si>
  <si>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</si>
  <si>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</si>
  <si>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</si>
  <si>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</si>
  <si>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</si>
  <si>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</si>
  <si>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</si>
  <si>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</si>
  <si>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</si>
  <si>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</si>
  <si>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</si>
  <si>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</si>
  <si>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</si>
  <si>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</si>
  <si>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</si>
  <si>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</si>
  <si>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</si>
  <si>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</si>
  <si>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</si>
  <si>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</si>
  <si>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</si>
  <si>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</si>
  <si>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</si>
  <si>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</si>
  <si>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</si>
  <si>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</si>
  <si>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</si>
  <si>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</si>
  <si>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</si>
  <si>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</si>
  <si>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</si>
  <si>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</si>
  <si>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</si>
  <si>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</si>
  <si>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</si>
  <si>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</si>
  <si>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</si>
  <si>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</si>
  <si>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</si>
  <si>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</si>
  <si>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</si>
  <si>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</si>
  <si>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</si>
  <si>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</si>
  <si>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</si>
  <si>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</si>
  <si>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</si>
  <si>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</si>
  <si>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</si>
  <si>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</si>
  <si>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</si>
  <si>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</si>
  <si>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</si>
  <si>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</si>
  <si>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</si>
  <si>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</si>
  <si>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</si>
  <si>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</si>
  <si>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1757</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</si>
  <si>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</si>
  <si>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</si>
  <si>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</si>
  <si>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</si>
  <si>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</si>
  <si>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</si>
  <si>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</si>
  <si>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</si>
  <si>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</si>
  <si>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</si>
  <si>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</si>
  <si>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</si>
  <si>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</si>
  <si>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</si>
  <si>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</si>
  <si>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</si>
  <si>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</si>
  <si>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</si>
  <si>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</si>
  <si>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</si>
  <si>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</si>
  <si>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1:45.238</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</si>
  <si>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</si>
  <si>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</si>
  <si>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</si>
  <si>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</si>
  <si>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</si>
  <si>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</si>
  <si>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</si>
  <si>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</si>
  <si>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</si>
  <si>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</si>
  <si>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</si>
  <si>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</si>
  <si>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</si>
  <si>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</si>
  <si>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</si>
  <si>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</si>
  <si>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</si>
  <si>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</si>
  <si>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</si>
  <si>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</si>
  <si>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</si>
  <si>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</si>
  <si>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</si>
  <si>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</si>
  <si>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</si>
  <si>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</si>
  <si>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</si>
  <si>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</si>
  <si>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</si>
  <si>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</si>
  <si>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</si>
  <si>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</si>
  <si>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</si>
  <si>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</si>
  <si>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</si>
  <si>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</si>
  <si>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</si>
  <si>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</si>
  <si>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</si>
  <si>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</si>
  <si>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</si>
  <si>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</si>
  <si>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</si>
  <si>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</si>
  <si>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</si>
  <si>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</si>
  <si>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</si>
  <si>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</si>
  <si>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</si>
  <si>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</si>
  <si>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</si>
  <si>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</si>
  <si>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</si>
  <si>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</si>
  <si>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</si>
  <si>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</si>
  <si>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</si>
  <si>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</si>
  <si>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</si>
  <si>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</si>
  <si>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</si>
  <si>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</si>
  <si>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</si>
  <si>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</si>
  <si>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</si>
  <si>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</si>
  <si>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</si>
  <si>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</si>
  <si>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</si>
  <si>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</si>
  <si>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</si>
  <si>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</si>
  <si>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</si>
  <si>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</si>
  <si>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</si>
  <si>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</si>
  <si>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</si>
  <si>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</si>
  <si>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</si>
  <si>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</si>
  <si>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</si>
  <si>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</si>
  <si>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</si>
  <si>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</si>
  <si>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</si>
  <si>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</si>
  <si>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</si>
  <si>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</si>
  <si>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</si>
  <si>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</si>
  <si>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</si>
  <si>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</si>
  <si>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</si>
  <si>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</si>
  <si>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</si>
  <si>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</si>
  <si>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</si>
  <si>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</si>
  <si>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</si>
  <si>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</si>
  <si>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</si>
  <si>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</si>
  <si>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</si>
  <si>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</si>
  <si>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</si>
  <si>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</si>
  <si>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</si>
  <si>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</si>
  <si>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</si>
  <si>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</si>
  <si>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</si>
  <si>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</si>
  <si>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</si>
  <si>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</si>
  <si>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</si>
  <si>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</si>
  <si>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</si>
  <si>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</si>
  <si>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</si>
  <si>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</si>
  <si>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</si>
  <si>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</si>
  <si>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</si>
  <si>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</si>
  <si>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</si>
  <si>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</si>
  <si>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</si>
  <si>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</si>
  <si>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</si>
  <si>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</si>
  <si>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</si>
  <si>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</si>
  <si>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</si>
  <si>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</si>
  <si>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</si>
  <si>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</si>
  <si>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</si>
  <si>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</si>
  <si>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</si>
  <si>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</si>
  <si>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</si>
  <si>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</si>
  <si>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</si>
  <si>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</si>
  <si>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</si>
  <si>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</si>
  <si>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</si>
  <si>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</si>
  <si>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</si>
  <si>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</si>
  <si>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</si>
  <si>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</si>
  <si>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</si>
  <si>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</si>
  <si>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</si>
  <si>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</si>
  <si>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</si>
  <si>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</si>
  <si>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</si>
  <si>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</si>
  <si>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</si>
  <si>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</si>
  <si>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</si>
  <si>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</si>
  <si>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</si>
  <si>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</si>
  <si>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</si>
  <si>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</si>
  <si>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</si>
  <si>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</si>
  <si>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</si>
  <si>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</si>
  <si>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</si>
  <si>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</si>
  <si>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</si>
  <si>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</si>
  <si>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</si>
  <si>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</si>
  <si>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</si>
  <si>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</si>
  <si>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</si>
  <si>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</si>
  <si>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</si>
  <si>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</si>
  <si>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</si>
  <si>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</si>
  <si>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</si>
  <si>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</si>
  <si>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</si>
  <si>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</si>
  <si>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</si>
  <si>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</si>
  <si>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</si>
  <si>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</si>
  <si>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</si>
  <si>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</si>
  <si>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</si>
  <si>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</si>
  <si>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</si>
  <si>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</si>
  <si>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</si>
  <si>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</si>
  <si>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</si>
  <si>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</si>
  <si>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</si>
  <si>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</si>
  <si>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</si>
  <si>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</si>
  <si>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</si>
  <si>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</si>
  <si>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</si>
  <si>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</si>
  <si>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</si>
  <si>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</si>
  <si>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</si>
  <si>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</si>
  <si>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</si>
  <si>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</si>
  <si>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</si>
  <si>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</si>
  <si>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</si>
  <si>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</si>
  <si>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</si>
  <si>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</si>
  <si>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</si>
  <si>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</si>
  <si>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</si>
  <si>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</si>
  <si>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</si>
  <si>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</si>
  <si>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</si>
  <si>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</si>
  <si>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</si>
  <si>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</si>
  <si>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</si>
  <si>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</si>
  <si>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</si>
  <si>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</si>
  <si>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</si>
  <si>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</si>
  <si>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</si>
  <si>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</si>
  <si>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</si>
  <si>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</si>
  <si>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</si>
  <si>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</si>
  <si>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</si>
  <si>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</si>
  <si>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</si>
  <si>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</si>
  <si>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</si>
  <si>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</si>
  <si>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</si>
  <si>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</si>
  <si>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</si>
  <si>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</si>
  <si>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</si>
  <si>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</si>
  <si>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</si>
  <si>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</si>
  <si>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</si>
  <si>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</si>
  <si>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</si>
  <si>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</si>
  <si>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</si>
  <si>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</si>
  <si>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</si>
  <si>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</si>
  <si>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</si>
  <si>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</si>
  <si>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</si>
  <si>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</si>
  <si>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</si>
  <si>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</si>
  <si>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</si>
  <si>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</si>
  <si>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</si>
  <si>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</si>
  <si>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</si>
  <si>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</si>
  <si>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</si>
  <si>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</si>
  <si>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</si>
  <si>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</si>
  <si>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</si>
  <si>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</si>
  <si>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</si>
  <si>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</si>
  <si>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</si>
  <si>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</si>
  <si>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</si>
  <si>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</si>
  <si>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</si>
  <si>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</si>
  <si>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</si>
  <si>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</si>
  <si>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</si>
  <si>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</si>
  <si>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</si>
  <si>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</si>
  <si>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</si>
  <si>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</si>
  <si>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</si>
  <si>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</si>
  <si>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</si>
  <si>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</si>
  <si>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</si>
  <si>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</si>
  <si>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</si>
  <si>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</si>
  <si>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</si>
  <si>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</si>
  <si>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</si>
  <si>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</si>
  <si>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</si>
  <si>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</si>
  <si>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</si>
  <si>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</si>
  <si>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</si>
  <si>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</si>
  <si>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</si>
  <si>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</si>
  <si>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</si>
  <si>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</si>
  <si>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</si>
  <si>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</si>
  <si>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</si>
  <si>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</si>
  <si>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</si>
  <si>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</si>
  <si>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</si>
  <si>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</si>
  <si>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</si>
  <si>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</si>
  <si>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</si>
  <si>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</si>
  <si>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</si>
  <si>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</si>
  <si>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</si>
  <si>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</si>
  <si>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</si>
  <si>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</si>
  <si>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</si>
  <si>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</si>
  <si>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</si>
  <si>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</si>
  <si>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</si>
  <si>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</si>
  <si>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</si>
  <si>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</si>
  <si>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</si>
  <si>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</si>
  <si>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</si>
  <si>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</si>
  <si>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</si>
  <si>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</si>
  <si>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</si>
  <si>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</si>
  <si>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</si>
  <si>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</si>
  <si>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</si>
  <si>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</si>
  <si>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</si>
  <si>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</si>
  <si>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</si>
  <si>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</si>
  <si>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</si>
  <si>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</si>
  <si>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</si>
  <si>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</si>
  <si>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</si>
  <si>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</si>
  <si>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</si>
  <si>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</si>
  <si>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</si>
  <si>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</si>
  <si>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</si>
  <si>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</si>
  <si>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</si>
  <si>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</si>
  <si>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</si>
  <si>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</si>
  <si>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</si>
  <si>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</si>
  <si>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</si>
  <si>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</si>
  <si>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</si>
  <si>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</si>
  <si>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</si>
  <si>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</si>
  <si>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</si>
  <si>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</si>
  <si>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</si>
  <si>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</si>
  <si>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</si>
  <si>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</si>
  <si>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</si>
  <si>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</si>
  <si>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</si>
  <si>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</si>
  <si>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</si>
  <si>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</si>
  <si>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</si>
  <si>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</si>
  <si>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</si>
  <si>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</si>
  <si>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</si>
  <si>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</si>
  <si>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</si>
  <si>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</si>
  <si>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</si>
  <si>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</si>
  <si>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</si>
  <si>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</si>
  <si>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</si>
  <si>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</si>
  <si>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</si>
  <si>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</si>
  <si>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</si>
  <si>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</si>
  <si>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</si>
  <si>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</si>
  <si>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</si>
  <si>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</si>
  <si>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</si>
  <si>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</si>
  <si>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</si>
  <si>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</si>
  <si>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</si>
  <si>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</si>
  <si>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</si>
  <si>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</si>
  <si>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</si>
  <si>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</si>
  <si>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</si>
  <si>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</si>
  <si>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</si>
  <si>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</si>
  <si>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</si>
  <si>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</si>
  <si>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</si>
  <si>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</si>
  <si>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</si>
  <si>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</si>
  <si>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</si>
  <si>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</si>
  <si>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</si>
  <si>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</si>
  <si>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</si>
  <si>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</si>
  <si>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</si>
  <si>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</si>
  <si>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</si>
  <si>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</si>
  <si>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</si>
  <si>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</si>
  <si>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</si>
  <si>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</si>
  <si>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</si>
  <si>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</si>
  <si>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</si>
  <si>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</si>
  <si>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</si>
  <si>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</si>
  <si>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</si>
  <si>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</si>
  <si>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</si>
  <si>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</si>
  <si>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</si>
  <si>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</si>
  <si>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</si>
  <si>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</si>
  <si>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</si>
  <si>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</si>
  <si>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</si>
  <si>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</si>
  <si>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</si>
  <si>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</si>
  <si>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</si>
  <si>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</si>
  <si>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</si>
  <si>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</si>
  <si>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</si>
  <si>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</si>
  <si>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</si>
  <si>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</si>
  <si>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</si>
  <si>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</si>
  <si>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</si>
  <si>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</si>
  <si>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</si>
  <si>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</si>
  <si>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</si>
  <si>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</si>
  <si>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</si>
  <si>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</si>
  <si>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</si>
  <si>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</si>
  <si>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</si>
  <si>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</si>
  <si>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</si>
  <si>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</si>
  <si>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</si>
  <si>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</si>
  <si>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</si>
  <si>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</si>
  <si>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</si>
  <si>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</si>
  <si>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</si>
  <si>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</si>
  <si>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</si>
  <si>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</si>
  <si>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</si>
  <si>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</si>
  <si>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</si>
  <si>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</si>
  <si>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</si>
  <si>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</si>
  <si>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</si>
  <si>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</si>
  <si>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</si>
  <si>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</si>
  <si>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</si>
  <si>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</si>
  <si>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</si>
  <si>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</si>
  <si>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</si>
  <si>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</si>
  <si>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</si>
  <si>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</si>
  <si>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</si>
  <si>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</si>
  <si>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</si>
  <si>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</si>
  <si>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</si>
  <si>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</si>
  <si>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</si>
  <si>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</si>
  <si>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</si>
  <si>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</si>
  <si>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</si>
  <si>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</si>
  <si>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</si>
  <si>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</si>
  <si>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</si>
  <si>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</si>
  <si>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</si>
  <si>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</si>
  <si>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</si>
  <si>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</si>
  <si>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</si>
  <si>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</si>
  <si>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</si>
  <si>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</si>
  <si>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</si>
  <si>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</si>
  <si>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</si>
  <si>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</si>
  <si>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</si>
  <si>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</si>
  <si>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</si>
  <si>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</si>
  <si>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</si>
  <si>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</si>
  <si>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</si>
  <si>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</si>
  <si>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</si>
  <si>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</si>
  <si>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</si>
  <si>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</si>
  <si>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</si>
  <si>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</si>
  <si>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</si>
  <si>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</si>
  <si>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</si>
  <si>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</si>
  <si>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546</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</si>
  <si>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</si>
  <si>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</si>
  <si>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</si>
  <si>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</si>
  <si>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</si>
  <si>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</si>
  <si>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</si>
  <si>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</si>
  <si>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</si>
  <si>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</si>
  <si>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</si>
  <si>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</si>
  <si>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</si>
  <si>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</si>
  <si>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</si>
  <si>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</si>
  <si>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</si>
  <si>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</si>
  <si>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</si>
  <si>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</si>
  <si>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</si>
  <si>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</si>
  <si>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</si>
  <si>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</si>
  <si>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</si>
  <si>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</si>
  <si>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</si>
  <si>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</si>
  <si>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</si>
  <si>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</si>
  <si>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</si>
  <si>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</si>
  <si>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</si>
  <si>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</si>
  <si>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</si>
  <si>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</si>
  <si>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</si>
  <si>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</si>
  <si>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</si>
  <si>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</si>
  <si>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</si>
  <si>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</si>
  <si>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</si>
  <si>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</si>
  <si>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</si>
  <si>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</si>
  <si>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</si>
  <si>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</si>
  <si>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</si>
  <si>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</si>
  <si>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</si>
  <si>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</si>
  <si>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</si>
  <si>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</si>
  <si>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</si>
  <si>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</si>
  <si>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</si>
  <si>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</si>
  <si>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</si>
  <si>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</si>
  <si>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</si>
  <si>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</si>
  <si>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</si>
  <si>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</si>
  <si>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</si>
  <si>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</si>
  <si>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</si>
  <si>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</si>
  <si>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</si>
  <si>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</si>
  <si>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</si>
  <si>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</si>
  <si>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</si>
  <si>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</si>
  <si>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</si>
  <si>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</si>
  <si>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</si>
  <si>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</si>
  <si>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</si>
  <si>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</si>
  <si>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</si>
  <si>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</si>
  <si>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</si>
  <si>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</si>
  <si>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</si>
  <si>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</si>
  <si>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</si>
  <si>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</si>
  <si>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</si>
  <si>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</si>
  <si>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</si>
  <si>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</si>
  <si>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</si>
  <si>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</si>
  <si>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</si>
  <si>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</si>
  <si>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</si>
  <si>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</si>
  <si>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</si>
  <si>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</si>
  <si>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</si>
  <si>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</si>
  <si>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</si>
  <si>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</si>
  <si>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</si>
  <si>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</si>
  <si>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</si>
  <si>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</si>
  <si>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</si>
  <si>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</si>
  <si>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</si>
  <si>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</si>
  <si>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</si>
  <si>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</si>
  <si>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</si>
  <si>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</si>
  <si>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</si>
  <si>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</si>
  <si>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</si>
  <si>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</si>
  <si>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</si>
  <si>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</si>
  <si>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</si>
  <si>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</si>
  <si>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</si>
  <si>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</si>
  <si>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</si>
  <si>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</si>
  <si>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</si>
  <si>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</si>
  <si>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</si>
  <si>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</si>
  <si>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</si>
  <si>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</si>
  <si>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</si>
  <si>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</si>
  <si>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</si>
  <si>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</si>
  <si>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</si>
  <si>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</si>
  <si>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</si>
  <si>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</si>
  <si>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</si>
  <si>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</si>
  <si>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</si>
  <si>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</si>
  <si>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</si>
  <si>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</si>
  <si>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</si>
  <si>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</si>
  <si>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</si>
  <si>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</si>
  <si>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</si>
  <si>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</si>
  <si>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</si>
  <si>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</si>
  <si>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</si>
  <si>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</si>
  <si>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</si>
  <si>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</si>
  <si>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</si>
  <si>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</si>
  <si>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</si>
  <si>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</si>
  <si>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</si>
  <si>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</si>
  <si>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</si>
  <si>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</si>
  <si>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</si>
  <si>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</si>
  <si>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</si>
  <si>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</si>
  <si>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</si>
  <si>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</si>
  <si>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</si>
  <si>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</si>
  <si>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</si>
  <si>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</si>
  <si>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</si>
  <si>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</si>
  <si>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</si>
  <si>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</si>
  <si>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</si>
  <si>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</si>
  <si>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</si>
  <si>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</si>
  <si>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</si>
  <si>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</si>
  <si>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</si>
  <si>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</si>
  <si>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</si>
  <si>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</si>
  <si>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</si>
  <si>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</si>
  <si>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</si>
  <si>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</si>
  <si>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</si>
  <si>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</si>
  <si>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</si>
  <si>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</si>
  <si>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</si>
  <si>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</si>
  <si>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</si>
  <si>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</si>
  <si>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</si>
  <si>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</si>
  <si>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</si>
  <si>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</si>
  <si>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</si>
  <si>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</si>
  <si>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</si>
  <si>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</si>
  <si>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</si>
  <si>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</si>
  <si>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</si>
  <si>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</si>
  <si>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</si>
  <si>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</si>
  <si>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</si>
  <si>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</si>
  <si>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</si>
  <si>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</si>
  <si>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</si>
  <si>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</si>
  <si>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</si>
  <si>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</si>
  <si>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</si>
  <si>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</si>
  <si>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</si>
  <si>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</si>
  <si>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</si>
  <si>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</si>
  <si>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</si>
  <si>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</si>
  <si>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</si>
  <si>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</si>
  <si>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</si>
  <si>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</si>
  <si>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</si>
  <si>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</si>
  <si>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</si>
  <si>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</si>
  <si>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</si>
  <si>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</si>
  <si>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</si>
  <si>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</si>
  <si>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</si>
  <si>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</si>
  <si>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</si>
  <si>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</si>
  <si>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</si>
  <si>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</si>
  <si>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</si>
  <si>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</si>
  <si>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</si>
  <si>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</si>
  <si>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</si>
  <si>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</si>
  <si>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</si>
  <si>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</si>
  <si>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</si>
  <si>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</si>
  <si>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</si>
  <si>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</si>
  <si>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</si>
  <si>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</si>
  <si>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</si>
  <si>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</si>
  <si>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</si>
  <si>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</si>
  <si>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</si>
  <si>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</si>
  <si>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</si>
  <si>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</si>
  <si>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</si>
  <si>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</si>
  <si>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</si>
  <si>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</si>
  <si>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</si>
  <si>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</si>
  <si>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</si>
  <si>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</si>
  <si>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</si>
  <si>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</si>
  <si>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</si>
  <si>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</si>
  <si>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</si>
  <si>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</si>
  <si>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</si>
  <si>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</si>
  <si>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</si>
  <si>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</si>
  <si>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</si>
  <si>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</si>
  <si>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</si>
  <si>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</si>
  <si>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</si>
  <si>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</si>
  <si>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</si>
  <si>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</si>
  <si>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</si>
  <si>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</si>
  <si>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</si>
  <si>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</si>
  <si>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</si>
  <si>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</si>
  <si>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</si>
  <si>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</si>
  <si>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</si>
  <si>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</si>
  <si>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</si>
  <si>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</si>
  <si>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</si>
  <si>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</si>
  <si>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</si>
  <si>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</si>
  <si>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</si>
  <si>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</si>
  <si>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</si>
  <si>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</si>
  <si>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</si>
  <si>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</si>
  <si>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</si>
  <si>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</si>
  <si>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</si>
  <si>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</si>
  <si>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</si>
  <si>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</si>
  <si>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</si>
  <si>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</si>
  <si>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</si>
  <si>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</si>
  <si>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</si>
  <si>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</si>
  <si>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</si>
  <si>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</si>
  <si>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</si>
  <si>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</si>
  <si>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</si>
  <si>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</si>
  <si>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</si>
  <si>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</si>
  <si>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</si>
  <si>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</si>
  <si>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</si>
  <si>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</si>
  <si>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</si>
  <si>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</si>
  <si>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</si>
  <si>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</si>
  <si>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</si>
  <si>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</si>
  <si>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</si>
  <si>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</si>
  <si>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</si>
  <si>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</si>
  <si>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</si>
  <si>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</si>
  <si>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</si>
  <si>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</si>
  <si>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</si>
  <si>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</si>
  <si>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</si>
  <si>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</si>
  <si>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</si>
  <si>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</si>
  <si>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</si>
  <si>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</si>
  <si>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</si>
  <si>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</si>
  <si>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</si>
  <si>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</si>
  <si>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</si>
  <si>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</si>
  <si>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</si>
  <si>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</si>
  <si>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</si>
  <si>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</si>
  <si>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</si>
  <si>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</si>
  <si>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</si>
  <si>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</si>
  <si>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</si>
  <si>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</si>
  <si>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</si>
  <si>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</si>
  <si>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</si>
  <si>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</si>
  <si>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</si>
  <si>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</si>
  <si>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</si>
  <si>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</si>
  <si>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</si>
  <si>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</si>
  <si>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</si>
  <si>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</si>
  <si>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</si>
  <si>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</si>
  <si>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</si>
  <si>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</si>
  <si>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</si>
  <si>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</si>
  <si>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</si>
  <si>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</si>
  <si>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</si>
  <si>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</si>
  <si>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</si>
  <si>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</si>
  <si>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</si>
  <si>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</si>
  <si>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</si>
  <si>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</si>
  <si>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</si>
  <si>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</si>
  <si>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</si>
  <si>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</si>
  <si>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</si>
  <si>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</si>
  <si>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</si>
  <si>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</si>
  <si>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</si>
  <si>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</si>
  <si>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</si>
  <si>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</si>
  <si>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</si>
  <si>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</si>
  <si>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</si>
  <si>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</si>
  <si>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</si>
  <si>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</si>
  <si>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</si>
  <si>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</si>
  <si>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</si>
  <si>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</si>
  <si>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</si>
  <si>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</si>
  <si>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</si>
  <si>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</si>
  <si>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</si>
  <si>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</si>
  <si>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</si>
  <si>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</si>
  <si>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</si>
  <si>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</si>
  <si>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</si>
  <si>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</si>
  <si>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</si>
  <si>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</si>
  <si>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</si>
  <si>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</si>
  <si>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</si>
  <si>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</si>
  <si>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</si>
  <si>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</si>
  <si>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</si>
  <si>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</si>
  <si>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</si>
  <si>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</si>
  <si>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</si>
  <si>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</si>
  <si>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</si>
  <si>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</si>
  <si>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</si>
  <si>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</si>
  <si>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</si>
  <si>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</si>
  <si>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</si>
  <si>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</si>
  <si>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</si>
  <si>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</si>
  <si>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</si>
  <si>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</si>
  <si>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</si>
  <si>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</si>
  <si>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</si>
  <si>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</si>
  <si>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</si>
  <si>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</si>
  <si>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</si>
  <si>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</si>
  <si>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</si>
  <si>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</si>
  <si>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</si>
  <si>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</si>
  <si>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</si>
  <si>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</si>
  <si>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</si>
  <si>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</si>
  <si>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</si>
  <si>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</si>
  <si>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</si>
  <si>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</si>
  <si>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</si>
  <si>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</si>
  <si>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</si>
  <si>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</si>
  <si>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</si>
  <si>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</si>
  <si>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</si>
  <si>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</si>
  <si>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</si>
  <si>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</si>
  <si>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</si>
  <si>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</si>
  <si>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</si>
  <si>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</si>
  <si>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</si>
  <si>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</si>
  <si>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</si>
  <si>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</si>
  <si>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</si>
  <si>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</si>
  <si>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</si>
  <si>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</si>
  <si>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</si>
  <si>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</si>
  <si>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</si>
  <si>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</si>
  <si>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</si>
  <si>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</si>
  <si>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</si>
  <si>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</si>
  <si>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</si>
  <si>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</si>
  <si>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</si>
  <si>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</si>
  <si>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</si>
  <si>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</si>
  <si>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</si>
  <si>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</si>
  <si>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</si>
  <si>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</si>
  <si>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</si>
  <si>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</si>
  <si>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</si>
  <si>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</si>
  <si>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</si>
  <si>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</si>
  <si>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</si>
  <si>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</si>
  <si>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</si>
  <si>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</si>
  <si>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</si>
  <si>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</si>
  <si>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</si>
  <si>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</si>
  <si>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</si>
  <si>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</si>
  <si>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</si>
  <si>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</si>
  <si>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</si>
  <si>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</si>
  <si>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</si>
  <si>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</si>
  <si>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</si>
  <si>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</si>
  <si>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</si>
  <si>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</si>
  <si>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</si>
  <si>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</si>
  <si>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</si>
  <si>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</si>
  <si>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</si>
  <si>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</si>
  <si>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</si>
  <si>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</si>
  <si>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</si>
  <si>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</si>
  <si>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</si>
  <si>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</si>
  <si>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</si>
  <si>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</si>
  <si>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</si>
  <si>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</si>
  <si>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</si>
  <si>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</si>
  <si>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</si>
  <si>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</si>
  <si>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</si>
  <si>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</si>
  <si>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</si>
  <si>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</si>
  <si>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</si>
  <si>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</si>
  <si>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</si>
  <si>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</si>
  <si>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</si>
  <si>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</si>
  <si>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</si>
  <si>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</si>
  <si>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</si>
  <si>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</si>
  <si>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</si>
  <si>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</si>
  <si>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</si>
  <si>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</si>
  <si>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</si>
  <si>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</si>
  <si>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</si>
  <si>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</si>
  <si>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</si>
  <si>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</si>
  <si>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</si>
  <si>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</si>
  <si>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</si>
  <si>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</si>
  <si>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</si>
  <si>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</si>
  <si>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</si>
  <si>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</si>
  <si>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</si>
  <si>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</si>
  <si>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</si>
  <si>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</si>
  <si>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</si>
  <si>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</si>
  <si>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</si>
  <si>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</si>
  <si>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</si>
  <si>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</si>
  <si>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</si>
  <si>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</si>
  <si>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</si>
  <si>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</si>
  <si>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</si>
  <si>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</si>
  <si>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</si>
  <si>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</si>
  <si>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</si>
  <si>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</si>
  <si>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</si>
  <si>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</si>
  <si>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</si>
  <si>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</si>
  <si>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</si>
  <si>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</si>
  <si>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</si>
  <si>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</si>
  <si>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</si>
  <si>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</si>
  <si>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</si>
  <si>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</si>
  <si>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</si>
  <si>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</si>
  <si>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</si>
  <si>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</si>
  <si>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</si>
  <si>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</si>
  <si>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</si>
  <si>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</si>
  <si>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</si>
  <si>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</si>
  <si>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</si>
  <si>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</si>
  <si>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</si>
  <si>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</si>
  <si>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</si>
  <si>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</si>
  <si>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</si>
  <si>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</si>
  <si>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</si>
  <si>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</si>
  <si>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</si>
  <si>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</si>
  <si>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</si>
  <si>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</si>
  <si>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</si>
  <si>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</si>
  <si>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</si>
  <si>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</si>
  <si>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</si>
  <si>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</si>
  <si>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</si>
  <si>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</si>
  <si>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</si>
  <si>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</si>
  <si>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</si>
  <si>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</si>
  <si>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</si>
  <si>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</si>
  <si>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</si>
  <si>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</si>
  <si>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</si>
  <si>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</si>
  <si>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</si>
  <si>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</si>
  <si>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</si>
  <si>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</si>
  <si>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</si>
  <si>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</si>
  <si>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</si>
  <si>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</si>
  <si>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</si>
  <si>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</si>
  <si>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</si>
  <si>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</si>
  <si>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</si>
  <si>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</si>
  <si>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</si>
  <si>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</si>
  <si>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</si>
  <si>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</si>
  <si>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</si>
  <si>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</si>
  <si>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</si>
  <si>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</si>
  <si>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</si>
  <si>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</si>
  <si>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</si>
  <si>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</si>
  <si>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</si>
  <si>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</si>
  <si>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</si>
  <si>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</si>
  <si>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</si>
  <si>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</si>
  <si>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</si>
  <si>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</si>
  <si>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</si>
  <si>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</si>
  <si>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</si>
  <si>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</si>
  <si>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</si>
  <si>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</si>
  <si>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</si>
  <si>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</si>
  <si>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</si>
  <si>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</si>
  <si>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</si>
  <si>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</si>
  <si>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</si>
  <si>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</si>
  <si>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</si>
  <si>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</si>
  <si>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</si>
  <si>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</si>
  <si>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</si>
  <si>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</si>
  <si>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</si>
  <si>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</si>
  <si>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</si>
  <si>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</si>
  <si>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</si>
  <si>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</si>
  <si>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</si>
  <si>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</si>
  <si>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</si>
  <si>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</si>
  <si>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</si>
  <si>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</si>
  <si>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</si>
  <si>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</si>
  <si>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</si>
  <si>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</si>
  <si>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</si>
  <si>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</si>
  <si>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</si>
  <si>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</si>
  <si>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</si>
  <si>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</si>
  <si>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</si>
  <si>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</si>
  <si>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</si>
  <si>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</si>
  <si>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</si>
  <si>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</si>
  <si>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</si>
  <si>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</si>
  <si>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</si>
  <si>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</si>
  <si>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</si>
  <si>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</si>
  <si>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</si>
  <si>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</si>
  <si>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</si>
  <si>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</si>
  <si>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</si>
  <si>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</si>
  <si>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</si>
  <si>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</si>
  <si>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</si>
  <si>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</si>
  <si>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</si>
  <si>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</si>
  <si>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</si>
  <si>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</si>
  <si>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</si>
  <si>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</si>
  <si>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</si>
  <si>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</si>
  <si>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</si>
  <si>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</si>
  <si>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</si>
  <si>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</si>
  <si>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</si>
  <si>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</si>
  <si>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</si>
  <si>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</si>
  <si>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</si>
  <si>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</si>
  <si>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</si>
  <si>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</si>
  <si>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</si>
  <si>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</si>
  <si>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</si>
  <si>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</si>
  <si>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</si>
  <si>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</si>
  <si>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</si>
  <si>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</si>
  <si>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</si>
  <si>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</si>
  <si>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</si>
  <si>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</si>
  <si>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</si>
  <si>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</si>
  <si>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</si>
  <si>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</si>
  <si>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</si>
  <si>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</si>
  <si>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</si>
  <si>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</si>
  <si>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</si>
  <si>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</si>
  <si>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</si>
  <si>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</si>
  <si>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</si>
  <si>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</si>
  <si>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</si>
  <si>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</si>
  <si>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</si>
  <si>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</si>
  <si>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</si>
  <si>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</si>
  <si>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</si>
  <si>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</si>
  <si>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</si>
  <si>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</si>
  <si>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</si>
  <si>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</si>
  <si>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</si>
  <si>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</si>
  <si>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</si>
  <si>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</si>
  <si>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</si>
  <si>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</si>
  <si>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</si>
  <si>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</si>
  <si>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</si>
  <si>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</si>
  <si>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</si>
  <si>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</si>
  <si>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</si>
  <si>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</si>
  <si>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</si>
  <si>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</si>
  <si>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</si>
  <si>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</si>
  <si>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</si>
  <si>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</si>
  <si>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</si>
  <si>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</si>
  <si>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</si>
  <si>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</si>
  <si>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</si>
  <si>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</si>
  <si>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</si>
  <si>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</si>
  <si>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</si>
  <si>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</si>
  <si>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</si>
  <si>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</si>
  <si>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</si>
  <si>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</si>
  <si>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</si>
  <si>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</si>
  <si>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</si>
  <si>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</si>
  <si>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</si>
  <si>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</si>
  <si>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</si>
  <si>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</si>
  <si>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</si>
  <si>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</si>
  <si>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</si>
  <si>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</si>
  <si>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</si>
  <si>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</si>
  <si>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</si>
  <si>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</si>
  <si>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</si>
  <si>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</si>
  <si>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</si>
  <si>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</si>
  <si>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</si>
  <si>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</si>
  <si>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</si>
  <si>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</si>
  <si>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</si>
  <si>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</si>
  <si>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</si>
  <si>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</si>
  <si>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</si>
  <si>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</si>
  <si>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</si>
  <si>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</si>
  <si>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</si>
  <si>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</si>
  <si>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</si>
  <si>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</si>
  <si>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</si>
  <si>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</si>
  <si>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</si>
  <si>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</si>
  <si>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</si>
  <si>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</si>
  <si>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</si>
  <si>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</si>
  <si>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</si>
  <si>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</si>
  <si>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</si>
  <si>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</si>
  <si>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</si>
  <si>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</si>
  <si>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</si>
  <si>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</si>
  <si>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</si>
  <si>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</si>
  <si>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</si>
  <si>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</si>
  <si>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</si>
  <si>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</si>
  <si>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</si>
  <si>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</si>
  <si>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</si>
  <si>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</si>
  <si>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</si>
  <si>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</si>
  <si>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</si>
  <si>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</si>
  <si>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</si>
  <si>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</si>
  <si>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</si>
  <si>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</si>
  <si>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</si>
  <si>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</si>
  <si>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</si>
  <si>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</si>
  <si>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</si>
  <si>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</si>
  <si>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</si>
  <si>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</si>
  <si>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</si>
  <si>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</si>
  <si>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</si>
  <si>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</si>
  <si>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</si>
  <si>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</si>
  <si>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</si>
  <si>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</si>
  <si>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</si>
  <si>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</si>
  <si>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</si>
  <si>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</si>
  <si>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</si>
  <si>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</si>
  <si>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</si>
  <si>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</si>
  <si>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</si>
  <si>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</si>
  <si>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</si>
  <si>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</si>
  <si>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</si>
  <si>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</si>
  <si>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</si>
  <si>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</si>
  <si>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</si>
  <si>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</si>
  <si>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</si>
  <si>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</si>
  <si>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</si>
  <si>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</si>
  <si>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</si>
  <si>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</si>
  <si>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</si>
  <si>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</si>
  <si>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</si>
  <si>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</si>
  <si>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</si>
  <si>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</si>
  <si>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</si>
  <si>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</si>
  <si>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</si>
  <si>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</si>
  <si>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</si>
  <si>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</si>
  <si>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</si>
  <si>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</si>
  <si>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</si>
  <si>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</si>
  <si>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</si>
  <si>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</si>
  <si>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</si>
  <si>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</si>
  <si>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</si>
  <si>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</si>
  <si>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</si>
  <si>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</si>
  <si>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</si>
  <si>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</si>
  <si>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</si>
  <si>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</si>
  <si>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</si>
  <si>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</si>
  <si>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</si>
  <si>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</si>
  <si>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</si>
  <si>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</si>
  <si>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</si>
  <si>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</si>
  <si>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</si>
  <si>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</si>
  <si>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</si>
  <si>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</si>
  <si>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</si>
  <si>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</si>
  <si>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</si>
  <si>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</si>
  <si>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</si>
  <si>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</si>
  <si>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</si>
  <si>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</si>
  <si>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</si>
  <si>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</si>
  <si>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</si>
  <si>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</si>
  <si>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</si>
  <si>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</si>
  <si>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</si>
  <si>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</si>
  <si>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</si>
  <si>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</si>
  <si>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</si>
  <si>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</si>
  <si>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</si>
  <si>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</si>
  <si>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</si>
  <si>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</si>
  <si>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</si>
  <si>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</si>
  <si>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</si>
  <si>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</si>
  <si>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</si>
  <si>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</si>
  <si>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</si>
  <si>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</si>
  <si>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</si>
  <si>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</si>
  <si>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</si>
  <si>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</si>
  <si>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</si>
  <si>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</si>
  <si>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</si>
  <si>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</si>
  <si>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</si>
  <si>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</si>
  <si>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</si>
  <si>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</si>
  <si>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</si>
  <si>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</si>
  <si>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</si>
  <si>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</si>
  <si>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</si>
  <si>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</si>
  <si>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</si>
  <si>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</si>
  <si>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</si>
  <si>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</si>
  <si>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</si>
  <si>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</si>
  <si>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</si>
  <si>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</si>
  <si>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</si>
  <si>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</si>
  <si>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</si>
  <si>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</si>
  <si>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</si>
  <si>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</si>
  <si>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</si>
  <si>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</si>
  <si>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</si>
  <si>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</si>
  <si>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</si>
  <si>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</si>
  <si>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</si>
  <si>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</si>
  <si>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</si>
  <si>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</si>
  <si>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</si>
  <si>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</si>
  <si>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</si>
  <si>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</si>
  <si>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</si>
  <si>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</si>
  <si>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</si>
  <si>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</si>
  <si>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</si>
  <si>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</si>
  <si>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</si>
  <si>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</si>
  <si>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</si>
  <si>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</si>
  <si>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</si>
  <si>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</si>
  <si>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</si>
  <si>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</si>
  <si>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</si>
  <si>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</si>
  <si>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</si>
  <si>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</si>
  <si>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</si>
  <si>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</si>
  <si>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</si>
  <si>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</si>
  <si>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</si>
  <si>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</si>
  <si>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</si>
  <si>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</si>
  <si>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</si>
  <si>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</si>
  <si>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</si>
  <si>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</si>
  <si>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</si>
  <si>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</si>
  <si>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</si>
  <si>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</si>
  <si>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</si>
  <si>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</si>
  <si>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</si>
  <si>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</si>
  <si>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</si>
  <si>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</si>
  <si>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</si>
  <si>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</si>
  <si>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</si>
  <si>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</si>
  <si>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</si>
  <si>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</si>
  <si>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</si>
  <si>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</si>
  <si>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</si>
  <si>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</si>
  <si>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</si>
  <si>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</si>
  <si>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</si>
  <si>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</si>
  <si>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</si>
  <si>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</si>
  <si>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</si>
  <si>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</si>
  <si>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</si>
  <si>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</si>
  <si>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</si>
  <si>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</si>
  <si>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</si>
  <si>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</si>
  <si>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</si>
  <si>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</si>
  <si>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</si>
  <si>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</si>
  <si>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</si>
  <si>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</si>
  <si>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</si>
  <si>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</si>
  <si>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</si>
  <si>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</si>
  <si>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</si>
  <si>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</si>
  <si>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</si>
  <si>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</si>
  <si>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</si>
  <si>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</si>
  <si>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</si>
  <si>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</si>
  <si>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</si>
  <si>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</si>
  <si>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</si>
  <si>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</si>
  <si>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</si>
  <si>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</si>
  <si>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</si>
  <si>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</si>
  <si>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</si>
  <si>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</si>
  <si>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</si>
  <si>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</si>
  <si>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</si>
  <si>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</si>
  <si>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</si>
  <si>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</si>
  <si>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</si>
  <si>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</si>
  <si>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</si>
  <si>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</si>
  <si>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</si>
  <si>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</si>
  <si>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</si>
  <si>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</si>
  <si>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</si>
  <si>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</si>
  <si>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</si>
  <si>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</si>
  <si>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</si>
  <si>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</si>
  <si>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</si>
  <si>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</si>
  <si>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</si>
  <si>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</si>
  <si>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</si>
  <si>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</si>
  <si>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</si>
  <si>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</si>
  <si>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</si>
  <si>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</si>
  <si>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</si>
  <si>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</si>
  <si>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</si>
  <si>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</si>
  <si>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</si>
  <si>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</si>
  <si>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</si>
  <si>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</si>
  <si>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</si>
  <si>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</si>
  <si>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</si>
  <si>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</si>
  <si>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</si>
  <si>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</si>
  <si>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</si>
  <si>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</si>
  <si>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</si>
  <si>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</si>
  <si>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</si>
  <si>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</si>
  <si>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</si>
  <si>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</si>
  <si>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</si>
  <si>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</si>
  <si>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</si>
  <si>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</si>
  <si>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</si>
  <si>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</si>
  <si>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</si>
  <si>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</si>
  <si>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</si>
  <si>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</si>
  <si>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</si>
  <si>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</si>
  <si>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</si>
  <si>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</si>
  <si>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</si>
  <si>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</si>
  <si>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</si>
  <si>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</si>
  <si>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</si>
  <si>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</si>
  <si>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</si>
  <si>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</si>
  <si>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</si>
  <si>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</si>
  <si>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</si>
  <si>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</si>
  <si>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</si>
  <si>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</si>
  <si>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</si>
  <si>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</si>
  <si>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</si>
  <si>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</si>
  <si>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</si>
  <si>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</si>
  <si>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</si>
  <si>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</si>
  <si>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</si>
  <si>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</si>
  <si>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</si>
  <si>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</si>
  <si>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</si>
  <si>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</si>
  <si>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</si>
  <si>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</si>
  <si>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</si>
  <si>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</si>
  <si>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</si>
  <si>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</si>
  <si>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</si>
  <si>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</si>
  <si>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</si>
  <si>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</si>
  <si>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</si>
  <si>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</si>
  <si>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</si>
  <si>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</si>
  <si>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</si>
  <si>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</si>
  <si>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</si>
  <si>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</si>
  <si>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</si>
  <si>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</si>
  <si>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</si>
  <si>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</si>
  <si>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</si>
  <si>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</si>
  <si>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</si>
  <si>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</si>
  <si>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</si>
  <si>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</si>
  <si>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</si>
  <si>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</si>
  <si>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</si>
  <si>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</si>
  <si>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</si>
  <si>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</si>
  <si>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</si>
  <si>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</si>
  <si>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</si>
  <si>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</si>
  <si>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</si>
  <si>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</si>
  <si>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</si>
  <si>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</si>
  <si>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</si>
  <si>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</si>
  <si>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</si>
  <si>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</si>
  <si>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</si>
  <si>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</si>
  <si>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</si>
  <si>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</si>
  <si>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</si>
  <si>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</si>
  <si>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</si>
  <si>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</si>
  <si>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</si>
  <si>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</si>
  <si>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</si>
  <si>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</si>
  <si>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</si>
  <si>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</si>
  <si>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</si>
  <si>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</si>
  <si>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</si>
  <si>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</si>
  <si>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</si>
  <si>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</si>
  <si>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</si>
  <si>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</si>
  <si>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</si>
  <si>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</si>
  <si>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</si>
  <si>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</si>
  <si>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</si>
  <si>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</si>
  <si>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</si>
  <si>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</si>
  <si>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</si>
  <si>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</si>
  <si>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</si>
  <si>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</si>
  <si>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</si>
  <si>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</si>
  <si>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</si>
  <si>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</si>
  <si>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</si>
  <si>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</si>
  <si>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</si>
  <si>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</si>
  <si>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</si>
  <si>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</si>
  <si>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</si>
  <si>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</si>
  <si>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</si>
  <si>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</si>
  <si>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</si>
  <si>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</si>
  <si>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</si>
  <si>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</si>
  <si>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</si>
  <si>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</si>
  <si>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</si>
  <si>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</si>
  <si>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</si>
  <si>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</si>
  <si>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</si>
  <si>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</si>
  <si>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</si>
  <si>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</si>
  <si>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</si>
  <si>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</si>
  <si>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</si>
  <si>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</si>
  <si>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</si>
  <si>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</si>
  <si>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</si>
  <si>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</si>
  <si>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</si>
  <si>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</si>
  <si>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</si>
  <si>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</si>
  <si>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</si>
  <si>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</si>
  <si>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</si>
  <si>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</si>
  <si>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</si>
  <si>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</si>
  <si>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</si>
  <si>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</si>
  <si>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</si>
  <si>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</si>
  <si>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</si>
  <si>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</si>
  <si>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</si>
  <si>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</si>
  <si>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</si>
  <si>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</si>
  <si>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</si>
  <si>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</si>
  <si>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</si>
  <si>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</si>
  <si>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</si>
  <si>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</si>
  <si>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</si>
  <si>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</si>
  <si>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</si>
  <si>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</si>
  <si>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</si>
  <si>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</si>
  <si>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</si>
  <si>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</si>
  <si>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</si>
  <si>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</si>
  <si>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</si>
  <si>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</si>
  <si>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</si>
  <si>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</si>
  <si>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</si>
  <si>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</si>
  <si>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</si>
  <si>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</si>
  <si>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</si>
  <si>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</si>
  <si>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</si>
  <si>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</si>
  <si>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</si>
  <si>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</si>
  <si>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</si>
  <si>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</si>
  <si>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</si>
  <si>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</si>
  <si>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</si>
  <si>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</si>
  <si>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</si>
  <si>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</si>
  <si>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</si>
  <si>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</si>
  <si>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</si>
  <si>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</si>
  <si>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</si>
  <si>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</si>
  <si>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</si>
  <si>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</si>
  <si>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</si>
  <si>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</si>
  <si>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</si>
  <si>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</si>
  <si>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</si>
  <si>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</si>
  <si>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</si>
  <si>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</si>
  <si>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</si>
  <si>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</si>
  <si>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</si>
  <si>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</si>
  <si>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</si>
  <si>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</si>
  <si>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</si>
  <si>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</si>
  <si>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</si>
  <si>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</si>
  <si>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</si>
  <si>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</si>
  <si>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</si>
  <si>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</si>
  <si>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</si>
  <si>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</si>
  <si>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</si>
  <si>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</si>
  <si>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</si>
  <si>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</si>
  <si>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</si>
  <si>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</si>
  <si>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</si>
  <si>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</si>
  <si>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</si>
  <si>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</si>
  <si>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</si>
  <si>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</si>
  <si>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</si>
  <si>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</si>
  <si>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</si>
  <si>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</si>
  <si>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</si>
  <si>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</si>
  <si>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</si>
  <si>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</si>
  <si>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</si>
  <si>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</si>
  <si>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</si>
  <si>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</si>
  <si>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</si>
  <si>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</si>
  <si>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</si>
  <si>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</si>
  <si>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</si>
  <si>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</si>
  <si>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</si>
  <si>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</si>
  <si>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</si>
  <si>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</si>
  <si>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</si>
  <si>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</si>
  <si>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</si>
  <si>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</si>
  <si>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</si>
  <si>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</si>
  <si>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</si>
  <si>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</si>
  <si>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</si>
  <si>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</si>
  <si>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</si>
  <si>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</si>
  <si>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</si>
  <si>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</si>
  <si>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</si>
  <si>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</si>
  <si>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</si>
  <si>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</si>
  <si>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</si>
  <si>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</si>
  <si>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</si>
  <si>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</si>
  <si>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</si>
  <si>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</si>
  <si>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</si>
  <si>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</si>
  <si>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</si>
  <si>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</si>
  <si>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</si>
  <si>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</si>
  <si>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</si>
  <si>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</si>
  <si>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</si>
  <si>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</si>
  <si>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</si>
  <si>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</si>
  <si>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</si>
  <si>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</si>
  <si>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</si>
  <si>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</si>
  <si>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</si>
  <si>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</si>
  <si>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</si>
  <si>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</si>
  <si>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</si>
  <si>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</si>
  <si>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</si>
  <si>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</si>
  <si>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</si>
  <si>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</si>
  <si>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</si>
  <si>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</si>
  <si>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</si>
  <si>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</si>
  <si>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</si>
  <si>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</si>
  <si>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</si>
  <si>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</si>
  <si>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</si>
  <si>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</si>
  <si>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</si>
  <si>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</si>
  <si>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</si>
  <si>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</si>
  <si>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</si>
  <si>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</si>
  <si>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</si>
  <si>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</si>
  <si>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</si>
  <si>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</si>
  <si>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</si>
  <si>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</si>
  <si>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</si>
  <si>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</si>
  <si>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</si>
  <si>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</si>
  <si>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</si>
  <si>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</si>
  <si>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</si>
  <si>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</si>
  <si>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</si>
  <si>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</si>
  <si>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</si>
  <si>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</si>
  <si>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</si>
  <si>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</si>
  <si>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</si>
  <si>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</si>
  <si>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</si>
  <si>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</si>
  <si>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</si>
  <si>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</si>
  <si>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</si>
  <si>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</si>
  <si>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</si>
  <si>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</si>
  <si>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</si>
  <si>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</si>
  <si>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</si>
  <si>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</si>
  <si>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</si>
  <si>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</si>
  <si>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</si>
  <si>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</si>
  <si>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</si>
  <si>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</si>
  <si>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</si>
  <si>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</si>
  <si>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</si>
  <si>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</si>
  <si>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</si>
  <si>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</si>
  <si>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</si>
  <si>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</si>
  <si>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</si>
  <si>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</si>
  <si>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</si>
  <si>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</si>
  <si>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</si>
  <si>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</si>
  <si>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</si>
  <si>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</si>
  <si>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</si>
  <si>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</si>
  <si>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</si>
  <si>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</si>
  <si>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</si>
  <si>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</si>
  <si>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</si>
  <si>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</si>
  <si>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</si>
  <si>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</si>
  <si>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</si>
  <si>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</si>
  <si>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</si>
  <si>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</si>
  <si>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</si>
  <si>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</si>
  <si>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</si>
  <si>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</si>
  <si>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</si>
  <si>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</si>
  <si>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</si>
  <si>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</si>
  <si>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</si>
  <si>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</si>
  <si>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</si>
  <si>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</si>
  <si>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</si>
  <si>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</si>
  <si>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</si>
  <si>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</si>
  <si>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</si>
  <si>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</si>
  <si>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</si>
  <si>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</si>
  <si>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</si>
  <si>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</si>
  <si>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</si>
  <si>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</si>
  <si>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</si>
  <si>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</si>
  <si>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</si>
  <si>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</si>
  <si>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</si>
  <si>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</si>
  <si>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</si>
  <si>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</si>
  <si>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</si>
  <si>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</si>
  <si>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</si>
  <si>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</si>
  <si>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</si>
  <si>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</si>
  <si>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</si>
  <si>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</si>
  <si>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</si>
  <si>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</si>
  <si>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</si>
  <si>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</si>
  <si>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</si>
  <si>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</si>
  <si>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</si>
  <si>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</si>
  <si>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</si>
  <si>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</si>
  <si>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</si>
  <si>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</si>
  <si>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</si>
  <si>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</si>
  <si>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</si>
  <si>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</si>
  <si>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</si>
  <si>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</si>
  <si>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</si>
  <si>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</si>
  <si>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</si>
  <si>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</si>
  <si>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</si>
  <si>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</si>
  <si>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</si>
  <si>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</si>
  <si>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</si>
  <si>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</si>
  <si>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</si>
  <si>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</si>
  <si>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</si>
  <si>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</si>
  <si>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</si>
  <si>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</si>
  <si>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</si>
  <si>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</si>
  <si>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</si>
  <si>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</si>
  <si>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</si>
  <si>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</si>
  <si>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</si>
  <si>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</si>
  <si>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</si>
  <si>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</si>
  <si>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</si>
  <si>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</si>
  <si>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</si>
  <si>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</si>
  <si>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</si>
  <si>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</si>
  <si>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</si>
  <si>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</si>
  <si>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</si>
  <si>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</si>
  <si>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</si>
  <si>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</si>
  <si>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</si>
  <si>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</si>
  <si>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</si>
  <si>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</si>
  <si>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</si>
  <si>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</si>
  <si>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</si>
  <si>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</si>
  <si>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</si>
  <si>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</si>
  <si>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</si>
  <si>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</si>
  <si>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</si>
  <si>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</si>
  <si>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</si>
  <si>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</si>
  <si>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</si>
  <si>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</si>
  <si>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</si>
  <si>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</si>
  <si>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</si>
  <si>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</si>
  <si>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</si>
  <si>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</si>
  <si>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</si>
  <si>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</si>
  <si>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</si>
  <si>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</si>
  <si>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</si>
  <si>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</si>
  <si>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</si>
  <si>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</si>
  <si>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</si>
  <si>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</si>
  <si>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</si>
  <si>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</si>
  <si>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</si>
  <si>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</si>
  <si>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</si>
  <si>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</si>
  <si>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</si>
  <si>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</si>
  <si>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</si>
  <si>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</si>
  <si>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</si>
  <si>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</si>
  <si>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</si>
  <si>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</si>
  <si>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</si>
  <si>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</si>
  <si>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</si>
  <si>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</si>
  <si>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</si>
  <si>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</si>
  <si>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</si>
  <si>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</si>
  <si>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</si>
  <si>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</si>
  <si>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</si>
  <si>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</si>
  <si>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</si>
  <si>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</si>
  <si>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</si>
  <si>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</si>
  <si>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</si>
  <si>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</si>
  <si>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</si>
  <si>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</si>
  <si>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</si>
  <si>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</si>
  <si>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</si>
  <si>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</si>
  <si>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</si>
  <si>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</si>
  <si>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</si>
  <si>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</si>
  <si>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</si>
  <si>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</si>
  <si>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</si>
  <si>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</si>
  <si>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</si>
  <si>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</si>
  <si>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</si>
  <si>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</si>
  <si>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</si>
  <si>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</si>
  <si>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</si>
  <si>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</si>
  <si>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</si>
  <si>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</si>
  <si>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</si>
  <si>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</si>
  <si>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</si>
  <si>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</si>
  <si>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</si>
  <si>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</si>
  <si>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</si>
  <si>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</si>
  <si>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</si>
  <si>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</si>
  <si>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</si>
  <si>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</si>
  <si>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</si>
  <si>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</si>
  <si>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</si>
  <si>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</si>
  <si>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</si>
  <si>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</si>
  <si>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</si>
  <si>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</si>
  <si>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</si>
  <si>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</si>
  <si>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</si>
  <si>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</si>
  <si>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</si>
  <si>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</si>
  <si>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</si>
  <si>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</si>
  <si>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</si>
  <si>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</si>
  <si>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</si>
  <si>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</si>
  <si>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</si>
  <si>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</si>
  <si>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</si>
  <si>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</si>
  <si>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</si>
  <si>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</si>
  <si>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</si>
  <si>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</si>
  <si>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</si>
  <si>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</si>
  <si>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</si>
  <si>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</si>
  <si>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</si>
  <si>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</si>
  <si>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</si>
  <si>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</si>
  <si>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</si>
  <si>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</si>
  <si>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</si>
  <si>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</si>
  <si>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</si>
  <si>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</si>
  <si>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</si>
  <si>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</si>
  <si>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</si>
  <si>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</si>
  <si>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</si>
  <si>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</si>
  <si>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</si>
  <si>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</si>
  <si>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</si>
  <si>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</si>
  <si>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</si>
  <si>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</si>
  <si>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</si>
  <si>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</si>
  <si>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</si>
  <si>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</si>
  <si>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</si>
  <si>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</si>
  <si>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</si>
  <si>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</si>
  <si>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</si>
  <si>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</si>
  <si>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</si>
  <si>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</si>
  <si>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</si>
  <si>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</si>
  <si>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</si>
  <si>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</si>
  <si>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</si>
  <si>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</si>
  <si>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</si>
  <si>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</si>
  <si>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</si>
  <si>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</si>
  <si>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</si>
  <si>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</si>
  <si>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</si>
  <si>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</si>
  <si>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</si>
  <si>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</si>
  <si>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</si>
  <si>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</si>
  <si>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</si>
  <si>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</si>
  <si>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</si>
  <si>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</si>
  <si>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</si>
  <si>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</si>
  <si>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</si>
  <si>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</si>
  <si>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</si>
  <si>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</si>
  <si>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</si>
  <si>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</si>
  <si>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</si>
  <si>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</si>
  <si>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</si>
  <si>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</si>
  <si>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</si>
  <si>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</si>
  <si>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</si>
  <si>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</si>
  <si>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</si>
  <si>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</si>
  <si>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</si>
  <si>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</si>
  <si>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</si>
  <si>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</si>
  <si>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</si>
  <si>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</si>
  <si>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</si>
  <si>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</si>
  <si>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</si>
  <si>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</si>
  <si>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</si>
  <si>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</si>
  <si>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538</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</si>
  <si>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</si>
  <si>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</si>
  <si>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</si>
  <si>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</si>
  <si>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</si>
  <si>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</si>
  <si>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</si>
  <si>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</si>
  <si>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</si>
  <si>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</si>
  <si>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</si>
  <si>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</si>
  <si>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</si>
  <si>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</si>
  <si>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</si>
  <si>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</si>
  <si>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</si>
  <si>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</si>
  <si>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</si>
  <si>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</si>
  <si>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</si>
  <si>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</si>
  <si>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</si>
  <si>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</si>
  <si>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</si>
  <si>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</si>
  <si>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</si>
  <si>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</si>
  <si>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</si>
  <si>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</si>
  <si>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</si>
  <si>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</si>
  <si>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</si>
  <si>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</si>
  <si>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</si>
  <si>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</si>
  <si>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</si>
  <si>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</si>
  <si>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</si>
  <si>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</si>
  <si>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</si>
  <si>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</si>
  <si>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</si>
  <si>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</si>
  <si>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</si>
  <si>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</si>
  <si>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</si>
  <si>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</si>
  <si>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</si>
  <si>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</si>
  <si>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</si>
  <si>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</si>
  <si>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</si>
  <si>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</si>
  <si>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</si>
  <si>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</si>
  <si>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</si>
  <si>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</si>
  <si>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</si>
  <si>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</si>
  <si>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</si>
  <si>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</si>
  <si>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</si>
  <si>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</si>
  <si>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</si>
  <si>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</si>
  <si>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</si>
  <si>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</si>
  <si>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</si>
  <si>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</si>
  <si>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</si>
  <si>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</si>
  <si>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</si>
  <si>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</si>
  <si>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</si>
  <si>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</si>
  <si>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</si>
  <si>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</si>
  <si>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</si>
  <si>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</si>
  <si>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</si>
  <si>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</si>
  <si>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</si>
  <si>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</si>
  <si>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</si>
  <si>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</si>
  <si>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</si>
  <si>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</si>
  <si>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</si>
  <si>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</si>
  <si>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</si>
  <si>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</si>
  <si>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</si>
  <si>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</si>
  <si>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452</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</si>
  <si>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</si>
  <si>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</si>
  <si>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</si>
  <si>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</si>
  <si>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</si>
  <si>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</si>
  <si>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</si>
  <si>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</si>
  <si>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</si>
  <si>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</si>
  <si>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</si>
  <si>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</si>
  <si>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</si>
  <si>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</si>
  <si>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</si>
  <si>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</si>
  <si>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</si>
  <si>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</si>
  <si>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</si>
  <si>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</si>
  <si>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</si>
  <si>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</si>
  <si>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</si>
  <si>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</si>
  <si>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</si>
  <si>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</si>
  <si>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446</t>
  </si>
  <si>
    <t>3:51.53</t>
  </si>
  <si>
    <t>2:41.28</t>
  </si>
  <si>
    <t>2:58.84</t>
  </si>
  <si>
    <t>2:48.36</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</si>
  <si>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</si>
  <si>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</si>
  <si>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</si>
  <si>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</si>
  <si>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</si>
  <si>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</si>
  <si>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</si>
  <si>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</si>
  <si>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</si>
  <si>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</si>
  <si>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</si>
  <si>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</si>
  <si>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</si>
  <si>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</si>
  <si>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</si>
  <si>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</si>
  <si>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</si>
  <si>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</si>
  <si>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</si>
  <si>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</si>
  <si>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</si>
  <si>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</si>
  <si>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</si>
  <si>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</si>
  <si>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</si>
  <si>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</si>
  <si>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</si>
  <si>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</si>
  <si>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</si>
  <si>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</si>
  <si>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</si>
  <si>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</si>
  <si>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</si>
  <si>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</si>
  <si>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</si>
  <si>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</si>
  <si>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</si>
  <si>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</si>
  <si>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</si>
  <si>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</si>
  <si>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</si>
  <si>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</si>
  <si>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</si>
  <si>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</si>
  <si>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</si>
  <si>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</si>
  <si>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</si>
  <si>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</si>
  <si>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</si>
  <si>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</si>
  <si>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</si>
  <si>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</si>
  <si>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</si>
  <si>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</si>
  <si>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</si>
  <si>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</si>
  <si>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</si>
  <si>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</si>
  <si>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</si>
  <si>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</si>
  <si>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</si>
  <si>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</si>
  <si>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</si>
  <si>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</si>
  <si>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</si>
  <si>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</si>
  <si>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</si>
  <si>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</si>
  <si>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</si>
  <si>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</si>
  <si>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</si>
  <si>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</si>
  <si>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</si>
  <si>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</si>
  <si>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</si>
  <si>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</si>
  <si>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</si>
  <si>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</si>
  <si>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</si>
  <si>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</si>
  <si>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</si>
  <si>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</si>
  <si>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</si>
  <si>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</si>
  <si>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</si>
  <si>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</si>
  <si>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</si>
  <si>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311</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</si>
  <si>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</si>
  <si>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</si>
  <si>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</si>
  <si>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</si>
  <si>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</si>
  <si>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</si>
  <si>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</si>
  <si>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</si>
  <si>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</si>
  <si>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</si>
  <si>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</si>
  <si>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</si>
  <si>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</si>
  <si>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</si>
  <si>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</si>
  <si>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</si>
  <si>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</si>
  <si>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</si>
  <si>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</si>
  <si>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</si>
  <si>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</si>
  <si>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</si>
  <si>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</si>
  <si>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</si>
  <si>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</si>
  <si>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</si>
  <si>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</si>
  <si>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</si>
  <si>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</si>
  <si>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</si>
  <si>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</si>
  <si>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</si>
  <si>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</si>
  <si>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</si>
  <si>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</si>
  <si>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</si>
  <si>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</si>
  <si>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</si>
  <si>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</si>
  <si>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</si>
  <si>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</si>
  <si>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</si>
  <si>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</si>
  <si>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</si>
  <si>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</si>
  <si>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</si>
  <si>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</si>
  <si>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</si>
  <si>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</si>
  <si>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</si>
  <si>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</si>
  <si>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</si>
  <si>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</si>
  <si>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</si>
  <si>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</si>
  <si>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</si>
  <si>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</si>
  <si>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</si>
  <si>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</si>
  <si>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</si>
  <si>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</si>
  <si>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</si>
  <si>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</si>
  <si>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</si>
  <si>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</si>
  <si>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</si>
  <si>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</si>
  <si>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</si>
  <si>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</si>
  <si>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</si>
  <si>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</si>
  <si>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</si>
  <si>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</si>
  <si>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</si>
  <si>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</si>
  <si>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</si>
  <si>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</si>
  <si>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</si>
  <si>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</si>
  <si>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</si>
  <si>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</si>
  <si>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</si>
  <si>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</si>
  <si>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</si>
  <si>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</si>
  <si>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</si>
  <si>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</si>
  <si>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</si>
  <si>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</si>
  <si>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</si>
  <si>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</si>
  <si>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</si>
  <si>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</si>
  <si>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223</t>
  </si>
  <si>
    <t>2:48.25</t>
  </si>
  <si>
    <t>3:04.184</t>
  </si>
  <si>
    <t>2:36.122</t>
  </si>
  <si>
    <t>3:04.284</t>
  </si>
  <si>
    <t>3:27.15</t>
  </si>
  <si>
    <t>3:25.35</t>
  </si>
  <si>
    <t>3:41.721</t>
  </si>
  <si>
    <t>2:47.87</t>
  </si>
  <si>
    <t>2:43.81</t>
  </si>
  <si>
    <t>2:09.78</t>
  </si>
  <si>
    <t>1:13.93</t>
  </si>
  <si>
    <t>1:06.48</t>
  </si>
  <si>
    <t>2:07.360</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</si>
  <si>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</si>
  <si>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</si>
  <si>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</si>
  <si>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</si>
  <si>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</si>
  <si>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</si>
  <si>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</si>
  <si>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</si>
  <si>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</si>
  <si>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</si>
  <si>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</si>
  <si>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</si>
  <si>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</si>
  <si>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</si>
  <si>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</si>
  <si>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</si>
  <si>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</si>
  <si>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</si>
  <si>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</si>
  <si>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</si>
  <si>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</si>
  <si>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</si>
  <si>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</si>
  <si>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</si>
  <si>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</si>
  <si>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</si>
  <si>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</si>
  <si>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</si>
  <si>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</si>
  <si>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</si>
  <si>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</si>
  <si>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</si>
  <si>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</si>
  <si>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165</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</si>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</sst>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3" Type="http://schemas.openxmlformats.org/officeDocument/2006/relationships/vmlDrawing" Target="../drawings/vmlDrawing5.vml"/><Relationship Id="rId302" Type="http://schemas.openxmlformats.org/officeDocument/2006/relationships/drawing" Target="../drawings/drawing6.xml"/><Relationship Id="rId301" Type="http://schemas.openxmlformats.org/officeDocument/2006/relationships/hyperlink" Target="https://youtu.be/TYxPXYNzxLg" TargetMode="External"/><Relationship Id="rId300" Type="http://schemas.openxmlformats.org/officeDocument/2006/relationships/hyperlink" Target="https://youtu.be/1TLjqVZQXy4" TargetMode="External"/><Relationship Id="rId327" Type="http://schemas.openxmlformats.org/officeDocument/2006/relationships/table" Target="../tables/table44.xml"/><Relationship Id="rId326" Type="http://schemas.openxmlformats.org/officeDocument/2006/relationships/table" Target="../tables/table43.xml"/><Relationship Id="rId325" Type="http://schemas.openxmlformats.org/officeDocument/2006/relationships/table" Target="../tables/table42.xml"/><Relationship Id="rId324" Type="http://schemas.openxmlformats.org/officeDocument/2006/relationships/table" Target="../tables/table41.xml"/><Relationship Id="rId323" Type="http://schemas.openxmlformats.org/officeDocument/2006/relationships/table" Target="../tables/table40.xml"/><Relationship Id="rId322" Type="http://schemas.openxmlformats.org/officeDocument/2006/relationships/table" Target="../tables/table39.xml"/><Relationship Id="rId321" Type="http://schemas.openxmlformats.org/officeDocument/2006/relationships/table" Target="../tables/table38.xml"/><Relationship Id="rId320" Type="http://schemas.openxmlformats.org/officeDocument/2006/relationships/table" Target="../tables/table37.xml"/><Relationship Id="rId316" Type="http://schemas.openxmlformats.org/officeDocument/2006/relationships/table" Target="../tables/table33.xml"/><Relationship Id="rId319" Type="http://schemas.openxmlformats.org/officeDocument/2006/relationships/table" Target="../tables/table36.xml"/><Relationship Id="rId318" Type="http://schemas.openxmlformats.org/officeDocument/2006/relationships/table" Target="../tables/table35.xml"/><Relationship Id="rId317" Type="http://schemas.openxmlformats.org/officeDocument/2006/relationships/table" Target="../tables/table34.xml"/><Relationship Id="rId297" Type="http://schemas.openxmlformats.org/officeDocument/2006/relationships/hyperlink" Target="https://www.twitch.tv/videos/1841255945" TargetMode="External"/><Relationship Id="rId296" Type="http://schemas.openxmlformats.org/officeDocument/2006/relationships/hyperlink" Target="https://youtu.be/-Adjzi2o1ME" TargetMode="External"/><Relationship Id="rId295" Type="http://schemas.openxmlformats.org/officeDocument/2006/relationships/hyperlink" Target="https://youtu.be/jg5k9ywf-1I" TargetMode="External"/><Relationship Id="rId294" Type="http://schemas.openxmlformats.org/officeDocument/2006/relationships/hyperlink" Target="https://www.youtube.com/watch?v=geI-nokU_b8" TargetMode="External"/><Relationship Id="rId299" Type="http://schemas.openxmlformats.org/officeDocument/2006/relationships/hyperlink" Target="https://youtu.be/CTF6IRcMya0" TargetMode="External"/><Relationship Id="rId298" Type="http://schemas.openxmlformats.org/officeDocument/2006/relationships/hyperlink" Target="https://www.twitch.tv/videos/987882405" TargetMode="External"/><Relationship Id="rId271" Type="http://schemas.openxmlformats.org/officeDocument/2006/relationships/hyperlink" Target="https://youtu.be/BokNxn7JKSw" TargetMode="External"/><Relationship Id="rId270" Type="http://schemas.openxmlformats.org/officeDocument/2006/relationships/hyperlink" Target="https://youtu.be/CdmEy0CTSUs" TargetMode="External"/><Relationship Id="rId269" Type="http://schemas.openxmlformats.org/officeDocument/2006/relationships/hyperlink" Target="https://clips.twitch.tv/NeighborlyPuzzledSagePermaSmug-zz9_X2MingO1n-Hx" TargetMode="External"/><Relationship Id="rId264" Type="http://schemas.openxmlformats.org/officeDocument/2006/relationships/hyperlink" Target="https://clips.twitch.tv/SpeedyObedientTrayTwitchRaid-IUBzYaF_dOFFl1D7" TargetMode="External"/><Relationship Id="rId263" Type="http://schemas.openxmlformats.org/officeDocument/2006/relationships/hyperlink" Target="https://www.twitch.tv/videos/918556631" TargetMode="External"/><Relationship Id="rId262" Type="http://schemas.openxmlformats.org/officeDocument/2006/relationships/hyperlink" Target="https://www.twitch.tv/videos/1110672226" TargetMode="External"/><Relationship Id="rId261" Type="http://schemas.openxmlformats.org/officeDocument/2006/relationships/hyperlink" Target="https://www.twitch.tv/videos/793513590" TargetMode="External"/><Relationship Id="rId268" Type="http://schemas.openxmlformats.org/officeDocument/2006/relationships/hyperlink" Target="https://youtu.be/lSApUL_xsJk" TargetMode="External"/><Relationship Id="rId267" Type="http://schemas.openxmlformats.org/officeDocument/2006/relationships/hyperlink" Target="https://youtu.be/fYx-OXIquf8" TargetMode="External"/><Relationship Id="rId266" Type="http://schemas.openxmlformats.org/officeDocument/2006/relationships/hyperlink" Target="https://youtu.be/wugopZ8KIhM" TargetMode="External"/><Relationship Id="rId265" Type="http://schemas.openxmlformats.org/officeDocument/2006/relationships/hyperlink" Target="https://clips.twitch.tv/VainDepressedMooseDatBoi" TargetMode="External"/><Relationship Id="rId260" Type="http://schemas.openxmlformats.org/officeDocument/2006/relationships/hyperlink" Target="https://clips.twitch.tv/AntediluvianSpunkyMonkeyKeyboardCat" TargetMode="External"/><Relationship Id="rId259" Type="http://schemas.openxmlformats.org/officeDocument/2006/relationships/hyperlink" Target="https://youtu.be/MzBDzcfjg-I" TargetMode="External"/><Relationship Id="rId258" Type="http://schemas.openxmlformats.org/officeDocument/2006/relationships/hyperlink" Target="https://youtu.be/YOOf_mVEwEs" TargetMode="External"/><Relationship Id="rId253" Type="http://schemas.openxmlformats.org/officeDocument/2006/relationships/hyperlink" Target="https://youtu.be/-RLBStYcFT0" TargetMode="External"/><Relationship Id="rId252" Type="http://schemas.openxmlformats.org/officeDocument/2006/relationships/hyperlink" Target="https://youtu.be/1yj1sq69K5E" TargetMode="External"/><Relationship Id="rId251" Type="http://schemas.openxmlformats.org/officeDocument/2006/relationships/hyperlink" Target="https://youtu.be/JT2r0BCPtSQ" TargetMode="External"/><Relationship Id="rId250" Type="http://schemas.openxmlformats.org/officeDocument/2006/relationships/hyperlink" Target="https://youtu.be/qMRqCni_obU" TargetMode="External"/><Relationship Id="rId257" Type="http://schemas.openxmlformats.org/officeDocument/2006/relationships/hyperlink" Target="https://www.twitch.tv/videos/885940624" TargetMode="External"/><Relationship Id="rId256" Type="http://schemas.openxmlformats.org/officeDocument/2006/relationships/hyperlink" Target="https://www.twitch.tv/videos/853440137" TargetMode="External"/><Relationship Id="rId255" Type="http://schemas.openxmlformats.org/officeDocument/2006/relationships/hyperlink" Target="https://www.twitch.tv/videos/871331205" TargetMode="External"/><Relationship Id="rId254" Type="http://schemas.openxmlformats.org/officeDocument/2006/relationships/hyperlink" Target="https://www.twitch.tv/videos/871284163" TargetMode="External"/><Relationship Id="rId293" Type="http://schemas.openxmlformats.org/officeDocument/2006/relationships/hyperlink" Target="https://clips.twitch.tv/GrotesqueAgitatedEyeballPeteZaroll" TargetMode="External"/><Relationship Id="rId292" Type="http://schemas.openxmlformats.org/officeDocument/2006/relationships/hyperlink" Target="https://youtu.be/bp4E5fVK69A?si=trpb3FFvZsRASTlt" TargetMode="External"/><Relationship Id="rId291" Type="http://schemas.openxmlformats.org/officeDocument/2006/relationships/hyperlink" Target="https://www.twitch.tv/videos/538922789" TargetMode="External"/><Relationship Id="rId290" Type="http://schemas.openxmlformats.org/officeDocument/2006/relationships/hyperlink" Target="https://www.twitch.tv/videos/991533932" TargetMode="External"/><Relationship Id="rId286" Type="http://schemas.openxmlformats.org/officeDocument/2006/relationships/hyperlink" Target="https://www.twitch.tv/videos/2032751110" TargetMode="External"/><Relationship Id="rId285" Type="http://schemas.openxmlformats.org/officeDocument/2006/relationships/hyperlink" Target="https://www.youtube.com/watch?v=3LDgf3IJYiQ" TargetMode="External"/><Relationship Id="rId284" Type="http://schemas.openxmlformats.org/officeDocument/2006/relationships/hyperlink" Target="https://youtu.be/Cvfcc1rdjgY" TargetMode="External"/><Relationship Id="rId283" Type="http://schemas.openxmlformats.org/officeDocument/2006/relationships/hyperlink" Target="https://www.twitch.tv/videos/1033622780" TargetMode="External"/><Relationship Id="rId289" Type="http://schemas.openxmlformats.org/officeDocument/2006/relationships/hyperlink" Target="https://youtu.be/gMuZqHQOJ10" TargetMode="External"/><Relationship Id="rId288" Type="http://schemas.openxmlformats.org/officeDocument/2006/relationships/hyperlink" Target="https://youtu.be/ORhDo64WxW8" TargetMode="External"/><Relationship Id="rId287" Type="http://schemas.openxmlformats.org/officeDocument/2006/relationships/hyperlink" Target="https://clips.twitch.tv/SteamyJoyousFinchVoteYea-cuE_n1DB2HJNqFXi" TargetMode="External"/><Relationship Id="rId282" Type="http://schemas.openxmlformats.org/officeDocument/2006/relationships/hyperlink" Target="https://www.twitch.tv/videos/1033616376" TargetMode="External"/><Relationship Id="rId281" Type="http://schemas.openxmlformats.org/officeDocument/2006/relationships/hyperlink" Target="https://www.youtube.com/watch?v=8fq-kj5vJsg" TargetMode="External"/><Relationship Id="rId280" Type="http://schemas.openxmlformats.org/officeDocument/2006/relationships/hyperlink" Target="https://www.youtube.com/watch?v=xCcstN1urLM" TargetMode="External"/><Relationship Id="rId275" Type="http://schemas.openxmlformats.org/officeDocument/2006/relationships/hyperlink" Target="https://youtu.be/o-f5zXYMgDw" TargetMode="External"/><Relationship Id="rId274" Type="http://schemas.openxmlformats.org/officeDocument/2006/relationships/hyperlink" Target="https://youtu.be/L8KC10KJkSo" TargetMode="External"/><Relationship Id="rId273" Type="http://schemas.openxmlformats.org/officeDocument/2006/relationships/hyperlink" Target="https://youtu.be/7TnlhMZVrAE" TargetMode="External"/><Relationship Id="rId272" Type="http://schemas.openxmlformats.org/officeDocument/2006/relationships/hyperlink" Target="https://youtu.be/ISg4n5gMmmQ" TargetMode="External"/><Relationship Id="rId279" Type="http://schemas.openxmlformats.org/officeDocument/2006/relationships/hyperlink" Target="https://youtu.be/N7vdXJJDNHw" TargetMode="External"/><Relationship Id="rId278" Type="http://schemas.openxmlformats.org/officeDocument/2006/relationships/hyperlink" Target="https://clips.twitch.tv/CloudyTameSandwichFloof" TargetMode="External"/><Relationship Id="rId277" Type="http://schemas.openxmlformats.org/officeDocument/2006/relationships/hyperlink" Target="https://clips.twitch.tv/CredulousGloriousOcelotKappaWealth" TargetMode="External"/><Relationship Id="rId276" Type="http://schemas.openxmlformats.org/officeDocument/2006/relationships/hyperlink" Target="https://youtu.be/fUdSxtmkG4s" TargetMode="External"/><Relationship Id="rId228" Type="http://schemas.openxmlformats.org/officeDocument/2006/relationships/hyperlink" Target="https://www.twitch.tv/videos/2608495333" TargetMode="External"/><Relationship Id="rId227" Type="http://schemas.openxmlformats.org/officeDocument/2006/relationships/hyperlink" Target="https://www.youtube.com/watch?v=OMeTQGkVxfk" TargetMode="External"/><Relationship Id="rId226" Type="http://schemas.openxmlformats.org/officeDocument/2006/relationships/hyperlink" Target="https://youtu.be/_bSiI9Y8hnE" TargetMode="External"/><Relationship Id="rId225" Type="http://schemas.openxmlformats.org/officeDocument/2006/relationships/hyperlink" Target="https://youtu.be/uv3UvOzLLRc" TargetMode="External"/><Relationship Id="rId229" Type="http://schemas.openxmlformats.org/officeDocument/2006/relationships/hyperlink" Target="https://www.youtube.com/watch?v=a3ciJFitefg" TargetMode="External"/><Relationship Id="rId220" Type="http://schemas.openxmlformats.org/officeDocument/2006/relationships/hyperlink" Target="https://youtu.be/SwRBC6MocXg" TargetMode="External"/><Relationship Id="rId224" Type="http://schemas.openxmlformats.org/officeDocument/2006/relationships/hyperlink" Target="https://youtu.be/U2h7aamwRXs" TargetMode="External"/><Relationship Id="rId223" Type="http://schemas.openxmlformats.org/officeDocument/2006/relationships/hyperlink" Target="https://youtu.be/GQizq4VeGtM" TargetMode="External"/><Relationship Id="rId222" Type="http://schemas.openxmlformats.org/officeDocument/2006/relationships/hyperlink" Target="https://youtu.be/fIDMly3bGq8" TargetMode="External"/><Relationship Id="rId221" Type="http://schemas.openxmlformats.org/officeDocument/2006/relationships/hyperlink" Target="https://www.youtube.com/watch?v=cY4UAY0wuck" TargetMode="External"/><Relationship Id="rId217" Type="http://schemas.openxmlformats.org/officeDocument/2006/relationships/hyperlink" Target="https://www.youtube.com/watch?v=rcAi7l6-JnI" TargetMode="External"/><Relationship Id="rId216" Type="http://schemas.openxmlformats.org/officeDocument/2006/relationships/hyperlink" Target="https://www.youtube.com/watch?v=EEMqqju65rY" TargetMode="External"/><Relationship Id="rId215" Type="http://schemas.openxmlformats.org/officeDocument/2006/relationships/hyperlink" Target="https://clips.twitch.tv/GloriousObliviousTubersPhilosoraptor" TargetMode="External"/><Relationship Id="rId214" Type="http://schemas.openxmlformats.org/officeDocument/2006/relationships/hyperlink" Target="https://www.youtube.com/watch?v=yysm1Nwi6Oc" TargetMode="External"/><Relationship Id="rId219" Type="http://schemas.openxmlformats.org/officeDocument/2006/relationships/hyperlink" Target="https://youtu.be/Qu8uGbGvejM" TargetMode="External"/><Relationship Id="rId218" Type="http://schemas.openxmlformats.org/officeDocument/2006/relationships/hyperlink" Target="https://www.youtube.com/watch?v=A82NEJ2Rt4Q" TargetMode="External"/><Relationship Id="rId213" Type="http://schemas.openxmlformats.org/officeDocument/2006/relationships/hyperlink" Target="https://www.twitch.tv/videos/1028770481" TargetMode="External"/><Relationship Id="rId212" Type="http://schemas.openxmlformats.org/officeDocument/2006/relationships/hyperlink" Target="https://youtu.be/RgUras9a4nU?si=-v86-NOlz6JVF6HR" TargetMode="External"/><Relationship Id="rId211" Type="http://schemas.openxmlformats.org/officeDocument/2006/relationships/hyperlink" Target="https://www.youtube.com/watch?v=yBc3XoX39zw" TargetMode="External"/><Relationship Id="rId210" Type="http://schemas.openxmlformats.org/officeDocument/2006/relationships/hyperlink" Target="https://youtu.be/bB75u301Ees" TargetMode="External"/><Relationship Id="rId249" Type="http://schemas.openxmlformats.org/officeDocument/2006/relationships/hyperlink" Target="https://youtu.be/aQbm8ue82IY" TargetMode="External"/><Relationship Id="rId248" Type="http://schemas.openxmlformats.org/officeDocument/2006/relationships/hyperlink" Target="https://youtu.be/nkNseVsL1KE?si=2D2oOR3PCRWkiqP5" TargetMode="External"/><Relationship Id="rId247" Type="http://schemas.openxmlformats.org/officeDocument/2006/relationships/hyperlink" Target="https://youtu.be/Nq2minuqvwE" TargetMode="External"/><Relationship Id="rId242" Type="http://schemas.openxmlformats.org/officeDocument/2006/relationships/hyperlink" Target="https://www.youtube.com/watch?v=Wcsp_zkyYlg" TargetMode="External"/><Relationship Id="rId241" Type="http://schemas.openxmlformats.org/officeDocument/2006/relationships/hyperlink" Target="https://www.youtube.com/watch?v=lN-uU0AEkPk" TargetMode="External"/><Relationship Id="rId240" Type="http://schemas.openxmlformats.org/officeDocument/2006/relationships/hyperlink" Target="https://www.twitch.tv/videos/2605868059" TargetMode="External"/><Relationship Id="rId246" Type="http://schemas.openxmlformats.org/officeDocument/2006/relationships/hyperlink" Target="https://youtu.be/M-HJ4DgMATU?t=5" TargetMode="External"/><Relationship Id="rId245" Type="http://schemas.openxmlformats.org/officeDocument/2006/relationships/hyperlink" Target="https://youtu.be/SIe7REnh62A" TargetMode="External"/><Relationship Id="rId244" Type="http://schemas.openxmlformats.org/officeDocument/2006/relationships/hyperlink" Target="https://youtu.be/q3aU-MA82kY" TargetMode="External"/><Relationship Id="rId243" Type="http://schemas.openxmlformats.org/officeDocument/2006/relationships/hyperlink" Target="https://youtu.be/GTeTm-cZ_VE?t=7"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twitch.tv/videos/2616247250" TargetMode="External"/><Relationship Id="rId237" Type="http://schemas.openxmlformats.org/officeDocument/2006/relationships/hyperlink" Target="https://www.twitch.tv/videos/2616258976" TargetMode="External"/><Relationship Id="rId236" Type="http://schemas.openxmlformats.org/officeDocument/2006/relationships/hyperlink" Target="https://www.twitch.tv/videos/2616229194" TargetMode="External"/><Relationship Id="rId231" Type="http://schemas.openxmlformats.org/officeDocument/2006/relationships/hyperlink" Target="https://www.youtube.com/watch?v=sIN04uhfY0w" TargetMode="External"/><Relationship Id="rId230" Type="http://schemas.openxmlformats.org/officeDocument/2006/relationships/hyperlink" Target="https://www.twitch.tv/videos/2616224762" TargetMode="External"/><Relationship Id="rId235" Type="http://schemas.openxmlformats.org/officeDocument/2006/relationships/hyperlink" Target="https://www.twitch.tv/videos/2616253829" TargetMode="External"/><Relationship Id="rId234" Type="http://schemas.openxmlformats.org/officeDocument/2006/relationships/hyperlink" Target="https://www.youtube.com/watch?v=IUrLuXCnVlk" TargetMode="External"/><Relationship Id="rId233" Type="http://schemas.openxmlformats.org/officeDocument/2006/relationships/hyperlink" Target="https://www.twitch.tv/videos/2609260047" TargetMode="External"/><Relationship Id="rId232" Type="http://schemas.openxmlformats.org/officeDocument/2006/relationships/hyperlink" Target="https://www.twitch.tv/videos/2609253684" TargetMode="External"/><Relationship Id="rId206" Type="http://schemas.openxmlformats.org/officeDocument/2006/relationships/hyperlink" Target="https://youtu.be/TtIz-UVhJNs" TargetMode="External"/><Relationship Id="rId205" Type="http://schemas.openxmlformats.org/officeDocument/2006/relationships/hyperlink" Target="https://youtu.be/fMsk0Hfzwxc" TargetMode="External"/><Relationship Id="rId204" Type="http://schemas.openxmlformats.org/officeDocument/2006/relationships/hyperlink" Target="https://youtu.be/1HrkPS0qeYY" TargetMode="External"/><Relationship Id="rId203" Type="http://schemas.openxmlformats.org/officeDocument/2006/relationships/hyperlink" Target="https://discord.com/channels/715421729199226920/715425867802607656/817250698835656734" TargetMode="External"/><Relationship Id="rId209" Type="http://schemas.openxmlformats.org/officeDocument/2006/relationships/hyperlink" Target="https://youtu.be/A05e4h1D9Hc" TargetMode="External"/><Relationship Id="rId208" Type="http://schemas.openxmlformats.org/officeDocument/2006/relationships/hyperlink" Target="https://youtu.be/buFrAgcL6f4" TargetMode="External"/><Relationship Id="rId207" Type="http://schemas.openxmlformats.org/officeDocument/2006/relationships/hyperlink" Target="https://youtu.be/CQ13Tj0lUko" TargetMode="External"/><Relationship Id="rId202" Type="http://schemas.openxmlformats.org/officeDocument/2006/relationships/hyperlink" Target="https://youtu.be/QQy-SAuK_rg" TargetMode="External"/><Relationship Id="rId201" Type="http://schemas.openxmlformats.org/officeDocument/2006/relationships/hyperlink" Target="https://youtu.be/hF83qoi7nyA" TargetMode="External"/><Relationship Id="rId200" Type="http://schemas.openxmlformats.org/officeDocument/2006/relationships/hyperlink" Target="https://youtu.be/iFZMmA950qs?si=fufCX2rZCr6MyZkl&amp;t=57"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clips.twitch.tv/SpikySmoggyLlamaFeelsBadMan" TargetMode="External"/><Relationship Id="rId194" Type="http://schemas.openxmlformats.org/officeDocument/2006/relationships/hyperlink" Target="https://www.twitch.tv/videos/1003781546" TargetMode="External"/><Relationship Id="rId193" Type="http://schemas.openxmlformats.org/officeDocument/2006/relationships/hyperlink" Target="https://youtu.be/95eCuiSlY14" TargetMode="External"/><Relationship Id="rId192" Type="http://schemas.openxmlformats.org/officeDocument/2006/relationships/hyperlink" Target="https://youtu.be/RW5bA_scAj0" TargetMode="External"/><Relationship Id="rId191" Type="http://schemas.openxmlformats.org/officeDocument/2006/relationships/hyperlink" Target="https://youtu.be/QMv0Ch1wRME" TargetMode="External"/><Relationship Id="rId187" Type="http://schemas.openxmlformats.org/officeDocument/2006/relationships/hyperlink" Target="https://youtu.be/cC0WR2XDqjU" TargetMode="External"/><Relationship Id="rId186" Type="http://schemas.openxmlformats.org/officeDocument/2006/relationships/hyperlink" Target="https://youtu.be/96rn7zZ8NTo" TargetMode="External"/><Relationship Id="rId185" Type="http://schemas.openxmlformats.org/officeDocument/2006/relationships/hyperlink" Target="https://youtu.be/6gK0PyqVQo4" TargetMode="External"/><Relationship Id="rId184" Type="http://schemas.openxmlformats.org/officeDocument/2006/relationships/hyperlink" Target="https://www.twitch.tv/videos/979484417" TargetMode="External"/><Relationship Id="rId189" Type="http://schemas.openxmlformats.org/officeDocument/2006/relationships/hyperlink" Target="https://clips.twitch.tv/SpunkyThoughtfulSamosaAllenHuhu-zTPAfQxOJjnuLZFX" TargetMode="External"/><Relationship Id="rId188" Type="http://schemas.openxmlformats.org/officeDocument/2006/relationships/hyperlink" Target="https://youtu.be/DYWqMSqniCA?si=zHtbi5b9lxL78X8K" TargetMode="External"/><Relationship Id="rId183" Type="http://schemas.openxmlformats.org/officeDocument/2006/relationships/hyperlink" Target="https://www.twitch.tv/videos/979483039" TargetMode="External"/><Relationship Id="rId182" Type="http://schemas.openxmlformats.org/officeDocument/2006/relationships/hyperlink" Target="https://youtu.be/-Ohqisa88zk" TargetMode="External"/><Relationship Id="rId181" Type="http://schemas.openxmlformats.org/officeDocument/2006/relationships/hyperlink" Target="https://www.twitch.tv/videos/945986789" TargetMode="External"/><Relationship Id="rId180" Type="http://schemas.openxmlformats.org/officeDocument/2006/relationships/hyperlink" Target="https://youtu.be/adfGqi7Kyp0"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LX0lO1bws2g" TargetMode="External"/><Relationship Id="rId178" Type="http://schemas.openxmlformats.org/officeDocument/2006/relationships/hyperlink" Target="https://youtu.be/3tlDTV92Frw" TargetMode="External"/><Relationship Id="rId177" Type="http://schemas.openxmlformats.org/officeDocument/2006/relationships/hyperlink" Target="https://youtu.be/418hKZDiUWU" TargetMode="External"/><Relationship Id="rId198" Type="http://schemas.openxmlformats.org/officeDocument/2006/relationships/hyperlink" Target="https://www.twitch.tv/videos/1005440285" TargetMode="External"/><Relationship Id="rId197" Type="http://schemas.openxmlformats.org/officeDocument/2006/relationships/hyperlink" Target="https://clips.twitch.tv/SuspiciousShakingWaterTwitchRaid--x0q-i_DNmYP3Iyb" TargetMode="External"/><Relationship Id="rId196" Type="http://schemas.openxmlformats.org/officeDocument/2006/relationships/hyperlink" Target="https://youtu.be/G3C3FqmCsQM" TargetMode="External"/><Relationship Id="rId195" Type="http://schemas.openxmlformats.org/officeDocument/2006/relationships/hyperlink" Target="https://youtu.be/nSbg3bvtqNo" TargetMode="External"/><Relationship Id="rId199" Type="http://schemas.openxmlformats.org/officeDocument/2006/relationships/hyperlink" Target="https://youtu.be/ARaHsr14x50?si=vQLryyEPecY3xCHi&amp;t=60" TargetMode="External"/><Relationship Id="rId150" Type="http://schemas.openxmlformats.org/officeDocument/2006/relationships/hyperlink" Target="https://youtu.be/x4k4NXiFRsQ" TargetMode="External"/><Relationship Id="rId149" Type="http://schemas.openxmlformats.org/officeDocument/2006/relationships/hyperlink" Target="https://youtu.be/KuYJ9zSk_k4" TargetMode="External"/><Relationship Id="rId148" Type="http://schemas.openxmlformats.org/officeDocument/2006/relationships/hyperlink" Target="https://youtu.be/S8JbWou2tHc" TargetMode="External"/><Relationship Id="rId143" Type="http://schemas.openxmlformats.org/officeDocument/2006/relationships/hyperlink" Target="https://youtu.be/cgC1dYdc4c0?t=53" TargetMode="External"/><Relationship Id="rId142" Type="http://schemas.openxmlformats.org/officeDocument/2006/relationships/hyperlink" Target="https://www.youtube.com/watch?v=ya_Dm6MfR3g" TargetMode="External"/><Relationship Id="rId141" Type="http://schemas.openxmlformats.org/officeDocument/2006/relationships/hyperlink" Target="https://youtu.be/kVrEnMDABM0" TargetMode="External"/><Relationship Id="rId140" Type="http://schemas.openxmlformats.org/officeDocument/2006/relationships/hyperlink" Target="https://www.youtube.com/watch?v=El5FZP0IphQ" TargetMode="External"/><Relationship Id="rId147" Type="http://schemas.openxmlformats.org/officeDocument/2006/relationships/hyperlink" Target="https://youtu.be/NI3Pboc4Asc" TargetMode="External"/><Relationship Id="rId146" Type="http://schemas.openxmlformats.org/officeDocument/2006/relationships/hyperlink" Target="https://youtu.be/xUr3zhGSslU?t=20" TargetMode="External"/><Relationship Id="rId145" Type="http://schemas.openxmlformats.org/officeDocument/2006/relationships/hyperlink" Target="https://youtu.be/A7Cqi8ORnoI" TargetMode="External"/><Relationship Id="rId144" Type="http://schemas.openxmlformats.org/officeDocument/2006/relationships/hyperlink" Target="https://youtu.be/WNduN6SN4nY" TargetMode="External"/><Relationship Id="rId139" Type="http://schemas.openxmlformats.org/officeDocument/2006/relationships/hyperlink" Target="https://youtu.be/WvdOcNTJwy8" TargetMode="External"/><Relationship Id="rId138" Type="http://schemas.openxmlformats.org/officeDocument/2006/relationships/hyperlink" Target="https://www.youtube.com/watch?reload=9&amp;v=spyJS8AJS-o" TargetMode="External"/><Relationship Id="rId137" Type="http://schemas.openxmlformats.org/officeDocument/2006/relationships/hyperlink" Target="https://youtu.be/dsNZji3alLw" TargetMode="External"/><Relationship Id="rId132" Type="http://schemas.openxmlformats.org/officeDocument/2006/relationships/hyperlink" Target="https://youtu.be/A04BJsGCXao" TargetMode="External"/><Relationship Id="rId131" Type="http://schemas.openxmlformats.org/officeDocument/2006/relationships/hyperlink" Target="https://youtu.be/Tn7oh1WvDGc" TargetMode="External"/><Relationship Id="rId130" Type="http://schemas.openxmlformats.org/officeDocument/2006/relationships/hyperlink" Target="https://youtu.be/lFLyrti2sds" TargetMode="External"/><Relationship Id="rId136" Type="http://schemas.openxmlformats.org/officeDocument/2006/relationships/hyperlink" Target="https://youtu.be/FUJHxWIIHKw" TargetMode="External"/><Relationship Id="rId135" Type="http://schemas.openxmlformats.org/officeDocument/2006/relationships/hyperlink" Target="https://youtu.be/0OLBXI8fp1s" TargetMode="External"/><Relationship Id="rId134" Type="http://schemas.openxmlformats.org/officeDocument/2006/relationships/hyperlink" Target="https://youtu.be/fCGuJamdZIE" TargetMode="External"/><Relationship Id="rId133" Type="http://schemas.openxmlformats.org/officeDocument/2006/relationships/hyperlink" Target="https://youtu.be/A0iGewjnyBw"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27nIIDzpGjc" TargetMode="External"/><Relationship Id="rId153" Type="http://schemas.openxmlformats.org/officeDocument/2006/relationships/hyperlink" Target="https://youtu.be/yPVi_6V0T9Y" TargetMode="External"/><Relationship Id="rId152" Type="http://schemas.openxmlformats.org/officeDocument/2006/relationships/hyperlink" Target="https://youtu.be/kvMJVczfkbI" TargetMode="External"/><Relationship Id="rId151" Type="http://schemas.openxmlformats.org/officeDocument/2006/relationships/hyperlink" Target="https://youtu.be/gEbeYAr85MI" TargetMode="External"/><Relationship Id="rId158" Type="http://schemas.openxmlformats.org/officeDocument/2006/relationships/hyperlink" Target="https://youtu.be/9zhU5Ii7fsA" TargetMode="External"/><Relationship Id="rId157" Type="http://schemas.openxmlformats.org/officeDocument/2006/relationships/hyperlink" Target="https://youtu.be/DTRsomXJR-s" TargetMode="External"/><Relationship Id="rId156" Type="http://schemas.openxmlformats.org/officeDocument/2006/relationships/hyperlink" Target="https://youtu.be/OCpM515vPjg" TargetMode="External"/><Relationship Id="rId155" Type="http://schemas.openxmlformats.org/officeDocument/2006/relationships/hyperlink" Target="https://youtu.be/E89EVfWR4mk"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5MMD-oAXhw4"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uriousSpunkyPoultryArgieB8-cNq8aT58YUXE84qE" TargetMode="External"/><Relationship Id="rId128" Type="http://schemas.openxmlformats.org/officeDocument/2006/relationships/hyperlink" Target="https://www.twitch.tv/powonateur/clip/CrepuscularEphemeralWasabiPrimeMe-MciZ1gdSicTud6-t" TargetMode="External"/><Relationship Id="rId127" Type="http://schemas.openxmlformats.org/officeDocument/2006/relationships/hyperlink" Target="https://www.twitch.tv/powonateur/clip/CoyCrunchyOpossumBIRB-dF7ayokryJENBZfa"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www.twitch.tv/powonateur/clip/DependableSlickPotPeoplesChamp-eBEGv00_u9Q_vrcU"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5704</v>
      </c>
      <c r="AD129" s="260" t="s">
        <v>5705</v>
      </c>
      <c r="AE129" s="615"/>
      <c r="AF129" s="260"/>
      <c r="AG129" s="260"/>
      <c r="AH129" s="615"/>
      <c r="AI129" s="615"/>
      <c r="AJ129" s="260"/>
      <c r="AK129" s="615"/>
      <c r="AL129" s="567"/>
      <c r="AM129" s="260"/>
      <c r="AN129" s="260"/>
      <c r="AO129" s="616" t="s">
        <v>5706</v>
      </c>
      <c r="AP129" s="616"/>
      <c r="AQ129" s="616"/>
      <c r="AR129" s="616"/>
      <c r="AS129" s="615"/>
      <c r="AT129" s="615"/>
      <c r="AU129" s="260"/>
      <c r="AV129" s="260" t="s">
        <v>5707</v>
      </c>
      <c r="AW129" s="260"/>
      <c r="AX129" s="615"/>
      <c r="AY129" s="616" t="s">
        <v>836</v>
      </c>
      <c r="AZ129" s="615"/>
      <c r="BA129" s="615"/>
      <c r="BB129" s="260"/>
      <c r="BC129" s="260" t="s">
        <v>3863</v>
      </c>
      <c r="BD129" s="260"/>
      <c r="BE129" s="260" t="s">
        <v>5708</v>
      </c>
      <c r="BF129" s="260" t="s">
        <v>5709</v>
      </c>
      <c r="BG129" s="260"/>
      <c r="BH129" s="615"/>
      <c r="BI129" s="260" t="s">
        <v>1475</v>
      </c>
      <c r="BJ129" s="615"/>
      <c r="BK129" s="260" t="s">
        <v>5710</v>
      </c>
      <c r="BL129" s="260"/>
      <c r="BM129" s="615"/>
      <c r="BN129" s="615"/>
      <c r="BO129" s="260" t="s">
        <v>5711</v>
      </c>
      <c r="BP129" s="615"/>
      <c r="BQ129" s="617"/>
      <c r="BR129" s="260"/>
      <c r="BS129" s="260" t="s">
        <v>5712</v>
      </c>
      <c r="BT129" s="260" t="s">
        <v>3909</v>
      </c>
      <c r="BU129" s="260" t="s">
        <v>1497</v>
      </c>
      <c r="BV129" s="260" t="s">
        <v>5501</v>
      </c>
      <c r="BW129" s="260" t="s">
        <v>5713</v>
      </c>
      <c r="BX129" s="615"/>
      <c r="BY129" s="260"/>
      <c r="BZ129" s="260"/>
      <c r="CA129" s="260"/>
      <c r="CB129" s="616" t="s">
        <v>5714</v>
      </c>
      <c r="CC129" s="616" t="s">
        <v>5715</v>
      </c>
      <c r="CD129" s="616"/>
      <c r="CE129" s="615"/>
      <c r="CF129" s="617"/>
      <c r="CG129" s="260" t="s">
        <v>5716</v>
      </c>
      <c r="CH129" s="260" t="s">
        <v>5717</v>
      </c>
      <c r="CI129" s="260" t="s">
        <v>5718</v>
      </c>
      <c r="CJ129" s="260" t="s">
        <v>5719</v>
      </c>
      <c r="CK129" s="260" t="s">
        <v>5720</v>
      </c>
      <c r="CL129" s="260"/>
      <c r="CM129" s="260"/>
      <c r="CN129" s="260" t="s">
        <v>5721</v>
      </c>
      <c r="CO129" s="618">
        <v>19.7</v>
      </c>
      <c r="CP129" s="619"/>
      <c r="CQ129" s="615"/>
      <c r="CR129" s="615"/>
      <c r="CS129" s="615"/>
      <c r="CT129" s="615"/>
      <c r="CU129" s="579"/>
      <c r="CV129" s="260" t="s">
        <v>5494</v>
      </c>
      <c r="CW129" s="260" t="s">
        <v>4541</v>
      </c>
      <c r="CX129" s="260" t="s">
        <v>5722</v>
      </c>
      <c r="CY129" s="260" t="s">
        <v>5723</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5724</v>
      </c>
      <c r="B130" s="104" t="s">
        <v>5725</v>
      </c>
      <c r="C130" s="105" t="s">
        <v>1258</v>
      </c>
      <c r="D130" s="106" t="s">
        <v>548</v>
      </c>
      <c r="E130" s="107" t="s">
        <v>1258</v>
      </c>
      <c r="F130" s="108" t="s">
        <v>548</v>
      </c>
      <c r="G130" s="104" t="s">
        <v>5627</v>
      </c>
      <c r="H130" s="441"/>
      <c r="I130" s="450" t="s">
        <v>5726</v>
      </c>
      <c r="J130" s="441" t="s">
        <v>1933</v>
      </c>
      <c r="K130" s="441" t="s">
        <v>4051</v>
      </c>
      <c r="L130" s="441" t="s">
        <v>5727</v>
      </c>
      <c r="M130" s="441"/>
      <c r="N130" s="441" t="s">
        <v>5728</v>
      </c>
      <c r="O130" s="441" t="s">
        <v>348</v>
      </c>
      <c r="P130" s="441" t="s">
        <v>3141</v>
      </c>
      <c r="Q130" s="243"/>
      <c r="R130" s="243"/>
      <c r="S130" s="243"/>
      <c r="T130" s="243"/>
      <c r="U130" s="243"/>
      <c r="V130" s="243"/>
      <c r="W130" s="92"/>
      <c r="X130" s="117" t="s">
        <v>5729</v>
      </c>
      <c r="Y130" s="117"/>
      <c r="Z130" s="117" t="s">
        <v>3136</v>
      </c>
      <c r="AA130" s="117" t="s">
        <v>5095</v>
      </c>
      <c r="AB130" s="352" t="s">
        <v>5730</v>
      </c>
      <c r="AC130" s="117" t="s">
        <v>5731</v>
      </c>
      <c r="AD130" s="117" t="s">
        <v>362</v>
      </c>
      <c r="AE130" s="246"/>
      <c r="AF130" s="117"/>
      <c r="AG130" s="117" t="s">
        <v>5732</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5733</v>
      </c>
      <c r="BM130" s="173"/>
      <c r="BN130" s="173"/>
      <c r="BO130" s="353"/>
      <c r="BP130" s="173"/>
      <c r="BQ130" s="249"/>
      <c r="BR130" s="131"/>
      <c r="BS130" s="131" t="s">
        <v>5018</v>
      </c>
      <c r="BT130" s="131" t="s">
        <v>3768</v>
      </c>
      <c r="BU130" s="131"/>
      <c r="BV130" s="131"/>
      <c r="BW130" s="131" t="s">
        <v>5734</v>
      </c>
      <c r="BX130" s="252"/>
      <c r="BY130" s="131" t="s">
        <v>5735</v>
      </c>
      <c r="BZ130" s="131"/>
      <c r="CA130" s="131"/>
      <c r="CB130" s="252"/>
      <c r="CC130" s="252"/>
      <c r="CD130" s="175" t="s">
        <v>5195</v>
      </c>
      <c r="CE130" s="252"/>
      <c r="CF130" s="253"/>
      <c r="CG130" s="136"/>
      <c r="CH130" s="136" t="s">
        <v>5736</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5737</v>
      </c>
      <c r="CZ130" s="285"/>
      <c r="DA130" s="285" t="s">
        <v>694</v>
      </c>
      <c r="DB130" s="285" t="s">
        <v>5738</v>
      </c>
      <c r="DC130" s="285" t="s">
        <v>896</v>
      </c>
      <c r="DD130" s="256"/>
      <c r="DE130" s="256"/>
      <c r="DF130" s="256"/>
      <c r="DG130" s="256"/>
      <c r="DH130" s="257"/>
      <c r="DI130" s="206"/>
      <c r="DJ130" s="258"/>
      <c r="DK130" s="258"/>
      <c r="DL130" s="206"/>
      <c r="DM130" s="179" t="s">
        <v>180</v>
      </c>
      <c r="DN130" s="206"/>
      <c r="DO130" s="258"/>
      <c r="DP130" s="258"/>
      <c r="DQ130" s="258"/>
      <c r="DR130" s="206"/>
      <c r="DS130" s="206" t="s">
        <v>5739</v>
      </c>
      <c r="DT130" s="258"/>
      <c r="DU130" s="206"/>
      <c r="DV130" s="258"/>
      <c r="DW130" s="258"/>
      <c r="DX130" s="258"/>
      <c r="DY130" s="258"/>
      <c r="DZ130" s="258"/>
      <c r="EA130" s="206"/>
      <c r="EB130" s="258"/>
      <c r="EC130" s="258"/>
      <c r="ED130" s="287"/>
    </row>
    <row r="131">
      <c r="A131" s="621" t="s">
        <v>5740</v>
      </c>
      <c r="B131" s="82" t="s">
        <v>5741</v>
      </c>
      <c r="C131" s="83" t="s">
        <v>1258</v>
      </c>
      <c r="D131" s="84" t="s">
        <v>1258</v>
      </c>
      <c r="E131" s="85" t="s">
        <v>1258</v>
      </c>
      <c r="F131" s="86" t="s">
        <v>3287</v>
      </c>
      <c r="G131" s="82" t="s">
        <v>2865</v>
      </c>
      <c r="H131" s="102"/>
      <c r="I131" s="95"/>
      <c r="J131" s="102"/>
      <c r="K131" s="88" t="s">
        <v>2161</v>
      </c>
      <c r="L131" s="102" t="s">
        <v>563</v>
      </c>
      <c r="M131" s="102"/>
      <c r="N131" s="102"/>
      <c r="O131" s="88" t="s">
        <v>5742</v>
      </c>
      <c r="P131" s="88" t="s">
        <v>109</v>
      </c>
      <c r="Q131" s="99"/>
      <c r="R131" s="99"/>
      <c r="S131" s="99"/>
      <c r="T131" s="99"/>
      <c r="U131" s="99"/>
      <c r="V131" s="99"/>
      <c r="W131" s="92"/>
      <c r="X131" s="102" t="s">
        <v>5743</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4048</v>
      </c>
      <c r="H132" s="243"/>
      <c r="I132" s="167" t="s">
        <v>5749</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5751</v>
      </c>
      <c r="BG132" s="173"/>
      <c r="BH132" s="173"/>
      <c r="BI132" s="174" t="s">
        <v>5418</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5755</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5756</v>
      </c>
      <c r="B133" s="82" t="s">
        <v>5757</v>
      </c>
      <c r="C133" s="83" t="s">
        <v>1258</v>
      </c>
      <c r="D133" s="84" t="s">
        <v>1258</v>
      </c>
      <c r="E133" s="85" t="s">
        <v>1258</v>
      </c>
      <c r="F133" s="86" t="s">
        <v>1258</v>
      </c>
      <c r="G133" s="82" t="s">
        <v>2988</v>
      </c>
      <c r="H133" s="94" t="s">
        <v>5758</v>
      </c>
      <c r="I133" s="94" t="s">
        <v>5759</v>
      </c>
      <c r="J133" s="94" t="s">
        <v>918</v>
      </c>
      <c r="K133" s="94" t="s">
        <v>3867</v>
      </c>
      <c r="L133" s="94" t="s">
        <v>5760</v>
      </c>
      <c r="M133" s="94" t="s">
        <v>5761</v>
      </c>
      <c r="N133" s="94" t="s">
        <v>5762</v>
      </c>
      <c r="O133" s="94" t="s">
        <v>5763</v>
      </c>
      <c r="P133" s="99"/>
      <c r="Q133" s="99"/>
      <c r="R133" s="99"/>
      <c r="S133" s="99"/>
      <c r="T133" s="99"/>
      <c r="U133" s="99"/>
      <c r="V133" s="99"/>
      <c r="W133" s="92"/>
      <c r="X133" s="94" t="s">
        <v>5764</v>
      </c>
      <c r="Y133" s="94"/>
      <c r="Z133" s="94" t="s">
        <v>5765</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5766</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5767</v>
      </c>
      <c r="CH133" s="94" t="s">
        <v>3877</v>
      </c>
      <c r="CI133" s="99"/>
      <c r="CJ133" s="99"/>
      <c r="CK133" s="99"/>
      <c r="CL133" s="99"/>
      <c r="CM133" s="99"/>
      <c r="CN133" s="99"/>
      <c r="CO133" s="99"/>
      <c r="CP133" s="99"/>
      <c r="CQ133" s="99"/>
      <c r="CR133" s="99"/>
      <c r="CS133" s="99"/>
      <c r="CT133" s="99"/>
      <c r="CU133" s="92"/>
      <c r="CV133" s="94" t="s">
        <v>4663</v>
      </c>
      <c r="CW133" s="94" t="s">
        <v>5768</v>
      </c>
      <c r="CX133" s="94" t="s">
        <v>2637</v>
      </c>
      <c r="CY133" s="99"/>
      <c r="CZ133" s="99"/>
      <c r="DA133" s="99"/>
      <c r="DB133" s="94" t="s">
        <v>5769</v>
      </c>
      <c r="DC133" s="99"/>
      <c r="DD133" s="99"/>
      <c r="DE133" s="99"/>
      <c r="DF133" s="99"/>
      <c r="DG133" s="99"/>
      <c r="DH133" s="236"/>
      <c r="DI133" s="99"/>
      <c r="DJ133" s="99"/>
      <c r="DK133" s="99"/>
      <c r="DL133" s="99"/>
      <c r="DM133" s="99"/>
      <c r="DN133" s="99"/>
      <c r="DO133" s="99"/>
      <c r="DP133" s="99"/>
      <c r="DQ133" s="99"/>
      <c r="DR133" s="94" t="s">
        <v>5770</v>
      </c>
      <c r="DS133" s="94"/>
      <c r="DT133" s="99"/>
      <c r="DU133" s="99"/>
      <c r="DV133" s="99"/>
      <c r="DW133" s="99"/>
      <c r="DX133" s="99"/>
      <c r="DY133" s="99"/>
      <c r="DZ133" s="99"/>
      <c r="EA133" s="99"/>
      <c r="EB133" s="99"/>
      <c r="EC133" s="99"/>
      <c r="ED133" s="260"/>
    </row>
    <row r="134">
      <c r="A134" s="622" t="s">
        <v>5771</v>
      </c>
      <c r="B134" s="104" t="s">
        <v>5772</v>
      </c>
      <c r="C134" s="105" t="s">
        <v>1258</v>
      </c>
      <c r="D134" s="106" t="s">
        <v>1258</v>
      </c>
      <c r="E134" s="107" t="s">
        <v>1258</v>
      </c>
      <c r="F134" s="108" t="s">
        <v>3967</v>
      </c>
      <c r="G134" s="104" t="s">
        <v>3967</v>
      </c>
      <c r="H134" s="112" t="s">
        <v>5773</v>
      </c>
      <c r="I134" s="112" t="s">
        <v>5774</v>
      </c>
      <c r="J134" s="112" t="s">
        <v>4656</v>
      </c>
      <c r="K134" s="243"/>
      <c r="L134" s="112" t="s">
        <v>5775</v>
      </c>
      <c r="M134" s="112" t="s">
        <v>5776</v>
      </c>
      <c r="N134" s="243"/>
      <c r="O134" s="243"/>
      <c r="P134" s="112" t="s">
        <v>3629</v>
      </c>
      <c r="Q134" s="243"/>
      <c r="R134" s="243"/>
      <c r="S134" s="243"/>
      <c r="T134" s="243"/>
      <c r="U134" s="243"/>
      <c r="V134" s="243"/>
      <c r="W134" s="92"/>
      <c r="X134" s="116" t="s">
        <v>2300</v>
      </c>
      <c r="Y134" s="270"/>
      <c r="Z134" s="116" t="s">
        <v>5777</v>
      </c>
      <c r="AA134" s="116" t="s">
        <v>662</v>
      </c>
      <c r="AB134" s="246"/>
      <c r="AC134" s="246"/>
      <c r="AD134" s="246"/>
      <c r="AE134" s="246"/>
      <c r="AF134" s="116" t="s">
        <v>5778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5779</v>
      </c>
      <c r="BS134" s="252"/>
      <c r="BT134" s="129" t="s">
        <v>4056</v>
      </c>
      <c r="BU134" s="252"/>
      <c r="BV134" s="252"/>
      <c r="BW134" s="252"/>
      <c r="BX134" s="252"/>
      <c r="BY134" s="252"/>
      <c r="BZ134" s="252"/>
      <c r="CA134" s="129" t="s">
        <v>5780</v>
      </c>
      <c r="CB134" s="252"/>
      <c r="CC134" s="252"/>
      <c r="CD134" s="252"/>
      <c r="CE134" s="252"/>
      <c r="CF134" s="253"/>
      <c r="CG134" s="135" t="s">
        <v>5781</v>
      </c>
      <c r="CH134" s="135" t="s">
        <v>2369</v>
      </c>
      <c r="CI134" s="255"/>
      <c r="CJ134" s="135" t="s">
        <v>4662</v>
      </c>
      <c r="CK134" s="263"/>
      <c r="CL134" s="263"/>
      <c r="CM134" s="135" t="s">
        <v>5705</v>
      </c>
      <c r="CN134" s="135" t="s">
        <v>1627</v>
      </c>
      <c r="CO134" s="255"/>
      <c r="CP134" s="255"/>
      <c r="CQ134" s="255"/>
      <c r="CR134" s="255"/>
      <c r="CS134" s="255"/>
      <c r="CT134" s="255"/>
      <c r="CU134" s="92"/>
      <c r="CV134" s="256"/>
      <c r="CW134" s="256"/>
      <c r="CX134" s="256"/>
      <c r="CY134" s="256"/>
      <c r="CZ134" s="256"/>
      <c r="DA134" s="256"/>
      <c r="DB134" s="140" t="s">
        <v>5782</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5783</v>
      </c>
      <c r="B135" s="82" t="s">
        <v>5784</v>
      </c>
      <c r="C135" s="83" t="s">
        <v>1258</v>
      </c>
      <c r="D135" s="84" t="s">
        <v>1258</v>
      </c>
      <c r="E135" s="85" t="s">
        <v>1258</v>
      </c>
      <c r="F135" s="86" t="s">
        <v>548</v>
      </c>
      <c r="G135" s="82" t="s">
        <v>3092</v>
      </c>
      <c r="H135" s="94" t="s">
        <v>4200</v>
      </c>
      <c r="I135" s="94" t="s">
        <v>5785</v>
      </c>
      <c r="J135" s="94" t="s">
        <v>3356</v>
      </c>
      <c r="K135" s="94" t="s">
        <v>2277</v>
      </c>
      <c r="L135" s="94" t="s">
        <v>5668</v>
      </c>
      <c r="M135" s="94" t="s">
        <v>5786</v>
      </c>
      <c r="N135" s="94" t="s">
        <v>5787</v>
      </c>
      <c r="O135" s="94" t="s">
        <v>5788</v>
      </c>
      <c r="P135" s="94" t="s">
        <v>1209</v>
      </c>
      <c r="Q135" s="94"/>
      <c r="R135" s="99"/>
      <c r="S135" s="99"/>
      <c r="T135" s="99"/>
      <c r="U135" s="99"/>
      <c r="V135" s="99"/>
      <c r="W135" s="92"/>
      <c r="X135" s="94" t="s">
        <v>5789</v>
      </c>
      <c r="Y135" s="94"/>
      <c r="Z135" s="94" t="s">
        <v>5790</v>
      </c>
      <c r="AA135" s="94" t="s">
        <v>2066</v>
      </c>
      <c r="AB135" s="94" t="s">
        <v>5791</v>
      </c>
      <c r="AC135" s="94" t="s">
        <v>3897</v>
      </c>
      <c r="AD135" s="94" t="s">
        <v>5792</v>
      </c>
      <c r="AE135" s="99"/>
      <c r="AF135" s="94" t="s">
        <v>5793</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5794</v>
      </c>
      <c r="BX135" s="99"/>
      <c r="BY135" s="99"/>
      <c r="BZ135" s="99"/>
      <c r="CA135" s="94" t="s">
        <v>824</v>
      </c>
      <c r="CB135" s="99"/>
      <c r="CC135" s="99"/>
      <c r="CD135" s="99"/>
      <c r="CE135" s="99"/>
      <c r="CF135" s="236"/>
      <c r="CG135" s="94" t="s">
        <v>5795</v>
      </c>
      <c r="CH135" s="94" t="s">
        <v>4273</v>
      </c>
      <c r="CI135" s="94" t="s">
        <v>2599</v>
      </c>
      <c r="CJ135" s="99"/>
      <c r="CK135" s="99"/>
      <c r="CL135" s="99"/>
      <c r="CM135" s="99"/>
      <c r="CN135" s="99"/>
      <c r="CO135" s="94" t="s">
        <v>5796</v>
      </c>
      <c r="CP135" s="99"/>
      <c r="CQ135" s="99"/>
      <c r="CR135" s="99"/>
      <c r="CS135" s="99"/>
      <c r="CT135" s="99"/>
      <c r="CU135" s="92"/>
      <c r="CV135" s="94" t="s">
        <v>5797</v>
      </c>
      <c r="CW135" s="94" t="s">
        <v>5798</v>
      </c>
      <c r="CX135" s="94" t="s">
        <v>1839</v>
      </c>
      <c r="CY135" s="94" t="s">
        <v>5047</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5800</v>
      </c>
    </row>
    <row r="136">
      <c r="A136" s="623" t="s">
        <v>5801</v>
      </c>
      <c r="B136" s="104" t="s">
        <v>5802</v>
      </c>
      <c r="C136" s="105" t="s">
        <v>1258</v>
      </c>
      <c r="D136" s="106" t="s">
        <v>1258</v>
      </c>
      <c r="E136" s="107" t="s">
        <v>1258</v>
      </c>
      <c r="F136" s="108" t="s">
        <v>1258</v>
      </c>
      <c r="G136" s="104" t="s">
        <v>985</v>
      </c>
      <c r="H136" s="624" t="s">
        <v>4568</v>
      </c>
      <c r="I136" s="321" t="s">
        <v>5803</v>
      </c>
      <c r="J136" s="321" t="s">
        <v>5804</v>
      </c>
      <c r="K136" s="321" t="s">
        <v>2683</v>
      </c>
      <c r="L136" s="321" t="s">
        <v>2097</v>
      </c>
      <c r="M136" s="321" t="s">
        <v>5805</v>
      </c>
      <c r="N136" s="321" t="s">
        <v>5793</v>
      </c>
      <c r="O136" s="321" t="s">
        <v>3919</v>
      </c>
      <c r="P136" s="321" t="s">
        <v>4955</v>
      </c>
      <c r="Q136" s="167" t="s">
        <v>5806</v>
      </c>
      <c r="R136" s="243"/>
      <c r="S136" s="167" t="s">
        <v>3804</v>
      </c>
      <c r="T136" s="243"/>
      <c r="U136" s="167" t="s">
        <v>1266</v>
      </c>
      <c r="V136" s="167" t="s">
        <v>5807</v>
      </c>
      <c r="W136" s="92"/>
      <c r="X136" s="300" t="s">
        <v>5021</v>
      </c>
      <c r="Y136" s="300"/>
      <c r="Z136" s="300" t="s">
        <v>3593</v>
      </c>
      <c r="AA136" s="300" t="s">
        <v>1444</v>
      </c>
      <c r="AB136" s="352" t="s">
        <v>5808</v>
      </c>
      <c r="AC136" s="300" t="s">
        <v>4485</v>
      </c>
      <c r="AD136" s="300" t="s">
        <v>4978</v>
      </c>
      <c r="AE136" s="246"/>
      <c r="AF136" s="300" t="s">
        <v>2421</v>
      </c>
      <c r="AG136" s="300" t="s">
        <v>5383</v>
      </c>
      <c r="AH136" s="198" t="s">
        <v>1659</v>
      </c>
      <c r="AI136" s="246"/>
      <c r="AJ136" s="300" t="s">
        <v>2435</v>
      </c>
      <c r="AK136" s="198" t="s">
        <v>5809</v>
      </c>
      <c r="AL136" s="97"/>
      <c r="AM136" s="456" t="s">
        <v>1374</v>
      </c>
      <c r="AN136" s="456" t="s">
        <v>1011</v>
      </c>
      <c r="AO136" s="247"/>
      <c r="AP136" s="247"/>
      <c r="AQ136" s="168" t="s">
        <v>5810</v>
      </c>
      <c r="AR136" s="168" t="s">
        <v>1027</v>
      </c>
      <c r="AS136" s="168" t="s">
        <v>1141</v>
      </c>
      <c r="AT136" s="247"/>
      <c r="AU136" s="456" t="s">
        <v>5561</v>
      </c>
      <c r="AV136" s="456" t="s">
        <v>4772</v>
      </c>
      <c r="AW136" s="124"/>
      <c r="AX136" s="247"/>
      <c r="AY136" s="168" t="s">
        <v>952</v>
      </c>
      <c r="AZ136" s="168" t="s">
        <v>5811</v>
      </c>
      <c r="BA136" s="247"/>
      <c r="BB136" s="201" t="s">
        <v>5812</v>
      </c>
      <c r="BC136" s="201" t="s">
        <v>5813</v>
      </c>
      <c r="BD136" s="201" t="s">
        <v>5814</v>
      </c>
      <c r="BE136" s="201" t="s">
        <v>3103</v>
      </c>
      <c r="BF136" s="201" t="s">
        <v>5815</v>
      </c>
      <c r="BG136" s="201" t="s">
        <v>4332</v>
      </c>
      <c r="BH136" s="174" t="s">
        <v>5816</v>
      </c>
      <c r="BI136" s="201" t="s">
        <v>4428</v>
      </c>
      <c r="BJ136" s="173"/>
      <c r="BK136" s="201" t="s">
        <v>5817</v>
      </c>
      <c r="BL136" s="201" t="s">
        <v>2850</v>
      </c>
      <c r="BM136" s="173"/>
      <c r="BN136" s="173"/>
      <c r="BO136" s="353"/>
      <c r="BP136" s="173"/>
      <c r="BQ136" s="249"/>
      <c r="BR136" s="343" t="s">
        <v>5818</v>
      </c>
      <c r="BS136" s="343" t="s">
        <v>5819</v>
      </c>
      <c r="BT136" s="343" t="s">
        <v>5820</v>
      </c>
      <c r="BU136" s="343" t="s">
        <v>5821</v>
      </c>
      <c r="BV136" s="343" t="s">
        <v>5385</v>
      </c>
      <c r="BW136" s="343" t="s">
        <v>330</v>
      </c>
      <c r="BX136" s="175" t="s">
        <v>5822</v>
      </c>
      <c r="BY136" s="131"/>
      <c r="BZ136" s="343" t="s">
        <v>5823</v>
      </c>
      <c r="CA136" s="343" t="s">
        <v>5824</v>
      </c>
      <c r="CB136" s="175" t="s">
        <v>5825</v>
      </c>
      <c r="CC136" s="252"/>
      <c r="CD136" s="252"/>
      <c r="CE136" s="175" t="s">
        <v>5826</v>
      </c>
      <c r="CF136" s="253"/>
      <c r="CG136" s="336" t="s">
        <v>3441</v>
      </c>
      <c r="CH136" s="336" t="s">
        <v>5827</v>
      </c>
      <c r="CI136" s="336" t="s">
        <v>1050</v>
      </c>
      <c r="CJ136" s="336" t="s">
        <v>5828</v>
      </c>
      <c r="CK136" s="336" t="s">
        <v>5829</v>
      </c>
      <c r="CL136" s="336" t="s">
        <v>5830</v>
      </c>
      <c r="CM136" s="336" t="s">
        <v>5831</v>
      </c>
      <c r="CN136" s="336" t="s">
        <v>1014</v>
      </c>
      <c r="CO136" s="336" t="s">
        <v>1414</v>
      </c>
      <c r="CP136" s="452"/>
      <c r="CQ136" s="255"/>
      <c r="CR136" s="255"/>
      <c r="CS136" s="255"/>
      <c r="CT136" s="177" t="s">
        <v>5832</v>
      </c>
      <c r="CU136" s="92"/>
      <c r="CV136" s="284" t="s">
        <v>2610</v>
      </c>
      <c r="CW136" s="284" t="s">
        <v>5833</v>
      </c>
      <c r="CX136" s="625" t="s">
        <v>5834</v>
      </c>
      <c r="CY136" s="284" t="s">
        <v>3323</v>
      </c>
      <c r="CZ136" s="284" t="s">
        <v>5835</v>
      </c>
      <c r="DA136" s="284" t="s">
        <v>4050</v>
      </c>
      <c r="DB136" s="284" t="s">
        <v>5836</v>
      </c>
      <c r="DC136" s="284" t="s">
        <v>5837</v>
      </c>
      <c r="DD136" s="204" t="s">
        <v>5838</v>
      </c>
      <c r="DE136" s="256"/>
      <c r="DF136" s="256"/>
      <c r="DG136" s="204" t="s">
        <v>5839</v>
      </c>
      <c r="DH136" s="257"/>
      <c r="DI136" s="287" t="s">
        <v>571</v>
      </c>
      <c r="DJ136" s="258"/>
      <c r="DK136" s="205" t="s">
        <v>4020</v>
      </c>
      <c r="DL136" s="287" t="s">
        <v>5840</v>
      </c>
      <c r="DM136" s="287" t="s">
        <v>3978</v>
      </c>
      <c r="DN136" s="287" t="s">
        <v>3153</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3913</v>
      </c>
      <c r="ED136" s="287" t="s">
        <v>5848</v>
      </c>
    </row>
    <row r="137">
      <c r="A137" s="626" t="s">
        <v>5849</v>
      </c>
      <c r="B137" s="209" t="s">
        <v>5850</v>
      </c>
      <c r="C137" s="210" t="s">
        <v>1258</v>
      </c>
      <c r="D137" s="211" t="s">
        <v>1258</v>
      </c>
      <c r="E137" s="212" t="s">
        <v>1258</v>
      </c>
      <c r="F137" s="213" t="s">
        <v>983</v>
      </c>
      <c r="G137" s="209" t="s">
        <v>2676</v>
      </c>
      <c r="H137" s="627"/>
      <c r="I137" s="627" t="s">
        <v>5851</v>
      </c>
      <c r="J137" s="627"/>
      <c r="K137" s="627" t="s">
        <v>3101</v>
      </c>
      <c r="L137" s="214" t="s">
        <v>5188</v>
      </c>
      <c r="M137" s="627"/>
      <c r="N137" s="628" t="s">
        <v>5852</v>
      </c>
      <c r="O137" s="628" t="s">
        <v>5742</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5853</v>
      </c>
      <c r="BC137" s="627"/>
      <c r="BD137" s="627"/>
      <c r="BE137" s="627" t="s">
        <v>5854</v>
      </c>
      <c r="BF137" s="627" t="s">
        <v>5855</v>
      </c>
      <c r="BG137" s="627"/>
      <c r="BH137" s="627"/>
      <c r="BI137" s="88" t="s">
        <v>5856</v>
      </c>
      <c r="BJ137" s="627"/>
      <c r="BK137" s="214" t="s">
        <v>5857</v>
      </c>
      <c r="BL137" s="627"/>
      <c r="BM137" s="627"/>
      <c r="BN137" s="627"/>
      <c r="BO137" s="627"/>
      <c r="BP137" s="627"/>
      <c r="BQ137" s="630"/>
      <c r="BR137" s="627"/>
      <c r="BS137" s="627"/>
      <c r="BT137" s="627" t="s">
        <v>5858</v>
      </c>
      <c r="BU137" s="627"/>
      <c r="BV137" s="88" t="s">
        <v>2591</v>
      </c>
      <c r="BW137" s="88" t="s">
        <v>5427</v>
      </c>
      <c r="BX137" s="627"/>
      <c r="BY137" s="627"/>
      <c r="BZ137" s="627"/>
      <c r="CA137" s="88" t="s">
        <v>3734</v>
      </c>
      <c r="CB137" s="627" t="s">
        <v>5859</v>
      </c>
      <c r="CC137" s="627"/>
      <c r="CD137" s="627"/>
      <c r="CE137" s="627"/>
      <c r="CF137" s="630"/>
      <c r="CG137" s="627" t="s">
        <v>769</v>
      </c>
      <c r="CH137" s="627"/>
      <c r="CI137" s="627"/>
      <c r="CJ137" s="627" t="s">
        <v>5860</v>
      </c>
      <c r="CK137" s="627"/>
      <c r="CL137" s="627"/>
      <c r="CM137" s="628" t="s">
        <v>5861</v>
      </c>
      <c r="CN137" s="94" t="s">
        <v>5862</v>
      </c>
      <c r="CO137" s="627"/>
      <c r="CP137" s="627"/>
      <c r="CQ137" s="627"/>
      <c r="CR137" s="627"/>
      <c r="CS137" s="627"/>
      <c r="CT137" s="627" t="s">
        <v>5863</v>
      </c>
      <c r="CU137" s="485"/>
      <c r="CV137" s="627"/>
      <c r="CW137" s="627"/>
      <c r="CX137" s="628" t="s">
        <v>3415</v>
      </c>
      <c r="CY137" s="627" t="s">
        <v>5864</v>
      </c>
      <c r="CZ137" s="628" t="s">
        <v>5865</v>
      </c>
      <c r="DA137" s="214" t="s">
        <v>1922</v>
      </c>
      <c r="DB137" s="214" t="s">
        <v>5866</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5867</v>
      </c>
      <c r="EB137" s="627"/>
      <c r="EC137" s="627"/>
      <c r="ED137" s="627"/>
    </row>
    <row r="138">
      <c r="A138" s="166" t="s">
        <v>5868</v>
      </c>
      <c r="B138" s="104" t="s">
        <v>5869</v>
      </c>
      <c r="C138" s="105" t="s">
        <v>1258</v>
      </c>
      <c r="D138" s="106" t="s">
        <v>1258</v>
      </c>
      <c r="E138" s="107" t="s">
        <v>1258</v>
      </c>
      <c r="F138" s="108" t="s">
        <v>439</v>
      </c>
      <c r="G138" s="104" t="s">
        <v>3376</v>
      </c>
      <c r="H138" s="167" t="s">
        <v>3829</v>
      </c>
      <c r="I138" s="167" t="s">
        <v>2127</v>
      </c>
      <c r="J138" s="167" t="s">
        <v>5718</v>
      </c>
      <c r="K138" s="167" t="s">
        <v>3969</v>
      </c>
      <c r="L138" s="226" t="s">
        <v>5870</v>
      </c>
      <c r="M138" s="243"/>
      <c r="N138" s="243"/>
      <c r="O138" s="226" t="s">
        <v>1373</v>
      </c>
      <c r="P138" s="243"/>
      <c r="Q138" s="243"/>
      <c r="R138" s="167"/>
      <c r="S138" s="167"/>
      <c r="T138" s="243"/>
      <c r="U138" s="243"/>
      <c r="V138" s="243"/>
      <c r="W138" s="92"/>
      <c r="X138" s="198" t="s">
        <v>3154</v>
      </c>
      <c r="Y138" s="246"/>
      <c r="Z138" s="246"/>
      <c r="AA138" s="198" t="s">
        <v>5871</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5872</v>
      </c>
      <c r="BK138" s="174"/>
      <c r="BL138" s="173"/>
      <c r="BM138" s="173"/>
      <c r="BN138" s="173"/>
      <c r="BO138" s="173"/>
      <c r="BP138" s="173"/>
      <c r="BQ138" s="249"/>
      <c r="BR138" s="252"/>
      <c r="BS138" s="176" t="s">
        <v>3878</v>
      </c>
      <c r="BT138" s="175" t="s">
        <v>4758</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5874</v>
      </c>
      <c r="B139" s="82" t="s">
        <v>5875</v>
      </c>
      <c r="C139" s="83" t="s">
        <v>1258</v>
      </c>
      <c r="D139" s="84" t="s">
        <v>1258</v>
      </c>
      <c r="E139" s="85" t="s">
        <v>1258</v>
      </c>
      <c r="F139" s="86" t="s">
        <v>649</v>
      </c>
      <c r="G139" s="82" t="s">
        <v>5876</v>
      </c>
      <c r="H139" s="260" t="s">
        <v>3778</v>
      </c>
      <c r="I139" s="266" t="s">
        <v>5877</v>
      </c>
      <c r="J139" s="266" t="s">
        <v>1644</v>
      </c>
      <c r="K139" s="260" t="s">
        <v>354</v>
      </c>
      <c r="L139" s="260" t="s">
        <v>611</v>
      </c>
      <c r="M139" s="260" t="s">
        <v>5878</v>
      </c>
      <c r="N139" s="260" t="s">
        <v>5879</v>
      </c>
      <c r="O139" s="93" t="s">
        <v>244</v>
      </c>
      <c r="P139" s="260" t="s">
        <v>4877</v>
      </c>
      <c r="Q139" s="94" t="s">
        <v>5880</v>
      </c>
      <c r="R139" s="99"/>
      <c r="S139" s="94" t="s">
        <v>4095</v>
      </c>
      <c r="T139" s="99"/>
      <c r="U139" s="94" t="s">
        <v>2095</v>
      </c>
      <c r="V139" s="94" t="s">
        <v>5881</v>
      </c>
      <c r="W139" s="92"/>
      <c r="X139" s="458" t="s">
        <v>5018</v>
      </c>
      <c r="Y139" s="162"/>
      <c r="Z139" s="162" t="s">
        <v>5440</v>
      </c>
      <c r="AA139" s="88" t="s">
        <v>416</v>
      </c>
      <c r="AB139" s="266" t="s">
        <v>4155</v>
      </c>
      <c r="AC139" s="266" t="s">
        <v>3945</v>
      </c>
      <c r="AD139" s="260" t="s">
        <v>1575</v>
      </c>
      <c r="AE139" s="99"/>
      <c r="AF139" s="93" t="s">
        <v>5882</v>
      </c>
      <c r="AG139" s="260" t="s">
        <v>5883</v>
      </c>
      <c r="AH139" s="99"/>
      <c r="AI139" s="99"/>
      <c r="AJ139" s="102"/>
      <c r="AK139" s="99"/>
      <c r="AL139" s="97"/>
      <c r="AM139" s="260" t="s">
        <v>3556</v>
      </c>
      <c r="AN139" s="260" t="s">
        <v>5884</v>
      </c>
      <c r="AO139" s="94" t="s">
        <v>5885</v>
      </c>
      <c r="AP139" s="94" t="s">
        <v>102</v>
      </c>
      <c r="AQ139" s="94" t="s">
        <v>5886</v>
      </c>
      <c r="AR139" s="94" t="s">
        <v>5106</v>
      </c>
      <c r="AS139" s="94" t="s">
        <v>5887</v>
      </c>
      <c r="AT139" s="94" t="s">
        <v>5888</v>
      </c>
      <c r="AU139" s="260" t="s">
        <v>4297</v>
      </c>
      <c r="AV139" s="260" t="s">
        <v>3491</v>
      </c>
      <c r="AW139" s="260" t="s">
        <v>4183</v>
      </c>
      <c r="AX139" s="99"/>
      <c r="AY139" s="99"/>
      <c r="AZ139" s="99"/>
      <c r="BA139" s="99"/>
      <c r="BB139" s="260" t="s">
        <v>5889</v>
      </c>
      <c r="BC139" s="260" t="s">
        <v>2060</v>
      </c>
      <c r="BD139" s="260" t="s">
        <v>1076</v>
      </c>
      <c r="BE139" s="260" t="s">
        <v>5890</v>
      </c>
      <c r="BF139" s="102"/>
      <c r="BG139" s="260" t="s">
        <v>5891</v>
      </c>
      <c r="BH139" s="99"/>
      <c r="BI139" s="260" t="s">
        <v>1085</v>
      </c>
      <c r="BJ139" s="99"/>
      <c r="BK139" s="102"/>
      <c r="BL139" s="260" t="s">
        <v>5892</v>
      </c>
      <c r="BM139" s="99"/>
      <c r="BN139" s="99"/>
      <c r="BO139" s="102"/>
      <c r="BP139" s="99"/>
      <c r="BQ139" s="236"/>
      <c r="BR139" s="260" t="s">
        <v>5893</v>
      </c>
      <c r="BS139" s="260" t="s">
        <v>5894</v>
      </c>
      <c r="BT139" s="260" t="s">
        <v>3863</v>
      </c>
      <c r="BU139" s="260" t="s">
        <v>5814</v>
      </c>
      <c r="BV139" s="260" t="s">
        <v>5895</v>
      </c>
      <c r="BW139" s="260" t="s">
        <v>4587</v>
      </c>
      <c r="BX139" s="99"/>
      <c r="BY139" s="260" t="s">
        <v>5896</v>
      </c>
      <c r="BZ139" s="102"/>
      <c r="CA139" s="260" t="s">
        <v>976</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58" t="s">
        <v>5901</v>
      </c>
      <c r="CY139" s="88" t="s">
        <v>4501</v>
      </c>
      <c r="CZ139" s="260" t="s">
        <v>3397</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5909</v>
      </c>
      <c r="B141" s="82" t="s">
        <v>5910</v>
      </c>
      <c r="C141" s="83" t="s">
        <v>1258</v>
      </c>
      <c r="D141" s="84" t="s">
        <v>1258</v>
      </c>
      <c r="E141" s="85" t="s">
        <v>1258</v>
      </c>
      <c r="F141" s="86" t="s">
        <v>439</v>
      </c>
      <c r="G141" s="82" t="s">
        <v>2643</v>
      </c>
      <c r="H141" s="94" t="s">
        <v>5911</v>
      </c>
      <c r="I141" s="266" t="s">
        <v>1593</v>
      </c>
      <c r="J141" s="94" t="s">
        <v>5912</v>
      </c>
      <c r="K141" s="94" t="s">
        <v>5913</v>
      </c>
      <c r="L141" s="94" t="s">
        <v>5914</v>
      </c>
      <c r="M141" s="99"/>
      <c r="N141" s="94" t="s">
        <v>5915</v>
      </c>
      <c r="O141" s="94" t="s">
        <v>3584</v>
      </c>
      <c r="P141" s="94" t="s">
        <v>1078</v>
      </c>
      <c r="Q141" s="99"/>
      <c r="R141" s="94" t="s">
        <v>326</v>
      </c>
      <c r="S141" s="94" t="s">
        <v>2216</v>
      </c>
      <c r="T141" s="99"/>
      <c r="U141" s="94" t="s">
        <v>3221</v>
      </c>
      <c r="V141" s="99"/>
      <c r="W141" s="92"/>
      <c r="X141" s="94" t="s">
        <v>5916</v>
      </c>
      <c r="Y141" s="102"/>
      <c r="Z141" s="88" t="s">
        <v>2392</v>
      </c>
      <c r="AA141" s="94" t="s">
        <v>4513</v>
      </c>
      <c r="AB141" s="94" t="s">
        <v>1767</v>
      </c>
      <c r="AC141" s="94" t="s">
        <v>3947</v>
      </c>
      <c r="AD141" s="94" t="s">
        <v>2390</v>
      </c>
      <c r="AE141" s="99"/>
      <c r="AF141" s="94" t="s">
        <v>5917</v>
      </c>
      <c r="AG141" s="94" t="s">
        <v>194</v>
      </c>
      <c r="AH141" s="99"/>
      <c r="AI141" s="99"/>
      <c r="AJ141" s="99"/>
      <c r="AK141" s="99"/>
      <c r="AL141" s="97"/>
      <c r="AM141" s="99"/>
      <c r="AN141" s="94" t="s">
        <v>324</v>
      </c>
      <c r="AO141" s="99"/>
      <c r="AP141" s="99"/>
      <c r="AQ141" s="94" t="s">
        <v>5918</v>
      </c>
      <c r="AR141" s="94"/>
      <c r="AS141" s="99"/>
      <c r="AT141" s="99"/>
      <c r="AU141" s="94" t="s">
        <v>702</v>
      </c>
      <c r="AV141" s="99"/>
      <c r="AW141" s="99"/>
      <c r="AX141" s="99"/>
      <c r="AY141" s="99"/>
      <c r="AZ141" s="99"/>
      <c r="BA141" s="99"/>
      <c r="BB141" s="99"/>
      <c r="BC141" s="94" t="s">
        <v>1958</v>
      </c>
      <c r="BD141" s="94" t="s">
        <v>5919</v>
      </c>
      <c r="BE141" s="94" t="s">
        <v>3574</v>
      </c>
      <c r="BF141" s="94" t="s">
        <v>5752</v>
      </c>
      <c r="BG141" s="99"/>
      <c r="BH141" s="99"/>
      <c r="BI141" s="94" t="s">
        <v>4016</v>
      </c>
      <c r="BJ141" s="94" t="s">
        <v>5920</v>
      </c>
      <c r="BK141" s="94"/>
      <c r="BL141" s="94" t="s">
        <v>2618</v>
      </c>
      <c r="BM141" s="99"/>
      <c r="BN141" s="94" t="s">
        <v>4221</v>
      </c>
      <c r="BO141" s="99"/>
      <c r="BP141" s="99"/>
      <c r="BQ141" s="236"/>
      <c r="BR141" s="94" t="s">
        <v>5921</v>
      </c>
      <c r="BS141" s="94" t="s">
        <v>4227</v>
      </c>
      <c r="BT141" s="94" t="s">
        <v>3402</v>
      </c>
      <c r="BU141" s="94" t="s">
        <v>5922</v>
      </c>
      <c r="BV141" s="94" t="s">
        <v>5923</v>
      </c>
      <c r="BW141" s="94" t="s">
        <v>5181</v>
      </c>
      <c r="BX141" s="99"/>
      <c r="BY141" s="94" t="s">
        <v>2872</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2829</v>
      </c>
      <c r="CX141" s="94" t="s">
        <v>3750</v>
      </c>
      <c r="CY141" s="94" t="s">
        <v>5930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3439</v>
      </c>
      <c r="EB141" s="99"/>
      <c r="EC141" s="99"/>
      <c r="ED141" s="260" t="s">
        <v>5937</v>
      </c>
    </row>
    <row r="142">
      <c r="A142" s="633" t="s">
        <v>5938</v>
      </c>
      <c r="B142" s="104" t="s">
        <v>5939</v>
      </c>
      <c r="C142" s="105" t="s">
        <v>1258</v>
      </c>
      <c r="D142" s="106" t="s">
        <v>1258</v>
      </c>
      <c r="E142" s="107" t="s">
        <v>1258</v>
      </c>
      <c r="F142" s="108" t="s">
        <v>439</v>
      </c>
      <c r="G142" s="104" t="s">
        <v>3189</v>
      </c>
      <c r="H142" s="167"/>
      <c r="I142" s="167" t="s">
        <v>5940</v>
      </c>
      <c r="J142" s="167" t="s">
        <v>2798</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5765</v>
      </c>
      <c r="AA142" s="198" t="s">
        <v>2241</v>
      </c>
      <c r="AB142" s="198" t="s">
        <v>5943</v>
      </c>
      <c r="AC142" s="198" t="s">
        <v>4960</v>
      </c>
      <c r="AD142" s="198" t="s">
        <v>5944</v>
      </c>
      <c r="AE142" s="246"/>
      <c r="AF142" s="198" t="s">
        <v>5945</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2913</v>
      </c>
      <c r="BH142" s="173"/>
      <c r="BI142" s="174" t="s">
        <v>902</v>
      </c>
      <c r="BJ142" s="173"/>
      <c r="BK142" s="173"/>
      <c r="BL142" s="173"/>
      <c r="BM142" s="173"/>
      <c r="BN142" s="173"/>
      <c r="BO142" s="173"/>
      <c r="BP142" s="173"/>
      <c r="BQ142" s="249"/>
      <c r="BR142" s="175" t="s">
        <v>5947</v>
      </c>
      <c r="BS142" s="175" t="s">
        <v>5948</v>
      </c>
      <c r="BT142" s="175" t="s">
        <v>497</v>
      </c>
      <c r="BU142" s="294" t="s">
        <v>3087</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3701</v>
      </c>
      <c r="CP142" s="255"/>
      <c r="CQ142" s="255"/>
      <c r="CR142" s="255"/>
      <c r="CS142" s="255"/>
      <c r="CT142" s="255"/>
      <c r="CU142" s="92"/>
      <c r="CV142" s="204" t="s">
        <v>2908</v>
      </c>
      <c r="CW142" s="204" t="s">
        <v>3666</v>
      </c>
      <c r="CX142" s="204" t="s">
        <v>2739</v>
      </c>
      <c r="CY142" s="204" t="s">
        <v>5958</v>
      </c>
      <c r="CZ142" s="204" t="s">
        <v>3722</v>
      </c>
      <c r="DA142" s="204" t="s">
        <v>1815</v>
      </c>
      <c r="DB142" s="204" t="s">
        <v>5959</v>
      </c>
      <c r="DC142" s="204" t="s">
        <v>3836</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34"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2920</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49" t="s">
        <v>5971</v>
      </c>
      <c r="B144" s="104" t="s">
        <v>5972</v>
      </c>
      <c r="C144" s="105" t="s">
        <v>1258</v>
      </c>
      <c r="D144" s="106" t="s">
        <v>1258</v>
      </c>
      <c r="E144" s="107" t="s">
        <v>1258</v>
      </c>
      <c r="F144" s="108" t="s">
        <v>1258</v>
      </c>
      <c r="G144" s="104" t="s">
        <v>4246</v>
      </c>
      <c r="H144" s="321" t="s">
        <v>5973</v>
      </c>
      <c r="I144" s="321" t="s">
        <v>5974</v>
      </c>
      <c r="J144" s="321" t="s">
        <v>5975</v>
      </c>
      <c r="K144" s="321" t="s">
        <v>1951</v>
      </c>
      <c r="L144" s="635" t="s">
        <v>3680</v>
      </c>
      <c r="M144" s="321" t="s">
        <v>5976</v>
      </c>
      <c r="N144" s="321" t="s">
        <v>5977</v>
      </c>
      <c r="O144" s="321" t="s">
        <v>1747</v>
      </c>
      <c r="P144" s="321" t="s">
        <v>253</v>
      </c>
      <c r="Q144" s="636"/>
      <c r="R144" s="636"/>
      <c r="S144" s="637">
        <v>37.85</v>
      </c>
      <c r="T144" s="636"/>
      <c r="U144" s="167" t="s">
        <v>1839</v>
      </c>
      <c r="V144" s="637" t="s">
        <v>5978</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5765</v>
      </c>
      <c r="AV144" s="456" t="s">
        <v>5960</v>
      </c>
      <c r="AW144" s="456" t="s">
        <v>483</v>
      </c>
      <c r="AX144" s="644"/>
      <c r="AY144" s="644"/>
      <c r="AZ144" s="644"/>
      <c r="BA144" s="644"/>
      <c r="BB144" s="646"/>
      <c r="BC144" s="646"/>
      <c r="BD144" s="353" t="s">
        <v>1740</v>
      </c>
      <c r="BE144" s="201" t="s">
        <v>374</v>
      </c>
      <c r="BF144" s="646"/>
      <c r="BG144" s="646"/>
      <c r="BH144" s="647"/>
      <c r="BI144" s="201" t="s">
        <v>3061</v>
      </c>
      <c r="BJ144" s="647"/>
      <c r="BK144" s="353" t="s">
        <v>5979</v>
      </c>
      <c r="BL144" s="201" t="s">
        <v>3774</v>
      </c>
      <c r="BM144" s="647"/>
      <c r="BN144" s="648">
        <v>35.32</v>
      </c>
      <c r="BO144" s="646"/>
      <c r="BP144" s="647"/>
      <c r="BQ144" s="649"/>
      <c r="BR144" s="650"/>
      <c r="BS144" s="650"/>
      <c r="BT144" s="343" t="s">
        <v>2709</v>
      </c>
      <c r="BU144" s="343" t="s">
        <v>5980</v>
      </c>
      <c r="BV144" s="650"/>
      <c r="BW144" s="343" t="s">
        <v>3110</v>
      </c>
      <c r="BX144" s="651"/>
      <c r="BY144" s="650"/>
      <c r="BZ144" s="650"/>
      <c r="CA144" s="131" t="s">
        <v>5488</v>
      </c>
      <c r="CB144" s="652" t="s">
        <v>5981</v>
      </c>
      <c r="CC144" s="651"/>
      <c r="CD144" s="652">
        <v>37.19</v>
      </c>
      <c r="CE144" s="652" t="s">
        <v>5982</v>
      </c>
      <c r="CF144" s="653"/>
      <c r="CG144" s="654"/>
      <c r="CH144" s="654"/>
      <c r="CI144" s="654"/>
      <c r="CJ144" s="654"/>
      <c r="CK144" s="654"/>
      <c r="CL144" s="654"/>
      <c r="CM144" s="336" t="s">
        <v>5983</v>
      </c>
      <c r="CN144" s="336" t="s">
        <v>914</v>
      </c>
      <c r="CO144" s="654"/>
      <c r="CP144" s="655"/>
      <c r="CQ144" s="656"/>
      <c r="CR144" s="656"/>
      <c r="CS144" s="657">
        <v>52.7</v>
      </c>
      <c r="CT144" s="656"/>
      <c r="CU144" s="638"/>
      <c r="CV144" s="658"/>
      <c r="CW144" s="284" t="s">
        <v>3302</v>
      </c>
      <c r="CX144" s="285" t="s">
        <v>2983</v>
      </c>
      <c r="CY144" s="658"/>
      <c r="CZ144" s="658"/>
      <c r="DA144" s="284" t="s">
        <v>2365</v>
      </c>
      <c r="DB144" s="659" t="s">
        <v>5984</v>
      </c>
      <c r="DC144" s="658"/>
      <c r="DD144" s="660"/>
      <c r="DE144" s="660"/>
      <c r="DF144" s="660"/>
      <c r="DG144" s="660"/>
      <c r="DH144" s="661"/>
      <c r="DI144" s="662"/>
      <c r="DJ144" s="663"/>
      <c r="DK144" s="663"/>
      <c r="DL144" s="662"/>
      <c r="DM144" s="662"/>
      <c r="DN144" s="287" t="s">
        <v>3877</v>
      </c>
      <c r="DO144" s="663"/>
      <c r="DP144" s="663"/>
      <c r="DQ144" s="663"/>
      <c r="DR144" s="287" t="s">
        <v>5985</v>
      </c>
      <c r="DS144" s="287" t="s">
        <v>4534</v>
      </c>
      <c r="DT144" s="663"/>
      <c r="DU144" s="662"/>
      <c r="DV144" s="663"/>
      <c r="DW144" s="663"/>
      <c r="DX144" s="663"/>
      <c r="DY144" s="663"/>
      <c r="DZ144" s="663"/>
      <c r="EA144" s="662"/>
      <c r="EB144" s="663"/>
      <c r="EC144" s="663"/>
      <c r="ED144" s="664"/>
    </row>
    <row r="145">
      <c r="A145" s="454" t="s">
        <v>5986</v>
      </c>
      <c r="B145" s="82" t="s">
        <v>5987</v>
      </c>
      <c r="C145" s="83" t="s">
        <v>1258</v>
      </c>
      <c r="D145" s="84" t="s">
        <v>1258</v>
      </c>
      <c r="E145" s="85" t="s">
        <v>1258</v>
      </c>
      <c r="F145" s="86" t="s">
        <v>1258</v>
      </c>
      <c r="G145" s="82" t="s">
        <v>2676</v>
      </c>
      <c r="H145" s="94" t="s">
        <v>1919</v>
      </c>
      <c r="I145" s="94" t="s">
        <v>3710</v>
      </c>
      <c r="J145" s="94" t="s">
        <v>574</v>
      </c>
      <c r="K145" s="94" t="s">
        <v>2683</v>
      </c>
      <c r="L145" s="94" t="s">
        <v>4110</v>
      </c>
      <c r="M145" s="94" t="s">
        <v>5988</v>
      </c>
      <c r="N145" s="94" t="s">
        <v>5711</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5821</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6003</v>
      </c>
      <c r="B147" s="82" t="s">
        <v>6004</v>
      </c>
      <c r="C147" s="83" t="s">
        <v>1258</v>
      </c>
      <c r="D147" s="84" t="s">
        <v>1258</v>
      </c>
      <c r="E147" s="85" t="s">
        <v>1258</v>
      </c>
      <c r="F147" s="86" t="s">
        <v>439</v>
      </c>
      <c r="G147" s="82" t="s">
        <v>221</v>
      </c>
      <c r="H147" s="666"/>
      <c r="I147" s="94" t="s">
        <v>5661</v>
      </c>
      <c r="J147" s="94" t="s">
        <v>6005</v>
      </c>
      <c r="K147" s="94" t="s">
        <v>5900</v>
      </c>
      <c r="L147" s="94" t="s">
        <v>2950</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5856</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2865</v>
      </c>
      <c r="G148" s="104" t="s">
        <v>2865</v>
      </c>
      <c r="H148" s="243"/>
      <c r="I148" s="243"/>
      <c r="J148" s="243"/>
      <c r="K148" s="243"/>
      <c r="L148" s="243"/>
      <c r="M148" s="243"/>
      <c r="N148" s="243"/>
      <c r="O148" s="112" t="s">
        <v>6015</v>
      </c>
      <c r="P148" s="112" t="s">
        <v>6016</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6017</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6021</v>
      </c>
      <c r="B149" s="82" t="s">
        <v>6022</v>
      </c>
      <c r="C149" s="83" t="s">
        <v>1258</v>
      </c>
      <c r="D149" s="84" t="s">
        <v>1258</v>
      </c>
      <c r="E149" s="85" t="s">
        <v>1258</v>
      </c>
      <c r="F149" s="86" t="s">
        <v>1258</v>
      </c>
      <c r="G149" s="82" t="s">
        <v>6023</v>
      </c>
      <c r="H149" s="94" t="s">
        <v>3892</v>
      </c>
      <c r="I149" s="94" t="s">
        <v>4075</v>
      </c>
      <c r="J149" s="94" t="s">
        <v>678</v>
      </c>
      <c r="K149" s="94" t="s">
        <v>6008</v>
      </c>
      <c r="L149" s="94" t="s">
        <v>6024</v>
      </c>
      <c r="M149" s="94" t="s">
        <v>6025</v>
      </c>
      <c r="N149" s="94" t="s">
        <v>6026</v>
      </c>
      <c r="O149" s="94" t="s">
        <v>3128</v>
      </c>
      <c r="P149" s="94" t="s">
        <v>4152</v>
      </c>
      <c r="Q149" s="94" t="s">
        <v>6027</v>
      </c>
      <c r="R149" s="99"/>
      <c r="S149" s="94" t="s">
        <v>974</v>
      </c>
      <c r="T149" s="99"/>
      <c r="U149" s="94" t="s">
        <v>6028</v>
      </c>
      <c r="V149" s="94" t="s">
        <v>6029</v>
      </c>
      <c r="W149" s="92"/>
      <c r="X149" s="94" t="s">
        <v>6030</v>
      </c>
      <c r="Y149" s="94"/>
      <c r="Z149" s="94" t="s">
        <v>2084</v>
      </c>
      <c r="AA149" s="94" t="s">
        <v>3633</v>
      </c>
      <c r="AB149" s="94" t="s">
        <v>3680</v>
      </c>
      <c r="AC149" s="94" t="s">
        <v>5954</v>
      </c>
      <c r="AD149" s="94" t="s">
        <v>6031</v>
      </c>
      <c r="AE149" s="94"/>
      <c r="AF149" s="94" t="s">
        <v>6032</v>
      </c>
      <c r="AG149" s="94" t="s">
        <v>6033</v>
      </c>
      <c r="AH149" s="94" t="s">
        <v>6034</v>
      </c>
      <c r="AI149" s="99"/>
      <c r="AJ149" s="94" t="s">
        <v>4755</v>
      </c>
      <c r="AK149" s="94" t="s">
        <v>6035</v>
      </c>
      <c r="AL149" s="97"/>
      <c r="AM149" s="94" t="s">
        <v>6036</v>
      </c>
      <c r="AN149" s="94" t="s">
        <v>5004</v>
      </c>
      <c r="AO149" s="94" t="s">
        <v>6037</v>
      </c>
      <c r="AP149" s="94" t="s">
        <v>2055</v>
      </c>
      <c r="AQ149" s="94" t="s">
        <v>6038</v>
      </c>
      <c r="AR149" s="94" t="s">
        <v>6039</v>
      </c>
      <c r="AS149" s="94" t="s">
        <v>6040</v>
      </c>
      <c r="AT149" s="94" t="s">
        <v>6041</v>
      </c>
      <c r="AU149" s="94" t="s">
        <v>602</v>
      </c>
      <c r="AV149" s="94" t="s">
        <v>1585</v>
      </c>
      <c r="AW149" s="94" t="s">
        <v>6042</v>
      </c>
      <c r="AX149" s="99"/>
      <c r="AY149" s="94" t="s">
        <v>6043</v>
      </c>
      <c r="AZ149" s="94" t="s">
        <v>6044</v>
      </c>
      <c r="BA149" s="99"/>
      <c r="BB149" s="94" t="s">
        <v>6045</v>
      </c>
      <c r="BC149" s="94" t="s">
        <v>6046</v>
      </c>
      <c r="BD149" s="94" t="s">
        <v>3173</v>
      </c>
      <c r="BE149" s="94" t="s">
        <v>2561</v>
      </c>
      <c r="BF149" s="94" t="s">
        <v>6047</v>
      </c>
      <c r="BG149" s="94" t="s">
        <v>6048</v>
      </c>
      <c r="BH149" s="94" t="s">
        <v>6049</v>
      </c>
      <c r="BI149" s="94" t="s">
        <v>6050</v>
      </c>
      <c r="BJ149" s="99"/>
      <c r="BK149" s="99"/>
      <c r="BL149" s="94" t="s">
        <v>458</v>
      </c>
      <c r="BM149" s="94" t="s">
        <v>6051</v>
      </c>
      <c r="BN149" s="94" t="s">
        <v>4275</v>
      </c>
      <c r="BO149" s="94" t="s">
        <v>562</v>
      </c>
      <c r="BP149" s="94" t="s">
        <v>6052</v>
      </c>
      <c r="BQ149" s="236"/>
      <c r="BR149" s="94" t="s">
        <v>6053</v>
      </c>
      <c r="BS149" s="94" t="s">
        <v>1159</v>
      </c>
      <c r="BT149" s="94" t="s">
        <v>951</v>
      </c>
      <c r="BU149" s="94" t="s">
        <v>2353</v>
      </c>
      <c r="BV149" s="94" t="s">
        <v>6054</v>
      </c>
      <c r="BW149" s="94" t="s">
        <v>6055</v>
      </c>
      <c r="BX149" s="94" t="s">
        <v>1586</v>
      </c>
      <c r="BY149" s="94" t="s">
        <v>1250</v>
      </c>
      <c r="BZ149" s="99"/>
      <c r="CA149" s="94" t="s">
        <v>6056</v>
      </c>
      <c r="CB149" s="94" t="s">
        <v>6057</v>
      </c>
      <c r="CC149" s="94" t="s">
        <v>454</v>
      </c>
      <c r="CD149" s="94" t="s">
        <v>182</v>
      </c>
      <c r="CE149" s="94" t="s">
        <v>6058</v>
      </c>
      <c r="CF149" s="236"/>
      <c r="CG149" s="94" t="s">
        <v>6059</v>
      </c>
      <c r="CH149" s="94" t="s">
        <v>1450</v>
      </c>
      <c r="CI149" s="94" t="s">
        <v>490</v>
      </c>
      <c r="CJ149" s="94" t="s">
        <v>6060</v>
      </c>
      <c r="CK149" s="94"/>
      <c r="CL149" s="94" t="s">
        <v>5031</v>
      </c>
      <c r="CM149" s="94" t="s">
        <v>6061</v>
      </c>
      <c r="CN149" s="94" t="s">
        <v>3805</v>
      </c>
      <c r="CO149" s="94" t="s">
        <v>2120</v>
      </c>
      <c r="CP149" s="94" t="s">
        <v>6062</v>
      </c>
      <c r="CQ149" s="94" t="s">
        <v>6063</v>
      </c>
      <c r="CR149" s="99"/>
      <c r="CS149" s="94" t="s">
        <v>6064</v>
      </c>
      <c r="CT149" s="94" t="s">
        <v>6065</v>
      </c>
      <c r="CU149" s="92"/>
      <c r="CV149" s="94" t="s">
        <v>2892</v>
      </c>
      <c r="CW149" s="94" t="s">
        <v>6066</v>
      </c>
      <c r="CX149" s="94" t="s">
        <v>2439</v>
      </c>
      <c r="CY149" s="94" t="s">
        <v>6067</v>
      </c>
      <c r="CZ149" s="94" t="s">
        <v>1433</v>
      </c>
      <c r="DA149" s="94" t="s">
        <v>4209</v>
      </c>
      <c r="DB149" s="94" t="s">
        <v>6068</v>
      </c>
      <c r="DC149" s="94" t="s">
        <v>6069</v>
      </c>
      <c r="DD149" s="94" t="s">
        <v>6070</v>
      </c>
      <c r="DE149" s="94" t="s">
        <v>4171</v>
      </c>
      <c r="DF149" s="94" t="s">
        <v>1822</v>
      </c>
      <c r="DG149" s="94" t="s">
        <v>6071</v>
      </c>
      <c r="DH149" s="236"/>
      <c r="DI149" s="94" t="s">
        <v>4039</v>
      </c>
      <c r="DJ149" s="99"/>
      <c r="DK149" s="94" t="s">
        <v>2730</v>
      </c>
      <c r="DL149" s="94" t="s">
        <v>2111</v>
      </c>
      <c r="DM149" s="94" t="s">
        <v>3247</v>
      </c>
      <c r="DN149" s="94" t="s">
        <v>2415</v>
      </c>
      <c r="DO149" s="94" t="s">
        <v>4125</v>
      </c>
      <c r="DP149" s="94" t="s">
        <v>6072</v>
      </c>
      <c r="DQ149" s="94" t="s">
        <v>180</v>
      </c>
      <c r="DR149" s="94" t="s">
        <v>6073</v>
      </c>
      <c r="DS149" s="94" t="s">
        <v>3129</v>
      </c>
      <c r="DT149" s="94" t="s">
        <v>4826</v>
      </c>
      <c r="DU149" s="94" t="s">
        <v>6074</v>
      </c>
      <c r="DV149" s="94" t="s">
        <v>6075</v>
      </c>
      <c r="DW149" s="94" t="s">
        <v>1123</v>
      </c>
      <c r="DX149" s="94" t="s">
        <v>3947</v>
      </c>
      <c r="DY149" s="94" t="s">
        <v>6076</v>
      </c>
      <c r="DZ149" s="94" t="s">
        <v>4451</v>
      </c>
      <c r="EA149" s="94" t="s">
        <v>2575</v>
      </c>
      <c r="EB149" s="94" t="s">
        <v>4998</v>
      </c>
      <c r="EC149" s="94" t="s">
        <v>2317</v>
      </c>
      <c r="ED149" s="616" t="s">
        <v>4430</v>
      </c>
    </row>
    <row r="150">
      <c r="A150" s="668" t="s">
        <v>6077</v>
      </c>
      <c r="B150" s="104" t="s">
        <v>6078</v>
      </c>
      <c r="C150" s="105" t="s">
        <v>1258</v>
      </c>
      <c r="D150" s="106" t="s">
        <v>548</v>
      </c>
      <c r="E150" s="107" t="s">
        <v>1258</v>
      </c>
      <c r="F150" s="108" t="s">
        <v>984</v>
      </c>
      <c r="G150" s="104" t="s">
        <v>1060</v>
      </c>
      <c r="H150" s="243"/>
      <c r="I150" s="167" t="s">
        <v>6079</v>
      </c>
      <c r="J150" s="167" t="s">
        <v>4348</v>
      </c>
      <c r="K150" s="112" t="s">
        <v>663</v>
      </c>
      <c r="L150" s="112" t="s">
        <v>6080</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6081</v>
      </c>
      <c r="CI150" s="255"/>
      <c r="CJ150" s="263" t="s">
        <v>3955</v>
      </c>
      <c r="CK150" s="263"/>
      <c r="CL150" s="263"/>
      <c r="CM150" s="255"/>
      <c r="CN150" s="255"/>
      <c r="CO150" s="177" t="s">
        <v>846</v>
      </c>
      <c r="CP150" s="255"/>
      <c r="CQ150" s="255"/>
      <c r="CR150" s="255"/>
      <c r="CS150" s="255"/>
      <c r="CT150" s="255"/>
      <c r="CU150" s="92"/>
      <c r="CV150" s="204" t="s">
        <v>6082</v>
      </c>
      <c r="CW150" s="256"/>
      <c r="CX150" s="140" t="s">
        <v>6083</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69" t="s">
        <v>6085</v>
      </c>
    </row>
    <row r="151">
      <c r="A151" s="667" t="s">
        <v>6086</v>
      </c>
      <c r="B151" s="82" t="s">
        <v>6087</v>
      </c>
      <c r="C151" s="83" t="s">
        <v>1258</v>
      </c>
      <c r="D151" s="84" t="s">
        <v>1258</v>
      </c>
      <c r="E151" s="85" t="s">
        <v>1258</v>
      </c>
      <c r="F151" s="86" t="s">
        <v>223</v>
      </c>
      <c r="G151" s="82" t="s">
        <v>2676</v>
      </c>
      <c r="H151" s="93"/>
      <c r="I151" s="98" t="s">
        <v>6088</v>
      </c>
      <c r="J151" s="88" t="s">
        <v>4700</v>
      </c>
      <c r="K151" s="88" t="s">
        <v>6089</v>
      </c>
      <c r="L151" s="88" t="s">
        <v>2097</v>
      </c>
      <c r="M151" s="102"/>
      <c r="N151" s="88" t="s">
        <v>713</v>
      </c>
      <c r="O151" s="266" t="s">
        <v>6090</v>
      </c>
      <c r="P151" s="88" t="s">
        <v>1865</v>
      </c>
      <c r="Q151" s="99"/>
      <c r="R151" s="99"/>
      <c r="S151" s="99"/>
      <c r="T151" s="99"/>
      <c r="U151" s="99"/>
      <c r="V151" s="99"/>
      <c r="W151" s="92"/>
      <c r="X151" s="88" t="s">
        <v>5557</v>
      </c>
      <c r="Y151" s="102"/>
      <c r="Z151" s="102" t="s">
        <v>6091</v>
      </c>
      <c r="AA151" s="102" t="s">
        <v>6092</v>
      </c>
      <c r="AB151" s="266" t="s">
        <v>2867</v>
      </c>
      <c r="AC151" s="102"/>
      <c r="AD151" s="102" t="s">
        <v>6093</v>
      </c>
      <c r="AE151" s="99"/>
      <c r="AF151" s="102"/>
      <c r="AG151" s="102"/>
      <c r="AH151" s="99"/>
      <c r="AI151" s="99"/>
      <c r="AJ151" s="102"/>
      <c r="AK151" s="99"/>
      <c r="AL151" s="97"/>
      <c r="AM151" s="102"/>
      <c r="AN151" s="102"/>
      <c r="AO151" s="99"/>
      <c r="AP151" s="99"/>
      <c r="AQ151" s="94"/>
      <c r="AR151" s="94"/>
      <c r="AS151" s="99"/>
      <c r="AT151" s="99"/>
      <c r="AU151" s="88" t="s">
        <v>1191</v>
      </c>
      <c r="AV151" s="88" t="s">
        <v>6094</v>
      </c>
      <c r="AW151" s="102"/>
      <c r="AX151" s="99"/>
      <c r="AY151" s="99"/>
      <c r="AZ151" s="99"/>
      <c r="BA151" s="99"/>
      <c r="BB151" s="88" t="s">
        <v>6095</v>
      </c>
      <c r="BC151" s="266" t="s">
        <v>6096</v>
      </c>
      <c r="BD151" s="102"/>
      <c r="BE151" s="88" t="s">
        <v>1541</v>
      </c>
      <c r="BF151" s="88" t="s">
        <v>4561</v>
      </c>
      <c r="BG151" s="102"/>
      <c r="BH151" s="99"/>
      <c r="BI151" s="88" t="s">
        <v>3050</v>
      </c>
      <c r="BJ151" s="266" t="s">
        <v>6097</v>
      </c>
      <c r="BK151" s="102"/>
      <c r="BL151" s="102"/>
      <c r="BM151" s="99"/>
      <c r="BN151" s="99"/>
      <c r="BO151" s="102"/>
      <c r="BP151" s="99"/>
      <c r="BQ151" s="236"/>
      <c r="BR151" s="102" t="s">
        <v>2503</v>
      </c>
      <c r="BS151" s="102" t="s">
        <v>6098</v>
      </c>
      <c r="BT151" s="102"/>
      <c r="BU151" s="102" t="s">
        <v>3102</v>
      </c>
      <c r="BV151" s="102" t="s">
        <v>6099</v>
      </c>
      <c r="BW151" s="102"/>
      <c r="BX151" s="99"/>
      <c r="BY151" s="102"/>
      <c r="BZ151" s="102"/>
      <c r="CA151" s="102"/>
      <c r="CB151" s="99"/>
      <c r="CC151" s="99"/>
      <c r="CD151" s="99"/>
      <c r="CE151" s="99"/>
      <c r="CF151" s="236"/>
      <c r="CG151" s="102" t="s">
        <v>6100</v>
      </c>
      <c r="CH151" s="102" t="s">
        <v>6101</v>
      </c>
      <c r="CI151" s="102" t="s">
        <v>3532</v>
      </c>
      <c r="CJ151" s="102" t="s">
        <v>6102</v>
      </c>
      <c r="CK151" s="102"/>
      <c r="CL151" s="102"/>
      <c r="CM151" s="102" t="s">
        <v>6103</v>
      </c>
      <c r="CN151" s="88" t="s">
        <v>2680</v>
      </c>
      <c r="CO151" s="102"/>
      <c r="CP151" s="222"/>
      <c r="CQ151" s="99"/>
      <c r="CR151" s="99"/>
      <c r="CS151" s="99"/>
      <c r="CT151" s="99"/>
      <c r="CU151" s="92"/>
      <c r="CV151" s="88" t="s">
        <v>5274</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548</v>
      </c>
      <c r="G152" s="104" t="s">
        <v>1199</v>
      </c>
      <c r="H152" s="243"/>
      <c r="I152" s="243"/>
      <c r="J152" s="167" t="s">
        <v>6110</v>
      </c>
      <c r="K152" s="167" t="s">
        <v>663</v>
      </c>
      <c r="L152" s="167" t="s">
        <v>6111</v>
      </c>
      <c r="M152" s="243"/>
      <c r="N152" s="167" t="s">
        <v>2592</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6115</v>
      </c>
      <c r="B153" s="82" t="s">
        <v>6116</v>
      </c>
      <c r="C153" s="83" t="s">
        <v>1258</v>
      </c>
      <c r="D153" s="84" t="s">
        <v>1258</v>
      </c>
      <c r="E153" s="85" t="s">
        <v>1258</v>
      </c>
      <c r="F153" s="86" t="s">
        <v>334</v>
      </c>
      <c r="G153" s="82" t="s">
        <v>2931</v>
      </c>
      <c r="H153" s="260"/>
      <c r="I153" s="260" t="s">
        <v>2749</v>
      </c>
      <c r="J153" s="98" t="s">
        <v>6117</v>
      </c>
      <c r="K153" s="260" t="s">
        <v>6118</v>
      </c>
      <c r="L153" s="102" t="s">
        <v>4140</v>
      </c>
      <c r="M153" s="102" t="s">
        <v>6119</v>
      </c>
      <c r="N153" s="102" t="s">
        <v>5778</v>
      </c>
      <c r="O153" s="102" t="s">
        <v>6120</v>
      </c>
      <c r="P153" s="102" t="s">
        <v>3098</v>
      </c>
      <c r="Q153" s="99"/>
      <c r="R153" s="99"/>
      <c r="S153" s="99"/>
      <c r="T153" s="99"/>
      <c r="U153" s="99"/>
      <c r="V153" s="99"/>
      <c r="W153" s="92"/>
      <c r="X153" s="102"/>
      <c r="Y153" s="93"/>
      <c r="Z153" s="88" t="s">
        <v>2832</v>
      </c>
      <c r="AA153" s="102" t="s">
        <v>5118</v>
      </c>
      <c r="AB153" s="266"/>
      <c r="AC153" s="102" t="s">
        <v>4353</v>
      </c>
      <c r="AD153" s="102"/>
      <c r="AE153" s="99"/>
      <c r="AF153" s="102" t="s">
        <v>6121</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6122</v>
      </c>
      <c r="BG153" s="102"/>
      <c r="BH153" s="99"/>
      <c r="BI153" s="102"/>
      <c r="BJ153" s="99"/>
      <c r="BK153" s="102"/>
      <c r="BL153" s="102"/>
      <c r="BM153" s="99"/>
      <c r="BN153" s="99"/>
      <c r="BO153" s="102"/>
      <c r="BP153" s="99"/>
      <c r="BQ153" s="236"/>
      <c r="BR153" s="102" t="s">
        <v>6123</v>
      </c>
      <c r="BS153" s="102"/>
      <c r="BT153" s="102"/>
      <c r="BU153" s="88" t="s">
        <v>1076</v>
      </c>
      <c r="BV153" s="102"/>
      <c r="BW153" s="102" t="s">
        <v>5991</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6128</v>
      </c>
      <c r="B154" s="104" t="s">
        <v>6129</v>
      </c>
      <c r="C154" s="105" t="s">
        <v>1258</v>
      </c>
      <c r="D154" s="106" t="s">
        <v>1258</v>
      </c>
      <c r="E154" s="107" t="s">
        <v>1258</v>
      </c>
      <c r="F154" s="108" t="s">
        <v>1258</v>
      </c>
      <c r="G154" s="104" t="s">
        <v>4673</v>
      </c>
      <c r="H154" s="673"/>
      <c r="I154" s="321"/>
      <c r="J154" s="321" t="s">
        <v>1181</v>
      </c>
      <c r="K154" s="321" t="s">
        <v>354</v>
      </c>
      <c r="L154" s="321" t="s">
        <v>660</v>
      </c>
      <c r="M154" s="321"/>
      <c r="N154" s="321"/>
      <c r="O154" s="321" t="s">
        <v>6130</v>
      </c>
      <c r="P154" s="321" t="s">
        <v>6131</v>
      </c>
      <c r="Q154" s="565"/>
      <c r="R154" s="565"/>
      <c r="S154" s="275" t="s">
        <v>3008</v>
      </c>
      <c r="T154" s="565"/>
      <c r="U154" s="565"/>
      <c r="V154" s="565"/>
      <c r="W154" s="579"/>
      <c r="X154" s="300" t="s">
        <v>6132</v>
      </c>
      <c r="Y154" s="300"/>
      <c r="Z154" s="300" t="s">
        <v>2832</v>
      </c>
      <c r="AA154" s="300" t="s">
        <v>131</v>
      </c>
      <c r="AB154" s="300" t="s">
        <v>6133</v>
      </c>
      <c r="AC154" s="300" t="s">
        <v>3945</v>
      </c>
      <c r="AD154" s="300" t="s">
        <v>6134</v>
      </c>
      <c r="AE154" s="566"/>
      <c r="AF154" s="300" t="s">
        <v>6135</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6136</v>
      </c>
      <c r="BD154" s="201" t="s">
        <v>3333</v>
      </c>
      <c r="BE154" s="201" t="s">
        <v>6137</v>
      </c>
      <c r="BF154" s="201" t="s">
        <v>2422</v>
      </c>
      <c r="BG154" s="201" t="s">
        <v>6138</v>
      </c>
      <c r="BH154" s="570"/>
      <c r="BI154" s="201" t="s">
        <v>2753</v>
      </c>
      <c r="BJ154" s="570"/>
      <c r="BK154" s="201" t="s">
        <v>6139</v>
      </c>
      <c r="BL154" s="201" t="s">
        <v>4207</v>
      </c>
      <c r="BM154" s="570"/>
      <c r="BN154" s="570"/>
      <c r="BO154" s="201"/>
      <c r="BP154" s="570"/>
      <c r="BQ154" s="573"/>
      <c r="BR154" s="343"/>
      <c r="BS154" s="343" t="s">
        <v>6140</v>
      </c>
      <c r="BT154" s="343" t="s">
        <v>4248</v>
      </c>
      <c r="BU154" s="343" t="s">
        <v>6141</v>
      </c>
      <c r="BV154" s="343" t="s">
        <v>6142</v>
      </c>
      <c r="BW154" s="343" t="s">
        <v>1400</v>
      </c>
      <c r="BX154" s="574"/>
      <c r="BY154" s="343"/>
      <c r="BZ154" s="343" t="s">
        <v>6143</v>
      </c>
      <c r="CA154" s="343" t="s">
        <v>6144</v>
      </c>
      <c r="CB154" s="309"/>
      <c r="CC154" s="574"/>
      <c r="CD154" s="574"/>
      <c r="CE154" s="574"/>
      <c r="CF154" s="575"/>
      <c r="CG154" s="336" t="s">
        <v>5934</v>
      </c>
      <c r="CH154" s="336" t="s">
        <v>6145</v>
      </c>
      <c r="CI154" s="336"/>
      <c r="CJ154" s="336"/>
      <c r="CK154" s="336" t="s">
        <v>6146</v>
      </c>
      <c r="CL154" s="336"/>
      <c r="CM154" s="336"/>
      <c r="CN154" s="336" t="s">
        <v>2680</v>
      </c>
      <c r="CO154" s="336" t="s">
        <v>6147</v>
      </c>
      <c r="CP154" s="577"/>
      <c r="CQ154" s="578"/>
      <c r="CR154" s="578"/>
      <c r="CS154" s="578"/>
      <c r="CT154" s="578"/>
      <c r="CU154" s="579"/>
      <c r="CV154" s="284" t="s">
        <v>2074</v>
      </c>
      <c r="CW154" s="284"/>
      <c r="CX154" s="284" t="s">
        <v>3905</v>
      </c>
      <c r="CY154" s="284"/>
      <c r="CZ154" s="284"/>
      <c r="DA154" s="284"/>
      <c r="DB154" s="284" t="s">
        <v>6148</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6149</v>
      </c>
      <c r="B155" s="82" t="s">
        <v>6150</v>
      </c>
      <c r="C155" s="83" t="s">
        <v>1258</v>
      </c>
      <c r="D155" s="84" t="s">
        <v>1258</v>
      </c>
      <c r="E155" s="85" t="s">
        <v>1258</v>
      </c>
      <c r="F155" s="86" t="s">
        <v>1258</v>
      </c>
      <c r="G155" s="82" t="s">
        <v>2540</v>
      </c>
      <c r="H155" s="102"/>
      <c r="I155" s="95" t="s">
        <v>5152</v>
      </c>
      <c r="J155" s="102" t="s">
        <v>6151</v>
      </c>
      <c r="K155" s="102" t="s">
        <v>6152</v>
      </c>
      <c r="L155" s="102" t="s">
        <v>5973</v>
      </c>
      <c r="M155" s="102" t="s">
        <v>6153</v>
      </c>
      <c r="N155" s="102" t="s">
        <v>1022</v>
      </c>
      <c r="O155" s="102" t="s">
        <v>482</v>
      </c>
      <c r="P155" s="102" t="s">
        <v>764</v>
      </c>
      <c r="Q155" s="99"/>
      <c r="R155" s="99"/>
      <c r="S155" s="94"/>
      <c r="T155" s="99"/>
      <c r="U155" s="99"/>
      <c r="V155" s="99"/>
      <c r="W155" s="92"/>
      <c r="X155" s="102" t="s">
        <v>4352</v>
      </c>
      <c r="Y155" s="102"/>
      <c r="Z155" s="102" t="s">
        <v>2084</v>
      </c>
      <c r="AA155" s="102" t="s">
        <v>6154</v>
      </c>
      <c r="AB155" s="266" t="s">
        <v>6155</v>
      </c>
      <c r="AC155" s="102" t="s">
        <v>6156</v>
      </c>
      <c r="AD155" s="102" t="s">
        <v>3684</v>
      </c>
      <c r="AE155" s="99"/>
      <c r="AF155" s="102" t="s">
        <v>6157</v>
      </c>
      <c r="AG155" s="102" t="s">
        <v>6158</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6047</v>
      </c>
      <c r="BC155" s="102" t="s">
        <v>4958</v>
      </c>
      <c r="BD155" s="102" t="s">
        <v>1076</v>
      </c>
      <c r="BE155" s="102" t="s">
        <v>6159</v>
      </c>
      <c r="BF155" s="102" t="s">
        <v>6160</v>
      </c>
      <c r="BG155" s="102"/>
      <c r="BH155" s="99"/>
      <c r="BI155" s="102" t="s">
        <v>6161</v>
      </c>
      <c r="BJ155" s="94" t="s">
        <v>6162</v>
      </c>
      <c r="BK155" s="102"/>
      <c r="BL155" s="102" t="s">
        <v>1951</v>
      </c>
      <c r="BM155" s="99"/>
      <c r="BN155" s="99"/>
      <c r="BO155" s="102"/>
      <c r="BP155" s="99"/>
      <c r="BQ155" s="236"/>
      <c r="BR155" s="675" t="s">
        <v>6163</v>
      </c>
      <c r="BS155" s="102" t="s">
        <v>1355</v>
      </c>
      <c r="BT155" s="102" t="s">
        <v>5534</v>
      </c>
      <c r="BU155" s="102" t="s">
        <v>6164</v>
      </c>
      <c r="BV155" s="102" t="s">
        <v>6165</v>
      </c>
      <c r="BW155" s="102" t="s">
        <v>1521</v>
      </c>
      <c r="BX155" s="94" t="s">
        <v>4198</v>
      </c>
      <c r="BY155" s="102" t="s">
        <v>6166</v>
      </c>
      <c r="BZ155" s="102"/>
      <c r="CA155" s="102" t="s">
        <v>1445</v>
      </c>
      <c r="CB155" s="99"/>
      <c r="CC155" s="99"/>
      <c r="CD155" s="99"/>
      <c r="CE155" s="99"/>
      <c r="CF155" s="236"/>
      <c r="CG155" s="102" t="s">
        <v>6167</v>
      </c>
      <c r="CH155" s="102" t="s">
        <v>2125</v>
      </c>
      <c r="CI155" s="102" t="s">
        <v>2545</v>
      </c>
      <c r="CJ155" s="102"/>
      <c r="CK155" s="102" t="s">
        <v>6168</v>
      </c>
      <c r="CL155" s="102" t="s">
        <v>365</v>
      </c>
      <c r="CM155" s="102" t="s">
        <v>6169</v>
      </c>
      <c r="CN155" s="102" t="s">
        <v>6170</v>
      </c>
      <c r="CO155" s="102" t="s">
        <v>6171</v>
      </c>
      <c r="CP155" s="222"/>
      <c r="CQ155" s="99"/>
      <c r="CR155" s="99"/>
      <c r="CS155" s="99"/>
      <c r="CT155" s="99"/>
      <c r="CU155" s="92"/>
      <c r="CV155" s="102" t="s">
        <v>6172</v>
      </c>
      <c r="CW155" s="102" t="s">
        <v>2682</v>
      </c>
      <c r="CX155" s="102" t="s">
        <v>1706</v>
      </c>
      <c r="CY155" s="102" t="s">
        <v>4218</v>
      </c>
      <c r="CZ155" s="102" t="s">
        <v>6173</v>
      </c>
      <c r="DA155" s="102" t="s">
        <v>5705</v>
      </c>
      <c r="DB155" s="102" t="s">
        <v>6052</v>
      </c>
      <c r="DC155" s="102" t="s">
        <v>6154</v>
      </c>
      <c r="DD155" s="99"/>
      <c r="DE155" s="99"/>
      <c r="DF155" s="99"/>
      <c r="DG155" s="99"/>
      <c r="DH155" s="236"/>
      <c r="DI155" s="102" t="s">
        <v>2842</v>
      </c>
      <c r="DJ155" s="99"/>
      <c r="DK155" s="99"/>
      <c r="DL155" s="102"/>
      <c r="DM155" s="102"/>
      <c r="DN155" s="102"/>
      <c r="DO155" s="99"/>
      <c r="DP155" s="99"/>
      <c r="DQ155" s="99"/>
      <c r="DR155" s="102" t="s">
        <v>6174</v>
      </c>
      <c r="DS155" s="102" t="s">
        <v>4388</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440</v>
      </c>
      <c r="G156" s="104" t="s">
        <v>2676</v>
      </c>
      <c r="H156" s="167"/>
      <c r="I156" s="112" t="s">
        <v>6177</v>
      </c>
      <c r="J156" s="112" t="s">
        <v>1656</v>
      </c>
      <c r="K156" s="112" t="s">
        <v>1827</v>
      </c>
      <c r="L156" s="112" t="s">
        <v>6178</v>
      </c>
      <c r="M156" s="167" t="s">
        <v>6179</v>
      </c>
      <c r="N156" s="167" t="s">
        <v>3737</v>
      </c>
      <c r="O156" s="167" t="s">
        <v>5862</v>
      </c>
      <c r="P156" s="167" t="s">
        <v>3917</v>
      </c>
      <c r="Q156" s="243"/>
      <c r="R156" s="243"/>
      <c r="S156" s="243"/>
      <c r="T156" s="243"/>
      <c r="U156" s="243"/>
      <c r="V156" s="243"/>
      <c r="W156" s="92"/>
      <c r="X156" s="198" t="s">
        <v>6180</v>
      </c>
      <c r="Y156" s="246"/>
      <c r="Z156" s="246"/>
      <c r="AA156" s="198" t="s">
        <v>676</v>
      </c>
      <c r="AB156" s="198" t="s">
        <v>5703</v>
      </c>
      <c r="AC156" s="116" t="s">
        <v>5458</v>
      </c>
      <c r="AD156" s="246"/>
      <c r="AE156" s="246"/>
      <c r="AF156" s="198" t="s">
        <v>6181</v>
      </c>
      <c r="AG156" s="198" t="s">
        <v>307</v>
      </c>
      <c r="AH156" s="246"/>
      <c r="AI156" s="246"/>
      <c r="AJ156" s="246"/>
      <c r="AK156" s="246"/>
      <c r="AL156" s="97"/>
      <c r="AM156" s="168"/>
      <c r="AN156" s="168" t="s">
        <v>5481</v>
      </c>
      <c r="AO156" s="247"/>
      <c r="AP156" s="247"/>
      <c r="AQ156" s="247"/>
      <c r="AR156" s="247"/>
      <c r="AS156" s="247"/>
      <c r="AT156" s="247"/>
      <c r="AU156" s="168" t="s">
        <v>6182</v>
      </c>
      <c r="AV156" s="247"/>
      <c r="AW156" s="168" t="s">
        <v>199</v>
      </c>
      <c r="AX156" s="247"/>
      <c r="AY156" s="247"/>
      <c r="AZ156" s="247"/>
      <c r="BA156" s="247"/>
      <c r="BB156" s="173"/>
      <c r="BC156" s="174" t="s">
        <v>5799</v>
      </c>
      <c r="BD156" s="173"/>
      <c r="BE156" s="174" t="s">
        <v>6183</v>
      </c>
      <c r="BF156" s="174" t="s">
        <v>1459</v>
      </c>
      <c r="BG156" s="174" t="s">
        <v>4730</v>
      </c>
      <c r="BH156" s="173"/>
      <c r="BI156" s="126" t="s">
        <v>6184</v>
      </c>
      <c r="BJ156" s="173"/>
      <c r="BK156" s="173"/>
      <c r="BL156" s="174" t="s">
        <v>104</v>
      </c>
      <c r="BM156" s="173"/>
      <c r="BN156" s="173"/>
      <c r="BO156" s="173"/>
      <c r="BP156" s="173"/>
      <c r="BQ156" s="249"/>
      <c r="BR156" s="175"/>
      <c r="BS156" s="252"/>
      <c r="BT156" s="252"/>
      <c r="BU156" s="175" t="s">
        <v>6185</v>
      </c>
      <c r="BV156" s="252"/>
      <c r="BW156" s="175" t="s">
        <v>1902</v>
      </c>
      <c r="BX156" s="252"/>
      <c r="BY156" s="175" t="s">
        <v>6186</v>
      </c>
      <c r="BZ156" s="252"/>
      <c r="CA156" s="175" t="s">
        <v>6187</v>
      </c>
      <c r="CB156" s="252"/>
      <c r="CC156" s="252"/>
      <c r="CD156" s="252"/>
      <c r="CE156" s="252"/>
      <c r="CF156" s="253"/>
      <c r="CG156" s="255"/>
      <c r="CH156" s="177" t="s">
        <v>6188</v>
      </c>
      <c r="CI156" s="255"/>
      <c r="CJ156" s="263" t="s">
        <v>6189</v>
      </c>
      <c r="CK156" s="263"/>
      <c r="CL156" s="263" t="s">
        <v>5768</v>
      </c>
      <c r="CM156" s="255"/>
      <c r="CN156" s="255"/>
      <c r="CO156" s="255"/>
      <c r="CP156" s="255"/>
      <c r="CQ156" s="255"/>
      <c r="CR156" s="255"/>
      <c r="CS156" s="255"/>
      <c r="CT156" s="255"/>
      <c r="CU156" s="92"/>
      <c r="CV156" s="256"/>
      <c r="CW156" s="204" t="s">
        <v>5650</v>
      </c>
      <c r="CX156" s="204" t="s">
        <v>6190</v>
      </c>
      <c r="CY156" s="256"/>
      <c r="CZ156" s="256"/>
      <c r="DA156" s="204" t="s">
        <v>5425</v>
      </c>
      <c r="DB156" s="233" t="s">
        <v>5542</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439</v>
      </c>
      <c r="G158" s="104" t="s">
        <v>5627</v>
      </c>
      <c r="H158" s="243"/>
      <c r="I158" s="167" t="s">
        <v>1980</v>
      </c>
      <c r="J158" s="167" t="s">
        <v>2588</v>
      </c>
      <c r="K158" s="167" t="s">
        <v>3101</v>
      </c>
      <c r="L158" s="167" t="s">
        <v>2553</v>
      </c>
      <c r="M158" s="167" t="s">
        <v>6196</v>
      </c>
      <c r="N158" s="167" t="s">
        <v>6197</v>
      </c>
      <c r="O158" s="167" t="s">
        <v>6198</v>
      </c>
      <c r="P158" s="167" t="s">
        <v>4152</v>
      </c>
      <c r="Q158" s="243"/>
      <c r="R158" s="243"/>
      <c r="S158" s="243"/>
      <c r="T158" s="243"/>
      <c r="U158" s="243"/>
      <c r="V158" s="243"/>
      <c r="W158" s="92"/>
      <c r="X158" s="198" t="s">
        <v>5344</v>
      </c>
      <c r="Y158" s="198"/>
      <c r="Z158" s="198" t="s">
        <v>2132</v>
      </c>
      <c r="AA158" s="198" t="s">
        <v>2250</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3305</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5733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6202</v>
      </c>
      <c r="CY158" s="204" t="s">
        <v>4239</v>
      </c>
      <c r="CZ158" s="256"/>
      <c r="DA158" s="256"/>
      <c r="DB158" s="256"/>
      <c r="DC158" s="204" t="s">
        <v>1018</v>
      </c>
      <c r="DD158" s="256"/>
      <c r="DE158" s="256"/>
      <c r="DF158" s="256"/>
      <c r="DG158" s="256"/>
      <c r="DH158" s="257"/>
      <c r="DI158" s="205" t="s">
        <v>6203</v>
      </c>
      <c r="DJ158" s="258"/>
      <c r="DK158" s="258"/>
      <c r="DL158" s="205"/>
      <c r="DM158" s="258"/>
      <c r="DN158" s="205" t="s">
        <v>1913</v>
      </c>
      <c r="DO158" s="205" t="s">
        <v>6204</v>
      </c>
      <c r="DP158" s="258"/>
      <c r="DQ158" s="258"/>
      <c r="DR158" s="258"/>
      <c r="DS158" s="258"/>
      <c r="DT158" s="258"/>
      <c r="DU158" s="258"/>
      <c r="DV158" s="258"/>
      <c r="DW158" s="258"/>
      <c r="DX158" s="258"/>
      <c r="DY158" s="258"/>
      <c r="DZ158" s="205" t="s">
        <v>6205</v>
      </c>
      <c r="EA158" s="258"/>
      <c r="EB158" s="258"/>
      <c r="EC158" s="205" t="s">
        <v>4233</v>
      </c>
      <c r="ED158" s="287"/>
    </row>
    <row r="159">
      <c r="A159" s="81" t="s">
        <v>6206</v>
      </c>
      <c r="B159" s="82" t="s">
        <v>6207</v>
      </c>
      <c r="C159" s="83" t="s">
        <v>1258</v>
      </c>
      <c r="D159" s="84" t="s">
        <v>1258</v>
      </c>
      <c r="E159" s="85" t="s">
        <v>1258</v>
      </c>
      <c r="F159" s="86" t="s">
        <v>1258</v>
      </c>
      <c r="G159" s="82" t="s">
        <v>2931</v>
      </c>
      <c r="H159" s="94" t="s">
        <v>2728</v>
      </c>
      <c r="I159" s="94" t="s">
        <v>6208</v>
      </c>
      <c r="J159" s="94" t="s">
        <v>4838</v>
      </c>
      <c r="K159" s="94" t="s">
        <v>553</v>
      </c>
      <c r="L159" s="94" t="s">
        <v>6209</v>
      </c>
      <c r="M159" s="99"/>
      <c r="N159" s="99"/>
      <c r="O159" s="94" t="s">
        <v>1837</v>
      </c>
      <c r="P159" s="94" t="s">
        <v>353</v>
      </c>
      <c r="Q159" s="94"/>
      <c r="R159" s="99"/>
      <c r="S159" s="94" t="s">
        <v>6210</v>
      </c>
      <c r="T159" s="99"/>
      <c r="U159" s="94" t="s">
        <v>2951</v>
      </c>
      <c r="V159" s="99"/>
      <c r="W159" s="92"/>
      <c r="X159" s="94" t="s">
        <v>6211</v>
      </c>
      <c r="Y159" s="99"/>
      <c r="Z159" s="99"/>
      <c r="AA159" s="94" t="s">
        <v>558</v>
      </c>
      <c r="AB159" s="99"/>
      <c r="AC159" s="99"/>
      <c r="AD159" s="99"/>
      <c r="AE159" s="99"/>
      <c r="AF159" s="99"/>
      <c r="AG159" s="94" t="s">
        <v>6212</v>
      </c>
      <c r="AH159" s="94" t="s">
        <v>6213</v>
      </c>
      <c r="AI159" s="94"/>
      <c r="AJ159" s="94" t="s">
        <v>6214</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6218</v>
      </c>
      <c r="B160" s="104" t="s">
        <v>6219</v>
      </c>
      <c r="C160" s="105" t="s">
        <v>1258</v>
      </c>
      <c r="D160" s="106" t="s">
        <v>1258</v>
      </c>
      <c r="E160" s="107" t="s">
        <v>1258</v>
      </c>
      <c r="F160" s="108" t="s">
        <v>1200</v>
      </c>
      <c r="G160" s="104" t="s">
        <v>335</v>
      </c>
      <c r="H160" s="243"/>
      <c r="I160" s="243"/>
      <c r="J160" s="167" t="s">
        <v>6220</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4277</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6224</v>
      </c>
      <c r="B161" s="82" t="s">
        <v>6225</v>
      </c>
      <c r="C161" s="83" t="s">
        <v>1258</v>
      </c>
      <c r="D161" s="84" t="s">
        <v>1258</v>
      </c>
      <c r="E161" s="85" t="s">
        <v>1258</v>
      </c>
      <c r="F161" s="86" t="s">
        <v>336</v>
      </c>
      <c r="G161" s="82" t="s">
        <v>3967</v>
      </c>
      <c r="H161" s="94" t="s">
        <v>6226</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6227</v>
      </c>
      <c r="AB161" s="94" t="s">
        <v>4539</v>
      </c>
      <c r="AC161" s="94" t="s">
        <v>6228</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6232</v>
      </c>
      <c r="B162" s="104" t="s">
        <v>6233</v>
      </c>
      <c r="C162" s="105" t="s">
        <v>1258</v>
      </c>
      <c r="D162" s="106" t="s">
        <v>1258</v>
      </c>
      <c r="E162" s="107" t="s">
        <v>1258</v>
      </c>
      <c r="F162" s="108" t="s">
        <v>439</v>
      </c>
      <c r="G162" s="104" t="s">
        <v>6234</v>
      </c>
      <c r="H162" s="441"/>
      <c r="I162" s="321" t="s">
        <v>1595</v>
      </c>
      <c r="J162" s="441"/>
      <c r="K162" s="321" t="s">
        <v>4051</v>
      </c>
      <c r="L162" s="441"/>
      <c r="M162" s="441"/>
      <c r="N162" s="441"/>
      <c r="O162" s="441"/>
      <c r="P162" s="321" t="s">
        <v>4884</v>
      </c>
      <c r="Q162" s="243"/>
      <c r="R162" s="243"/>
      <c r="S162" s="243"/>
      <c r="T162" s="243"/>
      <c r="U162" s="243"/>
      <c r="V162" s="243"/>
      <c r="W162" s="92"/>
      <c r="X162" s="300" t="s">
        <v>6235</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456" t="s">
        <v>6236</v>
      </c>
      <c r="AV162" s="456" t="s">
        <v>5827</v>
      </c>
      <c r="AW162" s="124"/>
      <c r="AX162" s="247"/>
      <c r="AY162" s="247"/>
      <c r="AZ162" s="247"/>
      <c r="BA162" s="168"/>
      <c r="BB162" s="353"/>
      <c r="BC162" s="125" t="s">
        <v>998</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6240</v>
      </c>
      <c r="CX162" s="284" t="s">
        <v>364</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6248</v>
      </c>
      <c r="Y164" s="198"/>
      <c r="Z164" s="198" t="s">
        <v>3819</v>
      </c>
      <c r="AA164" s="198" t="s">
        <v>6249</v>
      </c>
      <c r="AB164" s="246"/>
      <c r="AC164" s="198" t="s">
        <v>1376</v>
      </c>
      <c r="AD164" s="198" t="s">
        <v>6250</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6251</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6252</v>
      </c>
      <c r="B165" s="82" t="s">
        <v>6253</v>
      </c>
      <c r="C165" s="83" t="s">
        <v>1258</v>
      </c>
      <c r="D165" s="84" t="s">
        <v>1258</v>
      </c>
      <c r="E165" s="85" t="s">
        <v>1258</v>
      </c>
      <c r="F165" s="86" t="s">
        <v>1258</v>
      </c>
      <c r="G165" s="82" t="s">
        <v>3376</v>
      </c>
      <c r="H165" s="94" t="s">
        <v>1977</v>
      </c>
      <c r="I165" s="94" t="s">
        <v>2175</v>
      </c>
      <c r="J165" s="99"/>
      <c r="K165" s="94" t="s">
        <v>2683</v>
      </c>
      <c r="L165" s="99"/>
      <c r="M165" s="99"/>
      <c r="N165" s="99"/>
      <c r="O165" s="94" t="s">
        <v>6254</v>
      </c>
      <c r="P165" s="94" t="s">
        <v>6255</v>
      </c>
      <c r="Q165" s="99"/>
      <c r="R165" s="99"/>
      <c r="S165" s="99"/>
      <c r="T165" s="99"/>
      <c r="U165" s="99"/>
      <c r="V165" s="99"/>
      <c r="W165" s="92"/>
      <c r="X165" s="94" t="s">
        <v>3493</v>
      </c>
      <c r="Y165" s="99"/>
      <c r="Z165" s="99"/>
      <c r="AA165" s="94" t="s">
        <v>4667</v>
      </c>
      <c r="AB165" s="99"/>
      <c r="AC165" s="94" t="s">
        <v>2482</v>
      </c>
      <c r="AD165" s="99"/>
      <c r="AE165" s="99"/>
      <c r="AF165" s="94" t="s">
        <v>6256</v>
      </c>
      <c r="AG165" s="99"/>
      <c r="AH165" s="99"/>
      <c r="AI165" s="99"/>
      <c r="AJ165" s="99"/>
      <c r="AK165" s="94" t="s">
        <v>6257</v>
      </c>
      <c r="AL165" s="97"/>
      <c r="AM165" s="99"/>
      <c r="AN165" s="94" t="s">
        <v>6258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6259</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6260</v>
      </c>
      <c r="EB165" s="99"/>
      <c r="EC165" s="94" t="s">
        <v>414</v>
      </c>
      <c r="ED165" s="260"/>
    </row>
    <row r="166">
      <c r="A166" s="166" t="s">
        <v>6261</v>
      </c>
      <c r="B166" s="104" t="s">
        <v>6262</v>
      </c>
      <c r="C166" s="105" t="s">
        <v>1258</v>
      </c>
      <c r="D166" s="106" t="s">
        <v>1258</v>
      </c>
      <c r="E166" s="107" t="s">
        <v>1258</v>
      </c>
      <c r="F166" s="108" t="s">
        <v>1258</v>
      </c>
      <c r="G166" s="104" t="s">
        <v>648</v>
      </c>
      <c r="H166" s="226" t="s">
        <v>3535</v>
      </c>
      <c r="I166" s="226" t="s">
        <v>6263</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6264</v>
      </c>
      <c r="B167" s="82" t="s">
        <v>6265</v>
      </c>
      <c r="C167" s="83" t="s">
        <v>1258</v>
      </c>
      <c r="D167" s="84" t="s">
        <v>1258</v>
      </c>
      <c r="E167" s="85" t="s">
        <v>1258</v>
      </c>
      <c r="F167" s="86" t="s">
        <v>6266</v>
      </c>
      <c r="G167" s="82" t="s">
        <v>4246</v>
      </c>
      <c r="H167" s="102"/>
      <c r="I167" s="95"/>
      <c r="J167" s="102"/>
      <c r="K167" s="88" t="s">
        <v>2349</v>
      </c>
      <c r="L167" s="88" t="s">
        <v>6267</v>
      </c>
      <c r="M167" s="102" t="s">
        <v>6268</v>
      </c>
      <c r="N167" s="102"/>
      <c r="O167" s="102"/>
      <c r="P167" s="102" t="s">
        <v>4152</v>
      </c>
      <c r="Q167" s="99"/>
      <c r="R167" s="99"/>
      <c r="S167" s="99"/>
      <c r="T167" s="99"/>
      <c r="U167" s="99"/>
      <c r="V167" s="99"/>
      <c r="W167" s="92"/>
      <c r="X167" s="88" t="s">
        <v>6269</v>
      </c>
      <c r="Y167" s="102"/>
      <c r="Z167" s="102"/>
      <c r="AA167" s="88" t="s">
        <v>2479</v>
      </c>
      <c r="AB167" s="88" t="s">
        <v>6270</v>
      </c>
      <c r="AC167" s="88" t="s">
        <v>6271</v>
      </c>
      <c r="AD167" s="88" t="s">
        <v>2273</v>
      </c>
      <c r="AE167" s="99"/>
      <c r="AF167" s="102"/>
      <c r="AG167" s="88" t="s">
        <v>6272</v>
      </c>
      <c r="AH167" s="99"/>
      <c r="AI167" s="99"/>
      <c r="AJ167" s="102"/>
      <c r="AK167" s="99"/>
      <c r="AL167" s="97"/>
      <c r="AM167" s="102"/>
      <c r="AN167" s="102"/>
      <c r="AO167" s="99"/>
      <c r="AP167" s="99"/>
      <c r="AQ167" s="94"/>
      <c r="AR167" s="94"/>
      <c r="AS167" s="99"/>
      <c r="AT167" s="99"/>
      <c r="AU167" s="88" t="s">
        <v>3836</v>
      </c>
      <c r="AV167" s="88" t="s">
        <v>6273</v>
      </c>
      <c r="AW167" s="102"/>
      <c r="AX167" s="99"/>
      <c r="AY167" s="99"/>
      <c r="AZ167" s="99"/>
      <c r="BA167" s="99"/>
      <c r="BB167" s="102" t="s">
        <v>6274</v>
      </c>
      <c r="BC167" s="88" t="s">
        <v>6275</v>
      </c>
      <c r="BD167" s="102" t="s">
        <v>3250</v>
      </c>
      <c r="BE167" s="88" t="s">
        <v>958</v>
      </c>
      <c r="BF167" s="88" t="s">
        <v>6276</v>
      </c>
      <c r="BG167" s="88" t="s">
        <v>3711</v>
      </c>
      <c r="BH167" s="94" t="s">
        <v>5029</v>
      </c>
      <c r="BI167" s="102" t="s">
        <v>6277</v>
      </c>
      <c r="BJ167" s="99"/>
      <c r="BK167" s="102"/>
      <c r="BL167" s="102"/>
      <c r="BM167" s="99"/>
      <c r="BN167" s="99"/>
      <c r="BO167" s="102"/>
      <c r="BP167" s="99"/>
      <c r="BQ167" s="236"/>
      <c r="BR167" s="88" t="s">
        <v>6278</v>
      </c>
      <c r="BS167" s="102"/>
      <c r="BT167" s="88" t="s">
        <v>6279</v>
      </c>
      <c r="BU167" s="88" t="s">
        <v>5867</v>
      </c>
      <c r="BV167" s="102"/>
      <c r="BW167" s="102"/>
      <c r="BX167" s="99"/>
      <c r="BY167" s="88" t="s">
        <v>6280</v>
      </c>
      <c r="BZ167" s="102"/>
      <c r="CA167" s="88" t="s">
        <v>1327</v>
      </c>
      <c r="CB167" s="99"/>
      <c r="CC167" s="99"/>
      <c r="CD167" s="94"/>
      <c r="CE167" s="99"/>
      <c r="CF167" s="236"/>
      <c r="CG167" s="88" t="s">
        <v>6281</v>
      </c>
      <c r="CH167" s="88" t="s">
        <v>1859</v>
      </c>
      <c r="CI167" s="88" t="s">
        <v>5434</v>
      </c>
      <c r="CJ167" s="102"/>
      <c r="CK167" s="102"/>
      <c r="CL167" s="102"/>
      <c r="CM167" s="88" t="s">
        <v>6282</v>
      </c>
      <c r="CN167" s="88" t="s">
        <v>2299</v>
      </c>
      <c r="CO167" s="88" t="s">
        <v>6283</v>
      </c>
      <c r="CP167" s="222"/>
      <c r="CQ167" s="99"/>
      <c r="CR167" s="99"/>
      <c r="CS167" s="99"/>
      <c r="CT167" s="99"/>
      <c r="CU167" s="92"/>
      <c r="CV167" s="88" t="s">
        <v>5389</v>
      </c>
      <c r="CW167" s="102"/>
      <c r="CX167" s="88" t="s">
        <v>906</v>
      </c>
      <c r="CY167" s="88" t="s">
        <v>5182</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0"/>
    </row>
    <row r="168">
      <c r="A168" s="678" t="s">
        <v>6288</v>
      </c>
      <c r="B168" s="104" t="s">
        <v>6289</v>
      </c>
      <c r="C168" s="105" t="s">
        <v>1258</v>
      </c>
      <c r="D168" s="106" t="s">
        <v>1258</v>
      </c>
      <c r="E168" s="107" t="s">
        <v>1258</v>
      </c>
      <c r="F168" s="108" t="s">
        <v>336</v>
      </c>
      <c r="G168" s="104" t="s">
        <v>6234</v>
      </c>
      <c r="H168" s="673" t="s">
        <v>3577</v>
      </c>
      <c r="I168" s="243" t="s">
        <v>6290</v>
      </c>
      <c r="J168" s="243" t="s">
        <v>452</v>
      </c>
      <c r="K168" s="243" t="s">
        <v>4373</v>
      </c>
      <c r="L168" s="243" t="s">
        <v>2835</v>
      </c>
      <c r="M168" s="243" t="s">
        <v>6291</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6292</v>
      </c>
      <c r="CP168" s="255"/>
      <c r="CQ168" s="263"/>
      <c r="CR168" s="255"/>
      <c r="CS168" s="255"/>
      <c r="CT168" s="255"/>
      <c r="CU168" s="92"/>
      <c r="CV168" s="256"/>
      <c r="CW168" s="256"/>
      <c r="CX168" s="256" t="s">
        <v>5174</v>
      </c>
      <c r="CY168" s="256" t="s">
        <v>3531</v>
      </c>
      <c r="CZ168" s="256"/>
      <c r="DA168" s="256"/>
      <c r="DB168" s="681" t="s">
        <v>6293</v>
      </c>
      <c r="DC168" s="233" t="s">
        <v>6154</v>
      </c>
      <c r="DD168" s="256"/>
      <c r="DE168" s="285"/>
      <c r="DF168" s="233"/>
      <c r="DG168" s="256"/>
      <c r="DH168" s="257"/>
      <c r="DI168" s="258"/>
      <c r="DJ168" s="258"/>
      <c r="DK168" s="258"/>
      <c r="DL168" s="258"/>
      <c r="DM168" s="258"/>
      <c r="DN168" s="258"/>
      <c r="DO168" s="258"/>
      <c r="DP168" s="258"/>
      <c r="DQ168" s="258"/>
      <c r="DR168" s="258"/>
      <c r="DS168" s="258" t="s">
        <v>6294</v>
      </c>
      <c r="DT168" s="258"/>
      <c r="DU168" s="258"/>
      <c r="DV168" s="258"/>
      <c r="DW168" s="258"/>
      <c r="DX168" s="258"/>
      <c r="DY168" s="258"/>
      <c r="DZ168" s="258"/>
      <c r="EA168" s="258"/>
      <c r="EB168" s="258"/>
      <c r="EC168" s="258"/>
      <c r="ED168" s="287"/>
    </row>
    <row r="169">
      <c r="A169" s="81" t="s">
        <v>6295</v>
      </c>
      <c r="B169" s="82" t="s">
        <v>6296</v>
      </c>
      <c r="C169" s="83" t="s">
        <v>1258</v>
      </c>
      <c r="D169" s="84" t="s">
        <v>1258</v>
      </c>
      <c r="E169" s="85" t="s">
        <v>1258</v>
      </c>
      <c r="F169" s="86" t="s">
        <v>548</v>
      </c>
      <c r="G169" s="82" t="s">
        <v>648</v>
      </c>
      <c r="H169" s="666"/>
      <c r="I169" s="99"/>
      <c r="J169" s="99"/>
      <c r="K169" s="94" t="s">
        <v>6297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6299</v>
      </c>
      <c r="CK169" s="94"/>
      <c r="CL169" s="94"/>
      <c r="CM169" s="99"/>
      <c r="CN169" s="99"/>
      <c r="CO169" s="99"/>
      <c r="CP169" s="99"/>
      <c r="CQ169" s="99"/>
      <c r="CR169" s="99"/>
      <c r="CS169" s="99"/>
      <c r="CT169" s="99"/>
      <c r="CU169" s="92"/>
      <c r="CV169" s="94" t="s">
        <v>6300</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6301</v>
      </c>
      <c r="B170" s="104" t="s">
        <v>6302</v>
      </c>
      <c r="C170" s="105" t="s">
        <v>1258</v>
      </c>
      <c r="D170" s="106" t="s">
        <v>1258</v>
      </c>
      <c r="E170" s="107" t="s">
        <v>1258</v>
      </c>
      <c r="F170" s="108" t="s">
        <v>548</v>
      </c>
      <c r="G170" s="104" t="s">
        <v>6303</v>
      </c>
      <c r="H170" s="243"/>
      <c r="I170" s="196" t="s">
        <v>6304</v>
      </c>
      <c r="J170" s="167" t="s">
        <v>6220</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6134</v>
      </c>
      <c r="AE170" s="246"/>
      <c r="AF170" s="246"/>
      <c r="AG170" s="198" t="s">
        <v>2765</v>
      </c>
      <c r="AH170" s="246"/>
      <c r="AI170" s="246"/>
      <c r="AJ170" s="246"/>
      <c r="AK170" s="246"/>
      <c r="AL170" s="97"/>
      <c r="AM170" s="247"/>
      <c r="AN170" s="247"/>
      <c r="AO170" s="247"/>
      <c r="AP170" s="247"/>
      <c r="AQ170" s="247"/>
      <c r="AR170" s="247"/>
      <c r="AS170" s="247"/>
      <c r="AT170" s="247"/>
      <c r="AU170" s="168" t="s">
        <v>6305</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6306</v>
      </c>
      <c r="CX170" s="204" t="s">
        <v>5390</v>
      </c>
      <c r="CY170" s="256"/>
      <c r="CZ170" s="204"/>
      <c r="DA170" s="256"/>
      <c r="DB170" s="204" t="s">
        <v>6307</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6308</v>
      </c>
      <c r="B171" s="82" t="s">
        <v>6309</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6311</v>
      </c>
      <c r="B172" s="104" t="s">
        <v>6312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6313</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6314</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6315</v>
      </c>
      <c r="B173" s="82" t="s">
        <v>6316</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6317</v>
      </c>
      <c r="B174" s="104" t="s">
        <v>6318</v>
      </c>
      <c r="C174" s="105" t="s">
        <v>1258</v>
      </c>
      <c r="D174" s="106" t="s">
        <v>1258</v>
      </c>
      <c r="E174" s="107" t="s">
        <v>1258</v>
      </c>
      <c r="F174" s="108" t="s">
        <v>1258</v>
      </c>
      <c r="G174" s="104" t="s">
        <v>4673</v>
      </c>
      <c r="H174" s="167"/>
      <c r="I174" s="167" t="s">
        <v>6319</v>
      </c>
      <c r="J174" s="167" t="s">
        <v>3014</v>
      </c>
      <c r="K174" s="167" t="s">
        <v>755</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6236</v>
      </c>
      <c r="AB174" s="246"/>
      <c r="AC174" s="198" t="s">
        <v>6325</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6326</v>
      </c>
      <c r="BC174" s="174" t="s">
        <v>791</v>
      </c>
      <c r="BD174" s="174" t="s">
        <v>913</v>
      </c>
      <c r="BE174" s="174" t="s">
        <v>3668</v>
      </c>
      <c r="BF174" s="174" t="s">
        <v>6327</v>
      </c>
      <c r="BG174" s="173"/>
      <c r="BH174" s="173"/>
      <c r="BI174" s="174" t="s">
        <v>3265</v>
      </c>
      <c r="BJ174" s="173"/>
      <c r="BK174" s="173"/>
      <c r="BL174" s="174" t="s">
        <v>531</v>
      </c>
      <c r="BM174" s="173"/>
      <c r="BN174" s="173"/>
      <c r="BO174" s="173"/>
      <c r="BP174" s="173"/>
      <c r="BQ174" s="249"/>
      <c r="BR174" s="175" t="s">
        <v>6328</v>
      </c>
      <c r="BS174" s="175" t="s">
        <v>6329</v>
      </c>
      <c r="BT174" s="175" t="s">
        <v>951</v>
      </c>
      <c r="BU174" s="175" t="s">
        <v>537</v>
      </c>
      <c r="BV174" s="175" t="s">
        <v>6330</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6331</v>
      </c>
      <c r="CY174" s="204" t="s">
        <v>3103</v>
      </c>
      <c r="CZ174" s="204" t="s">
        <v>6332</v>
      </c>
      <c r="DA174" s="204" t="s">
        <v>6170</v>
      </c>
      <c r="DB174" s="204" t="s">
        <v>6333</v>
      </c>
      <c r="DC174" s="204" t="s">
        <v>6334</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6335</v>
      </c>
      <c r="B175" s="82" t="s">
        <v>6336</v>
      </c>
      <c r="C175" s="83" t="s">
        <v>548</v>
      </c>
      <c r="D175" s="84" t="s">
        <v>1258</v>
      </c>
      <c r="E175" s="85" t="s">
        <v>1258</v>
      </c>
      <c r="F175" s="86" t="s">
        <v>548</v>
      </c>
      <c r="G175" s="82" t="s">
        <v>4048</v>
      </c>
      <c r="H175" s="690" t="s">
        <v>3000</v>
      </c>
      <c r="I175" s="690" t="s">
        <v>6337</v>
      </c>
      <c r="J175" s="690" t="s">
        <v>6338</v>
      </c>
      <c r="K175" s="690" t="s">
        <v>755</v>
      </c>
      <c r="L175" s="690" t="s">
        <v>908</v>
      </c>
      <c r="M175" s="691"/>
      <c r="N175" s="690" t="s">
        <v>6339</v>
      </c>
      <c r="O175" s="690" t="s">
        <v>5847</v>
      </c>
      <c r="P175" s="690" t="s">
        <v>5413</v>
      </c>
      <c r="Q175" s="691"/>
      <c r="R175" s="691"/>
      <c r="S175" s="691"/>
      <c r="T175" s="691"/>
      <c r="U175" s="691"/>
      <c r="V175" s="691"/>
      <c r="W175" s="692"/>
      <c r="X175" s="690" t="s">
        <v>6340</v>
      </c>
      <c r="Y175" s="690"/>
      <c r="Z175" s="693" t="s">
        <v>382</v>
      </c>
      <c r="AA175" s="693" t="s">
        <v>868</v>
      </c>
      <c r="AB175" s="693" t="s">
        <v>3960</v>
      </c>
      <c r="AC175" s="690" t="s">
        <v>6341</v>
      </c>
      <c r="AD175" s="693" t="s">
        <v>6342</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6343</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6344</v>
      </c>
      <c r="DC175" s="693" t="s">
        <v>5837</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6345</v>
      </c>
      <c r="B176" s="104" t="s">
        <v>6346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6347</v>
      </c>
      <c r="B177" s="82" t="s">
        <v>6348</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6349</v>
      </c>
      <c r="Y177" s="102"/>
      <c r="Z177" s="102"/>
      <c r="AA177" s="88" t="s">
        <v>4862</v>
      </c>
      <c r="AB177" s="266"/>
      <c r="AC177" s="102"/>
      <c r="AD177" s="102"/>
      <c r="AE177" s="99"/>
      <c r="AF177" s="102"/>
      <c r="AG177" s="88" t="s">
        <v>6350</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6351</v>
      </c>
      <c r="B178" s="104" t="s">
        <v>6352</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6117</v>
      </c>
      <c r="K179" s="99"/>
      <c r="L179" s="94" t="s">
        <v>6356</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6360</v>
      </c>
      <c r="B180" s="104" t="s">
        <v>6361</v>
      </c>
      <c r="C180" s="105" t="s">
        <v>1258</v>
      </c>
      <c r="D180" s="106" t="s">
        <v>1258</v>
      </c>
      <c r="E180" s="107" t="s">
        <v>1258</v>
      </c>
      <c r="F180" s="108" t="s">
        <v>1258</v>
      </c>
      <c r="G180" s="104" t="s">
        <v>1726</v>
      </c>
      <c r="H180" s="243"/>
      <c r="I180" s="167" t="s">
        <v>6362</v>
      </c>
      <c r="J180" s="167" t="s">
        <v>5108</v>
      </c>
      <c r="K180" s="167" t="s">
        <v>2385</v>
      </c>
      <c r="L180" s="167" t="s">
        <v>4099</v>
      </c>
      <c r="M180" s="167" t="s">
        <v>6363</v>
      </c>
      <c r="N180" s="243"/>
      <c r="O180" s="167" t="s">
        <v>1861</v>
      </c>
      <c r="P180" s="167" t="s">
        <v>6364</v>
      </c>
      <c r="Q180" s="243"/>
      <c r="R180" s="243"/>
      <c r="S180" s="243"/>
      <c r="T180" s="243"/>
      <c r="U180" s="243"/>
      <c r="V180" s="243"/>
      <c r="W180" s="92"/>
      <c r="X180" s="198" t="s">
        <v>4438</v>
      </c>
      <c r="Y180" s="198"/>
      <c r="Z180" s="198" t="s">
        <v>5678</v>
      </c>
      <c r="AA180" s="198" t="s">
        <v>4471</v>
      </c>
      <c r="AB180" s="198" t="s">
        <v>6365</v>
      </c>
      <c r="AC180" s="198" t="s">
        <v>6366</v>
      </c>
      <c r="AD180" s="198" t="s">
        <v>4757</v>
      </c>
      <c r="AE180" s="246"/>
      <c r="AF180" s="198" t="s">
        <v>6367</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6368</v>
      </c>
      <c r="BF180" s="174" t="s">
        <v>6369</v>
      </c>
      <c r="BG180" s="173"/>
      <c r="BH180" s="173"/>
      <c r="BI180" s="174" t="s">
        <v>6370</v>
      </c>
      <c r="BJ180" s="174" t="s">
        <v>6371</v>
      </c>
      <c r="BK180" s="174"/>
      <c r="BL180" s="174" t="s">
        <v>539</v>
      </c>
      <c r="BM180" s="173"/>
      <c r="BN180" s="173"/>
      <c r="BO180" s="173"/>
      <c r="BP180" s="173"/>
      <c r="BQ180" s="249"/>
      <c r="BR180" s="175"/>
      <c r="BS180" s="252"/>
      <c r="BT180" s="175" t="s">
        <v>6372</v>
      </c>
      <c r="BU180" s="175" t="s">
        <v>6373</v>
      </c>
      <c r="BV180" s="252"/>
      <c r="BW180" s="175" t="s">
        <v>411</v>
      </c>
      <c r="BX180" s="175" t="s">
        <v>5950</v>
      </c>
      <c r="BY180" s="175" t="s">
        <v>2831</v>
      </c>
      <c r="BZ180" s="252"/>
      <c r="CA180" s="175" t="s">
        <v>2081</v>
      </c>
      <c r="CB180" s="252"/>
      <c r="CC180" s="252"/>
      <c r="CD180" s="252"/>
      <c r="CE180" s="252"/>
      <c r="CF180" s="253"/>
      <c r="CG180" s="177" t="s">
        <v>4949</v>
      </c>
      <c r="CH180" s="177" t="s">
        <v>2519</v>
      </c>
      <c r="CI180" s="177" t="s">
        <v>2616</v>
      </c>
      <c r="CJ180" s="177" t="s">
        <v>6374</v>
      </c>
      <c r="CK180" s="177"/>
      <c r="CL180" s="177" t="s">
        <v>2809</v>
      </c>
      <c r="CM180" s="255"/>
      <c r="CN180" s="177" t="s">
        <v>2804</v>
      </c>
      <c r="CO180" s="177" t="s">
        <v>3322</v>
      </c>
      <c r="CP180" s="255"/>
      <c r="CQ180" s="255"/>
      <c r="CR180" s="255"/>
      <c r="CS180" s="255"/>
      <c r="CT180" s="255"/>
      <c r="CU180" s="92"/>
      <c r="CV180" s="204" t="s">
        <v>5916</v>
      </c>
      <c r="CW180" s="204" t="s">
        <v>6375</v>
      </c>
      <c r="CX180" s="204" t="s">
        <v>2029</v>
      </c>
      <c r="CY180" s="256"/>
      <c r="CZ180" s="256"/>
      <c r="DA180" s="256"/>
      <c r="DB180" s="204" t="s">
        <v>6376</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6377</v>
      </c>
      <c r="B181" s="82" t="s">
        <v>6361</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6378</v>
      </c>
      <c r="B182" s="104" t="s">
        <v>6379</v>
      </c>
      <c r="C182" s="105" t="s">
        <v>1258</v>
      </c>
      <c r="D182" s="106" t="s">
        <v>1258</v>
      </c>
      <c r="E182" s="107" t="s">
        <v>1258</v>
      </c>
      <c r="F182" s="108" t="s">
        <v>983</v>
      </c>
      <c r="G182" s="104" t="s">
        <v>1060</v>
      </c>
      <c r="H182" s="167" t="s">
        <v>2624</v>
      </c>
      <c r="I182" s="243"/>
      <c r="J182" s="167" t="s">
        <v>6380</v>
      </c>
      <c r="K182" s="112" t="s">
        <v>4988</v>
      </c>
      <c r="L182" s="274" t="s">
        <v>3449</v>
      </c>
      <c r="M182" s="243"/>
      <c r="N182" s="243"/>
      <c r="O182" s="243"/>
      <c r="P182" s="167" t="s">
        <v>6381</v>
      </c>
      <c r="Q182" s="243"/>
      <c r="R182" s="243"/>
      <c r="S182" s="243"/>
      <c r="T182" s="243"/>
      <c r="U182" s="243"/>
      <c r="V182" s="243"/>
      <c r="W182" s="92"/>
      <c r="X182" s="116" t="s">
        <v>6382</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6383</v>
      </c>
      <c r="AW182" s="247"/>
      <c r="AX182" s="247"/>
      <c r="AY182" s="247"/>
      <c r="AZ182" s="247"/>
      <c r="BA182" s="247"/>
      <c r="BB182" s="173"/>
      <c r="BC182" s="174" t="s">
        <v>854</v>
      </c>
      <c r="BD182" s="174" t="s">
        <v>535</v>
      </c>
      <c r="BE182" s="174" t="s">
        <v>6384</v>
      </c>
      <c r="BF182" s="173"/>
      <c r="BG182" s="174" t="s">
        <v>4694</v>
      </c>
      <c r="BH182" s="174" t="s">
        <v>6385</v>
      </c>
      <c r="BI182" s="174" t="s">
        <v>6386</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6387</v>
      </c>
      <c r="CH182" s="177" t="s">
        <v>6388</v>
      </c>
      <c r="CI182" s="255"/>
      <c r="CJ182" s="255"/>
      <c r="CK182" s="255"/>
      <c r="CL182" s="255"/>
      <c r="CM182" s="255"/>
      <c r="CN182" s="135" t="s">
        <v>5123</v>
      </c>
      <c r="CO182" s="135" t="s">
        <v>6389</v>
      </c>
      <c r="CP182" s="255"/>
      <c r="CQ182" s="255"/>
      <c r="CR182" s="255"/>
      <c r="CS182" s="255"/>
      <c r="CT182" s="255"/>
      <c r="CU182" s="92"/>
      <c r="CV182" s="285" t="s">
        <v>6390</v>
      </c>
      <c r="CW182" s="204" t="s">
        <v>242</v>
      </c>
      <c r="CX182" s="256"/>
      <c r="CY182" s="256"/>
      <c r="CZ182" s="256"/>
      <c r="DA182" s="256"/>
      <c r="DB182" s="140" t="s">
        <v>6391</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6392</v>
      </c>
      <c r="B183" s="82" t="s">
        <v>6393</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4586</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6396</v>
      </c>
      <c r="B184" s="104" t="s">
        <v>6397</v>
      </c>
      <c r="C184" s="105" t="s">
        <v>1258</v>
      </c>
      <c r="D184" s="106" t="s">
        <v>1258</v>
      </c>
      <c r="E184" s="107" t="s">
        <v>1258</v>
      </c>
      <c r="F184" s="108" t="s">
        <v>1258</v>
      </c>
      <c r="G184" s="104" t="s">
        <v>1811</v>
      </c>
      <c r="H184" s="167" t="s">
        <v>6398</v>
      </c>
      <c r="I184" s="167" t="s">
        <v>6399</v>
      </c>
      <c r="J184" s="167" t="s">
        <v>619</v>
      </c>
      <c r="K184" s="167" t="s">
        <v>2683</v>
      </c>
      <c r="L184" s="167" t="s">
        <v>2942</v>
      </c>
      <c r="M184" s="167" t="s">
        <v>6400</v>
      </c>
      <c r="N184" s="167" t="s">
        <v>6401</v>
      </c>
      <c r="O184" s="167" t="s">
        <v>849</v>
      </c>
      <c r="P184" s="167" t="s">
        <v>496</v>
      </c>
      <c r="Q184" s="167"/>
      <c r="R184" s="167"/>
      <c r="S184" s="167"/>
      <c r="T184" s="167"/>
      <c r="U184" s="167"/>
      <c r="V184" s="167"/>
      <c r="W184" s="92"/>
      <c r="X184" s="198" t="s">
        <v>6402</v>
      </c>
      <c r="Y184" s="198"/>
      <c r="Z184" s="198" t="s">
        <v>5208</v>
      </c>
      <c r="AA184" s="198" t="s">
        <v>138</v>
      </c>
      <c r="AB184" s="198" t="s">
        <v>2653</v>
      </c>
      <c r="AC184" s="198" t="s">
        <v>5975</v>
      </c>
      <c r="AD184" s="198" t="s">
        <v>6403</v>
      </c>
      <c r="AE184" s="198" t="s">
        <v>4122</v>
      </c>
      <c r="AF184" s="198" t="s">
        <v>6404</v>
      </c>
      <c r="AG184" s="198" t="s">
        <v>372</v>
      </c>
      <c r="AH184" s="198"/>
      <c r="AI184" s="198"/>
      <c r="AJ184" s="198"/>
      <c r="AK184" s="198"/>
      <c r="AL184" s="97"/>
      <c r="AM184" s="168"/>
      <c r="AN184" s="168"/>
      <c r="AO184" s="168"/>
      <c r="AP184" s="168"/>
      <c r="AQ184" s="168"/>
      <c r="AR184" s="168"/>
      <c r="AS184" s="168"/>
      <c r="AT184" s="168"/>
      <c r="AU184" s="168" t="s">
        <v>6405</v>
      </c>
      <c r="AV184" s="168" t="s">
        <v>1375</v>
      </c>
      <c r="AW184" s="168"/>
      <c r="AX184" s="168"/>
      <c r="AY184" s="168"/>
      <c r="AZ184" s="168"/>
      <c r="BA184" s="168"/>
      <c r="BB184" s="174" t="s">
        <v>6406</v>
      </c>
      <c r="BC184" s="174" t="s">
        <v>4242</v>
      </c>
      <c r="BD184" s="174" t="s">
        <v>3765</v>
      </c>
      <c r="BE184" s="174" t="s">
        <v>6407</v>
      </c>
      <c r="BF184" s="174" t="s">
        <v>6408</v>
      </c>
      <c r="BG184" s="174" t="s">
        <v>6409</v>
      </c>
      <c r="BH184" s="174" t="s">
        <v>5164</v>
      </c>
      <c r="BI184" s="174" t="s">
        <v>6410</v>
      </c>
      <c r="BJ184" s="173"/>
      <c r="BK184" s="173"/>
      <c r="BL184" s="173"/>
      <c r="BM184" s="174"/>
      <c r="BN184" s="174"/>
      <c r="BO184" s="174"/>
      <c r="BP184" s="174"/>
      <c r="BQ184" s="293"/>
      <c r="BR184" s="175"/>
      <c r="BS184" s="252"/>
      <c r="BT184" s="700" t="s">
        <v>6411</v>
      </c>
      <c r="BU184" s="175" t="s">
        <v>6412</v>
      </c>
      <c r="BV184" s="700"/>
      <c r="BW184" s="175" t="s">
        <v>6413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6198</v>
      </c>
      <c r="CY184" s="256"/>
      <c r="CZ184" s="204" t="s">
        <v>6414</v>
      </c>
      <c r="DA184" s="256"/>
      <c r="DB184" s="256"/>
      <c r="DC184" s="256"/>
      <c r="DD184" s="256"/>
      <c r="DE184" s="256"/>
      <c r="DF184" s="256"/>
      <c r="DG184" s="256"/>
      <c r="DH184" s="257"/>
      <c r="DI184" s="205" t="s">
        <v>3281</v>
      </c>
      <c r="DJ184" s="258"/>
      <c r="DK184" s="258"/>
      <c r="DL184" s="258"/>
      <c r="DM184" s="258"/>
      <c r="DN184" s="258"/>
      <c r="DO184" s="258"/>
      <c r="DP184" s="258"/>
      <c r="DQ184" s="258"/>
      <c r="DR184" s="205" t="s">
        <v>6415</v>
      </c>
      <c r="DS184" s="205"/>
      <c r="DT184" s="701"/>
      <c r="DU184" s="258"/>
      <c r="DV184" s="258"/>
      <c r="DW184" s="258"/>
      <c r="DX184" s="258"/>
      <c r="DY184" s="258"/>
      <c r="DZ184" s="258"/>
      <c r="EA184" s="258"/>
      <c r="EB184" s="258"/>
      <c r="EC184" s="258"/>
      <c r="ED184" s="287"/>
    </row>
    <row r="185">
      <c r="A185" s="81" t="s">
        <v>6416</v>
      </c>
      <c r="B185" s="82" t="s">
        <v>6417</v>
      </c>
      <c r="C185" s="83" t="s">
        <v>1258</v>
      </c>
      <c r="D185" s="84" t="s">
        <v>1258</v>
      </c>
      <c r="E185" s="85" t="s">
        <v>1258</v>
      </c>
      <c r="F185" s="86" t="s">
        <v>1258</v>
      </c>
      <c r="G185" s="82" t="s">
        <v>4246</v>
      </c>
      <c r="H185" s="99"/>
      <c r="I185" s="94" t="s">
        <v>6418</v>
      </c>
      <c r="J185" s="94" t="s">
        <v>304</v>
      </c>
      <c r="K185" s="94" t="s">
        <v>125</v>
      </c>
      <c r="L185" s="94" t="s">
        <v>4021</v>
      </c>
      <c r="M185" s="94" t="s">
        <v>6419</v>
      </c>
      <c r="N185" s="99"/>
      <c r="O185" s="94" t="s">
        <v>3594</v>
      </c>
      <c r="P185" s="94" t="s">
        <v>1620</v>
      </c>
      <c r="Q185" s="99"/>
      <c r="R185" s="99"/>
      <c r="S185" s="99"/>
      <c r="T185" s="99"/>
      <c r="U185" s="99"/>
      <c r="V185" s="99"/>
      <c r="W185" s="92"/>
      <c r="X185" s="94" t="s">
        <v>6420</v>
      </c>
      <c r="Y185" s="94"/>
      <c r="Z185" s="94" t="s">
        <v>3618</v>
      </c>
      <c r="AA185" s="94" t="s">
        <v>392</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6422</v>
      </c>
      <c r="BL185" s="94" t="s">
        <v>989</v>
      </c>
      <c r="BM185" s="99"/>
      <c r="BN185" s="99"/>
      <c r="BO185" s="99"/>
      <c r="BP185" s="99"/>
      <c r="BQ185" s="236"/>
      <c r="BR185" s="99"/>
      <c r="BS185" s="99"/>
      <c r="BT185" s="99"/>
      <c r="BU185" s="94" t="s">
        <v>972</v>
      </c>
      <c r="BV185" s="99"/>
      <c r="BW185" s="99"/>
      <c r="BX185" s="99"/>
      <c r="BY185" s="94" t="s">
        <v>6423</v>
      </c>
      <c r="BZ185" s="94" t="s">
        <v>6424</v>
      </c>
      <c r="CA185" s="94" t="s">
        <v>3858</v>
      </c>
      <c r="CB185" s="99"/>
      <c r="CC185" s="99"/>
      <c r="CD185" s="99"/>
      <c r="CE185" s="99"/>
      <c r="CF185" s="236"/>
      <c r="CG185" s="94" t="s">
        <v>6425</v>
      </c>
      <c r="CH185" s="94" t="s">
        <v>3530</v>
      </c>
      <c r="CI185" s="94" t="s">
        <v>756</v>
      </c>
      <c r="CJ185" s="94" t="s">
        <v>6426</v>
      </c>
      <c r="CK185" s="94"/>
      <c r="CL185" s="94"/>
      <c r="CM185" s="99"/>
      <c r="CN185" s="94" t="s">
        <v>3814</v>
      </c>
      <c r="CO185" s="94" t="s">
        <v>6305</v>
      </c>
      <c r="CP185" s="99"/>
      <c r="CQ185" s="99"/>
      <c r="CR185" s="99"/>
      <c r="CS185" s="99"/>
      <c r="CT185" s="99"/>
      <c r="CU185" s="92"/>
      <c r="CV185" s="94" t="s">
        <v>5110</v>
      </c>
      <c r="CW185" s="94" t="s">
        <v>1865</v>
      </c>
      <c r="CX185" s="94" t="s">
        <v>3071</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0"/>
    </row>
    <row r="186">
      <c r="A186" s="702" t="s">
        <v>6432</v>
      </c>
      <c r="B186" s="104" t="s">
        <v>6433</v>
      </c>
      <c r="C186" s="105" t="s">
        <v>1258</v>
      </c>
      <c r="D186" s="106" t="s">
        <v>1258</v>
      </c>
      <c r="E186" s="107" t="s">
        <v>1258</v>
      </c>
      <c r="F186" s="108" t="s">
        <v>1258</v>
      </c>
      <c r="G186" s="104" t="s">
        <v>1061</v>
      </c>
      <c r="H186" s="167" t="s">
        <v>6434</v>
      </c>
      <c r="I186" s="167" t="s">
        <v>6435</v>
      </c>
      <c r="J186" s="167" t="s">
        <v>1883</v>
      </c>
      <c r="K186" s="167" t="s">
        <v>6089</v>
      </c>
      <c r="L186" s="167" t="s">
        <v>6436</v>
      </c>
      <c r="M186" s="243"/>
      <c r="N186" s="243"/>
      <c r="O186" s="243"/>
      <c r="P186" s="167" t="s">
        <v>6437</v>
      </c>
      <c r="Q186" s="243"/>
      <c r="R186" s="243"/>
      <c r="S186" s="243"/>
      <c r="T186" s="243"/>
      <c r="U186" s="243"/>
      <c r="V186" s="243"/>
      <c r="W186" s="92"/>
      <c r="X186" s="246"/>
      <c r="Y186" s="246"/>
      <c r="Z186" s="246"/>
      <c r="AA186" s="198" t="s">
        <v>4250</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6439</v>
      </c>
      <c r="B187" s="82" t="s">
        <v>6440</v>
      </c>
      <c r="C187" s="83" t="s">
        <v>1258</v>
      </c>
      <c r="D187" s="84" t="s">
        <v>1258</v>
      </c>
      <c r="E187" s="85" t="s">
        <v>1258</v>
      </c>
      <c r="F187" s="86" t="s">
        <v>1258</v>
      </c>
      <c r="G187" s="82" t="s">
        <v>336</v>
      </c>
      <c r="H187" s="99"/>
      <c r="I187" s="99"/>
      <c r="J187" s="99"/>
      <c r="K187" s="94" t="s">
        <v>6118</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6441</v>
      </c>
      <c r="B188" s="104" t="s">
        <v>6442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6444</v>
      </c>
      <c r="B189" s="82" t="s">
        <v>6445</v>
      </c>
      <c r="C189" s="83" t="s">
        <v>1258</v>
      </c>
      <c r="D189" s="84" t="s">
        <v>1258</v>
      </c>
      <c r="E189" s="85" t="s">
        <v>1258</v>
      </c>
      <c r="F189" s="86" t="s">
        <v>439</v>
      </c>
      <c r="G189" s="82" t="s">
        <v>439</v>
      </c>
      <c r="H189" s="99"/>
      <c r="I189" s="88" t="s">
        <v>6446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6447</v>
      </c>
      <c r="B190" s="104" t="s">
        <v>6448</v>
      </c>
      <c r="C190" s="105" t="s">
        <v>1258</v>
      </c>
      <c r="D190" s="106" t="s">
        <v>1258</v>
      </c>
      <c r="E190" s="107" t="s">
        <v>1258</v>
      </c>
      <c r="F190" s="108" t="s">
        <v>548</v>
      </c>
      <c r="G190" s="104" t="s">
        <v>223</v>
      </c>
      <c r="H190" s="441"/>
      <c r="I190" s="450" t="s">
        <v>6449</v>
      </c>
      <c r="J190" s="441" t="s">
        <v>237</v>
      </c>
      <c r="K190" s="112" t="s">
        <v>5913</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6450</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6451</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6452</v>
      </c>
      <c r="B191" s="82" t="s">
        <v>6453</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6454</v>
      </c>
      <c r="B192" s="104" t="s">
        <v>6455</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6456</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6457</v>
      </c>
      <c r="B193" s="82" t="s">
        <v>6458</v>
      </c>
      <c r="C193" s="83" t="s">
        <v>1258</v>
      </c>
      <c r="D193" s="84" t="s">
        <v>1258</v>
      </c>
      <c r="E193" s="85" t="s">
        <v>1258</v>
      </c>
      <c r="F193" s="86" t="s">
        <v>1258</v>
      </c>
      <c r="G193" s="82" t="s">
        <v>223</v>
      </c>
      <c r="H193" s="102"/>
      <c r="I193" s="95"/>
      <c r="J193" s="102" t="s">
        <v>554</v>
      </c>
      <c r="K193" s="102" t="s">
        <v>6008</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6459</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6460</v>
      </c>
      <c r="BT193" s="102" t="s">
        <v>3891</v>
      </c>
      <c r="BU193" s="102"/>
      <c r="BV193" s="102" t="s">
        <v>6461</v>
      </c>
      <c r="BW193" s="102" t="s">
        <v>2182</v>
      </c>
      <c r="BX193" s="99"/>
      <c r="BY193" s="102"/>
      <c r="BZ193" s="102"/>
      <c r="CA193" s="102"/>
      <c r="CB193" s="99"/>
      <c r="CC193" s="99"/>
      <c r="CD193" s="99"/>
      <c r="CE193" s="99"/>
      <c r="CF193" s="236"/>
      <c r="CG193" s="102"/>
      <c r="CH193" s="102"/>
      <c r="CI193" s="102"/>
      <c r="CJ193" s="102" t="s">
        <v>6462</v>
      </c>
      <c r="CK193" s="102" t="s">
        <v>6463</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6464</v>
      </c>
      <c r="B194" s="104" t="s">
        <v>6465</v>
      </c>
      <c r="C194" s="105" t="s">
        <v>1258</v>
      </c>
      <c r="D194" s="106" t="s">
        <v>1258</v>
      </c>
      <c r="E194" s="107" t="s">
        <v>1258</v>
      </c>
      <c r="F194" s="108" t="s">
        <v>1258</v>
      </c>
      <c r="G194" s="104" t="s">
        <v>6234</v>
      </c>
      <c r="H194" s="243"/>
      <c r="I194" s="167" t="s">
        <v>6466</v>
      </c>
      <c r="J194" s="167" t="s">
        <v>4230</v>
      </c>
      <c r="K194" s="167" t="s">
        <v>4373</v>
      </c>
      <c r="L194" s="167" t="s">
        <v>6467</v>
      </c>
      <c r="M194" s="243"/>
      <c r="N194" s="243"/>
      <c r="O194" s="167" t="s">
        <v>1223</v>
      </c>
      <c r="P194" s="243"/>
      <c r="Q194" s="243"/>
      <c r="R194" s="243"/>
      <c r="S194" s="167" t="s">
        <v>2145</v>
      </c>
      <c r="T194" s="243"/>
      <c r="U194" s="243"/>
      <c r="V194" s="243"/>
      <c r="W194" s="92"/>
      <c r="X194" s="246"/>
      <c r="Y194" s="246"/>
      <c r="Z194" s="246"/>
      <c r="AA194" s="198" t="s">
        <v>2147</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6468</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6469</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6470</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6471</v>
      </c>
      <c r="DT194" s="205" t="s">
        <v>4669</v>
      </c>
      <c r="DU194" s="258"/>
      <c r="DV194" s="258"/>
      <c r="DW194" s="258"/>
      <c r="DX194" s="258"/>
      <c r="DY194" s="258"/>
      <c r="DZ194" s="258"/>
      <c r="EA194" s="258"/>
      <c r="EB194" s="258"/>
      <c r="EC194" s="258"/>
      <c r="ED194" s="287" t="s">
        <v>6472</v>
      </c>
    </row>
    <row r="195">
      <c r="A195" s="81" t="s">
        <v>6473</v>
      </c>
      <c r="B195" s="82" t="s">
        <v>6474</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3445</v>
      </c>
      <c r="CM195" s="99"/>
      <c r="CN195" s="94" t="s">
        <v>4810</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6478</v>
      </c>
      <c r="B196" s="104" t="s">
        <v>6479</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6480</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6481</v>
      </c>
      <c r="AT196" s="247"/>
      <c r="AU196" s="124"/>
      <c r="AV196" s="124" t="s">
        <v>236</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6483</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6484</v>
      </c>
      <c r="B197" s="82" t="s">
        <v>6485</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6486</v>
      </c>
      <c r="B198" s="104" t="s">
        <v>6487</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6488</v>
      </c>
      <c r="B199" s="82" t="s">
        <v>6489</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6491</v>
      </c>
      <c r="DR199" s="99"/>
      <c r="DS199" s="99"/>
      <c r="DT199" s="99"/>
      <c r="DU199" s="99"/>
      <c r="DV199" s="99"/>
      <c r="DW199" s="94" t="s">
        <v>330</v>
      </c>
      <c r="DX199" s="99"/>
      <c r="DY199" s="99"/>
      <c r="DZ199" s="99"/>
      <c r="EA199" s="99"/>
      <c r="EB199" s="99"/>
      <c r="EC199" s="99"/>
      <c r="ED199" s="260"/>
    </row>
    <row r="200">
      <c r="A200" s="445" t="s">
        <v>6492</v>
      </c>
      <c r="B200" s="104" t="s">
        <v>6493</v>
      </c>
      <c r="C200" s="105" t="s">
        <v>1258</v>
      </c>
      <c r="D200" s="106" t="s">
        <v>1258</v>
      </c>
      <c r="E200" s="107" t="s">
        <v>1258</v>
      </c>
      <c r="F200" s="108" t="s">
        <v>1258</v>
      </c>
      <c r="G200" s="104" t="s">
        <v>4594</v>
      </c>
      <c r="H200" s="167" t="s">
        <v>6494</v>
      </c>
      <c r="I200" s="167" t="s">
        <v>2477</v>
      </c>
      <c r="J200" s="167" t="s">
        <v>1208</v>
      </c>
      <c r="K200" s="167" t="s">
        <v>6495</v>
      </c>
      <c r="L200" s="167" t="s">
        <v>6496</v>
      </c>
      <c r="M200" s="167" t="s">
        <v>6497</v>
      </c>
      <c r="N200" s="167" t="s">
        <v>6498</v>
      </c>
      <c r="O200" s="167" t="s">
        <v>6499</v>
      </c>
      <c r="P200" s="167" t="s">
        <v>4139</v>
      </c>
      <c r="Q200" s="243"/>
      <c r="R200" s="243"/>
      <c r="S200" s="243"/>
      <c r="T200" s="243"/>
      <c r="U200" s="243"/>
      <c r="V200" s="243"/>
      <c r="W200" s="92"/>
      <c r="X200" s="198" t="s">
        <v>6500</v>
      </c>
      <c r="Y200" s="198"/>
      <c r="Z200" s="198" t="s">
        <v>6501</v>
      </c>
      <c r="AA200" s="198" t="s">
        <v>6502</v>
      </c>
      <c r="AB200" s="246" t="s">
        <v>6503</v>
      </c>
      <c r="AC200" s="198" t="s">
        <v>5975</v>
      </c>
      <c r="AD200" s="246" t="s">
        <v>6504</v>
      </c>
      <c r="AE200" s="246"/>
      <c r="AF200" s="246" t="s">
        <v>6505</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6506</v>
      </c>
      <c r="AX200" s="247"/>
      <c r="AY200" s="247"/>
      <c r="AZ200" s="247"/>
      <c r="BA200" s="247"/>
      <c r="BB200" s="174"/>
      <c r="BC200" s="173" t="s">
        <v>2139</v>
      </c>
      <c r="BD200" s="174" t="s">
        <v>1793</v>
      </c>
      <c r="BE200" s="173" t="s">
        <v>6507</v>
      </c>
      <c r="BF200" s="173" t="s">
        <v>6508</v>
      </c>
      <c r="BG200" s="173" t="s">
        <v>6509</v>
      </c>
      <c r="BH200" s="173" t="s">
        <v>6510</v>
      </c>
      <c r="BI200" s="174" t="s">
        <v>6511</v>
      </c>
      <c r="BJ200" s="173"/>
      <c r="BK200" s="173"/>
      <c r="BL200" s="174" t="s">
        <v>6512</v>
      </c>
      <c r="BM200" s="173"/>
      <c r="BN200" s="173"/>
      <c r="BO200" s="173"/>
      <c r="BP200" s="173"/>
      <c r="BQ200" s="249"/>
      <c r="BR200" s="252" t="s">
        <v>6513</v>
      </c>
      <c r="BS200" s="252" t="s">
        <v>2173</v>
      </c>
      <c r="BT200" s="252" t="s">
        <v>6514</v>
      </c>
      <c r="BU200" s="175" t="s">
        <v>6183</v>
      </c>
      <c r="BV200" s="252" t="s">
        <v>6515</v>
      </c>
      <c r="BW200" s="252" t="s">
        <v>6516</v>
      </c>
      <c r="BX200" s="175" t="s">
        <v>6517</v>
      </c>
      <c r="BY200" s="175" t="s">
        <v>6518</v>
      </c>
      <c r="BZ200" s="252"/>
      <c r="CA200" s="175" t="s">
        <v>4759</v>
      </c>
      <c r="CB200" s="252"/>
      <c r="CC200" s="252"/>
      <c r="CD200" s="252"/>
      <c r="CE200" s="252"/>
      <c r="CF200" s="253"/>
      <c r="CG200" s="177" t="s">
        <v>5639</v>
      </c>
      <c r="CH200" s="177" t="s">
        <v>1563</v>
      </c>
      <c r="CI200" s="177" t="s">
        <v>2476</v>
      </c>
      <c r="CJ200" s="177" t="s">
        <v>3632</v>
      </c>
      <c r="CK200" s="177"/>
      <c r="CL200" s="177" t="s">
        <v>373</v>
      </c>
      <c r="CM200" s="177" t="s">
        <v>6519</v>
      </c>
      <c r="CN200" s="177" t="s">
        <v>6520</v>
      </c>
      <c r="CO200" s="177" t="s">
        <v>3950</v>
      </c>
      <c r="CP200" s="255"/>
      <c r="CQ200" s="255"/>
      <c r="CR200" s="255"/>
      <c r="CS200" s="255"/>
      <c r="CT200" s="255"/>
      <c r="CU200" s="92"/>
      <c r="CV200" s="256" t="s">
        <v>6521</v>
      </c>
      <c r="CW200" s="256" t="s">
        <v>2184</v>
      </c>
      <c r="CX200" s="256" t="s">
        <v>1101</v>
      </c>
      <c r="CY200" s="256" t="s">
        <v>6522</v>
      </c>
      <c r="CZ200" s="256" t="s">
        <v>6523</v>
      </c>
      <c r="DA200" s="256" t="s">
        <v>4512</v>
      </c>
      <c r="DB200" s="256" t="s">
        <v>6524</v>
      </c>
      <c r="DC200" s="204" t="s">
        <v>3333</v>
      </c>
      <c r="DD200" s="256"/>
      <c r="DE200" s="256"/>
      <c r="DF200" s="256"/>
      <c r="DG200" s="256"/>
      <c r="DH200" s="257"/>
      <c r="DI200" s="258"/>
      <c r="DJ200" s="258"/>
      <c r="DK200" s="258"/>
      <c r="DL200" s="258"/>
      <c r="DM200" s="258" t="s">
        <v>5496</v>
      </c>
      <c r="DN200" s="205"/>
      <c r="DO200" s="205" t="s">
        <v>6525</v>
      </c>
      <c r="DP200" s="205" t="s">
        <v>3942</v>
      </c>
      <c r="DQ200" s="205" t="s">
        <v>3005</v>
      </c>
      <c r="DR200" s="258"/>
      <c r="DS200" s="258"/>
      <c r="DT200" s="258"/>
      <c r="DU200" s="258"/>
      <c r="DV200" s="258"/>
      <c r="DW200" s="258"/>
      <c r="DX200" s="258"/>
      <c r="DY200" s="258"/>
      <c r="DZ200" s="258"/>
      <c r="EA200" s="258"/>
      <c r="EB200" s="258"/>
      <c r="EC200" s="258"/>
      <c r="ED200" s="287"/>
    </row>
    <row r="201">
      <c r="A201" s="708" t="s">
        <v>6526</v>
      </c>
      <c r="B201" s="82" t="s">
        <v>6527</v>
      </c>
      <c r="C201" s="83" t="s">
        <v>1258</v>
      </c>
      <c r="D201" s="84" t="s">
        <v>1258</v>
      </c>
      <c r="E201" s="85" t="s">
        <v>1258</v>
      </c>
      <c r="F201" s="86" t="s">
        <v>1258</v>
      </c>
      <c r="G201" s="82" t="s">
        <v>221</v>
      </c>
      <c r="H201" s="102"/>
      <c r="I201" s="95"/>
      <c r="J201" s="102"/>
      <c r="K201" s="102"/>
      <c r="L201" s="102"/>
      <c r="M201" s="102"/>
      <c r="N201" s="102"/>
      <c r="O201" s="260" t="s">
        <v>5958</v>
      </c>
      <c r="P201" s="260" t="s">
        <v>2860</v>
      </c>
      <c r="Q201" s="99"/>
      <c r="R201" s="99"/>
      <c r="S201" s="99"/>
      <c r="T201" s="99"/>
      <c r="U201" s="99"/>
      <c r="V201" s="99"/>
      <c r="W201" s="92"/>
      <c r="X201" s="102"/>
      <c r="Y201" s="102"/>
      <c r="Z201" s="102"/>
      <c r="AA201" s="102"/>
      <c r="AB201" s="266"/>
      <c r="AC201" s="260" t="s">
        <v>1885</v>
      </c>
      <c r="AD201" s="102"/>
      <c r="AE201" s="99"/>
      <c r="AF201" s="102"/>
      <c r="AG201" s="260" t="s">
        <v>6236</v>
      </c>
      <c r="AH201" s="99"/>
      <c r="AI201" s="99"/>
      <c r="AJ201" s="102"/>
      <c r="AK201" s="94" t="s">
        <v>6528</v>
      </c>
      <c r="AL201" s="97"/>
      <c r="AM201" s="102"/>
      <c r="AN201" s="102" t="s">
        <v>6529</v>
      </c>
      <c r="AO201" s="99"/>
      <c r="AP201" s="99"/>
      <c r="AQ201" s="94"/>
      <c r="AR201" s="94"/>
      <c r="AS201" s="99"/>
      <c r="AT201" s="99"/>
      <c r="AU201" s="260" t="s">
        <v>6530</v>
      </c>
      <c r="AV201" s="102"/>
      <c r="AW201" s="102"/>
      <c r="AX201" s="99"/>
      <c r="AY201" s="99"/>
      <c r="AZ201" s="99"/>
      <c r="BA201" s="99"/>
      <c r="BB201" s="102"/>
      <c r="BC201" s="102"/>
      <c r="BD201" s="102"/>
      <c r="BE201" s="102"/>
      <c r="BF201" s="102"/>
      <c r="BG201" s="102"/>
      <c r="BH201" s="99"/>
      <c r="BI201" s="260" t="s">
        <v>6074</v>
      </c>
      <c r="BJ201" s="99"/>
      <c r="BK201" s="102"/>
      <c r="BL201" s="260" t="s">
        <v>2563</v>
      </c>
      <c r="BM201" s="99"/>
      <c r="BN201" s="99"/>
      <c r="BO201" s="102"/>
      <c r="BP201" s="99"/>
      <c r="BQ201" s="236"/>
      <c r="BR201" s="260" t="s">
        <v>6531</v>
      </c>
      <c r="BS201" s="260" t="s">
        <v>6532</v>
      </c>
      <c r="BT201" s="102"/>
      <c r="BU201" s="260" t="s">
        <v>2576</v>
      </c>
      <c r="BV201" s="260" t="s">
        <v>6533</v>
      </c>
      <c r="BW201" s="260" t="s">
        <v>1094</v>
      </c>
      <c r="BX201" s="99"/>
      <c r="BY201" s="102"/>
      <c r="BZ201" s="260" t="s">
        <v>6534</v>
      </c>
      <c r="CA201" s="260"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6536</v>
      </c>
      <c r="DD201" s="99"/>
      <c r="DE201" s="99"/>
      <c r="DF201" s="99"/>
      <c r="DG201" s="99"/>
      <c r="DH201" s="236"/>
      <c r="DI201" s="102"/>
      <c r="DJ201" s="99"/>
      <c r="DK201" s="99"/>
      <c r="DL201" s="102"/>
      <c r="DM201" s="260" t="s">
        <v>6537</v>
      </c>
      <c r="DN201" s="102"/>
      <c r="DO201" s="99"/>
      <c r="DP201" s="99"/>
      <c r="DQ201" s="99"/>
      <c r="DR201" s="102"/>
      <c r="DS201" s="102"/>
      <c r="DT201" s="94" t="s">
        <v>2084</v>
      </c>
      <c r="DU201" s="102"/>
      <c r="DV201" s="99"/>
      <c r="DW201" s="94" t="s">
        <v>280</v>
      </c>
      <c r="DX201" s="99"/>
      <c r="DY201" s="99"/>
      <c r="DZ201" s="99"/>
      <c r="EA201" s="102" t="s">
        <v>5834</v>
      </c>
      <c r="EB201" s="99"/>
      <c r="EC201" s="99"/>
      <c r="ED201" s="260"/>
    </row>
    <row r="202">
      <c r="A202" s="431" t="s">
        <v>6538</v>
      </c>
      <c r="B202" s="104" t="s">
        <v>6539</v>
      </c>
      <c r="C202" s="105" t="s">
        <v>1258</v>
      </c>
      <c r="D202" s="106" t="s">
        <v>1258</v>
      </c>
      <c r="E202" s="107" t="s">
        <v>1258</v>
      </c>
      <c r="F202" s="108" t="s">
        <v>1258</v>
      </c>
      <c r="G202" s="104" t="s">
        <v>1199</v>
      </c>
      <c r="H202" s="243"/>
      <c r="I202" s="167" t="s">
        <v>6540</v>
      </c>
      <c r="J202" s="167" t="s">
        <v>6541</v>
      </c>
      <c r="K202" s="167" t="s">
        <v>2039</v>
      </c>
      <c r="L202" s="167" t="s">
        <v>6542</v>
      </c>
      <c r="M202" s="167" t="s">
        <v>6543</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6544</v>
      </c>
      <c r="CM202" s="255"/>
      <c r="CN202" s="255"/>
      <c r="CO202" s="255"/>
      <c r="CP202" s="255"/>
      <c r="CQ202" s="255"/>
      <c r="CR202" s="255"/>
      <c r="CS202" s="255"/>
      <c r="CT202" s="255"/>
      <c r="CU202" s="92"/>
      <c r="CV202" s="256"/>
      <c r="CW202" s="256"/>
      <c r="CX202" s="256"/>
      <c r="CY202" s="256"/>
      <c r="CZ202" s="256"/>
      <c r="DA202" s="256"/>
      <c r="DB202" s="256"/>
      <c r="DC202" s="204" t="s">
        <v>6545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6546</v>
      </c>
      <c r="B203" s="82" t="s">
        <v>6547</v>
      </c>
      <c r="C203" s="83" t="s">
        <v>1258</v>
      </c>
      <c r="D203" s="84" t="s">
        <v>1258</v>
      </c>
      <c r="E203" s="85" t="s">
        <v>1258</v>
      </c>
      <c r="F203" s="86" t="s">
        <v>1258</v>
      </c>
      <c r="G203" s="82" t="s">
        <v>3488</v>
      </c>
      <c r="H203" s="99"/>
      <c r="I203" s="94" t="s">
        <v>6548</v>
      </c>
      <c r="J203" s="94" t="s">
        <v>1297</v>
      </c>
      <c r="K203" s="94" t="s">
        <v>1057</v>
      </c>
      <c r="L203" s="94" t="s">
        <v>6549</v>
      </c>
      <c r="M203" s="94" t="s">
        <v>6550</v>
      </c>
      <c r="N203" s="94" t="s">
        <v>6551</v>
      </c>
      <c r="O203" s="94" t="s">
        <v>6552</v>
      </c>
      <c r="P203" s="94" t="s">
        <v>4608</v>
      </c>
      <c r="Q203" s="99"/>
      <c r="R203" s="99"/>
      <c r="S203" s="99"/>
      <c r="T203" s="99"/>
      <c r="U203" s="99"/>
      <c r="V203" s="99"/>
      <c r="W203" s="92"/>
      <c r="X203" s="94" t="s">
        <v>338</v>
      </c>
      <c r="Y203" s="94"/>
      <c r="Z203" s="94" t="s">
        <v>2210</v>
      </c>
      <c r="AA203" s="94" t="s">
        <v>3243</v>
      </c>
      <c r="AB203" s="94" t="s">
        <v>6553</v>
      </c>
      <c r="AC203" s="94" t="s">
        <v>6554</v>
      </c>
      <c r="AD203" s="94" t="s">
        <v>3205</v>
      </c>
      <c r="AE203" s="99"/>
      <c r="AF203" s="94" t="s">
        <v>6555</v>
      </c>
      <c r="AG203" s="94" t="s">
        <v>1356</v>
      </c>
      <c r="AH203" s="99"/>
      <c r="AI203" s="99"/>
      <c r="AJ203" s="99"/>
      <c r="AK203" s="99"/>
      <c r="AL203" s="97"/>
      <c r="AM203" s="94" t="s">
        <v>5116</v>
      </c>
      <c r="AN203" s="94" t="s">
        <v>1372</v>
      </c>
      <c r="AO203" s="94" t="s">
        <v>6556</v>
      </c>
      <c r="AP203" s="94" t="s">
        <v>6557</v>
      </c>
      <c r="AQ203" s="94" t="s">
        <v>6558</v>
      </c>
      <c r="AR203" s="94"/>
      <c r="AS203" s="94" t="s">
        <v>2176</v>
      </c>
      <c r="AT203" s="94" t="s">
        <v>6559</v>
      </c>
      <c r="AU203" s="94" t="s">
        <v>3849</v>
      </c>
      <c r="AV203" s="94" t="s">
        <v>694</v>
      </c>
      <c r="AW203" s="99"/>
      <c r="AX203" s="99"/>
      <c r="AY203" s="99"/>
      <c r="AZ203" s="99"/>
      <c r="BA203" s="99"/>
      <c r="BB203" s="94" t="s">
        <v>630</v>
      </c>
      <c r="BC203" s="94" t="s">
        <v>6560</v>
      </c>
      <c r="BD203" s="94" t="s">
        <v>6561</v>
      </c>
      <c r="BE203" s="94" t="s">
        <v>6562</v>
      </c>
      <c r="BF203" s="94" t="s">
        <v>6563</v>
      </c>
      <c r="BG203" s="94" t="s">
        <v>6511</v>
      </c>
      <c r="BH203" s="94" t="s">
        <v>6564</v>
      </c>
      <c r="BI203" s="94" t="s">
        <v>6250</v>
      </c>
      <c r="BJ203" s="94"/>
      <c r="BK203" s="94"/>
      <c r="BL203" s="94" t="s">
        <v>923</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3581</v>
      </c>
      <c r="CB203" s="99"/>
      <c r="CC203" s="99"/>
      <c r="CD203" s="99"/>
      <c r="CE203" s="99"/>
      <c r="CF203" s="236"/>
      <c r="CG203" s="94" t="s">
        <v>6571</v>
      </c>
      <c r="CH203" s="94" t="s">
        <v>6572</v>
      </c>
      <c r="CI203" s="94" t="s">
        <v>2932</v>
      </c>
      <c r="CJ203" s="94" t="s">
        <v>6573</v>
      </c>
      <c r="CK203" s="94"/>
      <c r="CL203" s="94" t="s">
        <v>4229</v>
      </c>
      <c r="CM203" s="94" t="s">
        <v>6574</v>
      </c>
      <c r="CN203" s="94" t="s">
        <v>966</v>
      </c>
      <c r="CO203" s="94" t="s">
        <v>1432</v>
      </c>
      <c r="CP203" s="99"/>
      <c r="CQ203" s="99"/>
      <c r="CR203" s="99"/>
      <c r="CS203" s="99"/>
      <c r="CT203" s="99"/>
      <c r="CU203" s="92"/>
      <c r="CV203" s="94" t="s">
        <v>6575</v>
      </c>
      <c r="CW203" s="94" t="s">
        <v>6576</v>
      </c>
      <c r="CX203" s="94" t="s">
        <v>1739</v>
      </c>
      <c r="CY203" s="94" t="s">
        <v>6577</v>
      </c>
      <c r="CZ203" s="94" t="s">
        <v>6578</v>
      </c>
      <c r="DA203" s="94" t="s">
        <v>6579</v>
      </c>
      <c r="DB203" s="94" t="s">
        <v>1512</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0"/>
    </row>
    <row r="204">
      <c r="A204" s="709" t="s">
        <v>6582</v>
      </c>
      <c r="B204" s="104" t="s">
        <v>6583</v>
      </c>
      <c r="C204" s="105" t="s">
        <v>1258</v>
      </c>
      <c r="D204" s="106" t="s">
        <v>1258</v>
      </c>
      <c r="E204" s="107" t="s">
        <v>1258</v>
      </c>
      <c r="F204" s="108" t="s">
        <v>1258</v>
      </c>
      <c r="G204" s="104" t="s">
        <v>4048</v>
      </c>
      <c r="H204" s="167" t="s">
        <v>6584</v>
      </c>
      <c r="I204" s="167" t="s">
        <v>6585</v>
      </c>
      <c r="J204" s="167" t="s">
        <v>6586</v>
      </c>
      <c r="K204" s="167" t="s">
        <v>1620</v>
      </c>
      <c r="L204" s="167" t="s">
        <v>4066</v>
      </c>
      <c r="M204" s="167" t="s">
        <v>6587</v>
      </c>
      <c r="N204" s="167" t="s">
        <v>6588</v>
      </c>
      <c r="O204" s="167" t="s">
        <v>4424</v>
      </c>
      <c r="P204" s="167" t="s">
        <v>4667</v>
      </c>
      <c r="Q204" s="243"/>
      <c r="R204" s="243"/>
      <c r="S204" s="243"/>
      <c r="T204" s="243"/>
      <c r="U204" s="243"/>
      <c r="V204" s="243"/>
      <c r="W204" s="92"/>
      <c r="X204" s="198" t="s">
        <v>6589</v>
      </c>
      <c r="Y204" s="198"/>
      <c r="Z204" s="198" t="s">
        <v>1007</v>
      </c>
      <c r="AA204" s="246"/>
      <c r="AB204" s="246"/>
      <c r="AC204" s="198" t="s">
        <v>6590</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6591</v>
      </c>
      <c r="CH204" s="177" t="s">
        <v>5703</v>
      </c>
      <c r="CI204" s="177" t="s">
        <v>786</v>
      </c>
      <c r="CJ204" s="177" t="s">
        <v>6592</v>
      </c>
      <c r="CK204" s="177"/>
      <c r="CL204" s="177" t="s">
        <v>790</v>
      </c>
      <c r="CM204" s="177" t="s">
        <v>6593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6594</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6595</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6596</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6597</v>
      </c>
      <c r="B208" s="104" t="s">
        <v>5055</v>
      </c>
      <c r="C208" s="105" t="s">
        <v>1258</v>
      </c>
      <c r="D208" s="106" t="s">
        <v>1258</v>
      </c>
      <c r="E208" s="107" t="s">
        <v>1258</v>
      </c>
      <c r="F208" s="108" t="s">
        <v>1258</v>
      </c>
      <c r="G208" s="104" t="s">
        <v>2865</v>
      </c>
      <c r="H208" s="167"/>
      <c r="I208" s="167" t="s">
        <v>6598</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6599</v>
      </c>
      <c r="BF208" s="173"/>
      <c r="BG208" s="173"/>
      <c r="BH208" s="173"/>
      <c r="BI208" s="174" t="s">
        <v>4435</v>
      </c>
      <c r="BJ208" s="173"/>
      <c r="BK208" s="173"/>
      <c r="BL208" s="173"/>
      <c r="BM208" s="173"/>
      <c r="BN208" s="173"/>
      <c r="BO208" s="173"/>
      <c r="BP208" s="173"/>
      <c r="BQ208" s="249"/>
      <c r="BR208" s="252"/>
      <c r="BS208" s="175" t="s">
        <v>4901</v>
      </c>
      <c r="BT208" s="175" t="s">
        <v>6600</v>
      </c>
      <c r="BU208" s="175" t="s">
        <v>5250</v>
      </c>
      <c r="BV208" s="252"/>
      <c r="BW208" s="252"/>
      <c r="BX208" s="252"/>
      <c r="BY208" s="252"/>
      <c r="BZ208" s="252"/>
      <c r="CA208" s="252"/>
      <c r="CB208" s="252"/>
      <c r="CC208" s="252"/>
      <c r="CD208" s="252"/>
      <c r="CE208" s="252"/>
      <c r="CF208" s="253"/>
      <c r="CG208" s="177" t="s">
        <v>6601</v>
      </c>
      <c r="CH208" s="177" t="s">
        <v>1727</v>
      </c>
      <c r="CI208" s="255"/>
      <c r="CJ208" s="255"/>
      <c r="CK208" s="255"/>
      <c r="CL208" s="255"/>
      <c r="CM208" s="255"/>
      <c r="CN208" s="255"/>
      <c r="CO208" s="255"/>
      <c r="CP208" s="255"/>
      <c r="CQ208" s="255"/>
      <c r="CR208" s="255"/>
      <c r="CS208" s="255"/>
      <c r="CT208" s="255"/>
      <c r="CU208" s="92"/>
      <c r="CV208" s="256"/>
      <c r="CW208" s="256"/>
      <c r="CX208" s="204" t="s">
        <v>6602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6603</v>
      </c>
      <c r="DT208" s="258"/>
      <c r="DU208" s="258"/>
      <c r="DV208" s="258"/>
      <c r="DW208" s="258"/>
      <c r="DX208" s="258"/>
      <c r="DY208" s="258"/>
      <c r="DZ208" s="258"/>
      <c r="EA208" s="258"/>
      <c r="EB208" s="258"/>
      <c r="EC208" s="258"/>
      <c r="ED208" s="357"/>
    </row>
    <row r="209">
      <c r="A209" s="339" t="s">
        <v>6604</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6605</v>
      </c>
      <c r="B210" s="104" t="s">
        <v>6606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6608</v>
      </c>
      <c r="B211" s="82" t="s">
        <v>6609</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6610</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6611</v>
      </c>
      <c r="B213" s="82" t="s">
        <v>2153</v>
      </c>
      <c r="C213" s="83" t="s">
        <v>1258</v>
      </c>
      <c r="D213" s="84" t="s">
        <v>1258</v>
      </c>
      <c r="E213" s="85" t="s">
        <v>1258</v>
      </c>
      <c r="F213" s="86" t="s">
        <v>1061</v>
      </c>
      <c r="G213" s="82" t="s">
        <v>1061</v>
      </c>
      <c r="H213" s="448" t="s">
        <v>6612</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6613</v>
      </c>
      <c r="AQ213" s="99"/>
      <c r="AR213" s="99"/>
      <c r="AS213" s="99"/>
      <c r="AT213" s="99"/>
      <c r="AU213" s="99"/>
      <c r="AV213" s="99"/>
      <c r="AW213" s="99"/>
      <c r="AX213" s="99"/>
      <c r="AY213" s="448" t="s">
        <v>522</v>
      </c>
      <c r="AZ213" s="99"/>
      <c r="BA213" s="99"/>
      <c r="BB213" s="448" t="s">
        <v>6614</v>
      </c>
      <c r="BC213" s="99"/>
      <c r="BD213" s="448" t="s">
        <v>4741</v>
      </c>
      <c r="BE213" s="99"/>
      <c r="BF213" s="99"/>
      <c r="BG213" s="99"/>
      <c r="BH213" s="99"/>
      <c r="BI213" s="99"/>
      <c r="BJ213" s="99"/>
      <c r="BK213" s="99"/>
      <c r="BL213" s="99"/>
      <c r="BM213" s="99"/>
      <c r="BN213" s="448" t="s">
        <v>6615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6616</v>
      </c>
      <c r="DR213" s="99"/>
      <c r="DS213" s="99"/>
      <c r="DT213" s="99"/>
      <c r="DU213" s="99"/>
      <c r="DV213" s="99"/>
      <c r="DW213" s="99"/>
      <c r="DX213" s="99"/>
      <c r="DY213" s="99"/>
      <c r="DZ213" s="99"/>
      <c r="EA213" s="99"/>
      <c r="EB213" s="99"/>
      <c r="EC213" s="99"/>
      <c r="ED213" s="687" t="s">
        <v>1842</v>
      </c>
    </row>
    <row r="214">
      <c r="A214" s="103" t="s">
        <v>6617</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6618</v>
      </c>
      <c r="B215" s="82" t="s">
        <v>4776</v>
      </c>
      <c r="C215" s="83" t="s">
        <v>1258</v>
      </c>
      <c r="D215" s="84" t="s">
        <v>1258</v>
      </c>
      <c r="E215" s="85" t="s">
        <v>1258</v>
      </c>
      <c r="F215" s="86" t="s">
        <v>1258</v>
      </c>
      <c r="G215" s="82" t="s">
        <v>649</v>
      </c>
      <c r="H215" s="99"/>
      <c r="I215" s="94" t="s">
        <v>6619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6620</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6621</v>
      </c>
      <c r="B217" s="82" t="s">
        <v>4246</v>
      </c>
      <c r="C217" s="83" t="s">
        <v>1258</v>
      </c>
      <c r="D217" s="84" t="s">
        <v>1258</v>
      </c>
      <c r="E217" s="85" t="s">
        <v>1258</v>
      </c>
      <c r="F217" s="86" t="s">
        <v>1258</v>
      </c>
      <c r="G217" s="82" t="s">
        <v>649</v>
      </c>
      <c r="H217" s="99"/>
      <c r="I217" s="94"/>
      <c r="J217" s="99"/>
      <c r="K217" s="94" t="s">
        <v>4988</v>
      </c>
      <c r="L217" s="94" t="s">
        <v>6622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6623</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6624</v>
      </c>
      <c r="CH218" s="177" t="s">
        <v>4679</v>
      </c>
      <c r="CI218" s="177" t="s">
        <v>1683</v>
      </c>
      <c r="CJ218" s="255"/>
      <c r="CK218" s="255"/>
      <c r="CL218" s="255" t="s">
        <v>6625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6626</v>
      </c>
      <c r="DN218" s="205"/>
      <c r="DO218" s="258"/>
      <c r="DP218" s="258"/>
      <c r="DQ218" s="258"/>
      <c r="DR218" s="258"/>
      <c r="DS218" s="258"/>
      <c r="DT218" s="258"/>
      <c r="DU218" s="258"/>
      <c r="DV218" s="258"/>
      <c r="DW218" s="258"/>
      <c r="DX218" s="258"/>
      <c r="DY218" s="258"/>
      <c r="DZ218" s="258"/>
      <c r="EA218" s="258"/>
      <c r="EB218" s="258"/>
      <c r="EC218" s="258"/>
      <c r="ED218" s="357"/>
    </row>
    <row r="219">
      <c r="A219" s="81" t="s">
        <v>6627</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6628</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6629</v>
      </c>
      <c r="B221" s="82" t="s">
        <v>6303</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6630</v>
      </c>
      <c r="B222" s="104" t="s">
        <v>223</v>
      </c>
      <c r="C222" s="105" t="s">
        <v>1258</v>
      </c>
      <c r="D222" s="106" t="s">
        <v>1258</v>
      </c>
      <c r="E222" s="107" t="s">
        <v>1258</v>
      </c>
      <c r="F222" s="108" t="s">
        <v>439</v>
      </c>
      <c r="G222" s="104" t="s">
        <v>439</v>
      </c>
      <c r="H222" s="112" t="s">
        <v>6631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6633</v>
      </c>
      <c r="B223" s="82" t="s">
        <v>983</v>
      </c>
      <c r="C223" s="83" t="s">
        <v>1258</v>
      </c>
      <c r="D223" s="84" t="s">
        <v>1258</v>
      </c>
      <c r="E223" s="85" t="s">
        <v>1258</v>
      </c>
      <c r="F223" s="86" t="s">
        <v>1258</v>
      </c>
      <c r="G223" s="82" t="s">
        <v>548</v>
      </c>
      <c r="H223" s="99"/>
      <c r="I223" s="99"/>
      <c r="J223" s="99"/>
      <c r="K223" s="99" t="s">
        <v>6495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6634</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6635</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6636</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6637</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6639</v>
      </c>
      <c r="H2" s="730" t="s">
        <v>47</v>
      </c>
      <c r="I2" s="730" t="s">
        <v>48</v>
      </c>
      <c r="J2" s="730" t="s">
        <v>6640</v>
      </c>
      <c r="K2" s="730" t="s">
        <v>54</v>
      </c>
      <c r="N2" s="730" t="s">
        <v>6641</v>
      </c>
      <c r="P2" s="731"/>
      <c r="Q2" s="732" t="s">
        <v>47</v>
      </c>
      <c r="R2" s="732" t="s">
        <v>6642</v>
      </c>
      <c r="S2" s="732" t="s">
        <v>52</v>
      </c>
      <c r="T2" s="732" t="s">
        <v>53</v>
      </c>
      <c r="U2" s="732" t="s">
        <v>54</v>
      </c>
      <c r="V2" s="732" t="s">
        <v>6643</v>
      </c>
      <c r="W2" s="731"/>
      <c r="X2" s="733" t="s">
        <v>47</v>
      </c>
      <c r="Y2" s="733" t="s">
        <v>48</v>
      </c>
      <c r="Z2" s="733" t="s">
        <v>49</v>
      </c>
      <c r="AA2" s="733" t="s">
        <v>50</v>
      </c>
      <c r="AC2" s="733" t="s">
        <v>52</v>
      </c>
      <c r="AD2" s="733" t="s">
        <v>53</v>
      </c>
      <c r="AE2" s="733" t="s">
        <v>54</v>
      </c>
      <c r="AF2" s="733" t="s">
        <v>6644</v>
      </c>
      <c r="AG2" s="733" t="s">
        <v>6641</v>
      </c>
      <c r="AI2" s="731"/>
      <c r="AJ2" s="734" t="s">
        <v>47</v>
      </c>
      <c r="AK2" s="734" t="s">
        <v>48</v>
      </c>
      <c r="AM2" s="734" t="s">
        <v>49</v>
      </c>
      <c r="AP2" s="734" t="s">
        <v>51</v>
      </c>
      <c r="AR2" s="734" t="s">
        <v>52</v>
      </c>
      <c r="AV2" s="734" t="s">
        <v>52</v>
      </c>
      <c r="AW2" s="734" t="s">
        <v>53</v>
      </c>
      <c r="AX2" s="734" t="s">
        <v>6643</v>
      </c>
      <c r="AZ2" s="735"/>
      <c r="BA2" s="736" t="s">
        <v>47</v>
      </c>
      <c r="BB2" s="736" t="s">
        <v>52</v>
      </c>
      <c r="BC2" s="736" t="s">
        <v>53</v>
      </c>
      <c r="BD2" s="736" t="s">
        <v>54</v>
      </c>
      <c r="BE2" s="736" t="s">
        <v>6641</v>
      </c>
      <c r="BF2" s="735"/>
      <c r="BG2" s="737" t="s">
        <v>47</v>
      </c>
      <c r="BH2" s="737" t="s">
        <v>48</v>
      </c>
      <c r="BI2" s="737" t="s">
        <v>50</v>
      </c>
      <c r="BK2" s="737" t="s">
        <v>52</v>
      </c>
      <c r="BL2" s="737" t="s">
        <v>6641</v>
      </c>
      <c r="BN2" s="731"/>
      <c r="BO2" s="738" t="s">
        <v>49</v>
      </c>
      <c r="BP2" s="738" t="s">
        <v>50</v>
      </c>
      <c r="BQ2" s="738" t="s">
        <v>51</v>
      </c>
      <c r="BR2" s="738" t="s">
        <v>52</v>
      </c>
      <c r="BT2" s="738" t="s">
        <v>53</v>
      </c>
      <c r="BU2" s="738" t="s">
        <v>54</v>
      </c>
      <c r="BW2" s="738" t="s">
        <v>6643</v>
      </c>
      <c r="BX2" s="735"/>
      <c r="BY2" s="739" t="s">
        <v>6645</v>
      </c>
      <c r="BZ2" s="740" t="s">
        <v>75</v>
      </c>
      <c r="CA2" s="739" t="s">
        <v>80</v>
      </c>
      <c r="CD2" s="739" t="s">
        <v>77</v>
      </c>
      <c r="CE2" s="739" t="s">
        <v>6646</v>
      </c>
      <c r="CF2" s="739" t="s">
        <v>6647</v>
      </c>
      <c r="CG2" s="741" t="s">
        <v>68</v>
      </c>
      <c r="CH2" s="739" t="s">
        <v>76</v>
      </c>
      <c r="CI2" s="739" t="s">
        <v>66</v>
      </c>
      <c r="CJ2" s="740" t="s">
        <v>78</v>
      </c>
    </row>
    <row r="3" ht="23.25" customHeight="1">
      <c r="J3" s="742" t="s">
        <v>6648</v>
      </c>
      <c r="K3" s="742" t="s">
        <v>6649</v>
      </c>
      <c r="L3" s="743" t="s">
        <v>6650</v>
      </c>
      <c r="M3" s="743" t="s">
        <v>6651</v>
      </c>
      <c r="N3" s="743" t="s">
        <v>6652</v>
      </c>
      <c r="O3" s="742" t="s">
        <v>6653</v>
      </c>
      <c r="P3" s="731"/>
      <c r="W3" s="731"/>
      <c r="AA3" s="744" t="s">
        <v>6654</v>
      </c>
      <c r="AB3" s="745" t="s">
        <v>92</v>
      </c>
      <c r="AF3" s="745" t="s">
        <v>6655</v>
      </c>
      <c r="AG3" s="744" t="s">
        <v>52</v>
      </c>
      <c r="AH3" s="746" t="s">
        <v>49</v>
      </c>
      <c r="AI3" s="731"/>
      <c r="AK3" s="747" t="s">
        <v>6656</v>
      </c>
      <c r="AL3" s="747" t="s">
        <v>6657</v>
      </c>
      <c r="AM3" s="748" t="s">
        <v>6652</v>
      </c>
      <c r="AN3" s="748" t="s">
        <v>6658</v>
      </c>
      <c r="AO3" s="748" t="s">
        <v>6659</v>
      </c>
      <c r="AP3" s="748" t="s">
        <v>6652</v>
      </c>
      <c r="AQ3" s="749" t="s">
        <v>6660</v>
      </c>
      <c r="AR3" s="748" t="s">
        <v>6661</v>
      </c>
      <c r="AS3" s="748" t="s">
        <v>6662</v>
      </c>
      <c r="AT3" s="748" t="s">
        <v>6663</v>
      </c>
      <c r="AU3" s="748" t="s">
        <v>6664</v>
      </c>
      <c r="AX3" s="748" t="s">
        <v>6665</v>
      </c>
      <c r="AY3" s="748" t="s">
        <v>6666</v>
      </c>
      <c r="AZ3" s="735"/>
      <c r="BF3" s="750"/>
      <c r="BI3" s="737" t="s">
        <v>6667</v>
      </c>
      <c r="BJ3" s="737" t="s">
        <v>6668</v>
      </c>
      <c r="BL3" s="751" t="s">
        <v>88</v>
      </c>
      <c r="BM3" s="751" t="s">
        <v>6669</v>
      </c>
      <c r="BN3" s="731"/>
      <c r="BR3" s="752" t="s">
        <v>6659</v>
      </c>
      <c r="BS3" s="752" t="s">
        <v>6670</v>
      </c>
      <c r="BU3" s="752" t="s">
        <v>6652</v>
      </c>
      <c r="BV3" s="752" t="s">
        <v>6659</v>
      </c>
      <c r="BX3" s="735"/>
      <c r="CA3" s="753" t="s">
        <v>6671</v>
      </c>
      <c r="CB3" s="753" t="s">
        <v>6672</v>
      </c>
      <c r="CC3" s="753" t="s">
        <v>6673</v>
      </c>
      <c r="CJ3" s="753" t="s">
        <v>6674</v>
      </c>
      <c r="CK3" s="753" t="s">
        <v>6675</v>
      </c>
    </row>
    <row r="4">
      <c r="A4" s="754" t="s">
        <v>6676</v>
      </c>
      <c r="B4" s="755" t="s">
        <v>6677</v>
      </c>
      <c r="C4" s="756" t="s">
        <v>4109</v>
      </c>
      <c r="D4" s="757" t="s">
        <v>440</v>
      </c>
      <c r="E4" s="758" t="s">
        <v>1258</v>
      </c>
      <c r="F4" s="759" t="s">
        <v>4776</v>
      </c>
      <c r="G4" s="760" t="s">
        <v>2540</v>
      </c>
      <c r="H4" s="761" t="s">
        <v>2990</v>
      </c>
      <c r="I4" s="762"/>
      <c r="J4" s="763" t="s">
        <v>2028</v>
      </c>
      <c r="K4" s="763" t="s">
        <v>2806</v>
      </c>
      <c r="L4" s="763" t="s">
        <v>2544</v>
      </c>
      <c r="M4" s="764" t="s">
        <v>3220</v>
      </c>
      <c r="N4" s="762"/>
      <c r="O4" s="765" t="s">
        <v>6678</v>
      </c>
      <c r="P4" s="766"/>
      <c r="Q4" s="767" t="s">
        <v>6679</v>
      </c>
      <c r="R4" s="768" t="s">
        <v>1650</v>
      </c>
      <c r="S4" s="769" t="s">
        <v>5066</v>
      </c>
      <c r="T4" s="769" t="s">
        <v>5616</v>
      </c>
      <c r="U4" s="769"/>
      <c r="V4" s="767" t="s">
        <v>6680</v>
      </c>
      <c r="W4" s="766"/>
      <c r="X4" s="770" t="s">
        <v>2379</v>
      </c>
      <c r="Y4" s="771" t="s">
        <v>6681</v>
      </c>
      <c r="Z4" s="771" t="s">
        <v>6682</v>
      </c>
      <c r="AA4" s="771" t="s">
        <v>5029</v>
      </c>
      <c r="AB4" s="772" t="s">
        <v>6683</v>
      </c>
      <c r="AC4" s="771" t="s">
        <v>749</v>
      </c>
      <c r="AD4" s="773" t="s">
        <v>4265</v>
      </c>
      <c r="AE4" s="773" t="s">
        <v>2524</v>
      </c>
      <c r="AF4" s="774"/>
      <c r="AG4" s="772" t="s">
        <v>6684</v>
      </c>
      <c r="AH4" s="775"/>
      <c r="AI4" s="776"/>
      <c r="AJ4" s="777"/>
      <c r="AK4" s="778"/>
      <c r="AL4" s="778"/>
      <c r="AM4" s="779" t="s">
        <v>6685</v>
      </c>
      <c r="AN4" s="777"/>
      <c r="AO4" s="778"/>
      <c r="AP4" s="779" t="s">
        <v>908</v>
      </c>
      <c r="AQ4" s="777" t="s">
        <v>6686</v>
      </c>
      <c r="AR4" s="778"/>
      <c r="AS4" s="778"/>
      <c r="AT4" s="778"/>
      <c r="AU4" s="778"/>
      <c r="AV4" s="778"/>
      <c r="AW4" s="780" t="s">
        <v>4710</v>
      </c>
      <c r="AX4" s="779" t="s">
        <v>6687</v>
      </c>
      <c r="AY4" s="779" t="s">
        <v>158</v>
      </c>
      <c r="AZ4" s="781"/>
      <c r="BA4" s="782" t="s">
        <v>6688</v>
      </c>
      <c r="BB4" s="783" t="s">
        <v>6689</v>
      </c>
      <c r="BC4" s="784" t="s">
        <v>296</v>
      </c>
      <c r="BD4" s="782" t="s">
        <v>4270</v>
      </c>
      <c r="BE4" s="782" t="s">
        <v>6690</v>
      </c>
      <c r="BF4" s="781"/>
      <c r="BG4" s="785" t="s">
        <v>6691</v>
      </c>
      <c r="BH4" s="786" t="s">
        <v>695</v>
      </c>
      <c r="BI4" s="787" t="s">
        <v>6692</v>
      </c>
      <c r="BJ4" s="788" t="s">
        <v>6693</v>
      </c>
      <c r="BK4" s="785" t="s">
        <v>6694</v>
      </c>
      <c r="BL4" s="789"/>
      <c r="BM4" s="790" t="s">
        <v>6695</v>
      </c>
      <c r="BN4" s="776"/>
      <c r="BO4" s="791" t="s">
        <v>6696</v>
      </c>
      <c r="BP4" s="792"/>
      <c r="BQ4" s="793" t="s">
        <v>6697</v>
      </c>
      <c r="BR4" s="791" t="s">
        <v>6698</v>
      </c>
      <c r="BS4" s="794"/>
      <c r="BT4" s="793" t="s">
        <v>1109</v>
      </c>
      <c r="BU4" s="791" t="s">
        <v>6420</v>
      </c>
      <c r="BV4" s="795"/>
      <c r="BW4" s="791" t="s">
        <v>6699</v>
      </c>
      <c r="BX4" s="766"/>
      <c r="BY4" s="796" t="s">
        <v>3386</v>
      </c>
      <c r="BZ4" s="797" t="s">
        <v>6161</v>
      </c>
      <c r="CA4" s="767" t="s">
        <v>6700</v>
      </c>
      <c r="CB4" s="798"/>
      <c r="CC4" s="799"/>
      <c r="CD4" s="767" t="s">
        <v>6701</v>
      </c>
      <c r="CE4" s="800" t="s">
        <v>6702</v>
      </c>
      <c r="CF4" s="767" t="s">
        <v>1594</v>
      </c>
      <c r="CG4" s="768" t="s">
        <v>5100</v>
      </c>
      <c r="CH4" s="801" t="s">
        <v>6703</v>
      </c>
      <c r="CI4" s="767" t="s">
        <v>1019</v>
      </c>
      <c r="CJ4" s="767" t="s">
        <v>2215</v>
      </c>
      <c r="CK4" s="767" t="s">
        <v>3937</v>
      </c>
    </row>
    <row r="5">
      <c r="A5" s="802" t="s">
        <v>6704</v>
      </c>
      <c r="B5" s="760" t="s">
        <v>6705</v>
      </c>
      <c r="C5" s="756" t="s">
        <v>649</v>
      </c>
      <c r="D5" s="757" t="s">
        <v>336</v>
      </c>
      <c r="E5" s="758" t="s">
        <v>334</v>
      </c>
      <c r="F5" s="759" t="s">
        <v>3376</v>
      </c>
      <c r="G5" s="760" t="s">
        <v>4673</v>
      </c>
      <c r="H5" s="803"/>
      <c r="I5" s="804" t="s">
        <v>1260</v>
      </c>
      <c r="J5" s="804"/>
      <c r="K5" s="805" t="s">
        <v>6706</v>
      </c>
      <c r="L5" s="804" t="s">
        <v>6707</v>
      </c>
      <c r="M5" s="803"/>
      <c r="N5" s="803"/>
      <c r="O5" s="806" t="s">
        <v>6708</v>
      </c>
      <c r="P5" s="781"/>
      <c r="Q5" s="807" t="s">
        <v>6709</v>
      </c>
      <c r="R5" s="808"/>
      <c r="S5" s="808"/>
      <c r="T5" s="809" t="s">
        <v>6710</v>
      </c>
      <c r="U5" s="810"/>
      <c r="V5" s="811" t="s">
        <v>6711</v>
      </c>
      <c r="W5" s="781"/>
      <c r="X5" s="812" t="s">
        <v>141</v>
      </c>
      <c r="Y5" s="812" t="s">
        <v>6712</v>
      </c>
      <c r="Z5" s="772" t="s">
        <v>4437</v>
      </c>
      <c r="AA5" s="773" t="s">
        <v>5613</v>
      </c>
      <c r="AB5" s="813" t="s">
        <v>793</v>
      </c>
      <c r="AC5" s="813" t="s">
        <v>2974</v>
      </c>
      <c r="AD5" s="771" t="s">
        <v>1215</v>
      </c>
      <c r="AE5" s="813" t="s">
        <v>2701</v>
      </c>
      <c r="AF5" s="774"/>
      <c r="AG5" s="771" t="s">
        <v>6713</v>
      </c>
      <c r="AH5" s="775"/>
      <c r="AI5" s="781"/>
      <c r="AJ5" s="814"/>
      <c r="AK5" s="814" t="s">
        <v>4070</v>
      </c>
      <c r="AL5" s="815"/>
      <c r="AM5" s="814" t="s">
        <v>4630</v>
      </c>
      <c r="AN5" s="814"/>
      <c r="AO5" s="816" t="s">
        <v>2386</v>
      </c>
      <c r="AP5" s="815"/>
      <c r="AQ5" s="817" t="s">
        <v>6714</v>
      </c>
      <c r="AR5" s="814" t="s">
        <v>6715</v>
      </c>
      <c r="AS5" s="814" t="s">
        <v>6716</v>
      </c>
      <c r="AT5" s="815"/>
      <c r="AU5" s="815"/>
      <c r="AV5" s="815"/>
      <c r="AW5" s="818" t="s">
        <v>4250</v>
      </c>
      <c r="AX5" s="819" t="s">
        <v>3757</v>
      </c>
      <c r="AY5" s="814" t="s">
        <v>6717</v>
      </c>
      <c r="AZ5" s="781"/>
      <c r="BA5" s="820"/>
      <c r="BB5" s="821" t="s">
        <v>6718</v>
      </c>
      <c r="BC5" s="822" t="s">
        <v>6719</v>
      </c>
      <c r="BD5" s="820"/>
      <c r="BE5" s="823" t="s">
        <v>6720</v>
      </c>
      <c r="BF5" s="781"/>
      <c r="BG5" s="824" t="s">
        <v>6721</v>
      </c>
      <c r="BH5" s="825" t="s">
        <v>1874</v>
      </c>
      <c r="BI5" s="825"/>
      <c r="BJ5" s="825"/>
      <c r="BK5" s="826" t="s">
        <v>2047</v>
      </c>
      <c r="BL5" s="827"/>
      <c r="BM5" s="825" t="s">
        <v>6722</v>
      </c>
      <c r="BN5" s="781"/>
      <c r="BO5" s="828" t="s">
        <v>6499</v>
      </c>
      <c r="BP5" s="829"/>
      <c r="BQ5" s="829"/>
      <c r="BR5" s="830" t="s">
        <v>6723</v>
      </c>
      <c r="BS5" s="829"/>
      <c r="BT5" s="831" t="s">
        <v>1619</v>
      </c>
      <c r="BU5" s="829"/>
      <c r="BV5" s="832" t="s">
        <v>3856</v>
      </c>
      <c r="BW5" s="831" t="s">
        <v>6127</v>
      </c>
      <c r="BX5" s="781"/>
      <c r="BY5" s="833" t="s">
        <v>2743</v>
      </c>
      <c r="BZ5" s="834" t="s">
        <v>4205</v>
      </c>
      <c r="CA5" s="835"/>
      <c r="CB5" s="835"/>
      <c r="CC5" s="835"/>
      <c r="CD5" s="834" t="s">
        <v>1399</v>
      </c>
      <c r="CE5" s="836" t="s">
        <v>4704</v>
      </c>
      <c r="CF5" s="834" t="s">
        <v>6724</v>
      </c>
      <c r="CG5" s="835"/>
      <c r="CH5" s="835"/>
      <c r="CI5" s="835"/>
      <c r="CJ5" s="835"/>
      <c r="CK5" s="835"/>
    </row>
    <row r="6">
      <c r="A6" s="837" t="s">
        <v>437</v>
      </c>
      <c r="B6" s="760" t="s">
        <v>6725</v>
      </c>
      <c r="C6" s="756" t="s">
        <v>439</v>
      </c>
      <c r="D6" s="757" t="s">
        <v>1200</v>
      </c>
      <c r="E6" s="758" t="s">
        <v>334</v>
      </c>
      <c r="F6" s="759" t="s">
        <v>4048</v>
      </c>
      <c r="G6" s="760" t="s">
        <v>1501</v>
      </c>
      <c r="H6" s="805" t="s">
        <v>1609</v>
      </c>
      <c r="I6" s="838" t="s">
        <v>3112</v>
      </c>
      <c r="J6" s="806" t="s">
        <v>6726</v>
      </c>
      <c r="K6" s="839" t="s">
        <v>5934</v>
      </c>
      <c r="L6" s="805" t="s">
        <v>5461</v>
      </c>
      <c r="M6" s="803"/>
      <c r="N6" s="803"/>
      <c r="O6" s="840" t="s">
        <v>6727</v>
      </c>
      <c r="P6" s="766"/>
      <c r="Q6" s="841" t="s">
        <v>6728</v>
      </c>
      <c r="R6" s="841" t="s">
        <v>2744</v>
      </c>
      <c r="S6" s="808"/>
      <c r="T6" s="842" t="s">
        <v>234</v>
      </c>
      <c r="U6" s="843"/>
      <c r="V6" s="809" t="s">
        <v>6729</v>
      </c>
      <c r="W6" s="766"/>
      <c r="X6" s="773" t="s">
        <v>3269</v>
      </c>
      <c r="Y6" s="773" t="s">
        <v>6730</v>
      </c>
      <c r="Z6" s="773" t="s">
        <v>2590</v>
      </c>
      <c r="AA6" s="844" t="s">
        <v>6731</v>
      </c>
      <c r="AB6" s="812" t="s">
        <v>1276</v>
      </c>
      <c r="AC6" s="844" t="s">
        <v>1318</v>
      </c>
      <c r="AD6" s="771" t="s">
        <v>1215</v>
      </c>
      <c r="AE6" s="771" t="s">
        <v>6732</v>
      </c>
      <c r="AF6" s="845"/>
      <c r="AG6" s="846" t="s">
        <v>6733</v>
      </c>
      <c r="AH6" s="775"/>
      <c r="AI6" s="776"/>
      <c r="AJ6" s="814"/>
      <c r="AK6" s="814" t="s">
        <v>6734</v>
      </c>
      <c r="AL6" s="815"/>
      <c r="AM6" s="847" t="s">
        <v>2804</v>
      </c>
      <c r="AN6" s="848" t="s">
        <v>3541</v>
      </c>
      <c r="AO6" s="814" t="s">
        <v>6735</v>
      </c>
      <c r="AP6" s="847" t="s">
        <v>2464</v>
      </c>
      <c r="AQ6" s="849" t="s">
        <v>6736</v>
      </c>
      <c r="AR6" s="814" t="s">
        <v>6737</v>
      </c>
      <c r="AS6" s="815"/>
      <c r="AT6" s="816" t="s">
        <v>4894</v>
      </c>
      <c r="AU6" s="815"/>
      <c r="AV6" s="815"/>
      <c r="AW6" s="819" t="s">
        <v>5031</v>
      </c>
      <c r="AX6" s="819" t="s">
        <v>1303</v>
      </c>
      <c r="AY6" s="815"/>
      <c r="AZ6" s="781"/>
      <c r="BA6" s="850"/>
      <c r="BB6" s="822" t="s">
        <v>6738</v>
      </c>
      <c r="BC6" s="823" t="s">
        <v>6152</v>
      </c>
      <c r="BD6" s="850"/>
      <c r="BE6" s="851" t="s">
        <v>6739</v>
      </c>
      <c r="BF6" s="781"/>
      <c r="BG6" s="824" t="s">
        <v>3231</v>
      </c>
      <c r="BH6" s="824" t="s">
        <v>1305</v>
      </c>
      <c r="BI6" s="852" t="s">
        <v>5821</v>
      </c>
      <c r="BJ6" s="853"/>
      <c r="BK6" s="824" t="s">
        <v>6740</v>
      </c>
      <c r="BL6" s="827"/>
      <c r="BM6" s="825" t="s">
        <v>6741</v>
      </c>
      <c r="BN6" s="766"/>
      <c r="BO6" s="831" t="s">
        <v>6742</v>
      </c>
      <c r="BP6" s="830"/>
      <c r="BQ6" s="854" t="s">
        <v>1769</v>
      </c>
      <c r="BR6" s="830" t="s">
        <v>6743</v>
      </c>
      <c r="BS6" s="829"/>
      <c r="BT6" s="854" t="s">
        <v>1900</v>
      </c>
      <c r="BU6" s="829"/>
      <c r="BV6" s="830" t="s">
        <v>5942</v>
      </c>
      <c r="BW6" s="830" t="s">
        <v>2133</v>
      </c>
      <c r="BX6" s="766"/>
      <c r="BY6" s="855" t="s">
        <v>304</v>
      </c>
      <c r="BZ6" s="834" t="s">
        <v>3536</v>
      </c>
      <c r="CA6" s="835"/>
      <c r="CB6" s="856"/>
      <c r="CC6" s="835"/>
      <c r="CD6" s="835"/>
      <c r="CE6" s="835"/>
      <c r="CF6" s="835"/>
      <c r="CG6" s="835"/>
      <c r="CH6" s="835"/>
      <c r="CI6" s="835"/>
      <c r="CJ6" s="856"/>
      <c r="CK6" s="856"/>
    </row>
    <row r="7">
      <c r="A7" s="857" t="s">
        <v>6744</v>
      </c>
      <c r="B7" s="858" t="s">
        <v>6745</v>
      </c>
      <c r="C7" s="756" t="s">
        <v>336</v>
      </c>
      <c r="D7" s="757" t="s">
        <v>334</v>
      </c>
      <c r="E7" s="758" t="s">
        <v>335</v>
      </c>
      <c r="F7" s="759" t="s">
        <v>3488</v>
      </c>
      <c r="G7" s="760" t="s">
        <v>3934</v>
      </c>
      <c r="H7" s="859" t="s">
        <v>6746</v>
      </c>
      <c r="I7" s="805" t="s">
        <v>6747</v>
      </c>
      <c r="J7" s="805" t="s">
        <v>3721</v>
      </c>
      <c r="K7" s="805" t="s">
        <v>6748</v>
      </c>
      <c r="L7" s="860" t="s">
        <v>2028</v>
      </c>
      <c r="M7" s="838" t="s">
        <v>6749</v>
      </c>
      <c r="N7" s="805" t="s">
        <v>6750</v>
      </c>
      <c r="O7" s="805" t="s">
        <v>6751</v>
      </c>
      <c r="P7" s="766"/>
      <c r="Q7" s="811" t="s">
        <v>6752</v>
      </c>
      <c r="R7" s="811" t="s">
        <v>1938</v>
      </c>
      <c r="S7" s="809" t="s">
        <v>728</v>
      </c>
      <c r="T7" s="811" t="s">
        <v>5177</v>
      </c>
      <c r="U7" s="841" t="s">
        <v>6753</v>
      </c>
      <c r="V7" s="809" t="s">
        <v>6754</v>
      </c>
      <c r="W7" s="766"/>
      <c r="X7" s="813" t="s">
        <v>833</v>
      </c>
      <c r="Y7" s="772" t="s">
        <v>6755</v>
      </c>
      <c r="Z7" s="773" t="s">
        <v>6756</v>
      </c>
      <c r="AA7" s="773" t="s">
        <v>6757</v>
      </c>
      <c r="AB7" s="861" t="s">
        <v>4377</v>
      </c>
      <c r="AC7" s="773" t="s">
        <v>5908</v>
      </c>
      <c r="AD7" s="773" t="s">
        <v>131</v>
      </c>
      <c r="AE7" s="773" t="s">
        <v>6758</v>
      </c>
      <c r="AF7" s="774"/>
      <c r="AG7" s="846" t="s">
        <v>6759</v>
      </c>
      <c r="AH7" s="862" t="s">
        <v>6760</v>
      </c>
      <c r="AI7" s="766"/>
      <c r="AJ7" s="863"/>
      <c r="AK7" s="848" t="s">
        <v>102</v>
      </c>
      <c r="AL7" s="849" t="s">
        <v>6761</v>
      </c>
      <c r="AM7" s="819" t="s">
        <v>2230</v>
      </c>
      <c r="AN7" s="814" t="s">
        <v>4619</v>
      </c>
      <c r="AO7" s="814" t="s">
        <v>6762</v>
      </c>
      <c r="AP7" s="819" t="s">
        <v>6763</v>
      </c>
      <c r="AQ7" s="814" t="s">
        <v>6764</v>
      </c>
      <c r="AR7" s="819" t="s">
        <v>6765</v>
      </c>
      <c r="AS7" s="819" t="s">
        <v>2794</v>
      </c>
      <c r="AT7" s="848" t="s">
        <v>6766</v>
      </c>
      <c r="AU7" s="816" t="s">
        <v>6767</v>
      </c>
      <c r="AV7" s="849" t="s">
        <v>6768</v>
      </c>
      <c r="AW7" s="819" t="s">
        <v>2546</v>
      </c>
      <c r="AX7" s="848" t="s">
        <v>5299</v>
      </c>
      <c r="AY7" s="848" t="s">
        <v>6769</v>
      </c>
      <c r="AZ7" s="781"/>
      <c r="BA7" s="823" t="s">
        <v>6770</v>
      </c>
      <c r="BB7" s="864" t="s">
        <v>6771</v>
      </c>
      <c r="BC7" s="865" t="s">
        <v>3282</v>
      </c>
      <c r="BD7" s="866"/>
      <c r="BE7" s="822" t="s">
        <v>6772</v>
      </c>
      <c r="BF7" s="781"/>
      <c r="BG7" s="867" t="s">
        <v>6773</v>
      </c>
      <c r="BH7" s="868" t="s">
        <v>3553</v>
      </c>
      <c r="BI7" s="824" t="s">
        <v>612</v>
      </c>
      <c r="BJ7" s="825" t="s">
        <v>6774</v>
      </c>
      <c r="BK7" s="824" t="s">
        <v>6775</v>
      </c>
      <c r="BL7" s="824" t="s">
        <v>6776</v>
      </c>
      <c r="BM7" s="824" t="s">
        <v>6777</v>
      </c>
      <c r="BN7" s="766"/>
      <c r="BO7" s="831" t="s">
        <v>2464</v>
      </c>
      <c r="BP7" s="832" t="s">
        <v>5797</v>
      </c>
      <c r="BQ7" s="831" t="s">
        <v>3593</v>
      </c>
      <c r="BR7" s="831" t="s">
        <v>3918</v>
      </c>
      <c r="BS7" s="831" t="s">
        <v>816</v>
      </c>
      <c r="BT7" s="831" t="s">
        <v>1372</v>
      </c>
      <c r="BU7" s="854" t="s">
        <v>3918</v>
      </c>
      <c r="BV7" s="869" t="s">
        <v>6778</v>
      </c>
      <c r="BW7" s="831" t="s">
        <v>6779</v>
      </c>
      <c r="BX7" s="766"/>
      <c r="BY7" s="855" t="s">
        <v>6780</v>
      </c>
      <c r="BZ7" s="870" t="s">
        <v>6386</v>
      </c>
      <c r="CA7" s="870" t="s">
        <v>2346</v>
      </c>
      <c r="CB7" s="871" t="s">
        <v>3457</v>
      </c>
      <c r="CC7" s="872"/>
      <c r="CD7" s="873"/>
      <c r="CE7" s="855" t="s">
        <v>2752</v>
      </c>
      <c r="CF7" s="855" t="s">
        <v>6781</v>
      </c>
      <c r="CG7" s="855" t="s">
        <v>6782</v>
      </c>
      <c r="CH7" s="855" t="s">
        <v>2245</v>
      </c>
      <c r="CI7" s="855" t="s">
        <v>6783</v>
      </c>
      <c r="CJ7" s="870" t="s">
        <v>2779</v>
      </c>
      <c r="CK7" s="871"/>
    </row>
    <row r="8">
      <c r="A8" s="874" t="s">
        <v>1553</v>
      </c>
      <c r="B8" s="760" t="s">
        <v>6784</v>
      </c>
      <c r="C8" s="756" t="s">
        <v>649</v>
      </c>
      <c r="D8" s="757" t="s">
        <v>648</v>
      </c>
      <c r="E8" s="758" t="s">
        <v>334</v>
      </c>
      <c r="F8" s="759" t="s">
        <v>2931</v>
      </c>
      <c r="G8" s="760" t="s">
        <v>5876</v>
      </c>
      <c r="H8" s="805" t="s">
        <v>1295</v>
      </c>
      <c r="I8" s="875" t="s">
        <v>6785</v>
      </c>
      <c r="J8" s="803"/>
      <c r="K8" s="804" t="s">
        <v>6786</v>
      </c>
      <c r="L8" s="875" t="s">
        <v>6787</v>
      </c>
      <c r="M8" s="803"/>
      <c r="N8" s="840" t="s">
        <v>6788</v>
      </c>
      <c r="O8" s="803"/>
      <c r="P8" s="766"/>
      <c r="Q8" s="807" t="s">
        <v>4159</v>
      </c>
      <c r="R8" s="842" t="s">
        <v>3173</v>
      </c>
      <c r="S8" s="843" t="s">
        <v>5917</v>
      </c>
      <c r="T8" s="876" t="s">
        <v>5383</v>
      </c>
      <c r="U8" s="876" t="s">
        <v>6789</v>
      </c>
      <c r="V8" s="841" t="s">
        <v>6790</v>
      </c>
      <c r="W8" s="766"/>
      <c r="X8" s="844" t="s">
        <v>912</v>
      </c>
      <c r="Y8" s="844" t="s">
        <v>6791</v>
      </c>
      <c r="Z8" s="773" t="s">
        <v>6792</v>
      </c>
      <c r="AA8" s="861" t="s">
        <v>6793</v>
      </c>
      <c r="AB8" s="812" t="s">
        <v>4954</v>
      </c>
      <c r="AC8" s="812" t="s">
        <v>5126</v>
      </c>
      <c r="AD8" s="844" t="s">
        <v>4959</v>
      </c>
      <c r="AE8" s="812" t="s">
        <v>6794</v>
      </c>
      <c r="AF8" s="812"/>
      <c r="AG8" s="877"/>
      <c r="AH8" s="878" t="s">
        <v>6795</v>
      </c>
      <c r="AI8" s="766"/>
      <c r="AJ8" s="814"/>
      <c r="AK8" s="814" t="s">
        <v>6796</v>
      </c>
      <c r="AL8" s="814" t="s">
        <v>5504</v>
      </c>
      <c r="AM8" s="814" t="s">
        <v>563</v>
      </c>
      <c r="AN8" s="819" t="s">
        <v>6797</v>
      </c>
      <c r="AO8" s="815"/>
      <c r="AP8" s="819" t="s">
        <v>6798</v>
      </c>
      <c r="AQ8" s="879" t="s">
        <v>5061</v>
      </c>
      <c r="AR8" s="814" t="s">
        <v>6799</v>
      </c>
      <c r="AS8" s="848" t="s">
        <v>6800</v>
      </c>
      <c r="AT8" s="815"/>
      <c r="AU8" s="814" t="s">
        <v>6801</v>
      </c>
      <c r="AV8" s="815"/>
      <c r="AW8" s="814" t="s">
        <v>474</v>
      </c>
      <c r="AX8" s="819" t="s">
        <v>6802</v>
      </c>
      <c r="AY8" s="819" t="s">
        <v>6803</v>
      </c>
      <c r="AZ8" s="781"/>
      <c r="BA8" s="821" t="s">
        <v>6804</v>
      </c>
      <c r="BB8" s="822" t="s">
        <v>6805</v>
      </c>
      <c r="BC8" s="880" t="s">
        <v>3552</v>
      </c>
      <c r="BD8" s="850"/>
      <c r="BE8" s="851" t="s">
        <v>6806</v>
      </c>
      <c r="BF8" s="781"/>
      <c r="BG8" s="824" t="s">
        <v>3231</v>
      </c>
      <c r="BH8" s="824" t="s">
        <v>6807</v>
      </c>
      <c r="BI8" s="825" t="s">
        <v>771</v>
      </c>
      <c r="BJ8" s="827"/>
      <c r="BK8" s="824" t="s">
        <v>6808</v>
      </c>
      <c r="BL8" s="826" t="s">
        <v>6809</v>
      </c>
      <c r="BM8" s="881" t="s">
        <v>6810</v>
      </c>
      <c r="BN8" s="766"/>
      <c r="BO8" s="830" t="s">
        <v>6811</v>
      </c>
      <c r="BP8" s="882"/>
      <c r="BQ8" s="830" t="s">
        <v>6812</v>
      </c>
      <c r="BR8" s="883" t="s">
        <v>6813</v>
      </c>
      <c r="BS8" s="832" t="s">
        <v>6814</v>
      </c>
      <c r="BT8" s="830" t="s">
        <v>6815</v>
      </c>
      <c r="BU8" s="883" t="s">
        <v>6804</v>
      </c>
      <c r="BV8" s="831" t="s">
        <v>6816</v>
      </c>
      <c r="BW8" s="869" t="s">
        <v>6817</v>
      </c>
      <c r="BX8" s="766"/>
      <c r="BY8" s="834" t="s">
        <v>6818</v>
      </c>
      <c r="BZ8" s="834" t="s">
        <v>2645</v>
      </c>
      <c r="CA8" s="835"/>
      <c r="CB8" s="884" t="s">
        <v>2403</v>
      </c>
      <c r="CC8" s="834"/>
      <c r="CD8" s="834" t="s">
        <v>2948</v>
      </c>
      <c r="CE8" s="870" t="s">
        <v>6819</v>
      </c>
      <c r="CF8" s="871" t="s">
        <v>6820</v>
      </c>
      <c r="CG8" s="871" t="s">
        <v>5734</v>
      </c>
      <c r="CH8" s="885" t="s">
        <v>6821</v>
      </c>
      <c r="CI8" s="871" t="s">
        <v>3641</v>
      </c>
      <c r="CJ8" s="871" t="s">
        <v>5039</v>
      </c>
      <c r="CK8" s="856"/>
    </row>
    <row r="9">
      <c r="A9" s="886" t="s">
        <v>827</v>
      </c>
      <c r="B9" s="760" t="s">
        <v>6822</v>
      </c>
      <c r="C9" s="756" t="s">
        <v>648</v>
      </c>
      <c r="D9" s="757" t="s">
        <v>983</v>
      </c>
      <c r="E9" s="758" t="s">
        <v>334</v>
      </c>
      <c r="F9" s="759" t="s">
        <v>6234</v>
      </c>
      <c r="G9" s="760" t="s">
        <v>2988</v>
      </c>
      <c r="H9" s="803"/>
      <c r="I9" s="859" t="s">
        <v>6823</v>
      </c>
      <c r="J9" s="804" t="s">
        <v>6824</v>
      </c>
      <c r="K9" s="804"/>
      <c r="L9" s="840" t="s">
        <v>6825</v>
      </c>
      <c r="M9" s="803"/>
      <c r="N9" s="838" t="s">
        <v>6826</v>
      </c>
      <c r="O9" s="803"/>
      <c r="P9" s="766"/>
      <c r="Q9" s="842" t="s">
        <v>6827</v>
      </c>
      <c r="R9" s="887" t="s">
        <v>2121</v>
      </c>
      <c r="S9" s="808"/>
      <c r="T9" s="808"/>
      <c r="U9" s="842" t="s">
        <v>6828</v>
      </c>
      <c r="V9" s="809" t="s">
        <v>6829</v>
      </c>
      <c r="W9" s="766"/>
      <c r="X9" s="772" t="s">
        <v>6830</v>
      </c>
      <c r="Y9" s="812"/>
      <c r="Z9" s="812" t="s">
        <v>6831</v>
      </c>
      <c r="AA9" s="888" t="s">
        <v>6832</v>
      </c>
      <c r="AB9" s="812"/>
      <c r="AC9" s="812" t="s">
        <v>6833</v>
      </c>
      <c r="AD9" s="771" t="s">
        <v>1215</v>
      </c>
      <c r="AE9" s="877"/>
      <c r="AF9" s="877"/>
      <c r="AG9" s="812" t="s">
        <v>6834</v>
      </c>
      <c r="AH9" s="775"/>
      <c r="AI9" s="766"/>
      <c r="AJ9" s="815"/>
      <c r="AK9" s="815"/>
      <c r="AL9" s="815"/>
      <c r="AM9" s="849" t="s">
        <v>5684</v>
      </c>
      <c r="AN9" s="815"/>
      <c r="AO9" s="848" t="s">
        <v>2060</v>
      </c>
      <c r="AP9" s="849" t="s">
        <v>6835</v>
      </c>
      <c r="AQ9" s="816" t="s">
        <v>6836</v>
      </c>
      <c r="AR9" s="815"/>
      <c r="AS9" s="815"/>
      <c r="AT9" s="815"/>
      <c r="AU9" s="815"/>
      <c r="AV9" s="815"/>
      <c r="AW9" s="816" t="s">
        <v>6837</v>
      </c>
      <c r="AX9" s="815"/>
      <c r="AY9" s="815"/>
      <c r="AZ9" s="781"/>
      <c r="BA9" s="889"/>
      <c r="BB9" s="889"/>
      <c r="BC9" s="864" t="s">
        <v>6838</v>
      </c>
      <c r="BD9" s="850"/>
      <c r="BE9" s="851" t="s">
        <v>6839</v>
      </c>
      <c r="BF9" s="781"/>
      <c r="BG9" s="826" t="s">
        <v>6840</v>
      </c>
      <c r="BH9" s="890" t="s">
        <v>6841</v>
      </c>
      <c r="BI9" s="826" t="s">
        <v>327</v>
      </c>
      <c r="BJ9" s="827"/>
      <c r="BK9" s="827"/>
      <c r="BL9" s="827"/>
      <c r="BM9" s="825" t="s">
        <v>6842</v>
      </c>
      <c r="BN9" s="766"/>
      <c r="BO9" s="854" t="s">
        <v>6843</v>
      </c>
      <c r="BP9" s="882"/>
      <c r="BQ9" s="830" t="s">
        <v>6844</v>
      </c>
      <c r="BR9" s="829"/>
      <c r="BS9" s="829"/>
      <c r="BT9" s="869" t="s">
        <v>139</v>
      </c>
      <c r="BU9" s="829"/>
      <c r="BV9" s="830" t="s">
        <v>4055</v>
      </c>
      <c r="BW9" s="830" t="s">
        <v>6845</v>
      </c>
      <c r="BX9" s="766"/>
      <c r="BY9" s="834" t="s">
        <v>6846</v>
      </c>
      <c r="BZ9" s="885" t="s">
        <v>6847</v>
      </c>
      <c r="CA9" s="835"/>
      <c r="CB9" s="856"/>
      <c r="CC9" s="835"/>
      <c r="CD9" s="835"/>
      <c r="CE9" s="835"/>
      <c r="CF9" s="835"/>
      <c r="CG9" s="835"/>
      <c r="CH9" s="835"/>
      <c r="CI9" s="835"/>
      <c r="CJ9" s="856"/>
      <c r="CK9" s="856"/>
    </row>
    <row r="10">
      <c r="A10" s="837" t="s">
        <v>1416</v>
      </c>
      <c r="B10" s="760" t="s">
        <v>6848</v>
      </c>
      <c r="C10" s="756" t="s">
        <v>1258</v>
      </c>
      <c r="D10" s="757" t="s">
        <v>334</v>
      </c>
      <c r="E10" s="758" t="s">
        <v>440</v>
      </c>
      <c r="F10" s="759" t="s">
        <v>221</v>
      </c>
      <c r="G10" s="760" t="s">
        <v>1726</v>
      </c>
      <c r="H10" s="803"/>
      <c r="I10" s="805" t="s">
        <v>6849</v>
      </c>
      <c r="J10" s="839"/>
      <c r="K10" s="840" t="s">
        <v>6850</v>
      </c>
      <c r="L10" s="859" t="s">
        <v>3125</v>
      </c>
      <c r="M10" s="803"/>
      <c r="N10" s="803"/>
      <c r="O10" s="875" t="s">
        <v>6851</v>
      </c>
      <c r="P10" s="766"/>
      <c r="Q10" s="811" t="s">
        <v>6852</v>
      </c>
      <c r="R10" s="808"/>
      <c r="S10" s="808"/>
      <c r="T10" s="891" t="s">
        <v>5883</v>
      </c>
      <c r="U10" s="807"/>
      <c r="V10" s="876" t="s">
        <v>6853</v>
      </c>
      <c r="W10" s="766"/>
      <c r="X10" s="773" t="s">
        <v>592</v>
      </c>
      <c r="Y10" s="892" t="s">
        <v>6854</v>
      </c>
      <c r="Z10" s="844" t="s">
        <v>6855</v>
      </c>
      <c r="AA10" s="844" t="s">
        <v>5495</v>
      </c>
      <c r="AB10" s="773" t="s">
        <v>2350</v>
      </c>
      <c r="AC10" s="844" t="s">
        <v>6856</v>
      </c>
      <c r="AD10" s="893" t="s">
        <v>2417</v>
      </c>
      <c r="AE10" s="773" t="s">
        <v>1091</v>
      </c>
      <c r="AF10" s="845"/>
      <c r="AG10" s="813" t="s">
        <v>6857</v>
      </c>
      <c r="AH10" s="894" t="s">
        <v>6858</v>
      </c>
      <c r="AI10" s="776"/>
      <c r="AJ10" s="815"/>
      <c r="AK10" s="847" t="s">
        <v>6859</v>
      </c>
      <c r="AL10" s="848" t="s">
        <v>6032</v>
      </c>
      <c r="AM10" s="819" t="s">
        <v>660</v>
      </c>
      <c r="AN10" s="895"/>
      <c r="AO10" s="819" t="s">
        <v>5870</v>
      </c>
      <c r="AP10" s="847" t="s">
        <v>6860</v>
      </c>
      <c r="AQ10" s="896" t="s">
        <v>5895</v>
      </c>
      <c r="AR10" s="815"/>
      <c r="AS10" s="815"/>
      <c r="AT10" s="815"/>
      <c r="AU10" s="815"/>
      <c r="AV10" s="847" t="s">
        <v>6861</v>
      </c>
      <c r="AW10" s="847" t="s">
        <v>961</v>
      </c>
      <c r="AX10" s="879" t="s">
        <v>6862</v>
      </c>
      <c r="AY10" s="879" t="s">
        <v>6863</v>
      </c>
      <c r="AZ10" s="781"/>
      <c r="BA10" s="889"/>
      <c r="BB10" s="897" t="s">
        <v>6864</v>
      </c>
      <c r="BC10" s="822" t="s">
        <v>5273</v>
      </c>
      <c r="BD10" s="850"/>
      <c r="BE10" s="822" t="s">
        <v>6865</v>
      </c>
      <c r="BF10" s="781"/>
      <c r="BG10" s="824" t="s">
        <v>6866</v>
      </c>
      <c r="BH10" s="898" t="s">
        <v>4731</v>
      </c>
      <c r="BI10" s="827"/>
      <c r="BJ10" s="827"/>
      <c r="BK10" s="827"/>
      <c r="BL10" s="827"/>
      <c r="BM10" s="899" t="s">
        <v>6867</v>
      </c>
      <c r="BN10" s="776"/>
      <c r="BO10" s="831" t="s">
        <v>6868</v>
      </c>
      <c r="BP10" s="882"/>
      <c r="BQ10" s="829"/>
      <c r="BR10" s="854" t="s">
        <v>6869</v>
      </c>
      <c r="BS10" s="829"/>
      <c r="BT10" s="882" t="s">
        <v>298</v>
      </c>
      <c r="BU10" s="829"/>
      <c r="BV10" s="882" t="s">
        <v>6870</v>
      </c>
      <c r="BW10" s="831" t="s">
        <v>6871</v>
      </c>
      <c r="BX10" s="776"/>
      <c r="BY10" s="900"/>
      <c r="BZ10" s="855" t="s">
        <v>725</v>
      </c>
      <c r="CA10" s="835"/>
      <c r="CB10" s="856"/>
      <c r="CC10" s="835"/>
      <c r="CD10" s="871" t="s">
        <v>4334</v>
      </c>
      <c r="CE10" s="835"/>
      <c r="CF10" s="870" t="s">
        <v>6872</v>
      </c>
      <c r="CG10" s="884" t="s">
        <v>2633</v>
      </c>
      <c r="CH10" s="835"/>
      <c r="CI10" s="835"/>
      <c r="CJ10" s="856"/>
      <c r="CK10" s="856"/>
    </row>
    <row r="11">
      <c r="A11" s="837" t="s">
        <v>332</v>
      </c>
      <c r="B11" s="760" t="s">
        <v>6873</v>
      </c>
      <c r="C11" s="756" t="s">
        <v>334</v>
      </c>
      <c r="D11" s="757" t="s">
        <v>336</v>
      </c>
      <c r="E11" s="758" t="s">
        <v>1200</v>
      </c>
      <c r="F11" s="759" t="s">
        <v>3967</v>
      </c>
      <c r="G11" s="760" t="s">
        <v>1501</v>
      </c>
      <c r="H11" s="901" t="s">
        <v>2923</v>
      </c>
      <c r="I11" s="840" t="s">
        <v>6874</v>
      </c>
      <c r="J11" s="840" t="s">
        <v>6875</v>
      </c>
      <c r="K11" s="805" t="s">
        <v>714</v>
      </c>
      <c r="L11" s="902" t="s">
        <v>6876</v>
      </c>
      <c r="M11" s="803"/>
      <c r="N11" s="803"/>
      <c r="O11" s="875" t="s">
        <v>6877</v>
      </c>
      <c r="P11" s="766"/>
      <c r="Q11" s="811" t="s">
        <v>6878</v>
      </c>
      <c r="R11" s="808"/>
      <c r="S11" s="808"/>
      <c r="T11" s="841" t="s">
        <v>5346</v>
      </c>
      <c r="U11" s="807"/>
      <c r="V11" s="876" t="s">
        <v>6879</v>
      </c>
      <c r="W11" s="766"/>
      <c r="X11" s="877"/>
      <c r="Y11" s="844" t="s">
        <v>6880</v>
      </c>
      <c r="Z11" s="892" t="s">
        <v>6876</v>
      </c>
      <c r="AA11" s="892" t="s">
        <v>6881</v>
      </c>
      <c r="AB11" s="771" t="s">
        <v>3430</v>
      </c>
      <c r="AC11" s="844" t="s">
        <v>2894</v>
      </c>
      <c r="AD11" s="773" t="s">
        <v>2395</v>
      </c>
      <c r="AE11" s="772" t="s">
        <v>1249</v>
      </c>
      <c r="AF11" s="845"/>
      <c r="AG11" s="892" t="s">
        <v>6882</v>
      </c>
      <c r="AH11" s="775"/>
      <c r="AI11" s="766"/>
      <c r="AJ11" s="903"/>
      <c r="AK11" s="819" t="s">
        <v>6883</v>
      </c>
      <c r="AL11" s="815"/>
      <c r="AM11" s="904"/>
      <c r="AN11" s="904" t="s">
        <v>6884</v>
      </c>
      <c r="AO11" s="905" t="s">
        <v>4844</v>
      </c>
      <c r="AP11" s="906" t="s">
        <v>6885</v>
      </c>
      <c r="AQ11" s="906" t="s">
        <v>6886</v>
      </c>
      <c r="AR11" s="907"/>
      <c r="AS11" s="816" t="s">
        <v>6716</v>
      </c>
      <c r="AT11" s="904"/>
      <c r="AU11" s="895"/>
      <c r="AV11" s="816" t="s">
        <v>6887</v>
      </c>
      <c r="AW11" s="848" t="s">
        <v>6888</v>
      </c>
      <c r="AX11" s="879" t="s">
        <v>6889</v>
      </c>
      <c r="AY11" s="879" t="s">
        <v>6890</v>
      </c>
      <c r="AZ11" s="781"/>
      <c r="BA11" s="820"/>
      <c r="BB11" s="823" t="s">
        <v>6891</v>
      </c>
      <c r="BC11" s="822" t="s">
        <v>3753</v>
      </c>
      <c r="BD11" s="850"/>
      <c r="BE11" s="897" t="s">
        <v>6892</v>
      </c>
      <c r="BF11" s="781"/>
      <c r="BG11" s="908" t="s">
        <v>6893</v>
      </c>
      <c r="BH11" s="908" t="s">
        <v>5446</v>
      </c>
      <c r="BI11" s="825"/>
      <c r="BJ11" s="825"/>
      <c r="BK11" s="909" t="s">
        <v>6894</v>
      </c>
      <c r="BL11" s="827"/>
      <c r="BM11" s="909" t="s">
        <v>6895</v>
      </c>
      <c r="BN11" s="766"/>
      <c r="BO11" s="869" t="s">
        <v>6896</v>
      </c>
      <c r="BP11" s="882"/>
      <c r="BQ11" s="869" t="s">
        <v>696</v>
      </c>
      <c r="BR11" s="883" t="s">
        <v>6897</v>
      </c>
      <c r="BS11" s="829"/>
      <c r="BT11" s="831" t="s">
        <v>1930</v>
      </c>
      <c r="BU11" s="829"/>
      <c r="BV11" s="882" t="s">
        <v>6898</v>
      </c>
      <c r="BW11" s="910" t="s">
        <v>6899</v>
      </c>
      <c r="BX11" s="776"/>
      <c r="BY11" s="884" t="s">
        <v>4498</v>
      </c>
      <c r="BZ11" s="835"/>
      <c r="CA11" s="872"/>
      <c r="CB11" s="885" t="s">
        <v>2838</v>
      </c>
      <c r="CC11" s="900"/>
      <c r="CD11" s="884" t="s">
        <v>1172</v>
      </c>
      <c r="CE11" s="835"/>
      <c r="CF11" s="884" t="s">
        <v>6900</v>
      </c>
      <c r="CG11" s="835"/>
      <c r="CH11" s="871" t="s">
        <v>4852</v>
      </c>
      <c r="CI11" s="835"/>
      <c r="CJ11" s="856"/>
      <c r="CK11" s="856"/>
    </row>
    <row r="12">
      <c r="A12" s="802" t="s">
        <v>2372</v>
      </c>
      <c r="B12" s="760" t="s">
        <v>6873</v>
      </c>
      <c r="C12" s="756" t="s">
        <v>548</v>
      </c>
      <c r="D12" s="757" t="s">
        <v>334</v>
      </c>
      <c r="E12" s="758" t="s">
        <v>440</v>
      </c>
      <c r="F12" s="759" t="s">
        <v>2105</v>
      </c>
      <c r="G12" s="760" t="s">
        <v>2105</v>
      </c>
      <c r="H12" s="805" t="s">
        <v>1207</v>
      </c>
      <c r="I12" s="805" t="s">
        <v>6901</v>
      </c>
      <c r="J12" s="805" t="s">
        <v>3721</v>
      </c>
      <c r="K12" s="805" t="s">
        <v>2030</v>
      </c>
      <c r="L12" s="803"/>
      <c r="M12" s="803"/>
      <c r="N12" s="803"/>
      <c r="O12" s="859" t="s">
        <v>6902</v>
      </c>
      <c r="P12" s="766"/>
      <c r="Q12" s="811" t="s">
        <v>6903</v>
      </c>
      <c r="R12" s="808"/>
      <c r="S12" s="841" t="s">
        <v>6904</v>
      </c>
      <c r="T12" s="811" t="s">
        <v>5216</v>
      </c>
      <c r="U12" s="811" t="s">
        <v>3600</v>
      </c>
      <c r="V12" s="811" t="s">
        <v>6905</v>
      </c>
      <c r="W12" s="766"/>
      <c r="X12" s="773" t="s">
        <v>2711</v>
      </c>
      <c r="Y12" s="813" t="s">
        <v>6906</v>
      </c>
      <c r="Z12" s="773" t="s">
        <v>6907</v>
      </c>
      <c r="AA12" s="773" t="s">
        <v>6757</v>
      </c>
      <c r="AB12" s="773" t="s">
        <v>6398</v>
      </c>
      <c r="AC12" s="773" t="s">
        <v>6908</v>
      </c>
      <c r="AD12" s="773" t="s">
        <v>1057</v>
      </c>
      <c r="AE12" s="773" t="s">
        <v>6909</v>
      </c>
      <c r="AF12" s="845"/>
      <c r="AG12" s="773" t="s">
        <v>6910</v>
      </c>
      <c r="AH12" s="775"/>
      <c r="AI12" s="766"/>
      <c r="AJ12" s="903"/>
      <c r="AK12" s="849" t="s">
        <v>2090</v>
      </c>
      <c r="AL12" s="815"/>
      <c r="AM12" s="819" t="s">
        <v>4235</v>
      </c>
      <c r="AN12" s="815"/>
      <c r="AO12" s="815"/>
      <c r="AP12" s="819" t="s">
        <v>3554</v>
      </c>
      <c r="AQ12" s="815"/>
      <c r="AR12" s="849" t="s">
        <v>6911</v>
      </c>
      <c r="AS12" s="819" t="s">
        <v>6912</v>
      </c>
      <c r="AT12" s="815"/>
      <c r="AU12" s="848" t="s">
        <v>6913</v>
      </c>
      <c r="AV12" s="815"/>
      <c r="AW12" s="819" t="s">
        <v>5410</v>
      </c>
      <c r="AX12" s="819" t="s">
        <v>4812</v>
      </c>
      <c r="AY12" s="819" t="s">
        <v>6914</v>
      </c>
      <c r="AZ12" s="781"/>
      <c r="BA12" s="822" t="s">
        <v>6915</v>
      </c>
      <c r="BB12" s="822" t="s">
        <v>6916</v>
      </c>
      <c r="BC12" s="822" t="s">
        <v>5335</v>
      </c>
      <c r="BD12" s="850"/>
      <c r="BE12" s="822" t="s">
        <v>6917</v>
      </c>
      <c r="BF12" s="781"/>
      <c r="BG12" s="824" t="s">
        <v>6918</v>
      </c>
      <c r="BH12" s="824" t="s">
        <v>3329</v>
      </c>
      <c r="BI12" s="824" t="s">
        <v>2215</v>
      </c>
      <c r="BJ12" s="890" t="s">
        <v>6919</v>
      </c>
      <c r="BK12" s="824" t="s">
        <v>2689</v>
      </c>
      <c r="BL12" s="827"/>
      <c r="BM12" s="824" t="s">
        <v>6920</v>
      </c>
      <c r="BN12" s="766"/>
      <c r="BO12" s="829"/>
      <c r="BP12" s="882"/>
      <c r="BQ12" s="831" t="s">
        <v>2662</v>
      </c>
      <c r="BR12" s="831" t="s">
        <v>6921</v>
      </c>
      <c r="BS12" s="829"/>
      <c r="BT12" s="831" t="s">
        <v>1787</v>
      </c>
      <c r="BU12" s="829"/>
      <c r="BV12" s="831" t="s">
        <v>6922</v>
      </c>
      <c r="BW12" s="831" t="s">
        <v>6221</v>
      </c>
      <c r="BX12" s="766"/>
      <c r="BY12" s="855" t="s">
        <v>6735</v>
      </c>
      <c r="BZ12" s="855" t="s">
        <v>2715</v>
      </c>
      <c r="CA12" s="871" t="s">
        <v>6923</v>
      </c>
      <c r="CB12" s="856"/>
      <c r="CC12" s="835"/>
      <c r="CD12" s="871" t="s">
        <v>4334</v>
      </c>
      <c r="CE12" s="855" t="s">
        <v>6924</v>
      </c>
      <c r="CF12" s="855" t="s">
        <v>5337</v>
      </c>
      <c r="CG12" s="870" t="s">
        <v>6925</v>
      </c>
      <c r="CH12" s="835"/>
      <c r="CI12" s="870" t="s">
        <v>4807</v>
      </c>
      <c r="CJ12" s="856"/>
      <c r="CK12" s="856"/>
    </row>
    <row r="13">
      <c r="A13" s="911" t="s">
        <v>1058</v>
      </c>
      <c r="B13" s="760" t="s">
        <v>6926</v>
      </c>
      <c r="C13" s="756" t="s">
        <v>222</v>
      </c>
      <c r="D13" s="757" t="s">
        <v>336</v>
      </c>
      <c r="E13" s="758" t="s">
        <v>649</v>
      </c>
      <c r="F13" s="759" t="s">
        <v>3967</v>
      </c>
      <c r="G13" s="760" t="s">
        <v>6266</v>
      </c>
      <c r="H13" s="838" t="s">
        <v>4811</v>
      </c>
      <c r="I13" s="803"/>
      <c r="J13" s="859" t="s">
        <v>6927</v>
      </c>
      <c r="K13" s="859" t="s">
        <v>6368</v>
      </c>
      <c r="L13" s="803"/>
      <c r="M13" s="803"/>
      <c r="N13" s="803"/>
      <c r="O13" s="804" t="s">
        <v>6928</v>
      </c>
      <c r="P13" s="766"/>
      <c r="Q13" s="808"/>
      <c r="R13" s="809" t="s">
        <v>405</v>
      </c>
      <c r="S13" s="808"/>
      <c r="T13" s="887" t="s">
        <v>4862</v>
      </c>
      <c r="U13" s="887" t="s">
        <v>1186</v>
      </c>
      <c r="V13" s="808"/>
      <c r="W13" s="766"/>
      <c r="X13" s="812" t="s">
        <v>381</v>
      </c>
      <c r="Y13" s="877"/>
      <c r="Z13" s="813" t="s">
        <v>3295</v>
      </c>
      <c r="AA13" s="772" t="s">
        <v>6929</v>
      </c>
      <c r="AB13" s="812" t="s">
        <v>505</v>
      </c>
      <c r="AC13" s="846" t="s">
        <v>1121</v>
      </c>
      <c r="AD13" s="772" t="s">
        <v>1789</v>
      </c>
      <c r="AE13" s="844" t="s">
        <v>5701</v>
      </c>
      <c r="AF13" s="812"/>
      <c r="AG13" s="812" t="s">
        <v>6930</v>
      </c>
      <c r="AH13" s="775"/>
      <c r="AI13" s="766"/>
      <c r="AJ13" s="815"/>
      <c r="AK13" s="815"/>
      <c r="AL13" s="815"/>
      <c r="AM13" s="814" t="s">
        <v>5162</v>
      </c>
      <c r="AN13" s="816" t="s">
        <v>4073</v>
      </c>
      <c r="AO13" s="815"/>
      <c r="AP13" s="815"/>
      <c r="AQ13" s="815"/>
      <c r="AR13" s="816" t="s">
        <v>6931</v>
      </c>
      <c r="AS13" s="815"/>
      <c r="AT13" s="849" t="s">
        <v>6932</v>
      </c>
      <c r="AU13" s="815"/>
      <c r="AV13" s="815"/>
      <c r="AW13" s="849" t="s">
        <v>1039</v>
      </c>
      <c r="AX13" s="849" t="s">
        <v>6933</v>
      </c>
      <c r="AY13" s="849" t="s">
        <v>966</v>
      </c>
      <c r="AZ13" s="781"/>
      <c r="BA13" s="889"/>
      <c r="BB13" s="851"/>
      <c r="BC13" s="821" t="s">
        <v>4541</v>
      </c>
      <c r="BD13" s="820"/>
      <c r="BE13" s="851"/>
      <c r="BF13" s="781"/>
      <c r="BG13" s="827"/>
      <c r="BH13" s="827"/>
      <c r="BI13" s="890" t="s">
        <v>6934</v>
      </c>
      <c r="BJ13" s="827"/>
      <c r="BK13" s="827"/>
      <c r="BL13" s="827"/>
      <c r="BM13" s="827"/>
      <c r="BN13" s="766"/>
      <c r="BO13" s="830"/>
      <c r="BP13" s="882"/>
      <c r="BQ13" s="832" t="s">
        <v>5033</v>
      </c>
      <c r="BR13" s="829"/>
      <c r="BS13" s="829"/>
      <c r="BT13" s="832" t="s">
        <v>6935</v>
      </c>
      <c r="BU13" s="829"/>
      <c r="BV13" s="883" t="s">
        <v>6936</v>
      </c>
      <c r="BW13" s="831" t="s">
        <v>6937</v>
      </c>
      <c r="BX13" s="766"/>
      <c r="BY13" s="885" t="s">
        <v>3456</v>
      </c>
      <c r="BZ13" s="885" t="s">
        <v>6847</v>
      </c>
      <c r="CA13" s="835"/>
      <c r="CB13" s="856"/>
      <c r="CC13" s="835"/>
      <c r="CD13" s="835"/>
      <c r="CE13" s="835"/>
      <c r="CF13" s="835"/>
      <c r="CG13" s="885" t="s">
        <v>6938</v>
      </c>
      <c r="CH13" s="835"/>
      <c r="CI13" s="835"/>
      <c r="CJ13" s="856"/>
      <c r="CK13" s="856"/>
    </row>
    <row r="14">
      <c r="A14" s="802" t="s">
        <v>2024</v>
      </c>
      <c r="B14" s="760" t="s">
        <v>6939</v>
      </c>
      <c r="C14" s="756" t="s">
        <v>1258</v>
      </c>
      <c r="D14" s="757" t="s">
        <v>649</v>
      </c>
      <c r="E14" s="758" t="s">
        <v>649</v>
      </c>
      <c r="F14" s="759" t="s">
        <v>2865</v>
      </c>
      <c r="G14" s="760" t="s">
        <v>6940</v>
      </c>
      <c r="H14" s="803"/>
      <c r="I14" s="804" t="s">
        <v>6941</v>
      </c>
      <c r="J14" s="804"/>
      <c r="K14" s="805" t="s">
        <v>1697</v>
      </c>
      <c r="L14" s="804"/>
      <c r="M14" s="804"/>
      <c r="N14" s="803"/>
      <c r="O14" s="805" t="s">
        <v>6942</v>
      </c>
      <c r="P14" s="766"/>
      <c r="Q14" s="808"/>
      <c r="R14" s="810"/>
      <c r="S14" s="811" t="s">
        <v>6943</v>
      </c>
      <c r="T14" s="808"/>
      <c r="U14" s="808"/>
      <c r="V14" s="811" t="s">
        <v>6944</v>
      </c>
      <c r="W14" s="766"/>
      <c r="X14" s="771" t="s">
        <v>1375</v>
      </c>
      <c r="Y14" s="877"/>
      <c r="Z14" s="812" t="s">
        <v>6945</v>
      </c>
      <c r="AA14" s="773" t="s">
        <v>6946</v>
      </c>
      <c r="AB14" s="812" t="s">
        <v>3719</v>
      </c>
      <c r="AC14" s="773" t="s">
        <v>2047</v>
      </c>
      <c r="AD14" s="812" t="s">
        <v>4139</v>
      </c>
      <c r="AE14" s="812" t="s">
        <v>4651</v>
      </c>
      <c r="AF14" s="812"/>
      <c r="AG14" s="773" t="s">
        <v>6947</v>
      </c>
      <c r="AH14" s="775"/>
      <c r="AI14" s="766"/>
      <c r="AJ14" s="815"/>
      <c r="AK14" s="815"/>
      <c r="AL14" s="815"/>
      <c r="AM14" s="848" t="s">
        <v>1419</v>
      </c>
      <c r="AN14" s="815"/>
      <c r="AO14" s="815"/>
      <c r="AP14" s="814" t="s">
        <v>6948</v>
      </c>
      <c r="AQ14" s="815"/>
      <c r="AR14" s="815"/>
      <c r="AS14" s="815"/>
      <c r="AT14" s="815"/>
      <c r="AU14" s="815"/>
      <c r="AV14" s="815"/>
      <c r="AW14" s="815"/>
      <c r="AX14" s="819" t="s">
        <v>6949</v>
      </c>
      <c r="AY14" s="814" t="s">
        <v>6950</v>
      </c>
      <c r="AZ14" s="781"/>
      <c r="BA14" s="851"/>
      <c r="BB14" s="851"/>
      <c r="BC14" s="822" t="s">
        <v>3247</v>
      </c>
      <c r="BD14" s="820"/>
      <c r="BE14" s="851" t="s">
        <v>6951</v>
      </c>
      <c r="BF14" s="781"/>
      <c r="BG14" s="825" t="s">
        <v>6209</v>
      </c>
      <c r="BH14" s="826" t="s">
        <v>6952</v>
      </c>
      <c r="BI14" s="827"/>
      <c r="BJ14" s="827"/>
      <c r="BK14" s="908" t="s">
        <v>6953</v>
      </c>
      <c r="BL14" s="827"/>
      <c r="BM14" s="824" t="s">
        <v>6954</v>
      </c>
      <c r="BN14" s="766"/>
      <c r="BO14" s="830" t="s">
        <v>6955</v>
      </c>
      <c r="BP14" s="883"/>
      <c r="BQ14" s="830"/>
      <c r="BR14" s="831" t="s">
        <v>6956</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6957</v>
      </c>
      <c r="B15" s="760" t="s">
        <v>6958</v>
      </c>
      <c r="C15" s="756" t="s">
        <v>1258</v>
      </c>
      <c r="D15" s="757" t="s">
        <v>439</v>
      </c>
      <c r="E15" s="758" t="s">
        <v>548</v>
      </c>
      <c r="F15" s="759" t="s">
        <v>5627</v>
      </c>
      <c r="G15" s="760" t="s">
        <v>1726</v>
      </c>
      <c r="H15" s="805" t="s">
        <v>2124</v>
      </c>
      <c r="I15" s="805" t="s">
        <v>6959</v>
      </c>
      <c r="J15" s="803"/>
      <c r="K15" s="803"/>
      <c r="L15" s="805" t="s">
        <v>3373</v>
      </c>
      <c r="M15" s="803"/>
      <c r="N15" s="805" t="s">
        <v>6960</v>
      </c>
      <c r="O15" s="803"/>
      <c r="P15" s="766"/>
      <c r="Q15" s="811" t="s">
        <v>248</v>
      </c>
      <c r="R15" s="808"/>
      <c r="S15" s="811" t="s">
        <v>6859</v>
      </c>
      <c r="T15" s="811" t="s">
        <v>3736</v>
      </c>
      <c r="U15" s="808"/>
      <c r="V15" s="811" t="s">
        <v>6961</v>
      </c>
      <c r="W15" s="766"/>
      <c r="X15" s="773" t="s">
        <v>275</v>
      </c>
      <c r="Y15" s="773" t="s">
        <v>6962</v>
      </c>
      <c r="Z15" s="773" t="s">
        <v>2368</v>
      </c>
      <c r="AA15" s="861" t="s">
        <v>6963</v>
      </c>
      <c r="AB15" s="773" t="s">
        <v>6964</v>
      </c>
      <c r="AC15" s="773" t="s">
        <v>1670</v>
      </c>
      <c r="AD15" s="773" t="s">
        <v>5500</v>
      </c>
      <c r="AE15" s="773" t="s">
        <v>6965</v>
      </c>
      <c r="AF15" s="774"/>
      <c r="AG15" s="812" t="s">
        <v>6966</v>
      </c>
      <c r="AH15" s="775"/>
      <c r="AI15" s="766"/>
      <c r="AJ15" s="863"/>
      <c r="AK15" s="819" t="s">
        <v>6967</v>
      </c>
      <c r="AL15" s="819" t="s">
        <v>6968</v>
      </c>
      <c r="AM15" s="819" t="s">
        <v>1212</v>
      </c>
      <c r="AN15" s="814"/>
      <c r="AO15" s="815"/>
      <c r="AP15" s="819" t="s">
        <v>4066</v>
      </c>
      <c r="AQ15" s="815"/>
      <c r="AR15" s="819" t="s">
        <v>6969</v>
      </c>
      <c r="AS15" s="849" t="s">
        <v>6970</v>
      </c>
      <c r="AT15" s="819" t="s">
        <v>6971</v>
      </c>
      <c r="AU15" s="849" t="s">
        <v>6972</v>
      </c>
      <c r="AV15" s="815"/>
      <c r="AW15" s="819" t="s">
        <v>372</v>
      </c>
      <c r="AX15" s="819" t="s">
        <v>6973</v>
      </c>
      <c r="AY15" s="819" t="s">
        <v>6974</v>
      </c>
      <c r="AZ15" s="781"/>
      <c r="BA15" s="889"/>
      <c r="BB15" s="822" t="s">
        <v>6975</v>
      </c>
      <c r="BC15" s="822" t="s">
        <v>6976</v>
      </c>
      <c r="BD15" s="820"/>
      <c r="BE15" s="822" t="s">
        <v>6977</v>
      </c>
      <c r="BF15" s="781"/>
      <c r="BG15" s="825" t="s">
        <v>4081</v>
      </c>
      <c r="BH15" s="825" t="s">
        <v>4606</v>
      </c>
      <c r="BI15" s="908" t="s">
        <v>1589</v>
      </c>
      <c r="BJ15" s="827"/>
      <c r="BK15" s="825" t="s">
        <v>4299</v>
      </c>
      <c r="BL15" s="827"/>
      <c r="BM15" s="825" t="s">
        <v>6978</v>
      </c>
      <c r="BN15" s="766"/>
      <c r="BO15" s="831" t="s">
        <v>3426</v>
      </c>
      <c r="BP15" s="882"/>
      <c r="BQ15" s="829"/>
      <c r="BR15" s="829"/>
      <c r="BS15" s="829"/>
      <c r="BT15" s="831" t="s">
        <v>847</v>
      </c>
      <c r="BU15" s="829"/>
      <c r="BV15" s="830" t="s">
        <v>6979</v>
      </c>
      <c r="BW15" s="830" t="s">
        <v>6980</v>
      </c>
      <c r="BX15" s="766"/>
      <c r="BY15" s="855" t="s">
        <v>1617</v>
      </c>
      <c r="BZ15" s="834"/>
      <c r="CA15" s="835"/>
      <c r="CB15" s="856"/>
      <c r="CC15" s="835"/>
      <c r="CD15" s="835"/>
      <c r="CE15" s="834" t="s">
        <v>6981</v>
      </c>
      <c r="CF15" s="835"/>
      <c r="CG15" s="835"/>
      <c r="CH15" s="835"/>
      <c r="CI15" s="835"/>
      <c r="CJ15" s="856"/>
      <c r="CK15" s="856"/>
    </row>
    <row r="16">
      <c r="A16" s="912" t="s">
        <v>1724</v>
      </c>
      <c r="B16" s="760" t="s">
        <v>6982</v>
      </c>
      <c r="C16" s="756" t="s">
        <v>1258</v>
      </c>
      <c r="D16" s="757" t="s">
        <v>548</v>
      </c>
      <c r="E16" s="758" t="s">
        <v>439</v>
      </c>
      <c r="F16" s="759" t="s">
        <v>3287</v>
      </c>
      <c r="G16" s="760" t="s">
        <v>2152</v>
      </c>
      <c r="H16" s="805" t="s">
        <v>2355</v>
      </c>
      <c r="I16" s="913" t="s">
        <v>6983</v>
      </c>
      <c r="J16" s="804" t="s">
        <v>1301</v>
      </c>
      <c r="K16" s="804" t="s">
        <v>6984</v>
      </c>
      <c r="L16" s="804" t="s">
        <v>2148</v>
      </c>
      <c r="M16" s="914"/>
      <c r="N16" s="804" t="s">
        <v>6985</v>
      </c>
      <c r="O16" s="804" t="s">
        <v>6986</v>
      </c>
      <c r="P16" s="766"/>
      <c r="Q16" s="807" t="s">
        <v>6987</v>
      </c>
      <c r="R16" s="807" t="s">
        <v>2456</v>
      </c>
      <c r="S16" s="807" t="s">
        <v>6988</v>
      </c>
      <c r="T16" s="807" t="s">
        <v>5777</v>
      </c>
      <c r="U16" s="807" t="s">
        <v>6989</v>
      </c>
      <c r="V16" s="807" t="s">
        <v>6990</v>
      </c>
      <c r="W16" s="766"/>
      <c r="X16" s="812" t="s">
        <v>3975</v>
      </c>
      <c r="Y16" s="812" t="s">
        <v>6991</v>
      </c>
      <c r="Z16" s="844" t="s">
        <v>6992</v>
      </c>
      <c r="AA16" s="915" t="s">
        <v>6993</v>
      </c>
      <c r="AB16" s="812" t="s">
        <v>6994</v>
      </c>
      <c r="AC16" s="812" t="s">
        <v>6995</v>
      </c>
      <c r="AD16" s="861" t="s">
        <v>1703</v>
      </c>
      <c r="AE16" s="773" t="s">
        <v>5243</v>
      </c>
      <c r="AF16" s="812" t="s">
        <v>6996</v>
      </c>
      <c r="AG16" s="812" t="s">
        <v>6997</v>
      </c>
      <c r="AH16" s="916" t="s">
        <v>6998</v>
      </c>
      <c r="AI16" s="766"/>
      <c r="AJ16" s="863"/>
      <c r="AK16" s="819" t="s">
        <v>6999</v>
      </c>
      <c r="AL16" s="814"/>
      <c r="AM16" s="814" t="s">
        <v>3420</v>
      </c>
      <c r="AN16" s="819" t="s">
        <v>1644</v>
      </c>
      <c r="AO16" s="814" t="s">
        <v>4123</v>
      </c>
      <c r="AP16" s="817" t="s">
        <v>7000</v>
      </c>
      <c r="AQ16" s="814" t="s">
        <v>7001</v>
      </c>
      <c r="AR16" s="848" t="s">
        <v>7002</v>
      </c>
      <c r="AS16" s="814" t="s">
        <v>7003</v>
      </c>
      <c r="AT16" s="814"/>
      <c r="AU16" s="814"/>
      <c r="AV16" s="814"/>
      <c r="AW16" s="817" t="s">
        <v>307</v>
      </c>
      <c r="AX16" s="879" t="s">
        <v>7004</v>
      </c>
      <c r="AY16" s="814" t="s">
        <v>7005</v>
      </c>
      <c r="AZ16" s="781"/>
      <c r="BA16" s="851" t="s">
        <v>7006</v>
      </c>
      <c r="BB16" s="851" t="s">
        <v>7007</v>
      </c>
      <c r="BC16" s="851" t="s">
        <v>4214</v>
      </c>
      <c r="BD16" s="851"/>
      <c r="BE16" s="917" t="s">
        <v>7008</v>
      </c>
      <c r="BF16" s="781"/>
      <c r="BG16" s="825" t="s">
        <v>7009</v>
      </c>
      <c r="BH16" s="825" t="s">
        <v>5169</v>
      </c>
      <c r="BI16" s="824" t="s">
        <v>1938</v>
      </c>
      <c r="BJ16" s="826" t="s">
        <v>7010</v>
      </c>
      <c r="BK16" s="881" t="s">
        <v>7011</v>
      </c>
      <c r="BL16" s="825"/>
      <c r="BM16" s="825" t="s">
        <v>7012</v>
      </c>
      <c r="BN16" s="766"/>
      <c r="BO16" s="831" t="s">
        <v>4762</v>
      </c>
      <c r="BP16" s="883"/>
      <c r="BQ16" s="918" t="s">
        <v>4737</v>
      </c>
      <c r="BR16" s="830" t="s">
        <v>7013</v>
      </c>
      <c r="BS16" s="830"/>
      <c r="BT16" s="919" t="s">
        <v>7014</v>
      </c>
      <c r="BU16" s="883" t="s">
        <v>4785</v>
      </c>
      <c r="BV16" s="830" t="s">
        <v>7015</v>
      </c>
      <c r="BW16" s="830" t="s">
        <v>7016</v>
      </c>
      <c r="BX16" s="766"/>
      <c r="BY16" s="834" t="s">
        <v>2517</v>
      </c>
      <c r="BZ16" s="834" t="s">
        <v>1933</v>
      </c>
      <c r="CA16" s="835"/>
      <c r="CB16" s="856"/>
      <c r="CC16" s="835"/>
      <c r="CD16" s="834"/>
      <c r="CE16" s="834" t="s">
        <v>7017</v>
      </c>
      <c r="CF16" s="834" t="s">
        <v>7018</v>
      </c>
      <c r="CG16" s="834"/>
      <c r="CH16" s="870" t="s">
        <v>7019</v>
      </c>
      <c r="CI16" s="835"/>
      <c r="CJ16" s="856"/>
      <c r="CK16" s="856"/>
    </row>
    <row r="17">
      <c r="A17" s="802" t="s">
        <v>7020</v>
      </c>
      <c r="B17" s="760" t="s">
        <v>7021</v>
      </c>
      <c r="C17" s="756" t="s">
        <v>1258</v>
      </c>
      <c r="D17" s="757" t="s">
        <v>1258</v>
      </c>
      <c r="E17" s="758" t="s">
        <v>1258</v>
      </c>
      <c r="F17" s="759" t="s">
        <v>1258</v>
      </c>
      <c r="G17" s="760" t="s">
        <v>3341</v>
      </c>
      <c r="H17" s="803"/>
      <c r="I17" s="875" t="s">
        <v>2787</v>
      </c>
      <c r="J17" s="804"/>
      <c r="K17" s="803"/>
      <c r="L17" s="803"/>
      <c r="M17" s="803"/>
      <c r="N17" s="803"/>
      <c r="O17" s="804" t="s">
        <v>7022</v>
      </c>
      <c r="P17" s="766"/>
      <c r="Q17" s="876" t="s">
        <v>1487</v>
      </c>
      <c r="R17" s="808"/>
      <c r="S17" s="808"/>
      <c r="T17" s="876" t="s">
        <v>1116</v>
      </c>
      <c r="U17" s="807"/>
      <c r="V17" s="807" t="s">
        <v>7023</v>
      </c>
      <c r="W17" s="766"/>
      <c r="X17" s="892" t="s">
        <v>7024</v>
      </c>
      <c r="Y17" s="812" t="s">
        <v>7025</v>
      </c>
      <c r="Z17" s="892" t="s">
        <v>6876</v>
      </c>
      <c r="AA17" s="844" t="s">
        <v>7026</v>
      </c>
      <c r="AB17" s="844" t="s">
        <v>1651</v>
      </c>
      <c r="AC17" s="844" t="s">
        <v>3641</v>
      </c>
      <c r="AD17" s="892" t="s">
        <v>203</v>
      </c>
      <c r="AE17" s="844" t="s">
        <v>4618</v>
      </c>
      <c r="AF17" s="812"/>
      <c r="AG17" s="844" t="s">
        <v>7027</v>
      </c>
      <c r="AH17" s="775"/>
      <c r="AI17" s="766"/>
      <c r="AJ17" s="815"/>
      <c r="AK17" s="847" t="s">
        <v>5611</v>
      </c>
      <c r="AL17" s="879" t="s">
        <v>7028</v>
      </c>
      <c r="AM17" s="847" t="s">
        <v>7029</v>
      </c>
      <c r="AN17" s="815"/>
      <c r="AO17" s="879" t="s">
        <v>973</v>
      </c>
      <c r="AP17" s="847" t="s">
        <v>1567</v>
      </c>
      <c r="AQ17" s="879" t="s">
        <v>7030</v>
      </c>
      <c r="AR17" s="879" t="s">
        <v>7031</v>
      </c>
      <c r="AS17" s="815"/>
      <c r="AT17" s="815"/>
      <c r="AU17" s="815"/>
      <c r="AV17" s="815"/>
      <c r="AW17" s="847" t="s">
        <v>1251</v>
      </c>
      <c r="AX17" s="879" t="s">
        <v>7032</v>
      </c>
      <c r="AY17" s="879" t="s">
        <v>7033</v>
      </c>
      <c r="AZ17" s="781"/>
      <c r="BA17" s="851"/>
      <c r="BB17" s="917" t="s">
        <v>7034</v>
      </c>
      <c r="BC17" s="889"/>
      <c r="BD17" s="889"/>
      <c r="BE17" s="917" t="s">
        <v>7035</v>
      </c>
      <c r="BF17" s="781"/>
      <c r="BG17" s="909" t="s">
        <v>7036</v>
      </c>
      <c r="BH17" s="909" t="s">
        <v>2131</v>
      </c>
      <c r="BI17" s="827"/>
      <c r="BJ17" s="827"/>
      <c r="BK17" s="827"/>
      <c r="BL17" s="827"/>
      <c r="BM17" s="825" t="s">
        <v>7037</v>
      </c>
      <c r="BN17" s="766"/>
      <c r="BO17" s="883" t="s">
        <v>2032</v>
      </c>
      <c r="BP17" s="882"/>
      <c r="BQ17" s="829"/>
      <c r="BR17" s="883" t="s">
        <v>7038</v>
      </c>
      <c r="BS17" s="829"/>
      <c r="BT17" s="883" t="s">
        <v>3083</v>
      </c>
      <c r="BU17" s="829"/>
      <c r="BV17" s="883" t="s">
        <v>7039</v>
      </c>
      <c r="BW17" s="883" t="s">
        <v>7040</v>
      </c>
      <c r="BX17" s="766"/>
      <c r="BY17" s="884" t="s">
        <v>3514</v>
      </c>
      <c r="BZ17" s="835"/>
      <c r="CA17" s="835"/>
      <c r="CB17" s="856"/>
      <c r="CC17" s="835"/>
      <c r="CD17" s="835"/>
      <c r="CE17" s="835"/>
      <c r="CF17" s="835"/>
      <c r="CG17" s="835"/>
      <c r="CH17" s="835"/>
      <c r="CI17" s="835"/>
      <c r="CJ17" s="856"/>
      <c r="CK17" s="856"/>
    </row>
    <row r="18">
      <c r="A18" s="802" t="s">
        <v>7041</v>
      </c>
      <c r="B18" s="760" t="s">
        <v>7042</v>
      </c>
      <c r="C18" s="756" t="s">
        <v>1258</v>
      </c>
      <c r="D18" s="757" t="s">
        <v>1258</v>
      </c>
      <c r="E18" s="758" t="s">
        <v>1258</v>
      </c>
      <c r="F18" s="759" t="s">
        <v>1200</v>
      </c>
      <c r="G18" s="760" t="s">
        <v>2676</v>
      </c>
      <c r="H18" s="803"/>
      <c r="I18" s="803"/>
      <c r="J18" s="804" t="s">
        <v>7043</v>
      </c>
      <c r="K18" s="804" t="s">
        <v>7044</v>
      </c>
      <c r="L18" s="805" t="s">
        <v>7045</v>
      </c>
      <c r="M18" s="803"/>
      <c r="N18" s="875" t="s">
        <v>7046</v>
      </c>
      <c r="O18" s="804" t="s">
        <v>7047</v>
      </c>
      <c r="P18" s="766"/>
      <c r="Q18" s="876" t="s">
        <v>727</v>
      </c>
      <c r="R18" s="808"/>
      <c r="S18" s="808"/>
      <c r="T18" s="808"/>
      <c r="U18" s="807"/>
      <c r="V18" s="811" t="s">
        <v>6966</v>
      </c>
      <c r="W18" s="766"/>
      <c r="X18" s="877"/>
      <c r="Y18" s="773" t="s">
        <v>7048</v>
      </c>
      <c r="Z18" s="844" t="s">
        <v>2401</v>
      </c>
      <c r="AA18" s="920"/>
      <c r="AB18" s="877"/>
      <c r="AC18" s="844" t="s">
        <v>816</v>
      </c>
      <c r="AD18" s="844" t="s">
        <v>5796</v>
      </c>
      <c r="AE18" s="844" t="s">
        <v>7049</v>
      </c>
      <c r="AF18" s="812"/>
      <c r="AG18" s="844" t="s">
        <v>7050</v>
      </c>
      <c r="AH18" s="775"/>
      <c r="AI18" s="766"/>
      <c r="AJ18" s="814"/>
      <c r="AK18" s="879" t="s">
        <v>1473</v>
      </c>
      <c r="AL18" s="815"/>
      <c r="AM18" s="815"/>
      <c r="AN18" s="815"/>
      <c r="AO18" s="815"/>
      <c r="AP18" s="879" t="s">
        <v>7051</v>
      </c>
      <c r="AQ18" s="815"/>
      <c r="AR18" s="815"/>
      <c r="AS18" s="815"/>
      <c r="AT18" s="815"/>
      <c r="AU18" s="815"/>
      <c r="AV18" s="815"/>
      <c r="AW18" s="819" t="s">
        <v>6227</v>
      </c>
      <c r="AX18" s="814" t="s">
        <v>7052</v>
      </c>
      <c r="AY18" s="814" t="s">
        <v>6337</v>
      </c>
      <c r="AZ18" s="781"/>
      <c r="BA18" s="851" t="s">
        <v>7053</v>
      </c>
      <c r="BB18" s="917" t="s">
        <v>7054</v>
      </c>
      <c r="BC18" s="822" t="s">
        <v>512</v>
      </c>
      <c r="BD18" s="820"/>
      <c r="BE18" s="917" t="s">
        <v>7055</v>
      </c>
      <c r="BF18" s="781"/>
      <c r="BG18" s="825" t="s">
        <v>2847</v>
      </c>
      <c r="BH18" s="909" t="s">
        <v>7056</v>
      </c>
      <c r="BI18" s="825"/>
      <c r="BJ18" s="825"/>
      <c r="BK18" s="827"/>
      <c r="BL18" s="827"/>
      <c r="BM18" s="824" t="s">
        <v>7057</v>
      </c>
      <c r="BN18" s="766"/>
      <c r="BO18" s="883" t="s">
        <v>7058</v>
      </c>
      <c r="BP18" s="882"/>
      <c r="BQ18" s="829"/>
      <c r="BR18" s="830" t="s">
        <v>7059</v>
      </c>
      <c r="BS18" s="829"/>
      <c r="BT18" s="883" t="s">
        <v>2324</v>
      </c>
      <c r="BU18" s="829"/>
      <c r="BV18" s="830" t="s">
        <v>254</v>
      </c>
      <c r="BW18" s="830" t="s">
        <v>1576</v>
      </c>
      <c r="BX18" s="766"/>
      <c r="BY18" s="834" t="s">
        <v>4206</v>
      </c>
      <c r="BZ18" s="855" t="s">
        <v>6074</v>
      </c>
      <c r="CA18" s="835"/>
      <c r="CB18" s="856"/>
      <c r="CC18" s="835"/>
      <c r="CD18" s="835"/>
      <c r="CE18" s="834" t="s">
        <v>5915</v>
      </c>
      <c r="CF18" s="884" t="s">
        <v>7060</v>
      </c>
      <c r="CG18" s="835"/>
      <c r="CH18" s="835"/>
      <c r="CI18" s="834" t="s">
        <v>7061</v>
      </c>
      <c r="CJ18" s="856"/>
      <c r="CK18" s="856"/>
    </row>
    <row r="19">
      <c r="A19" s="802" t="s">
        <v>1809</v>
      </c>
      <c r="B19" s="760" t="s">
        <v>7062</v>
      </c>
      <c r="C19" s="756" t="s">
        <v>1258</v>
      </c>
      <c r="D19" s="757" t="s">
        <v>1258</v>
      </c>
      <c r="E19" s="758" t="s">
        <v>1258</v>
      </c>
      <c r="F19" s="759" t="s">
        <v>1258</v>
      </c>
      <c r="G19" s="760" t="s">
        <v>2676</v>
      </c>
      <c r="H19" s="803"/>
      <c r="I19" s="804" t="s">
        <v>2658</v>
      </c>
      <c r="J19" s="804" t="s">
        <v>2096</v>
      </c>
      <c r="K19" s="804" t="s">
        <v>7063</v>
      </c>
      <c r="L19" s="875" t="s">
        <v>7064</v>
      </c>
      <c r="M19" s="803"/>
      <c r="N19" s="875" t="s">
        <v>7065</v>
      </c>
      <c r="O19" s="804" t="s">
        <v>7066</v>
      </c>
      <c r="P19" s="766"/>
      <c r="Q19" s="876" t="s">
        <v>2549</v>
      </c>
      <c r="R19" s="808"/>
      <c r="S19" s="808"/>
      <c r="T19" s="876" t="s">
        <v>5032</v>
      </c>
      <c r="U19" s="807"/>
      <c r="V19" s="876" t="s">
        <v>7067</v>
      </c>
      <c r="W19" s="766"/>
      <c r="X19" s="844" t="s">
        <v>4116</v>
      </c>
      <c r="Y19" s="844" t="s">
        <v>7068</v>
      </c>
      <c r="Z19" s="844" t="s">
        <v>7069</v>
      </c>
      <c r="AA19" s="844" t="s">
        <v>3031</v>
      </c>
      <c r="AB19" s="844" t="s">
        <v>4698</v>
      </c>
      <c r="AC19" s="812" t="s">
        <v>7070</v>
      </c>
      <c r="AD19" s="844" t="s">
        <v>4605</v>
      </c>
      <c r="AE19" s="844" t="s">
        <v>4904</v>
      </c>
      <c r="AF19" s="812"/>
      <c r="AG19" s="812" t="s">
        <v>7071</v>
      </c>
      <c r="AH19" s="921" t="s">
        <v>7072</v>
      </c>
      <c r="AI19" s="766"/>
      <c r="AJ19" s="815"/>
      <c r="AK19" s="815"/>
      <c r="AL19" s="815"/>
      <c r="AM19" s="814" t="s">
        <v>172</v>
      </c>
      <c r="AN19" s="815"/>
      <c r="AO19" s="879" t="s">
        <v>4388</v>
      </c>
      <c r="AP19" s="814" t="s">
        <v>3303</v>
      </c>
      <c r="AQ19" s="879" t="s">
        <v>7073</v>
      </c>
      <c r="AR19" s="815"/>
      <c r="AS19" s="815"/>
      <c r="AT19" s="815"/>
      <c r="AU19" s="815"/>
      <c r="AV19" s="815"/>
      <c r="AW19" s="879" t="s">
        <v>1006</v>
      </c>
      <c r="AX19" s="879" t="s">
        <v>4894</v>
      </c>
      <c r="AY19" s="815"/>
      <c r="AZ19" s="781"/>
      <c r="BA19" s="889"/>
      <c r="BB19" s="889"/>
      <c r="BC19" s="917" t="s">
        <v>7074</v>
      </c>
      <c r="BD19" s="851"/>
      <c r="BE19" s="851" t="s">
        <v>7075</v>
      </c>
      <c r="BF19" s="781"/>
      <c r="BG19" s="909" t="s">
        <v>1205</v>
      </c>
      <c r="BH19" s="909" t="s">
        <v>2131</v>
      </c>
      <c r="BI19" s="827"/>
      <c r="BJ19" s="827"/>
      <c r="BK19" s="825" t="s">
        <v>7076</v>
      </c>
      <c r="BL19" s="827"/>
      <c r="BM19" s="909" t="s">
        <v>7077</v>
      </c>
      <c r="BN19" s="766"/>
      <c r="BO19" s="883" t="s">
        <v>7078</v>
      </c>
      <c r="BP19" s="882"/>
      <c r="BQ19" s="829"/>
      <c r="BR19" s="829"/>
      <c r="BS19" s="829"/>
      <c r="BT19" s="883" t="s">
        <v>2800</v>
      </c>
      <c r="BU19" s="829"/>
      <c r="BV19" s="829"/>
      <c r="BW19" s="882" t="s">
        <v>7079</v>
      </c>
      <c r="BX19" s="766"/>
      <c r="BY19" s="834" t="s">
        <v>2996</v>
      </c>
      <c r="BZ19" s="835"/>
      <c r="CA19" s="835"/>
      <c r="CB19" s="856"/>
      <c r="CC19" s="835"/>
      <c r="CD19" s="835"/>
      <c r="CE19" s="835"/>
      <c r="CF19" s="835"/>
      <c r="CG19" s="835"/>
      <c r="CH19" s="835"/>
      <c r="CI19" s="835"/>
      <c r="CJ19" s="856"/>
      <c r="CK19" s="856"/>
    </row>
    <row r="20">
      <c r="A20" s="802" t="s">
        <v>3566</v>
      </c>
      <c r="B20" s="760" t="s">
        <v>7080</v>
      </c>
      <c r="C20" s="756" t="s">
        <v>548</v>
      </c>
      <c r="D20" s="757" t="s">
        <v>1258</v>
      </c>
      <c r="E20" s="758" t="s">
        <v>649</v>
      </c>
      <c r="F20" s="759" t="s">
        <v>983</v>
      </c>
      <c r="G20" s="760" t="s">
        <v>2540</v>
      </c>
      <c r="H20" s="901" t="s">
        <v>268</v>
      </c>
      <c r="I20" s="803"/>
      <c r="J20" s="803"/>
      <c r="K20" s="803"/>
      <c r="L20" s="805" t="s">
        <v>1162</v>
      </c>
      <c r="M20" s="803"/>
      <c r="N20" s="805" t="s">
        <v>7081</v>
      </c>
      <c r="O20" s="803"/>
      <c r="P20" s="766"/>
      <c r="Q20" s="922" t="s">
        <v>7082</v>
      </c>
      <c r="R20" s="808"/>
      <c r="S20" s="807" t="s">
        <v>6026</v>
      </c>
      <c r="T20" s="922" t="s">
        <v>5383</v>
      </c>
      <c r="U20" s="923" t="s">
        <v>7083</v>
      </c>
      <c r="V20" s="807" t="s">
        <v>7084</v>
      </c>
      <c r="W20" s="766"/>
      <c r="X20" s="773" t="s">
        <v>2646</v>
      </c>
      <c r="Y20" s="812" t="s">
        <v>3580</v>
      </c>
      <c r="Z20" s="812" t="s">
        <v>6876</v>
      </c>
      <c r="AA20" s="861" t="s">
        <v>7085</v>
      </c>
      <c r="AB20" s="812" t="s">
        <v>2390</v>
      </c>
      <c r="AC20" s="812" t="s">
        <v>3908</v>
      </c>
      <c r="AD20" s="812" t="s">
        <v>3074</v>
      </c>
      <c r="AE20" s="924" t="s">
        <v>6683</v>
      </c>
      <c r="AF20" s="772" t="s">
        <v>1092</v>
      </c>
      <c r="AG20" s="812" t="s">
        <v>7086</v>
      </c>
      <c r="AH20" s="925" t="s">
        <v>3582</v>
      </c>
      <c r="AI20" s="766"/>
      <c r="AJ20" s="814"/>
      <c r="AK20" s="814" t="s">
        <v>7087</v>
      </c>
      <c r="AL20" s="814" t="s">
        <v>7088</v>
      </c>
      <c r="AM20" s="814" t="s">
        <v>7089</v>
      </c>
      <c r="AN20" s="814"/>
      <c r="AO20" s="815"/>
      <c r="AP20" s="817" t="s">
        <v>1696</v>
      </c>
      <c r="AQ20" s="815"/>
      <c r="AR20" s="814" t="s">
        <v>7090</v>
      </c>
      <c r="AS20" s="814" t="s">
        <v>7091</v>
      </c>
      <c r="AT20" s="814" t="s">
        <v>7092</v>
      </c>
      <c r="AU20" s="814" t="s">
        <v>7093</v>
      </c>
      <c r="AV20" s="815"/>
      <c r="AW20" s="817" t="s">
        <v>416</v>
      </c>
      <c r="AX20" s="819" t="s">
        <v>7094</v>
      </c>
      <c r="AY20" s="814" t="s">
        <v>7095</v>
      </c>
      <c r="AZ20" s="781"/>
      <c r="BA20" s="851" t="s">
        <v>7096</v>
      </c>
      <c r="BB20" s="851" t="s">
        <v>7097</v>
      </c>
      <c r="BC20" s="851" t="s">
        <v>5177</v>
      </c>
      <c r="BD20" s="851" t="s">
        <v>7098</v>
      </c>
      <c r="BE20" s="851" t="s">
        <v>7099</v>
      </c>
      <c r="BF20" s="781"/>
      <c r="BG20" s="825" t="s">
        <v>7100</v>
      </c>
      <c r="BH20" s="825" t="s">
        <v>2075</v>
      </c>
      <c r="BI20" s="825" t="s">
        <v>1825</v>
      </c>
      <c r="BJ20" s="827"/>
      <c r="BK20" s="825" t="s">
        <v>1476</v>
      </c>
      <c r="BL20" s="825" t="s">
        <v>7101</v>
      </c>
      <c r="BM20" s="825" t="s">
        <v>7102</v>
      </c>
      <c r="BN20" s="766"/>
      <c r="BO20" s="883" t="s">
        <v>4883</v>
      </c>
      <c r="BP20" s="882"/>
      <c r="BQ20" s="830" t="s">
        <v>2594</v>
      </c>
      <c r="BR20" s="830" t="s">
        <v>3787</v>
      </c>
      <c r="BS20" s="869" t="s">
        <v>7103</v>
      </c>
      <c r="BT20" s="883" t="s">
        <v>2316</v>
      </c>
      <c r="BU20" s="869" t="s">
        <v>7104</v>
      </c>
      <c r="BV20" s="830" t="s">
        <v>7105</v>
      </c>
      <c r="BW20" s="830" t="s">
        <v>7106</v>
      </c>
      <c r="BX20" s="766"/>
      <c r="BY20" s="835"/>
      <c r="BZ20" s="834" t="s">
        <v>3305</v>
      </c>
      <c r="CA20" s="835"/>
      <c r="CB20" s="856"/>
      <c r="CC20" s="835"/>
      <c r="CD20" s="834" t="s">
        <v>7107</v>
      </c>
      <c r="CE20" s="834" t="s">
        <v>7108</v>
      </c>
      <c r="CF20" s="834" t="s">
        <v>7109</v>
      </c>
      <c r="CG20" s="835"/>
      <c r="CH20" s="835"/>
      <c r="CI20" s="834" t="s">
        <v>7110</v>
      </c>
      <c r="CJ20" s="856"/>
      <c r="CK20" s="856"/>
    </row>
    <row r="21">
      <c r="A21" s="802" t="s">
        <v>7111</v>
      </c>
      <c r="B21" s="760" t="s">
        <v>7112</v>
      </c>
      <c r="C21" s="756" t="s">
        <v>1258</v>
      </c>
      <c r="D21" s="757" t="s">
        <v>1258</v>
      </c>
      <c r="E21" s="758" t="s">
        <v>548</v>
      </c>
      <c r="F21" s="759" t="s">
        <v>548</v>
      </c>
      <c r="G21" s="760" t="s">
        <v>6940</v>
      </c>
      <c r="H21" s="803"/>
      <c r="I21" s="803"/>
      <c r="J21" s="804" t="s">
        <v>7113</v>
      </c>
      <c r="K21" s="804" t="s">
        <v>7114</v>
      </c>
      <c r="L21" s="803"/>
      <c r="M21" s="803"/>
      <c r="N21" s="803"/>
      <c r="O21" s="875" t="s">
        <v>7115</v>
      </c>
      <c r="P21" s="766"/>
      <c r="Q21" s="807" t="s">
        <v>7116</v>
      </c>
      <c r="R21" s="808"/>
      <c r="S21" s="807" t="s">
        <v>5917</v>
      </c>
      <c r="T21" s="807" t="s">
        <v>5146</v>
      </c>
      <c r="U21" s="807" t="s">
        <v>7117</v>
      </c>
      <c r="V21" s="876" t="s">
        <v>7118</v>
      </c>
      <c r="W21" s="766"/>
      <c r="X21" s="877"/>
      <c r="Y21" s="877"/>
      <c r="Z21" s="812" t="s">
        <v>7119</v>
      </c>
      <c r="AA21" s="920"/>
      <c r="AB21" s="812" t="s">
        <v>2271</v>
      </c>
      <c r="AC21" s="844" t="s">
        <v>7120</v>
      </c>
      <c r="AD21" s="877"/>
      <c r="AE21" s="877"/>
      <c r="AF21" s="877"/>
      <c r="AG21" s="844" t="s">
        <v>7121</v>
      </c>
      <c r="AH21" s="775"/>
      <c r="AI21" s="766"/>
      <c r="AJ21" s="815"/>
      <c r="AK21" s="815"/>
      <c r="AL21" s="815"/>
      <c r="AM21" s="814" t="s">
        <v>1312</v>
      </c>
      <c r="AN21" s="814"/>
      <c r="AO21" s="815"/>
      <c r="AP21" s="815"/>
      <c r="AQ21" s="815"/>
      <c r="AR21" s="815"/>
      <c r="AS21" s="815"/>
      <c r="AT21" s="815"/>
      <c r="AU21" s="815"/>
      <c r="AV21" s="815"/>
      <c r="AW21" s="814" t="s">
        <v>3973</v>
      </c>
      <c r="AX21" s="879" t="s">
        <v>7122</v>
      </c>
      <c r="AY21" s="815"/>
      <c r="AZ21" s="781"/>
      <c r="BA21" s="889"/>
      <c r="BB21" s="851" t="s">
        <v>7123</v>
      </c>
      <c r="BC21" s="851" t="s">
        <v>3733</v>
      </c>
      <c r="BD21" s="851"/>
      <c r="BE21" s="917" t="s">
        <v>7124</v>
      </c>
      <c r="BF21" s="781"/>
      <c r="BG21" s="825" t="s">
        <v>714</v>
      </c>
      <c r="BH21" s="909" t="s">
        <v>4302</v>
      </c>
      <c r="BI21" s="825" t="s">
        <v>1760</v>
      </c>
      <c r="BJ21" s="825" t="s">
        <v>7125</v>
      </c>
      <c r="BK21" s="825" t="s">
        <v>7126</v>
      </c>
      <c r="BL21" s="827"/>
      <c r="BM21" s="825" t="s">
        <v>7127</v>
      </c>
      <c r="BN21" s="766"/>
      <c r="BO21" s="830" t="s">
        <v>4729</v>
      </c>
      <c r="BP21" s="882"/>
      <c r="BQ21" s="829"/>
      <c r="BR21" s="869" t="s">
        <v>7128</v>
      </c>
      <c r="BS21" s="829"/>
      <c r="BT21" s="830" t="s">
        <v>2366</v>
      </c>
      <c r="BU21" s="829"/>
      <c r="BV21" s="830" t="s">
        <v>7129</v>
      </c>
      <c r="BW21" s="830" t="s">
        <v>1915</v>
      </c>
      <c r="BX21" s="766"/>
      <c r="BY21" s="834" t="s">
        <v>4582</v>
      </c>
      <c r="BZ21" s="872"/>
      <c r="CA21" s="835"/>
      <c r="CB21" s="856"/>
      <c r="CC21" s="835"/>
      <c r="CD21" s="835"/>
      <c r="CE21" s="835"/>
      <c r="CF21" s="835"/>
      <c r="CG21" s="835"/>
      <c r="CH21" s="835"/>
      <c r="CI21" s="835"/>
      <c r="CJ21" s="856"/>
      <c r="CK21" s="856"/>
    </row>
    <row r="22">
      <c r="A22" s="802" t="s">
        <v>2986</v>
      </c>
      <c r="B22" s="760" t="s">
        <v>7130</v>
      </c>
      <c r="C22" s="756" t="s">
        <v>548</v>
      </c>
      <c r="D22" s="757" t="s">
        <v>1258</v>
      </c>
      <c r="E22" s="758" t="s">
        <v>1258</v>
      </c>
      <c r="F22" s="759" t="s">
        <v>548</v>
      </c>
      <c r="G22" s="760" t="s">
        <v>5141</v>
      </c>
      <c r="H22" s="803"/>
      <c r="I22" s="803"/>
      <c r="J22" s="804" t="s">
        <v>313</v>
      </c>
      <c r="K22" s="804" t="s">
        <v>7131</v>
      </c>
      <c r="L22" s="804"/>
      <c r="M22" s="803"/>
      <c r="N22" s="803"/>
      <c r="O22" s="804" t="s">
        <v>7132</v>
      </c>
      <c r="P22" s="766"/>
      <c r="Q22" s="807" t="s">
        <v>4939</v>
      </c>
      <c r="R22" s="807" t="s">
        <v>3805</v>
      </c>
      <c r="S22" s="807" t="s">
        <v>692</v>
      </c>
      <c r="T22" s="807" t="s">
        <v>253</v>
      </c>
      <c r="U22" s="808"/>
      <c r="V22" s="807" t="s">
        <v>7133</v>
      </c>
      <c r="W22" s="766"/>
      <c r="X22" s="812" t="s">
        <v>6468</v>
      </c>
      <c r="Y22" s="877"/>
      <c r="Z22" s="812" t="s">
        <v>4917</v>
      </c>
      <c r="AA22" s="812" t="s">
        <v>7134</v>
      </c>
      <c r="AB22" s="812" t="s">
        <v>3004</v>
      </c>
      <c r="AC22" s="812" t="s">
        <v>1670</v>
      </c>
      <c r="AD22" s="812" t="s">
        <v>7135</v>
      </c>
      <c r="AE22" s="812" t="s">
        <v>2834</v>
      </c>
      <c r="AF22" s="812"/>
      <c r="AG22" s="812" t="s">
        <v>7136</v>
      </c>
      <c r="AH22" s="926" t="s">
        <v>3007</v>
      </c>
      <c r="AI22" s="766"/>
      <c r="AJ22" s="815"/>
      <c r="AK22" s="815"/>
      <c r="AL22" s="816" t="s">
        <v>7137</v>
      </c>
      <c r="AM22" s="814" t="s">
        <v>1963</v>
      </c>
      <c r="AN22" s="814"/>
      <c r="AO22" s="815"/>
      <c r="AP22" s="815"/>
      <c r="AQ22" s="815"/>
      <c r="AR22" s="814" t="s">
        <v>7138</v>
      </c>
      <c r="AS22" s="814"/>
      <c r="AT22" s="815"/>
      <c r="AU22" s="814" t="s">
        <v>7139</v>
      </c>
      <c r="AV22" s="879" t="s">
        <v>7140</v>
      </c>
      <c r="AW22" s="814" t="s">
        <v>194</v>
      </c>
      <c r="AX22" s="879" t="s">
        <v>7141</v>
      </c>
      <c r="AY22" s="814" t="s">
        <v>7142</v>
      </c>
      <c r="AZ22" s="781"/>
      <c r="BA22" s="851" t="s">
        <v>7143</v>
      </c>
      <c r="BB22" s="851" t="s">
        <v>7144</v>
      </c>
      <c r="BC22" s="889"/>
      <c r="BD22" s="889"/>
      <c r="BE22" s="851" t="s">
        <v>7145</v>
      </c>
      <c r="BF22" s="781"/>
      <c r="BG22" s="825" t="s">
        <v>6209</v>
      </c>
      <c r="BH22" s="827"/>
      <c r="BI22" s="825" t="s">
        <v>476</v>
      </c>
      <c r="BJ22" s="825" t="s">
        <v>7146</v>
      </c>
      <c r="BK22" s="825" t="s">
        <v>7147</v>
      </c>
      <c r="BL22" s="825" t="s">
        <v>7148</v>
      </c>
      <c r="BM22" s="881" t="s">
        <v>7149</v>
      </c>
      <c r="BN22" s="766"/>
      <c r="BO22" s="830" t="s">
        <v>7150</v>
      </c>
      <c r="BP22" s="830" t="s">
        <v>4179</v>
      </c>
      <c r="BQ22" s="829"/>
      <c r="BR22" s="830" t="s">
        <v>7151</v>
      </c>
      <c r="BS22" s="829"/>
      <c r="BT22" s="830" t="s">
        <v>3025</v>
      </c>
      <c r="BU22" s="830" t="s">
        <v>5164</v>
      </c>
      <c r="BV22" s="830" t="s">
        <v>7152</v>
      </c>
      <c r="BW22" s="830" t="s">
        <v>7153</v>
      </c>
      <c r="BX22" s="766"/>
      <c r="BY22" s="927" t="s">
        <v>3555</v>
      </c>
      <c r="BZ22" s="834" t="s">
        <v>853</v>
      </c>
      <c r="CA22" s="835"/>
      <c r="CB22" s="856"/>
      <c r="CC22" s="835"/>
      <c r="CD22" s="835"/>
      <c r="CE22" s="834" t="s">
        <v>7154</v>
      </c>
      <c r="CF22" s="834" t="s">
        <v>7155</v>
      </c>
      <c r="CG22" s="835"/>
      <c r="CH22" s="835"/>
      <c r="CI22" s="835"/>
      <c r="CJ22" s="856"/>
      <c r="CK22" s="856"/>
    </row>
    <row r="23">
      <c r="A23" s="802" t="s">
        <v>7156</v>
      </c>
      <c r="B23" s="760" t="s">
        <v>7157</v>
      </c>
      <c r="C23" s="756" t="s">
        <v>1258</v>
      </c>
      <c r="D23" s="757" t="s">
        <v>1258</v>
      </c>
      <c r="E23" s="758" t="s">
        <v>1258</v>
      </c>
      <c r="F23" s="759" t="s">
        <v>440</v>
      </c>
      <c r="G23" s="760" t="s">
        <v>223</v>
      </c>
      <c r="H23" s="803"/>
      <c r="I23" s="803"/>
      <c r="J23" s="803"/>
      <c r="K23" s="803"/>
      <c r="L23" s="902" t="s">
        <v>7158</v>
      </c>
      <c r="M23" s="803"/>
      <c r="N23" s="875" t="s">
        <v>7159</v>
      </c>
      <c r="O23" s="803"/>
      <c r="P23" s="766"/>
      <c r="Q23" s="808"/>
      <c r="R23" s="808"/>
      <c r="S23" s="808"/>
      <c r="T23" s="808"/>
      <c r="U23" s="807"/>
      <c r="V23" s="876" t="s">
        <v>7160</v>
      </c>
      <c r="W23" s="766"/>
      <c r="X23" s="877"/>
      <c r="Y23" s="877"/>
      <c r="Z23" s="892" t="s">
        <v>7161</v>
      </c>
      <c r="AA23" s="877"/>
      <c r="AB23" s="877"/>
      <c r="AC23" s="877"/>
      <c r="AD23" s="877"/>
      <c r="AE23" s="928" t="str">
        <f>HYPERLINK("https://youtu.be/0lXotWIeH0g","49.54")</f>
        <v>49.54</v>
      </c>
      <c r="AF23" s="920"/>
      <c r="AG23" s="844" t="s">
        <v>7162</v>
      </c>
      <c r="AH23" s="862" t="s">
        <v>7163</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7164</v>
      </c>
      <c r="AZ23" s="781"/>
      <c r="BA23" s="889"/>
      <c r="BB23" s="889"/>
      <c r="BC23" s="897" t="s">
        <v>4137</v>
      </c>
      <c r="BD23" s="889"/>
      <c r="BE23" s="917" t="s">
        <v>7165</v>
      </c>
      <c r="BF23" s="781"/>
      <c r="BG23" s="827"/>
      <c r="BH23" s="827"/>
      <c r="BI23" s="827"/>
      <c r="BJ23" s="827"/>
      <c r="BK23" s="827"/>
      <c r="BL23" s="930" t="str">
        <f>HYPERLINK("https://youtu.be/ZWHJWoriERw","3:48.70")</f>
        <v>3:48.70</v>
      </c>
      <c r="BM23" s="824" t="s">
        <v>7166</v>
      </c>
      <c r="BN23" s="766"/>
      <c r="BO23" s="882" t="s">
        <v>232</v>
      </c>
      <c r="BP23" s="882"/>
      <c r="BQ23" s="829"/>
      <c r="BR23" s="829"/>
      <c r="BS23" s="829"/>
      <c r="BT23" s="831" t="str">
        <f>HYPERLINK("https://youtu.be/-5bLlrzaDDc","27.91")</f>
        <v>27.91</v>
      </c>
      <c r="BU23" s="882" t="s">
        <v>7094</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7167</v>
      </c>
      <c r="C24" s="756" t="s">
        <v>1258</v>
      </c>
      <c r="D24" s="757" t="s">
        <v>548</v>
      </c>
      <c r="E24" s="758" t="s">
        <v>1258</v>
      </c>
      <c r="F24" s="759" t="s">
        <v>334</v>
      </c>
      <c r="G24" s="760" t="s">
        <v>1060</v>
      </c>
      <c r="H24" s="803"/>
      <c r="I24" s="803"/>
      <c r="J24" s="803"/>
      <c r="K24" s="803"/>
      <c r="L24" s="803"/>
      <c r="M24" s="803"/>
      <c r="N24" s="804" t="s">
        <v>7168</v>
      </c>
      <c r="O24" s="803"/>
      <c r="P24" s="766"/>
      <c r="Q24" s="808"/>
      <c r="R24" s="808"/>
      <c r="S24" s="808"/>
      <c r="T24" s="808"/>
      <c r="U24" s="807" t="s">
        <v>3119</v>
      </c>
      <c r="V24" s="807" t="s">
        <v>7169</v>
      </c>
      <c r="W24" s="766"/>
      <c r="X24" s="812" t="s">
        <v>199</v>
      </c>
      <c r="Y24" s="812" t="s">
        <v>7170</v>
      </c>
      <c r="Z24" s="812" t="s">
        <v>7171</v>
      </c>
      <c r="AA24" s="933" t="s">
        <v>2919</v>
      </c>
      <c r="AB24" s="812" t="s">
        <v>659</v>
      </c>
      <c r="AC24" s="812" t="s">
        <v>1814</v>
      </c>
      <c r="AD24" s="812" t="s">
        <v>2556</v>
      </c>
      <c r="AE24" s="812" t="s">
        <v>2553</v>
      </c>
      <c r="AF24" s="812"/>
      <c r="AG24" s="812" t="s">
        <v>6559</v>
      </c>
      <c r="AH24" s="934" t="s">
        <v>7172</v>
      </c>
      <c r="AI24" s="766"/>
      <c r="AJ24" s="814"/>
      <c r="AK24" s="814" t="s">
        <v>5774</v>
      </c>
      <c r="AL24" s="815"/>
      <c r="AM24" s="814" t="s">
        <v>5162</v>
      </c>
      <c r="AN24" s="815"/>
      <c r="AO24" s="815"/>
      <c r="AP24" s="814" t="s">
        <v>2059</v>
      </c>
      <c r="AQ24" s="815"/>
      <c r="AR24" s="814" t="s">
        <v>7173</v>
      </c>
      <c r="AS24" s="814"/>
      <c r="AT24" s="914"/>
      <c r="AU24" s="815"/>
      <c r="AV24" s="879" t="s">
        <v>7174</v>
      </c>
      <c r="AW24" s="819" t="s">
        <v>6131</v>
      </c>
      <c r="AX24" s="814" t="s">
        <v>7175</v>
      </c>
      <c r="AY24" s="814" t="s">
        <v>7176</v>
      </c>
      <c r="AZ24" s="781"/>
      <c r="BA24" s="889"/>
      <c r="BB24" s="822" t="s">
        <v>7177</v>
      </c>
      <c r="BC24" s="851" t="s">
        <v>138</v>
      </c>
      <c r="BD24" s="851"/>
      <c r="BE24" s="935" t="s">
        <v>7178</v>
      </c>
      <c r="BF24" s="781"/>
      <c r="BG24" s="827"/>
      <c r="BH24" s="827"/>
      <c r="BI24" s="827"/>
      <c r="BJ24" s="827"/>
      <c r="BK24" s="827"/>
      <c r="BL24" s="852" t="s">
        <v>7179</v>
      </c>
      <c r="BM24" s="825" t="s">
        <v>7180</v>
      </c>
      <c r="BN24" s="766"/>
      <c r="BO24" s="829"/>
      <c r="BP24" s="882"/>
      <c r="BQ24" s="829"/>
      <c r="BR24" s="829"/>
      <c r="BS24" s="854" t="s">
        <v>7181</v>
      </c>
      <c r="BT24" s="829"/>
      <c r="BU24" s="829"/>
      <c r="BV24" s="829"/>
      <c r="BW24" s="830" t="s">
        <v>7182</v>
      </c>
      <c r="BX24" s="766"/>
      <c r="BY24" s="835"/>
      <c r="BZ24" s="835"/>
      <c r="CA24" s="835"/>
      <c r="CB24" s="856"/>
      <c r="CC24" s="835"/>
      <c r="CD24" s="835"/>
      <c r="CE24" s="835"/>
      <c r="CF24" s="835"/>
      <c r="CG24" s="835"/>
      <c r="CH24" s="835"/>
      <c r="CI24" s="835"/>
      <c r="CJ24" s="856"/>
      <c r="CK24" s="856"/>
    </row>
    <row r="25">
      <c r="A25" s="936" t="s">
        <v>899</v>
      </c>
      <c r="B25" s="760" t="s">
        <v>7183</v>
      </c>
      <c r="C25" s="756" t="s">
        <v>1258</v>
      </c>
      <c r="D25" s="757" t="s">
        <v>1258</v>
      </c>
      <c r="E25" s="758" t="s">
        <v>1258</v>
      </c>
      <c r="F25" s="759" t="s">
        <v>1200</v>
      </c>
      <c r="G25" s="760" t="s">
        <v>3967</v>
      </c>
      <c r="H25" s="805" t="s">
        <v>2607</v>
      </c>
      <c r="I25" s="805" t="s">
        <v>7184</v>
      </c>
      <c r="J25" s="937"/>
      <c r="K25" s="805" t="s">
        <v>3308</v>
      </c>
      <c r="L25" s="804"/>
      <c r="M25" s="803"/>
      <c r="N25" s="803"/>
      <c r="O25" s="875" t="s">
        <v>7185</v>
      </c>
      <c r="P25" s="766"/>
      <c r="Q25" s="876" t="s">
        <v>7186</v>
      </c>
      <c r="R25" s="808"/>
      <c r="S25" s="808"/>
      <c r="T25" s="876" t="s">
        <v>5177</v>
      </c>
      <c r="U25" s="807"/>
      <c r="V25" s="876" t="s">
        <v>7187</v>
      </c>
      <c r="W25" s="766"/>
      <c r="X25" s="844" t="s">
        <v>2143</v>
      </c>
      <c r="Y25" s="877"/>
      <c r="Z25" s="844" t="s">
        <v>1840</v>
      </c>
      <c r="AA25" s="920"/>
      <c r="AB25" s="844" t="s">
        <v>5321</v>
      </c>
      <c r="AC25" s="877"/>
      <c r="AD25" s="877"/>
      <c r="AE25" s="844" t="s">
        <v>4423</v>
      </c>
      <c r="AF25" s="812"/>
      <c r="AG25" s="844" t="s">
        <v>7188</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7189</v>
      </c>
      <c r="BF25" s="781"/>
      <c r="BG25" s="909" t="s">
        <v>2622</v>
      </c>
      <c r="BH25" s="827"/>
      <c r="BI25" s="827"/>
      <c r="BJ25" s="827"/>
      <c r="BK25" s="827"/>
      <c r="BL25" s="827"/>
      <c r="BM25" s="909" t="s">
        <v>7190</v>
      </c>
      <c r="BN25" s="766"/>
      <c r="BO25" s="883" t="s">
        <v>614</v>
      </c>
      <c r="BP25" s="882"/>
      <c r="BQ25" s="829"/>
      <c r="BR25" s="829"/>
      <c r="BS25" s="829"/>
      <c r="BT25" s="829"/>
      <c r="BU25" s="829"/>
      <c r="BV25" s="883" t="s">
        <v>7191</v>
      </c>
      <c r="BW25" s="829"/>
      <c r="BX25" s="766"/>
      <c r="BY25" s="855" t="s">
        <v>7192</v>
      </c>
      <c r="BZ25" s="835"/>
      <c r="CA25" s="835"/>
      <c r="CB25" s="856"/>
      <c r="CC25" s="835"/>
      <c r="CD25" s="835"/>
      <c r="CE25" s="855" t="s">
        <v>7103</v>
      </c>
      <c r="CF25" s="834" t="s">
        <v>7193</v>
      </c>
      <c r="CG25" s="835"/>
      <c r="CH25" s="835"/>
      <c r="CI25" s="835"/>
      <c r="CJ25" s="856"/>
      <c r="CK25" s="856"/>
    </row>
    <row r="26">
      <c r="A26" s="802" t="s">
        <v>7194</v>
      </c>
      <c r="B26" s="760" t="s">
        <v>7195</v>
      </c>
      <c r="C26" s="756" t="s">
        <v>1258</v>
      </c>
      <c r="D26" s="757" t="s">
        <v>1258</v>
      </c>
      <c r="E26" s="758" t="s">
        <v>1258</v>
      </c>
      <c r="F26" s="759" t="s">
        <v>439</v>
      </c>
      <c r="G26" s="760" t="s">
        <v>3967</v>
      </c>
      <c r="H26" s="803"/>
      <c r="I26" s="803"/>
      <c r="J26" s="803"/>
      <c r="K26" s="803"/>
      <c r="L26" s="804" t="s">
        <v>746</v>
      </c>
      <c r="M26" s="803"/>
      <c r="N26" s="804" t="s">
        <v>7196</v>
      </c>
      <c r="O26" s="804"/>
      <c r="P26" s="766"/>
      <c r="Q26" s="808"/>
      <c r="R26" s="808"/>
      <c r="S26" s="808"/>
      <c r="T26" s="808"/>
      <c r="U26" s="808"/>
      <c r="V26" s="876" t="s">
        <v>7197</v>
      </c>
      <c r="W26" s="766"/>
      <c r="X26" s="812" t="s">
        <v>7198</v>
      </c>
      <c r="Y26" s="844" t="s">
        <v>7199</v>
      </c>
      <c r="Z26" s="877"/>
      <c r="AA26" s="938" t="s">
        <v>7200</v>
      </c>
      <c r="AB26" s="877"/>
      <c r="AC26" s="773" t="s">
        <v>4778</v>
      </c>
      <c r="AD26" s="812" t="s">
        <v>1335</v>
      </c>
      <c r="AE26" s="812" t="s">
        <v>7201</v>
      </c>
      <c r="AF26" s="812"/>
      <c r="AG26" s="844" t="s">
        <v>7202</v>
      </c>
      <c r="AH26" s="775"/>
      <c r="AI26" s="766"/>
      <c r="AJ26" s="815"/>
      <c r="AK26" s="815"/>
      <c r="AL26" s="815"/>
      <c r="AM26" s="814" t="s">
        <v>4954</v>
      </c>
      <c r="AN26" s="815"/>
      <c r="AO26" s="815"/>
      <c r="AP26" s="815"/>
      <c r="AQ26" s="815"/>
      <c r="AR26" s="815"/>
      <c r="AS26" s="815"/>
      <c r="AT26" s="815"/>
      <c r="AU26" s="815"/>
      <c r="AV26" s="815"/>
      <c r="AW26" s="815"/>
      <c r="AX26" s="815"/>
      <c r="AY26" s="879" t="s">
        <v>7203</v>
      </c>
      <c r="AZ26" s="781"/>
      <c r="BA26" s="889"/>
      <c r="BB26" s="889"/>
      <c r="BC26" s="889"/>
      <c r="BD26" s="889"/>
      <c r="BE26" s="851" t="s">
        <v>7204</v>
      </c>
      <c r="BF26" s="781"/>
      <c r="BG26" s="827"/>
      <c r="BH26" s="827"/>
      <c r="BI26" s="827"/>
      <c r="BJ26" s="827"/>
      <c r="BK26" s="827"/>
      <c r="BL26" s="825" t="s">
        <v>7205</v>
      </c>
      <c r="BM26" s="827"/>
      <c r="BN26" s="766"/>
      <c r="BO26" s="830" t="s">
        <v>4932</v>
      </c>
      <c r="BP26" s="882"/>
      <c r="BQ26" s="829"/>
      <c r="BR26" s="830" t="s">
        <v>7206</v>
      </c>
      <c r="BS26" s="831" t="s">
        <v>6946</v>
      </c>
      <c r="BT26" s="830" t="s">
        <v>1319</v>
      </c>
      <c r="BU26" s="829"/>
      <c r="BV26" s="883" t="s">
        <v>7207</v>
      </c>
      <c r="BW26" s="830" t="s">
        <v>7208</v>
      </c>
      <c r="BX26" s="766"/>
      <c r="BY26" s="835"/>
      <c r="BZ26" s="835"/>
      <c r="CA26" s="835"/>
      <c r="CB26" s="856"/>
      <c r="CC26" s="835"/>
      <c r="CD26" s="835"/>
      <c r="CE26" s="834" t="s">
        <v>7209</v>
      </c>
      <c r="CF26" s="884" t="s">
        <v>7210</v>
      </c>
      <c r="CG26" s="835"/>
      <c r="CH26" s="835"/>
      <c r="CI26" s="835"/>
      <c r="CJ26" s="856"/>
      <c r="CK26" s="856"/>
    </row>
    <row r="27">
      <c r="A27" s="936" t="s">
        <v>7211</v>
      </c>
      <c r="B27" s="760" t="s">
        <v>6474</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7212</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7213</v>
      </c>
      <c r="BF27" s="781"/>
      <c r="BG27" s="827"/>
      <c r="BH27" s="827"/>
      <c r="BI27" s="827"/>
      <c r="BJ27" s="827"/>
      <c r="BK27" s="827"/>
      <c r="BL27" s="827"/>
      <c r="BM27" s="826" t="s">
        <v>7214</v>
      </c>
      <c r="BN27" s="776"/>
      <c r="BO27" s="931" t="str">
        <f>HYPERLINK("https://youtu.be/oOY4TocVyJU","1:05.01")</f>
        <v>1:05.01</v>
      </c>
      <c r="BP27" s="882"/>
      <c r="BQ27" s="829"/>
      <c r="BR27" s="830"/>
      <c r="BS27" s="830"/>
      <c r="BT27" s="829"/>
      <c r="BU27" s="829"/>
      <c r="BV27" s="829"/>
      <c r="BW27" s="854" t="s">
        <v>7215</v>
      </c>
      <c r="BX27" s="776"/>
      <c r="BY27" s="835"/>
      <c r="BZ27" s="835"/>
      <c r="CA27" s="872"/>
      <c r="CB27" s="942"/>
      <c r="CC27" s="872"/>
      <c r="CD27" s="835"/>
      <c r="CE27" s="835"/>
      <c r="CF27" s="835"/>
      <c r="CG27" s="835"/>
      <c r="CH27" s="835"/>
      <c r="CI27" s="835"/>
      <c r="CJ27" s="856"/>
      <c r="CK27" s="856"/>
    </row>
    <row r="28">
      <c r="A28" s="802" t="s">
        <v>7216</v>
      </c>
      <c r="B28" s="760" t="s">
        <v>7217</v>
      </c>
      <c r="C28" s="756" t="s">
        <v>548</v>
      </c>
      <c r="D28" s="757" t="s">
        <v>1258</v>
      </c>
      <c r="E28" s="758" t="s">
        <v>548</v>
      </c>
      <c r="F28" s="759" t="s">
        <v>334</v>
      </c>
      <c r="G28" s="760" t="s">
        <v>2931</v>
      </c>
      <c r="H28" s="804" t="s">
        <v>4036</v>
      </c>
      <c r="I28" s="804"/>
      <c r="J28" s="804"/>
      <c r="K28" s="803"/>
      <c r="L28" s="804" t="s">
        <v>7218</v>
      </c>
      <c r="M28" s="803"/>
      <c r="N28" s="804" t="s">
        <v>7219</v>
      </c>
      <c r="O28" s="803"/>
      <c r="P28" s="766"/>
      <c r="Q28" s="807" t="s">
        <v>7220</v>
      </c>
      <c r="R28" s="808"/>
      <c r="S28" s="808"/>
      <c r="T28" s="808"/>
      <c r="U28" s="876" t="s">
        <v>7221</v>
      </c>
      <c r="V28" s="807" t="s">
        <v>7222</v>
      </c>
      <c r="W28" s="766"/>
      <c r="X28" s="812"/>
      <c r="Y28" s="812"/>
      <c r="Z28" s="812" t="s">
        <v>7223</v>
      </c>
      <c r="AA28" s="933" t="s">
        <v>4607</v>
      </c>
      <c r="AB28" s="812" t="s">
        <v>1186</v>
      </c>
      <c r="AC28" s="877"/>
      <c r="AD28" s="877"/>
      <c r="AE28" s="812" t="s">
        <v>7224</v>
      </c>
      <c r="AF28" s="812"/>
      <c r="AG28" s="845" t="s">
        <v>7225</v>
      </c>
      <c r="AH28" s="916" t="s">
        <v>7226</v>
      </c>
      <c r="AI28" s="766"/>
      <c r="AJ28" s="863"/>
      <c r="AK28" s="816" t="s">
        <v>7227</v>
      </c>
      <c r="AL28" s="815"/>
      <c r="AM28" s="815"/>
      <c r="AN28" s="815"/>
      <c r="AO28" s="815"/>
      <c r="AP28" s="815"/>
      <c r="AQ28" s="815"/>
      <c r="AR28" s="879" t="s">
        <v>7228</v>
      </c>
      <c r="AS28" s="814" t="s">
        <v>7229</v>
      </c>
      <c r="AT28" s="815"/>
      <c r="AU28" s="815"/>
      <c r="AV28" s="879" t="s">
        <v>6462</v>
      </c>
      <c r="AW28" s="814" t="s">
        <v>2655</v>
      </c>
      <c r="AX28" s="815"/>
      <c r="AY28" s="814" t="s">
        <v>7230</v>
      </c>
      <c r="AZ28" s="781"/>
      <c r="BA28" s="889"/>
      <c r="BB28" s="889"/>
      <c r="BC28" s="889"/>
      <c r="BD28" s="889"/>
      <c r="BE28" s="851" t="s">
        <v>7231</v>
      </c>
      <c r="BF28" s="781"/>
      <c r="BG28" s="827"/>
      <c r="BH28" s="827"/>
      <c r="BI28" s="827"/>
      <c r="BJ28" s="825"/>
      <c r="BK28" s="827"/>
      <c r="BL28" s="908" t="s">
        <v>7232</v>
      </c>
      <c r="BM28" s="824" t="s">
        <v>7233</v>
      </c>
      <c r="BN28" s="766"/>
      <c r="BO28" s="830" t="s">
        <v>4053</v>
      </c>
      <c r="BP28" s="882"/>
      <c r="BQ28" s="829"/>
      <c r="BR28" s="830" t="s">
        <v>7234</v>
      </c>
      <c r="BS28" s="829"/>
      <c r="BT28" s="883" t="s">
        <v>972</v>
      </c>
      <c r="BU28" s="829"/>
      <c r="BV28" s="830" t="s">
        <v>7235</v>
      </c>
      <c r="BW28" s="830" t="s">
        <v>7236</v>
      </c>
      <c r="BX28" s="766"/>
      <c r="BY28" s="835"/>
      <c r="BZ28" s="835"/>
      <c r="CA28" s="835"/>
      <c r="CB28" s="856"/>
      <c r="CC28" s="835"/>
      <c r="CD28" s="835"/>
      <c r="CE28" s="855" t="s">
        <v>7237</v>
      </c>
      <c r="CF28" s="835"/>
      <c r="CG28" s="835"/>
      <c r="CH28" s="835"/>
      <c r="CI28" s="835"/>
      <c r="CJ28" s="856"/>
      <c r="CK28" s="856"/>
    </row>
    <row r="29">
      <c r="A29" s="943" t="s">
        <v>7238</v>
      </c>
      <c r="B29" s="760" t="s">
        <v>7239</v>
      </c>
      <c r="C29" s="756" t="s">
        <v>1258</v>
      </c>
      <c r="D29" s="757" t="s">
        <v>1258</v>
      </c>
      <c r="E29" s="758" t="s">
        <v>1258</v>
      </c>
      <c r="F29" s="759" t="s">
        <v>440</v>
      </c>
      <c r="G29" s="760" t="s">
        <v>4109</v>
      </c>
      <c r="H29" s="901" t="s">
        <v>4228</v>
      </c>
      <c r="I29" s="804" t="s">
        <v>7240</v>
      </c>
      <c r="J29" s="804"/>
      <c r="K29" s="804"/>
      <c r="L29" s="875" t="s">
        <v>7241</v>
      </c>
      <c r="M29" s="803"/>
      <c r="N29" s="805" t="s">
        <v>7242</v>
      </c>
      <c r="O29" s="803"/>
      <c r="P29" s="766"/>
      <c r="Q29" s="808"/>
      <c r="R29" s="808"/>
      <c r="S29" s="808"/>
      <c r="T29" s="808"/>
      <c r="U29" s="807" t="s">
        <v>417</v>
      </c>
      <c r="V29" s="811" t="s">
        <v>7243</v>
      </c>
      <c r="W29" s="766"/>
      <c r="X29" s="844" t="s">
        <v>4928</v>
      </c>
      <c r="Y29" s="812" t="s">
        <v>6174</v>
      </c>
      <c r="Z29" s="844" t="s">
        <v>6088</v>
      </c>
      <c r="AA29" s="915" t="s">
        <v>4607</v>
      </c>
      <c r="AB29" s="844" t="s">
        <v>2505</v>
      </c>
      <c r="AC29" s="773" t="s">
        <v>7244</v>
      </c>
      <c r="AD29" s="877"/>
      <c r="AE29" s="773" t="str">
        <f>HYPERLINK("https://twitter.com/Qbe_Root/status/1242884733232648192","56.04")</f>
        <v>56.04</v>
      </c>
      <c r="AF29" s="845"/>
      <c r="AG29" s="773" t="s">
        <v>7245</v>
      </c>
      <c r="AH29" s="775"/>
      <c r="AI29" s="766"/>
      <c r="AJ29" s="814"/>
      <c r="AK29" s="814" t="s">
        <v>7246</v>
      </c>
      <c r="AL29" s="814" t="s">
        <v>7247</v>
      </c>
      <c r="AM29" s="814" t="s">
        <v>7248</v>
      </c>
      <c r="AN29" s="814"/>
      <c r="AO29" s="815"/>
      <c r="AP29" s="113" t="s">
        <v>7249</v>
      </c>
      <c r="AQ29" s="815"/>
      <c r="AR29" s="815"/>
      <c r="AS29" s="815"/>
      <c r="AT29" s="815"/>
      <c r="AU29" s="815"/>
      <c r="AV29" s="815"/>
      <c r="AW29" s="814" t="s">
        <v>1620</v>
      </c>
      <c r="AX29" s="814" t="s">
        <v>7250</v>
      </c>
      <c r="AY29" s="815"/>
      <c r="AZ29" s="781"/>
      <c r="BA29" s="889"/>
      <c r="BB29" s="889"/>
      <c r="BC29" s="889"/>
      <c r="BD29" s="889"/>
      <c r="BE29" s="917" t="s">
        <v>7251</v>
      </c>
      <c r="BF29" s="781"/>
      <c r="BG29" s="825" t="s">
        <v>1468</v>
      </c>
      <c r="BH29" s="827"/>
      <c r="BI29" s="827"/>
      <c r="BJ29" s="827"/>
      <c r="BK29" s="825" t="s">
        <v>7252</v>
      </c>
      <c r="BL29" s="827"/>
      <c r="BM29" s="825" t="s">
        <v>7253</v>
      </c>
      <c r="BN29" s="766"/>
      <c r="BO29" s="830" t="s">
        <v>7254</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6596</v>
      </c>
      <c r="B30" s="760" t="s">
        <v>7255</v>
      </c>
      <c r="C30" s="756" t="s">
        <v>548</v>
      </c>
      <c r="D30" s="757" t="s">
        <v>1258</v>
      </c>
      <c r="E30" s="758" t="s">
        <v>1258</v>
      </c>
      <c r="F30" s="759" t="s">
        <v>548</v>
      </c>
      <c r="G30" s="760" t="s">
        <v>6266</v>
      </c>
      <c r="H30" s="803"/>
      <c r="I30" s="803"/>
      <c r="J30" s="803"/>
      <c r="K30" s="803"/>
      <c r="L30" s="804" t="s">
        <v>7256</v>
      </c>
      <c r="M30" s="803"/>
      <c r="N30" s="804" t="s">
        <v>7257</v>
      </c>
      <c r="O30" s="803"/>
      <c r="P30" s="766"/>
      <c r="Q30" s="807" t="s">
        <v>7258</v>
      </c>
      <c r="R30" s="808"/>
      <c r="S30" s="807" t="s">
        <v>7259</v>
      </c>
      <c r="T30" s="808"/>
      <c r="U30" s="808"/>
      <c r="V30" s="807" t="s">
        <v>7260</v>
      </c>
      <c r="W30" s="766"/>
      <c r="X30" s="877"/>
      <c r="Y30" s="877"/>
      <c r="Z30" s="877"/>
      <c r="AA30" s="920"/>
      <c r="AB30" s="877"/>
      <c r="AC30" s="877"/>
      <c r="AD30" s="812" t="s">
        <v>205</v>
      </c>
      <c r="AE30" s="812" t="s">
        <v>1295</v>
      </c>
      <c r="AF30" s="877"/>
      <c r="AG30" s="812" t="s">
        <v>7261</v>
      </c>
      <c r="AH30" s="775"/>
      <c r="AI30" s="766"/>
      <c r="AJ30" s="815"/>
      <c r="AK30" s="815"/>
      <c r="AL30" s="815"/>
      <c r="AM30" s="814" t="s">
        <v>7262</v>
      </c>
      <c r="AN30" s="815"/>
      <c r="AO30" s="815"/>
      <c r="AP30" s="814" t="s">
        <v>7263</v>
      </c>
      <c r="AQ30" s="815"/>
      <c r="AR30" s="814" t="s">
        <v>7264</v>
      </c>
      <c r="AS30" s="814" t="s">
        <v>7265</v>
      </c>
      <c r="AT30" s="879" t="s">
        <v>7266</v>
      </c>
      <c r="AU30" s="814" t="s">
        <v>7267</v>
      </c>
      <c r="AV30" s="815"/>
      <c r="AW30" s="814" t="s">
        <v>416</v>
      </c>
      <c r="AX30" s="815"/>
      <c r="AY30" s="814" t="s">
        <v>7268</v>
      </c>
      <c r="AZ30" s="781"/>
      <c r="BA30" s="851" t="s">
        <v>7269</v>
      </c>
      <c r="BB30" s="851" t="s">
        <v>7270</v>
      </c>
      <c r="BC30" s="851" t="s">
        <v>5296</v>
      </c>
      <c r="BD30" s="889"/>
      <c r="BE30" s="851" t="s">
        <v>7271</v>
      </c>
      <c r="BF30" s="781"/>
      <c r="BG30" s="825" t="s">
        <v>6907</v>
      </c>
      <c r="BH30" s="825" t="s">
        <v>5858</v>
      </c>
      <c r="BI30" s="825" t="s">
        <v>3915</v>
      </c>
      <c r="BJ30" s="909" t="s">
        <v>6424</v>
      </c>
      <c r="BK30" s="827"/>
      <c r="BL30" s="825" t="s">
        <v>7272</v>
      </c>
      <c r="BM30" s="827"/>
      <c r="BN30" s="766"/>
      <c r="BO30" s="830" t="s">
        <v>7273</v>
      </c>
      <c r="BP30" s="882"/>
      <c r="BQ30" s="829"/>
      <c r="BR30" s="830" t="s">
        <v>1334</v>
      </c>
      <c r="BS30" s="829"/>
      <c r="BT30" s="830" t="s">
        <v>1289</v>
      </c>
      <c r="BU30" s="829"/>
      <c r="BV30" s="829"/>
      <c r="BW30" s="829"/>
      <c r="BX30" s="766"/>
      <c r="BY30" s="834" t="s">
        <v>4435</v>
      </c>
      <c r="BZ30" s="835"/>
      <c r="CA30" s="835"/>
      <c r="CB30" s="856"/>
      <c r="CC30" s="885" t="s">
        <v>7274</v>
      </c>
      <c r="CD30" s="835"/>
      <c r="CE30" s="835"/>
      <c r="CF30" s="834" t="s">
        <v>6730</v>
      </c>
      <c r="CG30" s="835"/>
      <c r="CH30" s="835"/>
      <c r="CI30" s="835"/>
      <c r="CJ30" s="856"/>
      <c r="CK30" s="856"/>
    </row>
    <row r="31">
      <c r="A31" s="802" t="s">
        <v>4046</v>
      </c>
      <c r="B31" s="760" t="s">
        <v>7275</v>
      </c>
      <c r="C31" s="756" t="s">
        <v>1258</v>
      </c>
      <c r="D31" s="757" t="s">
        <v>1258</v>
      </c>
      <c r="E31" s="758" t="s">
        <v>1258</v>
      </c>
      <c r="F31" s="759" t="s">
        <v>439</v>
      </c>
      <c r="G31" s="760" t="s">
        <v>2988</v>
      </c>
      <c r="H31" s="804" t="s">
        <v>2307</v>
      </c>
      <c r="I31" s="803"/>
      <c r="J31" s="803"/>
      <c r="K31" s="803"/>
      <c r="L31" s="804" t="s">
        <v>6500</v>
      </c>
      <c r="M31" s="803"/>
      <c r="N31" s="804" t="s">
        <v>7276</v>
      </c>
      <c r="O31" s="803"/>
      <c r="P31" s="766"/>
      <c r="Q31" s="807" t="s">
        <v>7277</v>
      </c>
      <c r="R31" s="808"/>
      <c r="S31" s="808"/>
      <c r="T31" s="808"/>
      <c r="U31" s="876" t="s">
        <v>6870</v>
      </c>
      <c r="V31" s="807" t="s">
        <v>7278</v>
      </c>
      <c r="W31" s="766"/>
      <c r="X31" s="877"/>
      <c r="Y31" s="877"/>
      <c r="Z31" s="812" t="s">
        <v>7279</v>
      </c>
      <c r="AA31" s="920"/>
      <c r="AB31" s="812" t="s">
        <v>4852</v>
      </c>
      <c r="AC31" s="812" t="s">
        <v>311</v>
      </c>
      <c r="AD31" s="877"/>
      <c r="AE31" s="812" t="s">
        <v>2804</v>
      </c>
      <c r="AF31" s="812"/>
      <c r="AG31" s="773" t="s">
        <v>7280</v>
      </c>
      <c r="AH31" s="926" t="s">
        <v>7281</v>
      </c>
      <c r="AI31" s="766"/>
      <c r="AJ31" s="814"/>
      <c r="AK31" s="814" t="s">
        <v>7282</v>
      </c>
      <c r="AL31" s="814" t="s">
        <v>7283</v>
      </c>
      <c r="AM31" s="814" t="s">
        <v>4196</v>
      </c>
      <c r="AN31" s="814"/>
      <c r="AO31" s="815"/>
      <c r="AP31" s="815"/>
      <c r="AQ31" s="815"/>
      <c r="AR31" s="814" t="s">
        <v>7284</v>
      </c>
      <c r="AS31" s="814" t="s">
        <v>7285</v>
      </c>
      <c r="AT31" s="814"/>
      <c r="AU31" s="814" t="s">
        <v>7286</v>
      </c>
      <c r="AV31" s="814"/>
      <c r="AW31" s="814" t="s">
        <v>194</v>
      </c>
      <c r="AX31" s="815"/>
      <c r="AY31" s="814" t="s">
        <v>7287</v>
      </c>
      <c r="AZ31" s="781"/>
      <c r="BA31" s="851"/>
      <c r="BB31" s="851" t="s">
        <v>7288</v>
      </c>
      <c r="BC31" s="917" t="s">
        <v>4500</v>
      </c>
      <c r="BD31" s="851"/>
      <c r="BE31" s="917" t="s">
        <v>7289</v>
      </c>
      <c r="BF31" s="781"/>
      <c r="BG31" s="825" t="s">
        <v>7290</v>
      </c>
      <c r="BH31" s="827"/>
      <c r="BI31" s="827"/>
      <c r="BJ31" s="827"/>
      <c r="BK31" s="827"/>
      <c r="BL31" s="825" t="s">
        <v>7291</v>
      </c>
      <c r="BM31" s="825" t="s">
        <v>7292</v>
      </c>
      <c r="BN31" s="766"/>
      <c r="BO31" s="830" t="s">
        <v>3397</v>
      </c>
      <c r="BP31" s="882"/>
      <c r="BQ31" s="829"/>
      <c r="BR31" s="830" t="s">
        <v>7293</v>
      </c>
      <c r="BS31" s="883" t="s">
        <v>7294</v>
      </c>
      <c r="BT31" s="829"/>
      <c r="BU31" s="829"/>
      <c r="BV31" s="830" t="s">
        <v>5333</v>
      </c>
      <c r="BW31" s="830" t="s">
        <v>4511</v>
      </c>
      <c r="BX31" s="766"/>
      <c r="BY31" s="835"/>
      <c r="BZ31" s="835"/>
      <c r="CA31" s="835"/>
      <c r="CB31" s="856"/>
      <c r="CC31" s="835"/>
      <c r="CD31" s="835"/>
      <c r="CE31" s="835"/>
      <c r="CF31" s="834" t="s">
        <v>7295</v>
      </c>
      <c r="CG31" s="835"/>
      <c r="CH31" s="835"/>
      <c r="CI31" s="855" t="s">
        <v>7296</v>
      </c>
      <c r="CJ31" s="856"/>
      <c r="CK31" s="856"/>
    </row>
    <row r="32">
      <c r="A32" s="802" t="s">
        <v>2929</v>
      </c>
      <c r="B32" s="760" t="s">
        <v>7297</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7298</v>
      </c>
      <c r="V32" s="807" t="s">
        <v>7299</v>
      </c>
      <c r="W32" s="766"/>
      <c r="X32" s="877"/>
      <c r="Y32" s="877"/>
      <c r="Z32" s="877"/>
      <c r="AA32" s="920"/>
      <c r="AB32" s="812"/>
      <c r="AC32" s="772" t="s">
        <v>7300</v>
      </c>
      <c r="AD32" s="812" t="s">
        <v>7301</v>
      </c>
      <c r="AE32" s="812" t="s">
        <v>4569</v>
      </c>
      <c r="AF32" s="812"/>
      <c r="AG32" s="877"/>
      <c r="AH32" s="775"/>
      <c r="AI32" s="766"/>
      <c r="AJ32" s="815"/>
      <c r="AK32" s="815"/>
      <c r="AL32" s="815"/>
      <c r="AM32" s="815"/>
      <c r="AN32" s="815"/>
      <c r="AO32" s="815"/>
      <c r="AP32" s="848" t="s">
        <v>7302</v>
      </c>
      <c r="AQ32" s="815"/>
      <c r="AR32" s="815"/>
      <c r="AS32" s="815"/>
      <c r="AT32" s="815"/>
      <c r="AU32" s="815"/>
      <c r="AV32" s="815"/>
      <c r="AW32" s="814" t="s">
        <v>1703</v>
      </c>
      <c r="AX32" s="815"/>
      <c r="AY32" s="815"/>
      <c r="AZ32" s="781"/>
      <c r="BA32" s="889"/>
      <c r="BB32" s="889"/>
      <c r="BC32" s="822" t="s">
        <v>5630</v>
      </c>
      <c r="BD32" s="820"/>
      <c r="BE32" s="851" t="s">
        <v>7303</v>
      </c>
      <c r="BF32" s="781"/>
      <c r="BG32" s="827"/>
      <c r="BH32" s="827"/>
      <c r="BI32" s="827"/>
      <c r="BJ32" s="827"/>
      <c r="BK32" s="827"/>
      <c r="BL32" s="827"/>
      <c r="BM32" s="827"/>
      <c r="BN32" s="766"/>
      <c r="BO32" s="830" t="s">
        <v>7304</v>
      </c>
      <c r="BP32" s="882"/>
      <c r="BQ32" s="829"/>
      <c r="BR32" s="829"/>
      <c r="BS32" s="829"/>
      <c r="BT32" s="829"/>
      <c r="BU32" s="829"/>
      <c r="BV32" s="830" t="s">
        <v>7305</v>
      </c>
      <c r="BW32" s="829"/>
      <c r="BX32" s="766"/>
      <c r="BY32" s="835"/>
      <c r="BZ32" s="835"/>
      <c r="CA32" s="835"/>
      <c r="CB32" s="856"/>
      <c r="CC32" s="835"/>
      <c r="CD32" s="835"/>
      <c r="CE32" s="835"/>
      <c r="CF32" s="835"/>
      <c r="CG32" s="835"/>
      <c r="CH32" s="835"/>
      <c r="CI32" s="835"/>
      <c r="CJ32" s="856"/>
      <c r="CK32" s="856"/>
    </row>
    <row r="33">
      <c r="A33" s="802" t="s">
        <v>7306</v>
      </c>
      <c r="B33" s="760" t="s">
        <v>7307</v>
      </c>
      <c r="C33" s="756" t="s">
        <v>1258</v>
      </c>
      <c r="D33" s="757" t="s">
        <v>1258</v>
      </c>
      <c r="E33" s="758" t="s">
        <v>1258</v>
      </c>
      <c r="F33" s="759" t="s">
        <v>1258</v>
      </c>
      <c r="G33" s="760" t="s">
        <v>222</v>
      </c>
      <c r="H33" s="803"/>
      <c r="I33" s="803"/>
      <c r="J33" s="804" t="s">
        <v>7308</v>
      </c>
      <c r="K33" s="803"/>
      <c r="L33" s="803"/>
      <c r="M33" s="803"/>
      <c r="N33" s="803"/>
      <c r="O33" s="804" t="s">
        <v>7309</v>
      </c>
      <c r="P33" s="766"/>
      <c r="Q33" s="808"/>
      <c r="R33" s="808"/>
      <c r="S33" s="808"/>
      <c r="T33" s="808"/>
      <c r="U33" s="808"/>
      <c r="V33" s="807" t="s">
        <v>7310</v>
      </c>
      <c r="W33" s="766"/>
      <c r="X33" s="877"/>
      <c r="Y33" s="877"/>
      <c r="Z33" s="877"/>
      <c r="AA33" s="920"/>
      <c r="AB33" s="877"/>
      <c r="AC33" s="877"/>
      <c r="AD33" s="877"/>
      <c r="AE33" s="812" t="s">
        <v>2298</v>
      </c>
      <c r="AF33" s="812"/>
      <c r="AG33" s="812" t="s">
        <v>7311</v>
      </c>
      <c r="AH33" s="775"/>
      <c r="AI33" s="766"/>
      <c r="AJ33" s="815"/>
      <c r="AK33" s="815"/>
      <c r="AL33" s="815"/>
      <c r="AM33" s="815"/>
      <c r="AN33" s="815"/>
      <c r="AO33" s="815"/>
      <c r="AP33" s="814" t="s">
        <v>7312</v>
      </c>
      <c r="AQ33" s="815"/>
      <c r="AR33" s="815"/>
      <c r="AS33" s="815"/>
      <c r="AT33" s="815"/>
      <c r="AU33" s="815"/>
      <c r="AV33" s="815"/>
      <c r="AW33" s="815"/>
      <c r="AX33" s="815"/>
      <c r="AY33" s="815"/>
      <c r="AZ33" s="781"/>
      <c r="BA33" s="851" t="s">
        <v>7313</v>
      </c>
      <c r="BB33" s="889"/>
      <c r="BC33" s="851"/>
      <c r="BD33" s="851"/>
      <c r="BE33" s="851" t="s">
        <v>7314</v>
      </c>
      <c r="BF33" s="781"/>
      <c r="BG33" s="827"/>
      <c r="BH33" s="827"/>
      <c r="BI33" s="827"/>
      <c r="BJ33" s="827"/>
      <c r="BK33" s="827"/>
      <c r="BL33" s="827"/>
      <c r="BM33" s="825" t="s">
        <v>7315</v>
      </c>
      <c r="BN33" s="766"/>
      <c r="BO33" s="829"/>
      <c r="BP33" s="882"/>
      <c r="BQ33" s="829"/>
      <c r="BR33" s="830" t="s">
        <v>2472</v>
      </c>
      <c r="BS33" s="829"/>
      <c r="BT33" s="829"/>
      <c r="BU33" s="829"/>
      <c r="BV33" s="883" t="s">
        <v>7316</v>
      </c>
      <c r="BW33" s="830" t="s">
        <v>7317</v>
      </c>
      <c r="BX33" s="766"/>
      <c r="BY33" s="834" t="s">
        <v>6323</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6303</v>
      </c>
      <c r="H34" s="804" t="s">
        <v>7318</v>
      </c>
      <c r="I34" s="803"/>
      <c r="J34" s="803"/>
      <c r="K34" s="803"/>
      <c r="L34" s="803"/>
      <c r="M34" s="803"/>
      <c r="N34" s="803"/>
      <c r="O34" s="803"/>
      <c r="P34" s="766"/>
      <c r="Q34" s="808"/>
      <c r="R34" s="808"/>
      <c r="S34" s="807" t="s">
        <v>1022</v>
      </c>
      <c r="T34" s="807" t="s">
        <v>1897</v>
      </c>
      <c r="U34" s="807" t="s">
        <v>4566</v>
      </c>
      <c r="V34" s="807" t="s">
        <v>7319</v>
      </c>
      <c r="W34" s="766"/>
      <c r="X34" s="812" t="s">
        <v>1667</v>
      </c>
      <c r="Y34" s="877"/>
      <c r="Z34" s="877"/>
      <c r="AA34" s="920"/>
      <c r="AB34" s="877"/>
      <c r="AC34" s="877"/>
      <c r="AD34" s="877"/>
      <c r="AE34" s="877"/>
      <c r="AF34" s="812"/>
      <c r="AG34" s="877"/>
      <c r="AH34" s="775"/>
      <c r="AI34" s="766"/>
      <c r="AJ34" s="815"/>
      <c r="AK34" s="815"/>
      <c r="AL34" s="815"/>
      <c r="AM34" s="814" t="s">
        <v>7320</v>
      </c>
      <c r="AN34" s="815"/>
      <c r="AO34" s="815"/>
      <c r="AP34" s="814" t="s">
        <v>7321</v>
      </c>
      <c r="AQ34" s="815"/>
      <c r="AR34" s="819" t="s">
        <v>7322</v>
      </c>
      <c r="AS34" s="815"/>
      <c r="AT34" s="815"/>
      <c r="AU34" s="815"/>
      <c r="AV34" s="815"/>
      <c r="AW34" s="814" t="s">
        <v>1439</v>
      </c>
      <c r="AX34" s="815"/>
      <c r="AY34" s="815"/>
      <c r="AZ34" s="781"/>
      <c r="BA34" s="889"/>
      <c r="BB34" s="851" t="s">
        <v>7323</v>
      </c>
      <c r="BC34" s="851" t="s">
        <v>422</v>
      </c>
      <c r="BD34" s="851"/>
      <c r="BE34" s="851" t="s">
        <v>7324</v>
      </c>
      <c r="BF34" s="781"/>
      <c r="BG34" s="827"/>
      <c r="BH34" s="827"/>
      <c r="BI34" s="827"/>
      <c r="BJ34" s="827"/>
      <c r="BK34" s="827"/>
      <c r="BL34" s="827"/>
      <c r="BM34" s="827"/>
      <c r="BN34" s="766"/>
      <c r="BO34" s="831" t="s">
        <v>7325</v>
      </c>
      <c r="BP34" s="882"/>
      <c r="BQ34" s="831" t="s">
        <v>1033</v>
      </c>
      <c r="BR34" s="829"/>
      <c r="BS34" s="829"/>
      <c r="BT34" s="829"/>
      <c r="BU34" s="829"/>
      <c r="BV34" s="830" t="s">
        <v>7270</v>
      </c>
      <c r="BW34" s="830" t="s">
        <v>7326</v>
      </c>
      <c r="BX34" s="766"/>
      <c r="BY34" s="835"/>
      <c r="BZ34" s="855" t="s">
        <v>7327</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7328</v>
      </c>
      <c r="M35" s="803"/>
      <c r="N35" s="804" t="s">
        <v>7329</v>
      </c>
      <c r="O35" s="804"/>
      <c r="P35" s="766"/>
      <c r="Q35" s="807" t="s">
        <v>7330</v>
      </c>
      <c r="R35" s="808"/>
      <c r="S35" s="808"/>
      <c r="T35" s="808"/>
      <c r="U35" s="808"/>
      <c r="V35" s="807" t="s">
        <v>7331</v>
      </c>
      <c r="W35" s="766"/>
      <c r="X35" s="877"/>
      <c r="Y35" s="877"/>
      <c r="Z35" s="812" t="s">
        <v>7332</v>
      </c>
      <c r="AA35" s="812" t="s">
        <v>7333</v>
      </c>
      <c r="AB35" s="812" t="s">
        <v>3926</v>
      </c>
      <c r="AC35" s="812" t="s">
        <v>7334</v>
      </c>
      <c r="AD35" s="877"/>
      <c r="AE35" s="812" t="s">
        <v>2600</v>
      </c>
      <c r="AF35" s="812"/>
      <c r="AG35" s="877"/>
      <c r="AH35" s="926" t="s">
        <v>7335</v>
      </c>
      <c r="AI35" s="766"/>
      <c r="AJ35" s="815"/>
      <c r="AK35" s="815"/>
      <c r="AL35" s="815"/>
      <c r="AM35" s="815"/>
      <c r="AN35" s="815"/>
      <c r="AO35" s="815"/>
      <c r="AP35" s="814" t="s">
        <v>7336</v>
      </c>
      <c r="AQ35" s="815"/>
      <c r="AR35" s="815"/>
      <c r="AS35" s="815"/>
      <c r="AT35" s="815"/>
      <c r="AU35" s="815"/>
      <c r="AV35" s="815"/>
      <c r="AW35" s="814" t="s">
        <v>435</v>
      </c>
      <c r="AX35" s="815"/>
      <c r="AY35" s="814" t="s">
        <v>7337</v>
      </c>
      <c r="AZ35" s="781"/>
      <c r="BA35" s="851" t="s">
        <v>7338</v>
      </c>
      <c r="BB35" s="851" t="s">
        <v>7339</v>
      </c>
      <c r="BC35" s="889"/>
      <c r="BD35" s="889"/>
      <c r="BE35" s="851" t="s">
        <v>7340</v>
      </c>
      <c r="BF35" s="781"/>
      <c r="BG35" s="827"/>
      <c r="BH35" s="827"/>
      <c r="BI35" s="827"/>
      <c r="BJ35" s="827"/>
      <c r="BK35" s="827"/>
      <c r="BL35" s="890" t="s">
        <v>7341</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7342</v>
      </c>
      <c r="O36" s="803"/>
      <c r="P36" s="766"/>
      <c r="Q36" s="808"/>
      <c r="R36" s="808"/>
      <c r="S36" s="887" t="s">
        <v>2836</v>
      </c>
      <c r="T36" s="808"/>
      <c r="U36" s="808"/>
      <c r="V36" s="807" t="s">
        <v>7343</v>
      </c>
      <c r="W36" s="766"/>
      <c r="X36" s="877"/>
      <c r="Y36" s="877"/>
      <c r="Z36" s="812" t="s">
        <v>7113</v>
      </c>
      <c r="AA36" s="861" t="s">
        <v>609</v>
      </c>
      <c r="AB36" s="877"/>
      <c r="AC36" s="877"/>
      <c r="AD36" s="812" t="s">
        <v>4943</v>
      </c>
      <c r="AE36" s="812" t="s">
        <v>751</v>
      </c>
      <c r="AF36" s="877"/>
      <c r="AG36" s="877"/>
      <c r="AH36" s="934" t="s">
        <v>7344</v>
      </c>
      <c r="AI36" s="766"/>
      <c r="AJ36" s="815"/>
      <c r="AK36" s="815"/>
      <c r="AL36" s="815"/>
      <c r="AM36" s="814" t="s">
        <v>7345</v>
      </c>
      <c r="AN36" s="815"/>
      <c r="AO36" s="815"/>
      <c r="AP36" s="815"/>
      <c r="AQ36" s="815"/>
      <c r="AR36" s="815"/>
      <c r="AS36" s="815"/>
      <c r="AT36" s="815"/>
      <c r="AU36" s="815"/>
      <c r="AV36" s="815"/>
      <c r="AW36" s="815"/>
      <c r="AX36" s="815"/>
      <c r="AY36" s="814" t="s">
        <v>7346</v>
      </c>
      <c r="AZ36" s="781"/>
      <c r="BA36" s="889"/>
      <c r="BB36" s="889"/>
      <c r="BC36" s="889"/>
      <c r="BD36" s="851" t="s">
        <v>7347</v>
      </c>
      <c r="BE36" s="851" t="s">
        <v>7348</v>
      </c>
      <c r="BF36" s="781"/>
      <c r="BG36" s="825" t="s">
        <v>1393</v>
      </c>
      <c r="BH36" s="827"/>
      <c r="BI36" s="827"/>
      <c r="BJ36" s="827"/>
      <c r="BK36" s="827"/>
      <c r="BL36" s="825" t="s">
        <v>7349</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6354</v>
      </c>
      <c r="B37" s="760" t="s">
        <v>985</v>
      </c>
      <c r="C37" s="756" t="s">
        <v>1258</v>
      </c>
      <c r="D37" s="757" t="s">
        <v>1258</v>
      </c>
      <c r="E37" s="758" t="s">
        <v>1258</v>
      </c>
      <c r="F37" s="759" t="s">
        <v>1258</v>
      </c>
      <c r="G37" s="760" t="s">
        <v>2865</v>
      </c>
      <c r="H37" s="803"/>
      <c r="I37" s="803"/>
      <c r="J37" s="803"/>
      <c r="K37" s="803"/>
      <c r="L37" s="804" t="s">
        <v>7350</v>
      </c>
      <c r="M37" s="803"/>
      <c r="N37" s="804" t="s">
        <v>7351</v>
      </c>
      <c r="O37" s="803"/>
      <c r="P37" s="766"/>
      <c r="Q37" s="808"/>
      <c r="R37" s="808"/>
      <c r="S37" s="808"/>
      <c r="T37" s="808"/>
      <c r="U37" s="807" t="s">
        <v>4512</v>
      </c>
      <c r="V37" s="807" t="s">
        <v>7352</v>
      </c>
      <c r="W37" s="766"/>
      <c r="X37" s="877"/>
      <c r="Y37" s="877"/>
      <c r="Z37" s="812" t="s">
        <v>7353</v>
      </c>
      <c r="AA37" s="920"/>
      <c r="AB37" s="877"/>
      <c r="AC37" s="877"/>
      <c r="AD37" s="812" t="s">
        <v>1413</v>
      </c>
      <c r="AE37" s="812" t="s">
        <v>3266</v>
      </c>
      <c r="AF37" s="812"/>
      <c r="AG37" s="877"/>
      <c r="AH37" s="926" t="s">
        <v>7354</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7355</v>
      </c>
      <c r="BF37" s="781"/>
      <c r="BG37" s="825" t="s">
        <v>7356</v>
      </c>
      <c r="BH37" s="825" t="s">
        <v>2996</v>
      </c>
      <c r="BI37" s="827"/>
      <c r="BJ37" s="827"/>
      <c r="BK37" s="827"/>
      <c r="BL37" s="825" t="s">
        <v>7357</v>
      </c>
      <c r="BM37" s="827"/>
      <c r="BN37" s="766"/>
      <c r="BO37" s="830" t="s">
        <v>1832</v>
      </c>
      <c r="BP37" s="882"/>
      <c r="BQ37" s="829"/>
      <c r="BR37" s="829"/>
      <c r="BS37" s="829"/>
      <c r="BT37" s="830" t="s">
        <v>4390</v>
      </c>
      <c r="BU37" s="829"/>
      <c r="BV37" s="830" t="s">
        <v>7358</v>
      </c>
      <c r="BW37" s="830" t="s">
        <v>7359</v>
      </c>
      <c r="BX37" s="766"/>
      <c r="BY37" s="835"/>
      <c r="BZ37" s="835"/>
      <c r="CA37" s="835"/>
      <c r="CB37" s="856"/>
      <c r="CC37" s="835"/>
      <c r="CD37" s="835"/>
      <c r="CE37" s="835"/>
      <c r="CF37" s="835"/>
      <c r="CG37" s="835"/>
      <c r="CH37" s="884" t="s">
        <v>6093</v>
      </c>
      <c r="CI37" s="835"/>
      <c r="CJ37" s="856"/>
      <c r="CK37" s="856"/>
    </row>
    <row r="38">
      <c r="A38" s="802" t="s">
        <v>5237</v>
      </c>
      <c r="B38" s="760" t="s">
        <v>6609</v>
      </c>
      <c r="C38" s="756" t="s">
        <v>1258</v>
      </c>
      <c r="D38" s="757" t="s">
        <v>1258</v>
      </c>
      <c r="E38" s="758" t="s">
        <v>1258</v>
      </c>
      <c r="F38" s="759" t="s">
        <v>548</v>
      </c>
      <c r="G38" s="760" t="s">
        <v>222</v>
      </c>
      <c r="H38" s="803"/>
      <c r="I38" s="803"/>
      <c r="J38" s="803"/>
      <c r="K38" s="803"/>
      <c r="L38" s="901" t="s">
        <v>293</v>
      </c>
      <c r="M38" s="803"/>
      <c r="N38" s="804" t="s">
        <v>7360</v>
      </c>
      <c r="O38" s="803"/>
      <c r="P38" s="766"/>
      <c r="Q38" s="808"/>
      <c r="R38" s="808"/>
      <c r="S38" s="807" t="s">
        <v>7361</v>
      </c>
      <c r="T38" s="808"/>
      <c r="U38" s="808"/>
      <c r="V38" s="808"/>
      <c r="W38" s="766"/>
      <c r="X38" s="877"/>
      <c r="Y38" s="877"/>
      <c r="Z38" s="877"/>
      <c r="AA38" s="933" t="s">
        <v>7362</v>
      </c>
      <c r="AB38" s="846" t="s">
        <v>7363</v>
      </c>
      <c r="AC38" s="877"/>
      <c r="AD38" s="877"/>
      <c r="AE38" s="877"/>
      <c r="AF38" s="877"/>
      <c r="AG38" s="877"/>
      <c r="AH38" s="926" t="s">
        <v>7364</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7365</v>
      </c>
      <c r="BF38" s="781"/>
      <c r="BG38" s="827"/>
      <c r="BH38" s="827"/>
      <c r="BI38" s="827"/>
      <c r="BJ38" s="827"/>
      <c r="BK38" s="827"/>
      <c r="BL38" s="827"/>
      <c r="BM38" s="827"/>
      <c r="BN38" s="766"/>
      <c r="BO38" s="829"/>
      <c r="BP38" s="882"/>
      <c r="BQ38" s="829"/>
      <c r="BR38" s="829"/>
      <c r="BS38" s="829"/>
      <c r="BT38" s="829"/>
      <c r="BU38" s="918" t="s">
        <v>3411</v>
      </c>
      <c r="BV38" s="830" t="s">
        <v>393</v>
      </c>
      <c r="BW38" s="883" t="s">
        <v>7366</v>
      </c>
      <c r="BX38" s="766"/>
      <c r="BY38" s="835"/>
      <c r="BZ38" s="927" t="s">
        <v>2869</v>
      </c>
      <c r="CA38" s="835"/>
      <c r="CB38" s="856"/>
      <c r="CC38" s="835"/>
      <c r="CD38" s="835"/>
      <c r="CE38" s="835"/>
      <c r="CF38" s="834" t="s">
        <v>7367</v>
      </c>
      <c r="CG38" s="835"/>
      <c r="CH38" s="835"/>
      <c r="CI38" s="855" t="s">
        <v>5012</v>
      </c>
      <c r="CJ38" s="856"/>
      <c r="CK38" s="856"/>
    </row>
    <row r="39">
      <c r="A39" s="802" t="s">
        <v>7368</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7369</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7370</v>
      </c>
      <c r="Z40" s="950"/>
      <c r="AA40" s="950"/>
      <c r="AB40" s="953" t="s">
        <v>5133</v>
      </c>
      <c r="AC40" s="950"/>
      <c r="AD40" s="951"/>
      <c r="AE40" s="951"/>
      <c r="AF40" s="951"/>
      <c r="AG40" s="953" t="s">
        <v>7371</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6198</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7372</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7373</v>
      </c>
      <c r="K42" s="804"/>
      <c r="L42" s="804"/>
      <c r="M42" s="804" t="s">
        <v>7374</v>
      </c>
      <c r="N42" s="803"/>
      <c r="O42" s="804" t="s">
        <v>7375</v>
      </c>
      <c r="P42" s="766"/>
      <c r="Q42" s="808"/>
      <c r="R42" s="807" t="s">
        <v>7376</v>
      </c>
      <c r="S42" s="808"/>
      <c r="T42" s="808"/>
      <c r="U42" s="808"/>
      <c r="V42" s="807" t="s">
        <v>7377</v>
      </c>
      <c r="W42" s="766"/>
      <c r="X42" s="877"/>
      <c r="Y42" s="877"/>
      <c r="Z42" s="877"/>
      <c r="AA42" s="933" t="s">
        <v>7378</v>
      </c>
      <c r="AB42" s="812" t="s">
        <v>7379</v>
      </c>
      <c r="AC42" s="877"/>
      <c r="AD42" s="877"/>
      <c r="AE42" s="877"/>
      <c r="AF42" s="877"/>
      <c r="AG42" s="812" t="s">
        <v>7380</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7381</v>
      </c>
      <c r="BF42" s="781"/>
      <c r="BG42" s="827"/>
      <c r="BH42" s="827"/>
      <c r="BI42" s="827"/>
      <c r="BJ42" s="827"/>
      <c r="BK42" s="827"/>
      <c r="BL42" s="827"/>
      <c r="BM42" s="825" t="s">
        <v>7382</v>
      </c>
      <c r="BN42" s="766"/>
      <c r="BO42" s="829"/>
      <c r="BP42" s="882"/>
      <c r="BQ42" s="829"/>
      <c r="BR42" s="829"/>
      <c r="BS42" s="829"/>
      <c r="BT42" s="829"/>
      <c r="BU42" s="829"/>
      <c r="BV42" s="830" t="s">
        <v>6768</v>
      </c>
      <c r="BW42" s="830" t="s">
        <v>7383</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7384</v>
      </c>
      <c r="M43" s="803"/>
      <c r="N43" s="805" t="s">
        <v>7385</v>
      </c>
      <c r="O43" s="803"/>
      <c r="P43" s="766"/>
      <c r="Q43" s="807" t="s">
        <v>7386</v>
      </c>
      <c r="R43" s="808"/>
      <c r="S43" s="808"/>
      <c r="T43" s="808"/>
      <c r="U43" s="808"/>
      <c r="V43" s="807" t="s">
        <v>7387</v>
      </c>
      <c r="W43" s="766"/>
      <c r="X43" s="877"/>
      <c r="Y43" s="877"/>
      <c r="Z43" s="877"/>
      <c r="AA43" s="920"/>
      <c r="AB43" s="877"/>
      <c r="AC43" s="877"/>
      <c r="AD43" s="877"/>
      <c r="AE43" s="877"/>
      <c r="AF43" s="877"/>
      <c r="AG43" s="877"/>
      <c r="AH43" s="926" t="s">
        <v>7388</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7389</v>
      </c>
      <c r="BD43" s="821" t="s">
        <v>7390</v>
      </c>
      <c r="BE43" s="851" t="s">
        <v>7391</v>
      </c>
      <c r="BF43" s="781"/>
      <c r="BG43" s="827"/>
      <c r="BH43" s="827"/>
      <c r="BI43" s="827"/>
      <c r="BJ43" s="827"/>
      <c r="BK43" s="827"/>
      <c r="BL43" s="827"/>
      <c r="BM43" s="827"/>
      <c r="BN43" s="766"/>
      <c r="BO43" s="829"/>
      <c r="BP43" s="882"/>
      <c r="BQ43" s="830" t="s">
        <v>3662</v>
      </c>
      <c r="BR43" s="829"/>
      <c r="BS43" s="829"/>
      <c r="BT43" s="829"/>
      <c r="BU43" s="831" t="s">
        <v>7392</v>
      </c>
      <c r="BV43" s="829"/>
      <c r="BW43" s="830" t="s">
        <v>7393</v>
      </c>
      <c r="BX43" s="766"/>
      <c r="BY43" s="835"/>
      <c r="BZ43" s="835"/>
      <c r="CA43" s="835"/>
      <c r="CB43" s="856"/>
      <c r="CC43" s="835"/>
      <c r="CD43" s="835"/>
      <c r="CE43" s="835"/>
      <c r="CF43" s="835"/>
      <c r="CG43" s="835"/>
      <c r="CH43" s="835"/>
      <c r="CI43" s="855" t="s">
        <v>7394</v>
      </c>
      <c r="CJ43" s="856"/>
      <c r="CK43" s="856"/>
    </row>
    <row r="44">
      <c r="A44" s="802" t="s">
        <v>5994</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7395</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7396</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7397</v>
      </c>
      <c r="BF45" s="781"/>
      <c r="BG45" s="909" t="s">
        <v>7398</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7399</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7400</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7401</v>
      </c>
      <c r="O47" s="803"/>
      <c r="P47" s="766"/>
      <c r="Q47" s="808"/>
      <c r="R47" s="808"/>
      <c r="S47" s="808"/>
      <c r="T47" s="808"/>
      <c r="U47" s="807"/>
      <c r="V47" s="807" t="s">
        <v>7402</v>
      </c>
      <c r="W47" s="766"/>
      <c r="X47" s="877"/>
      <c r="Y47" s="877"/>
      <c r="Z47" s="844" t="s">
        <v>7403</v>
      </c>
      <c r="AA47" s="920"/>
      <c r="AB47" s="812" t="s">
        <v>816</v>
      </c>
      <c r="AC47" s="877"/>
      <c r="AD47" s="877"/>
      <c r="AE47" s="877"/>
      <c r="AF47" s="877"/>
      <c r="AG47" s="812" t="s">
        <v>7404</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7405</v>
      </c>
      <c r="BF47" s="781"/>
      <c r="BG47" s="827"/>
      <c r="BH47" s="827"/>
      <c r="BI47" s="827"/>
      <c r="BJ47" s="827"/>
      <c r="BK47" s="827"/>
      <c r="BL47" s="827"/>
      <c r="BM47" s="827"/>
      <c r="BN47" s="766"/>
      <c r="BO47" s="830" t="s">
        <v>7406</v>
      </c>
      <c r="BP47" s="882"/>
      <c r="BQ47" s="829"/>
      <c r="BR47" s="829"/>
      <c r="BS47" s="829"/>
      <c r="BT47" s="829"/>
      <c r="BU47" s="829"/>
      <c r="BV47" s="829"/>
      <c r="BW47" s="883" t="s">
        <v>7407</v>
      </c>
      <c r="BX47" s="766"/>
      <c r="BY47" s="835"/>
      <c r="BZ47" s="835"/>
      <c r="CA47" s="835"/>
      <c r="CB47" s="856"/>
      <c r="CC47" s="835"/>
      <c r="CD47" s="835"/>
      <c r="CE47" s="835"/>
      <c r="CF47" s="835"/>
      <c r="CG47" s="835"/>
      <c r="CH47" s="835"/>
      <c r="CI47" s="835"/>
      <c r="CJ47" s="856"/>
      <c r="CK47" s="856"/>
    </row>
    <row r="48">
      <c r="A48" s="958" t="s">
        <v>7408</v>
      </c>
      <c r="B48" s="760" t="s">
        <v>6234</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7409</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7410</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7411</v>
      </c>
      <c r="W50" s="766"/>
      <c r="X50" s="877"/>
      <c r="Y50" s="877"/>
      <c r="Z50" s="877"/>
      <c r="AA50" s="920"/>
      <c r="AB50" s="877"/>
      <c r="AC50" s="877"/>
      <c r="AD50" s="877"/>
      <c r="AE50" s="877"/>
      <c r="AF50" s="877"/>
      <c r="AG50" s="877"/>
      <c r="AH50" s="926" t="s">
        <v>7412</v>
      </c>
      <c r="AI50" s="766"/>
      <c r="AJ50" s="815"/>
      <c r="AK50" s="815"/>
      <c r="AL50" s="815"/>
      <c r="AM50" s="815"/>
      <c r="AN50" s="815"/>
      <c r="AO50" s="815"/>
      <c r="AP50" s="815"/>
      <c r="AQ50" s="815"/>
      <c r="AR50" s="815"/>
      <c r="AS50" s="815"/>
      <c r="AT50" s="815"/>
      <c r="AU50" s="815"/>
      <c r="AV50" s="815"/>
      <c r="AW50" s="815"/>
      <c r="AX50" s="815"/>
      <c r="AY50" s="926" t="s">
        <v>7413</v>
      </c>
      <c r="AZ50" s="781"/>
      <c r="BA50" s="889"/>
      <c r="BB50" s="889"/>
      <c r="BC50" s="889"/>
      <c r="BD50" s="889"/>
      <c r="BE50" s="926" t="s">
        <v>7414</v>
      </c>
      <c r="BF50" s="781"/>
      <c r="BG50" s="827"/>
      <c r="BH50" s="827"/>
      <c r="BI50" s="827"/>
      <c r="BJ50" s="827"/>
      <c r="BK50" s="827"/>
      <c r="BL50" s="926" t="s">
        <v>7415</v>
      </c>
      <c r="BM50" s="825"/>
      <c r="BN50" s="766"/>
      <c r="BO50" s="829"/>
      <c r="BP50" s="882"/>
      <c r="BQ50" s="829"/>
      <c r="BR50" s="829"/>
      <c r="BS50" s="829"/>
      <c r="BT50" s="829"/>
      <c r="BU50" s="829"/>
      <c r="BV50" s="829"/>
      <c r="BW50" s="926" t="s">
        <v>7416</v>
      </c>
      <c r="BX50" s="766"/>
      <c r="BY50" s="835"/>
      <c r="BZ50" s="835"/>
      <c r="CA50" s="835"/>
      <c r="CB50" s="856"/>
      <c r="CC50" s="835"/>
      <c r="CD50" s="835"/>
      <c r="CE50" s="835"/>
      <c r="CF50" s="835"/>
      <c r="CG50" s="835"/>
      <c r="CH50" s="835"/>
      <c r="CI50" s="835"/>
      <c r="CJ50" s="856"/>
      <c r="CK50" s="856"/>
    </row>
    <row r="51">
      <c r="A51" s="802" t="s">
        <v>7417</v>
      </c>
      <c r="B51" s="760" t="s">
        <v>222</v>
      </c>
      <c r="C51" s="756" t="s">
        <v>1258</v>
      </c>
      <c r="D51" s="757" t="s">
        <v>1258</v>
      </c>
      <c r="E51" s="758" t="s">
        <v>1258</v>
      </c>
      <c r="F51" s="759" t="s">
        <v>1258</v>
      </c>
      <c r="G51" s="760" t="s">
        <v>649</v>
      </c>
      <c r="H51" s="803"/>
      <c r="I51" s="803"/>
      <c r="J51" s="803"/>
      <c r="K51" s="803"/>
      <c r="L51" s="803"/>
      <c r="M51" s="803"/>
      <c r="N51" s="804" t="s">
        <v>7418</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7419</v>
      </c>
      <c r="BF51" s="781"/>
      <c r="BG51" s="827"/>
      <c r="BH51" s="827"/>
      <c r="BI51" s="827"/>
      <c r="BJ51" s="827"/>
      <c r="BK51" s="827"/>
      <c r="BL51" s="827"/>
      <c r="BM51" s="827"/>
      <c r="BN51" s="766"/>
      <c r="BO51" s="829"/>
      <c r="BP51" s="882"/>
      <c r="BQ51" s="829"/>
      <c r="BR51" s="829"/>
      <c r="BS51" s="829"/>
      <c r="BT51" s="829"/>
      <c r="BU51" s="829"/>
      <c r="BV51" s="829"/>
      <c r="BW51" s="830" t="s">
        <v>7420</v>
      </c>
      <c r="BX51" s="766"/>
      <c r="BY51" s="835"/>
      <c r="BZ51" s="835"/>
      <c r="CA51" s="835"/>
      <c r="CB51" s="856"/>
      <c r="CC51" s="835"/>
      <c r="CD51" s="835"/>
      <c r="CE51" s="835"/>
      <c r="CF51" s="835"/>
      <c r="CG51" s="835"/>
      <c r="CH51" s="835"/>
      <c r="CI51" s="835"/>
      <c r="CJ51" s="856"/>
      <c r="CK51" s="856"/>
    </row>
    <row r="52">
      <c r="A52" s="936" t="s">
        <v>7421</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7422</v>
      </c>
      <c r="AA52" s="877"/>
      <c r="AB52" s="892" t="s">
        <v>7423</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6128</v>
      </c>
      <c r="B53" s="760" t="s">
        <v>3287</v>
      </c>
      <c r="C53" s="756" t="s">
        <v>1258</v>
      </c>
      <c r="D53" s="757" t="s">
        <v>1258</v>
      </c>
      <c r="E53" s="758" t="s">
        <v>1258</v>
      </c>
      <c r="F53" s="759" t="s">
        <v>1258</v>
      </c>
      <c r="G53" s="760" t="s">
        <v>1200</v>
      </c>
      <c r="H53" s="803"/>
      <c r="I53" s="803"/>
      <c r="J53" s="803"/>
      <c r="K53" s="803"/>
      <c r="L53" s="803"/>
      <c r="M53" s="803"/>
      <c r="N53" s="804" t="s">
        <v>7424</v>
      </c>
      <c r="O53" s="803"/>
      <c r="P53" s="766"/>
      <c r="Q53" s="808"/>
      <c r="R53" s="808"/>
      <c r="S53" s="808"/>
      <c r="T53" s="808"/>
      <c r="U53" s="808"/>
      <c r="V53" s="807" t="s">
        <v>7425</v>
      </c>
      <c r="W53" s="766"/>
      <c r="X53" s="877"/>
      <c r="Y53" s="877"/>
      <c r="Z53" s="877"/>
      <c r="AA53" s="920"/>
      <c r="AB53" s="877"/>
      <c r="AC53" s="877"/>
      <c r="AD53" s="877"/>
      <c r="AE53" s="812" t="s">
        <v>7426</v>
      </c>
      <c r="AF53" s="877"/>
      <c r="AG53" s="877"/>
      <c r="AH53" s="926" t="s">
        <v>7427</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7428</v>
      </c>
      <c r="BE53" s="851" t="s">
        <v>7429</v>
      </c>
      <c r="BF53" s="781"/>
      <c r="BG53" s="827"/>
      <c r="BH53" s="827"/>
      <c r="BI53" s="827"/>
      <c r="BJ53" s="827"/>
      <c r="BK53" s="827"/>
      <c r="BL53" s="827"/>
      <c r="BM53" s="827"/>
      <c r="BN53" s="766"/>
      <c r="BO53" s="829"/>
      <c r="BP53" s="882"/>
      <c r="BQ53" s="829"/>
      <c r="BR53" s="829"/>
      <c r="BS53" s="829"/>
      <c r="BT53" s="829"/>
      <c r="BU53" s="829"/>
      <c r="BV53" s="829"/>
      <c r="BW53" s="830" t="s">
        <v>7430</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6124</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7431</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6439</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7432</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5877</v>
      </c>
      <c r="AL56" s="814" t="s">
        <v>7433</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7434</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7435</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7436</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6252</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7437</v>
      </c>
      <c r="B61" s="760" t="s">
        <v>649</v>
      </c>
      <c r="C61" s="756" t="s">
        <v>1258</v>
      </c>
      <c r="D61" s="757" t="s">
        <v>1258</v>
      </c>
      <c r="E61" s="758" t="s">
        <v>1258</v>
      </c>
      <c r="F61" s="759" t="s">
        <v>439</v>
      </c>
      <c r="G61" s="760" t="s">
        <v>439</v>
      </c>
      <c r="H61" s="803"/>
      <c r="I61" s="803"/>
      <c r="J61" s="803"/>
      <c r="K61" s="803"/>
      <c r="L61" s="805" t="s">
        <v>7438</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6738</v>
      </c>
      <c r="BV61" s="829"/>
      <c r="BW61" s="829"/>
      <c r="BX61" s="766"/>
      <c r="BY61" s="835"/>
      <c r="BZ61" s="835"/>
      <c r="CA61" s="835"/>
      <c r="CB61" s="856"/>
      <c r="CC61" s="835"/>
      <c r="CD61" s="835"/>
      <c r="CE61" s="835"/>
      <c r="CF61" s="835"/>
      <c r="CG61" s="835"/>
      <c r="CH61" s="835"/>
      <c r="CI61" s="835"/>
      <c r="CJ61" s="856"/>
      <c r="CK61" s="856"/>
    </row>
    <row r="62">
      <c r="A62" s="802" t="s">
        <v>7439</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5801</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7440</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6526</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7441</v>
      </c>
      <c r="D1" s="972" t="s">
        <v>1553</v>
      </c>
      <c r="E1" s="973" t="s">
        <v>7442</v>
      </c>
      <c r="F1" s="974" t="s">
        <v>2538</v>
      </c>
      <c r="G1" s="972" t="s">
        <v>7443</v>
      </c>
      <c r="H1" s="972" t="s">
        <v>1058</v>
      </c>
      <c r="I1" s="973" t="s">
        <v>7444</v>
      </c>
      <c r="J1" s="972" t="s">
        <v>6957</v>
      </c>
      <c r="K1" s="972" t="s">
        <v>7445</v>
      </c>
      <c r="L1" s="973" t="s">
        <v>7446</v>
      </c>
      <c r="M1" s="972" t="s">
        <v>741</v>
      </c>
      <c r="N1" s="972" t="s">
        <v>7447</v>
      </c>
      <c r="O1" s="972" t="s">
        <v>981</v>
      </c>
      <c r="P1" s="975" t="s">
        <v>7448</v>
      </c>
      <c r="Q1" s="972" t="s">
        <v>1809</v>
      </c>
      <c r="R1" s="972" t="s">
        <v>7449</v>
      </c>
      <c r="S1" s="972" t="s">
        <v>7238</v>
      </c>
      <c r="T1" s="973" t="s">
        <v>7450</v>
      </c>
      <c r="U1" s="972" t="s">
        <v>2756</v>
      </c>
      <c r="V1" s="972" t="s">
        <v>7451</v>
      </c>
      <c r="W1" s="972" t="s">
        <v>7111</v>
      </c>
      <c r="X1" s="972" t="s">
        <v>4046</v>
      </c>
      <c r="Y1" s="972" t="s">
        <v>7452</v>
      </c>
      <c r="Z1" s="976" t="s">
        <v>7453</v>
      </c>
      <c r="AA1" s="972" t="s">
        <v>6704</v>
      </c>
      <c r="AB1" s="972" t="s">
        <v>3566</v>
      </c>
      <c r="AC1" s="972" t="s">
        <v>7194</v>
      </c>
      <c r="AD1" s="972" t="s">
        <v>7454</v>
      </c>
      <c r="AE1" s="972" t="s">
        <v>7455</v>
      </c>
      <c r="AF1" s="972" t="s">
        <v>1197</v>
      </c>
      <c r="AG1" s="972" t="s">
        <v>219</v>
      </c>
      <c r="AH1" s="972" t="s">
        <v>1724</v>
      </c>
      <c r="AI1" s="972" t="s">
        <v>2085</v>
      </c>
      <c r="AJ1" s="972" t="s">
        <v>7456</v>
      </c>
      <c r="AK1" s="972" t="s">
        <v>7457</v>
      </c>
      <c r="AL1" s="972" t="s">
        <v>7458</v>
      </c>
      <c r="AM1" s="972" t="s">
        <v>2024</v>
      </c>
      <c r="AN1" s="972" t="s">
        <v>7459</v>
      </c>
      <c r="AO1" s="972" t="s">
        <v>7460</v>
      </c>
      <c r="AP1" s="972" t="s">
        <v>6003</v>
      </c>
      <c r="AQ1" s="972" t="s">
        <v>7461</v>
      </c>
      <c r="AR1" s="972" t="s">
        <v>7462</v>
      </c>
      <c r="AS1" s="972" t="s">
        <v>7463</v>
      </c>
      <c r="AT1" s="972" t="s">
        <v>7464</v>
      </c>
      <c r="AU1" s="976" t="s">
        <v>7465</v>
      </c>
      <c r="AV1" s="972" t="s">
        <v>3187</v>
      </c>
      <c r="AW1" s="972" t="s">
        <v>3864</v>
      </c>
      <c r="AX1" s="972" t="s">
        <v>5874</v>
      </c>
      <c r="AY1" s="972" t="s">
        <v>7466</v>
      </c>
      <c r="AZ1" s="972" t="s">
        <v>5237</v>
      </c>
      <c r="BA1" s="976" t="s">
        <v>4671</v>
      </c>
      <c r="BB1" s="972" t="s">
        <v>827</v>
      </c>
      <c r="BC1" s="972" t="s">
        <v>646</v>
      </c>
      <c r="BD1" s="972" t="s">
        <v>7467</v>
      </c>
      <c r="BE1" s="973" t="s">
        <v>7211</v>
      </c>
      <c r="BF1" s="972" t="s">
        <v>7408</v>
      </c>
      <c r="BG1" s="972" t="s">
        <v>7410</v>
      </c>
      <c r="BH1" s="972" t="s">
        <v>1635</v>
      </c>
      <c r="BI1" s="976" t="s">
        <v>6635</v>
      </c>
      <c r="BJ1" s="976" t="s">
        <v>6596</v>
      </c>
      <c r="BK1" s="976" t="s">
        <v>1879</v>
      </c>
      <c r="BL1" s="977"/>
      <c r="BM1" s="977"/>
      <c r="BN1" s="977"/>
      <c r="BO1" s="977"/>
    </row>
    <row r="2" ht="15.75" customHeight="1">
      <c r="A2" s="978" t="s">
        <v>7468</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7469</v>
      </c>
      <c r="B4" s="988" t="s">
        <v>7470</v>
      </c>
      <c r="C4" s="989" t="s">
        <v>337</v>
      </c>
      <c r="D4" s="990" t="s">
        <v>910</v>
      </c>
      <c r="E4" s="991" t="s">
        <v>337</v>
      </c>
      <c r="F4" s="992"/>
      <c r="G4" s="993" t="s">
        <v>1259</v>
      </c>
      <c r="H4" s="994" t="s">
        <v>7471</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7472</v>
      </c>
      <c r="B5" s="988" t="s">
        <v>7473</v>
      </c>
      <c r="C5" s="989" t="s">
        <v>7026</v>
      </c>
      <c r="D5" s="998" t="s">
        <v>7474</v>
      </c>
      <c r="E5" s="998" t="s">
        <v>7475</v>
      </c>
      <c r="F5" s="999"/>
      <c r="G5" s="993" t="s">
        <v>7476</v>
      </c>
      <c r="H5" s="998"/>
      <c r="I5" s="998" t="s">
        <v>7477</v>
      </c>
      <c r="J5" s="998"/>
      <c r="K5" s="998" t="s">
        <v>3648</v>
      </c>
      <c r="L5" s="998"/>
      <c r="M5" s="998"/>
      <c r="N5" s="998" t="s">
        <v>7478</v>
      </c>
      <c r="O5" s="998" t="str">
        <f>HYPERLINK("https://youtu.be/y9FQ4EcrohI", "1:21.52")</f>
        <v>1:21.52</v>
      </c>
      <c r="P5" s="996" t="s">
        <v>7479</v>
      </c>
      <c r="Q5" s="998"/>
      <c r="R5" s="998" t="s">
        <v>7026</v>
      </c>
      <c r="S5" s="998" t="s">
        <v>2575</v>
      </c>
      <c r="T5" s="998"/>
      <c r="U5" s="998"/>
      <c r="V5" s="998"/>
      <c r="W5" s="998"/>
      <c r="X5" s="998"/>
      <c r="Y5" s="998"/>
      <c r="Z5" s="1000" t="s">
        <v>7480</v>
      </c>
      <c r="AA5" s="998"/>
      <c r="AB5" s="998" t="s">
        <v>7481</v>
      </c>
      <c r="AC5" s="998"/>
      <c r="AD5" s="998"/>
      <c r="AE5" s="998" t="s">
        <v>7482</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7483</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7484</v>
      </c>
      <c r="Q6" s="995" t="s">
        <v>102</v>
      </c>
      <c r="R6" s="995"/>
      <c r="S6" s="995"/>
      <c r="T6" s="995"/>
      <c r="U6" s="994" t="s">
        <v>7223</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7485</v>
      </c>
      <c r="B7" s="1006" t="s">
        <v>7486</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7487</v>
      </c>
      <c r="C8" s="989" t="s">
        <v>143</v>
      </c>
      <c r="D8" s="998" t="s">
        <v>7488</v>
      </c>
      <c r="E8" s="998" t="s">
        <v>4870</v>
      </c>
      <c r="F8" s="1012" t="s">
        <v>1154</v>
      </c>
      <c r="G8" s="1009"/>
      <c r="H8" s="994" t="s">
        <v>143</v>
      </c>
      <c r="I8" s="998" t="s">
        <v>1374</v>
      </c>
      <c r="J8" s="998"/>
      <c r="K8" s="998"/>
      <c r="L8" s="998" t="s">
        <v>1139</v>
      </c>
      <c r="M8" s="998" t="s">
        <v>1139</v>
      </c>
      <c r="N8" s="998" t="s">
        <v>7489</v>
      </c>
      <c r="O8" s="998"/>
      <c r="P8" s="996"/>
      <c r="Q8" s="998" t="s">
        <v>5788</v>
      </c>
      <c r="R8" s="998" t="s">
        <v>3848</v>
      </c>
      <c r="S8" s="998" t="s">
        <v>7490</v>
      </c>
      <c r="T8" s="998" t="s">
        <v>7491</v>
      </c>
      <c r="U8" s="998"/>
      <c r="V8" s="998"/>
      <c r="W8" s="998" t="s">
        <v>5788</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7492</v>
      </c>
      <c r="B9" s="1006" t="s">
        <v>7493</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7494</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7495</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7483</v>
      </c>
      <c r="C11" s="989" t="s">
        <v>7496</v>
      </c>
      <c r="D11" s="995"/>
      <c r="E11" s="994" t="s">
        <v>1242</v>
      </c>
      <c r="F11" s="1015" t="s">
        <v>5039</v>
      </c>
      <c r="G11" s="993" t="s">
        <v>2163</v>
      </c>
      <c r="H11" s="995"/>
      <c r="I11" s="995"/>
      <c r="J11" s="995"/>
      <c r="K11" s="995"/>
      <c r="L11" s="995"/>
      <c r="M11" s="995"/>
      <c r="N11" s="995"/>
      <c r="O11" s="994" t="s">
        <v>7496</v>
      </c>
      <c r="P11" s="996"/>
      <c r="Q11" s="995"/>
      <c r="R11" s="995"/>
      <c r="S11" s="995"/>
      <c r="T11" s="995"/>
      <c r="U11" s="995"/>
      <c r="V11" s="995"/>
      <c r="W11" s="995"/>
      <c r="X11" s="995"/>
      <c r="Y11" s="994" t="s">
        <v>7497</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7498</v>
      </c>
      <c r="B12" s="988" t="s">
        <v>7499</v>
      </c>
      <c r="C12" s="1016" t="s">
        <v>2344</v>
      </c>
      <c r="D12" s="998" t="s">
        <v>1706</v>
      </c>
      <c r="E12" s="998" t="s">
        <v>2820</v>
      </c>
      <c r="F12" s="1017" t="s">
        <v>2344</v>
      </c>
      <c r="G12" s="993" t="s">
        <v>7500</v>
      </c>
      <c r="H12" s="998"/>
      <c r="I12" s="998" t="s">
        <v>7327</v>
      </c>
      <c r="J12" s="998"/>
      <c r="K12" s="998" t="s">
        <v>6101</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7501</v>
      </c>
      <c r="AC12" s="998"/>
      <c r="AD12" s="998"/>
      <c r="AE12" s="998"/>
      <c r="AF12" s="998"/>
      <c r="AG12" s="998"/>
      <c r="AH12" s="998"/>
      <c r="AI12" s="998"/>
      <c r="AJ12" s="998"/>
      <c r="AK12" s="995"/>
      <c r="AL12" s="998"/>
      <c r="AM12" s="998"/>
      <c r="AN12" s="998" t="s">
        <v>2033</v>
      </c>
      <c r="AO12" s="998"/>
      <c r="AP12" s="998" t="s">
        <v>6220</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7502</v>
      </c>
      <c r="C13" s="989" t="s">
        <v>4268</v>
      </c>
      <c r="D13" s="953" t="s">
        <v>1559</v>
      </c>
      <c r="E13" s="994" t="s">
        <v>339</v>
      </c>
      <c r="F13" s="1004" t="s">
        <v>2542</v>
      </c>
      <c r="G13" s="993" t="s">
        <v>1261</v>
      </c>
      <c r="H13" s="994" t="s">
        <v>4268</v>
      </c>
      <c r="I13" s="995" t="s">
        <v>7503</v>
      </c>
      <c r="J13" s="994" t="s">
        <v>725</v>
      </c>
      <c r="K13" s="995"/>
      <c r="L13" s="995" t="s">
        <v>2344</v>
      </c>
      <c r="M13" s="994" t="s">
        <v>2108</v>
      </c>
      <c r="N13" s="995" t="s">
        <v>7504</v>
      </c>
      <c r="O13" s="994" t="s">
        <v>7505</v>
      </c>
      <c r="P13" s="996" t="s">
        <v>2820</v>
      </c>
      <c r="Q13" s="995" t="s">
        <v>3936</v>
      </c>
      <c r="R13" s="995"/>
      <c r="S13" s="994" t="s">
        <v>7506</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7485</v>
      </c>
      <c r="B14" s="1020" t="s">
        <v>7499</v>
      </c>
      <c r="C14" s="989" t="s">
        <v>6297</v>
      </c>
      <c r="D14" s="998" t="s">
        <v>119</v>
      </c>
      <c r="E14" s="998" t="s">
        <v>6297</v>
      </c>
      <c r="F14" s="1017" t="s">
        <v>6118</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6118</v>
      </c>
      <c r="AC14" s="998"/>
      <c r="AD14" s="998"/>
      <c r="AE14" s="998" t="s">
        <v>663</v>
      </c>
      <c r="AF14" s="998" t="s">
        <v>6838</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7502</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7492</v>
      </c>
      <c r="B16" s="1024" t="s">
        <v>7507</v>
      </c>
      <c r="C16" s="989" t="s">
        <v>7135</v>
      </c>
      <c r="D16" s="998" t="s">
        <v>5463</v>
      </c>
      <c r="E16" s="998"/>
      <c r="F16" s="1017" t="s">
        <v>2146</v>
      </c>
      <c r="G16" s="1009"/>
      <c r="H16" s="998"/>
      <c r="I16" s="998"/>
      <c r="J16" s="998"/>
      <c r="K16" s="998"/>
      <c r="L16" s="998"/>
      <c r="M16" s="998" t="s">
        <v>7135</v>
      </c>
      <c r="N16" s="998"/>
      <c r="O16" s="998"/>
      <c r="P16" s="996"/>
      <c r="Q16" s="998"/>
      <c r="R16" s="998"/>
      <c r="S16" s="998" t="s">
        <v>7508</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7509</v>
      </c>
      <c r="C17" s="989" t="s">
        <v>7510</v>
      </c>
      <c r="D17" s="995" t="s">
        <v>7511</v>
      </c>
      <c r="E17" s="994" t="s">
        <v>1095</v>
      </c>
      <c r="F17" s="1015" t="s">
        <v>947</v>
      </c>
      <c r="G17" s="993" t="s">
        <v>2256</v>
      </c>
      <c r="H17" s="995" t="s">
        <v>7512</v>
      </c>
      <c r="I17" s="995"/>
      <c r="J17" s="994" t="s">
        <v>7513</v>
      </c>
      <c r="K17" s="995"/>
      <c r="L17" s="995" t="s">
        <v>7513</v>
      </c>
      <c r="M17" s="995"/>
      <c r="N17" s="995"/>
      <c r="O17" s="994" t="s">
        <v>1988</v>
      </c>
      <c r="P17" s="996" t="s">
        <v>7514</v>
      </c>
      <c r="Q17" s="995" t="s">
        <v>7515</v>
      </c>
      <c r="R17" s="995"/>
      <c r="S17" s="995"/>
      <c r="T17" s="995" t="s">
        <v>7135</v>
      </c>
      <c r="U17" s="995"/>
      <c r="V17" s="995"/>
      <c r="W17" s="995" t="s">
        <v>7513</v>
      </c>
      <c r="X17" s="995"/>
      <c r="Y17" s="994" t="s">
        <v>1988</v>
      </c>
      <c r="Z17" s="997"/>
      <c r="AA17" s="995"/>
      <c r="AB17" s="995"/>
      <c r="AC17" s="995"/>
      <c r="AD17" s="995"/>
      <c r="AE17" s="995"/>
      <c r="AF17" s="995"/>
      <c r="AG17" s="994" t="s">
        <v>7510</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7516</v>
      </c>
      <c r="B18" s="988" t="s">
        <v>7517</v>
      </c>
      <c r="C18" s="989" t="s">
        <v>1786</v>
      </c>
      <c r="D18" s="998" t="s">
        <v>3609</v>
      </c>
      <c r="E18" s="998" t="s">
        <v>1172</v>
      </c>
      <c r="F18" s="999"/>
      <c r="G18" s="993" t="s">
        <v>4435</v>
      </c>
      <c r="H18" s="998"/>
      <c r="I18" s="998" t="s">
        <v>4206</v>
      </c>
      <c r="J18" s="998"/>
      <c r="K18" s="998" t="s">
        <v>7518</v>
      </c>
      <c r="L18" s="998"/>
      <c r="M18" s="998" t="s">
        <v>7519</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7520</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7521</v>
      </c>
      <c r="C19" s="989" t="s">
        <v>2855</v>
      </c>
      <c r="D19" s="998"/>
      <c r="E19" s="998" t="s">
        <v>882</v>
      </c>
      <c r="F19" s="992"/>
      <c r="G19" s="1009"/>
      <c r="H19" s="998"/>
      <c r="I19" s="998"/>
      <c r="J19" s="998"/>
      <c r="K19" s="998" t="s">
        <v>6794</v>
      </c>
      <c r="L19" s="998"/>
      <c r="M19" s="998"/>
      <c r="N19" s="998"/>
      <c r="O19" s="998"/>
      <c r="P19" s="996"/>
      <c r="Q19" s="998" t="s">
        <v>7522</v>
      </c>
      <c r="R19" s="998" t="s">
        <v>7523</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7524</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7525</v>
      </c>
      <c r="T20" s="998"/>
      <c r="U20" s="994" t="s">
        <v>5656</v>
      </c>
      <c r="V20" s="998" t="s">
        <v>7526</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7527</v>
      </c>
      <c r="B21" s="988" t="s">
        <v>7528</v>
      </c>
      <c r="C21" s="1027" t="s">
        <v>7529</v>
      </c>
      <c r="D21" s="1028"/>
      <c r="E21" s="1028"/>
      <c r="F21" s="992"/>
      <c r="G21" s="1009"/>
      <c r="H21" s="1028"/>
      <c r="I21" s="1028"/>
      <c r="J21" s="1028"/>
      <c r="K21" s="1028"/>
      <c r="L21" s="1028"/>
      <c r="M21" s="1028"/>
      <c r="N21" s="1028"/>
      <c r="O21" s="1028"/>
      <c r="P21" s="1029"/>
      <c r="Q21" s="1028"/>
      <c r="R21" s="1028"/>
      <c r="S21" s="1028"/>
      <c r="T21" s="1028"/>
      <c r="U21" s="1030" t="s">
        <v>7529</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7530</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7531</v>
      </c>
      <c r="C23" s="989" t="s">
        <v>7135</v>
      </c>
      <c r="D23" s="1028"/>
      <c r="E23" s="1028" t="s">
        <v>729</v>
      </c>
      <c r="F23" s="992"/>
      <c r="G23" s="1009" t="s">
        <v>4158</v>
      </c>
      <c r="H23" s="1028"/>
      <c r="I23" s="1028"/>
      <c r="J23" s="1028"/>
      <c r="K23" s="1028"/>
      <c r="L23" s="1028"/>
      <c r="M23" s="1028"/>
      <c r="N23" s="1028"/>
      <c r="O23" s="1028"/>
      <c r="P23" s="1029"/>
      <c r="Q23" s="1028" t="s">
        <v>7532</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7533</v>
      </c>
      <c r="C24" s="989" t="s">
        <v>7534</v>
      </c>
      <c r="D24" s="998"/>
      <c r="E24" s="998" t="s">
        <v>3950</v>
      </c>
      <c r="F24" s="1015" t="s">
        <v>4237</v>
      </c>
      <c r="G24" s="1009"/>
      <c r="H24" s="998" t="s">
        <v>7535</v>
      </c>
      <c r="I24" s="998"/>
      <c r="J24" s="998"/>
      <c r="K24" s="998"/>
      <c r="L24" s="998" t="s">
        <v>785</v>
      </c>
      <c r="M24" s="998"/>
      <c r="N24" s="998"/>
      <c r="O24" s="998"/>
      <c r="P24" s="996"/>
      <c r="Q24" s="998" t="s">
        <v>7536</v>
      </c>
      <c r="R24" s="998"/>
      <c r="S24" s="998"/>
      <c r="T24" s="998"/>
      <c r="U24" s="998"/>
      <c r="V24" s="998"/>
      <c r="W24" s="998"/>
      <c r="X24" s="998"/>
      <c r="Y24" s="998" t="s">
        <v>7537</v>
      </c>
      <c r="Z24" s="1001"/>
      <c r="AA24" s="998"/>
      <c r="AB24" s="998"/>
      <c r="AC24" s="998"/>
      <c r="AD24" s="998"/>
      <c r="AE24" s="998"/>
      <c r="AF24" s="998"/>
      <c r="AG24" s="998" t="s">
        <v>7534</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7538</v>
      </c>
      <c r="B25" s="988" t="s">
        <v>7539</v>
      </c>
      <c r="C25" s="989" t="s">
        <v>255</v>
      </c>
      <c r="D25" s="998"/>
      <c r="E25" s="998" t="s">
        <v>255</v>
      </c>
      <c r="F25" s="992"/>
      <c r="G25" s="1009"/>
      <c r="H25" s="998"/>
      <c r="I25" s="998"/>
      <c r="J25" s="998"/>
      <c r="K25" s="998"/>
      <c r="L25" s="998"/>
      <c r="M25" s="998"/>
      <c r="N25" s="998" t="s">
        <v>7540</v>
      </c>
      <c r="O25" s="998"/>
      <c r="P25" s="996"/>
      <c r="Q25" s="998" t="s">
        <v>7541</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7542</v>
      </c>
      <c r="C26" s="989" t="s">
        <v>7543</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7544</v>
      </c>
      <c r="C27" s="989" t="s">
        <v>2823</v>
      </c>
      <c r="D27" s="994" t="s">
        <v>1563</v>
      </c>
      <c r="E27" s="998" t="s">
        <v>7545</v>
      </c>
      <c r="F27" s="1035" t="s">
        <v>7058</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7546</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7547</v>
      </c>
      <c r="C28" s="989" t="s">
        <v>7548</v>
      </c>
      <c r="D28" s="998"/>
      <c r="E28" s="998" t="s">
        <v>7548</v>
      </c>
      <c r="F28" s="1017" t="s">
        <v>2544</v>
      </c>
      <c r="G28" s="993" t="s">
        <v>1265</v>
      </c>
      <c r="H28" s="998"/>
      <c r="I28" s="998"/>
      <c r="J28" s="998" t="s">
        <v>7549</v>
      </c>
      <c r="K28" s="998" t="s">
        <v>7550</v>
      </c>
      <c r="L28" s="998"/>
      <c r="M28" s="998"/>
      <c r="N28" s="998"/>
      <c r="O28" s="998" t="s">
        <v>7551</v>
      </c>
      <c r="P28" s="996" t="s">
        <v>7552</v>
      </c>
      <c r="Q28" s="998" t="s">
        <v>7553</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7485</v>
      </c>
      <c r="B29" s="1006" t="s">
        <v>7554</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7555</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7556</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7557</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6732</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7558</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7559</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7560</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7561</v>
      </c>
      <c r="C35" s="989" t="s">
        <v>3741</v>
      </c>
      <c r="D35" s="998"/>
      <c r="E35" s="998" t="s">
        <v>3442</v>
      </c>
      <c r="F35" s="992"/>
      <c r="G35" s="1009"/>
      <c r="H35" s="998"/>
      <c r="I35" s="998"/>
      <c r="J35" s="998" t="s">
        <v>3741</v>
      </c>
      <c r="K35" s="998" t="s">
        <v>3939</v>
      </c>
      <c r="L35" s="998"/>
      <c r="M35" s="998" t="s">
        <v>5364</v>
      </c>
      <c r="N35" s="998"/>
      <c r="O35" s="998"/>
      <c r="P35" s="996"/>
      <c r="Q35" s="998" t="s">
        <v>7562</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7563</v>
      </c>
      <c r="C36" s="989" t="s">
        <v>2798</v>
      </c>
      <c r="D36" s="998"/>
      <c r="E36" s="998" t="s">
        <v>3842</v>
      </c>
      <c r="F36" s="999"/>
      <c r="G36" s="1009"/>
      <c r="H36" s="998"/>
      <c r="I36" s="998"/>
      <c r="J36" s="998" t="s">
        <v>2798</v>
      </c>
      <c r="K36" s="998" t="s">
        <v>7564</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7565</v>
      </c>
      <c r="C37" s="989" t="s">
        <v>2314</v>
      </c>
      <c r="D37" s="998" t="s">
        <v>1564</v>
      </c>
      <c r="E37" s="998" t="s">
        <v>3741</v>
      </c>
      <c r="F37" s="1017" t="s">
        <v>3151</v>
      </c>
      <c r="G37" s="1009"/>
      <c r="H37" s="998"/>
      <c r="I37" s="998" t="s">
        <v>7566</v>
      </c>
      <c r="J37" s="998" t="s">
        <v>2314</v>
      </c>
      <c r="K37" s="998" t="s">
        <v>2270</v>
      </c>
      <c r="L37" s="998"/>
      <c r="M37" s="998" t="s">
        <v>7564</v>
      </c>
      <c r="N37" s="998"/>
      <c r="O37" s="998"/>
      <c r="P37" s="996"/>
      <c r="Q37" s="998" t="s">
        <v>1747</v>
      </c>
      <c r="R37" s="998"/>
      <c r="S37" s="998"/>
      <c r="T37" s="998"/>
      <c r="U37" s="994" t="s">
        <v>3741</v>
      </c>
      <c r="V37" s="998" t="s">
        <v>5936</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7567</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7492</v>
      </c>
      <c r="B39" s="1006" t="s">
        <v>7568</v>
      </c>
      <c r="C39" s="989" t="s">
        <v>4361</v>
      </c>
      <c r="D39" s="998" t="s">
        <v>7569</v>
      </c>
      <c r="E39" s="998" t="s">
        <v>4361</v>
      </c>
      <c r="F39" s="1017" t="s">
        <v>7570</v>
      </c>
      <c r="G39" s="993" t="s">
        <v>3120</v>
      </c>
      <c r="H39" s="998"/>
      <c r="I39" s="998"/>
      <c r="J39" s="998"/>
      <c r="K39" s="998" t="s">
        <v>356</v>
      </c>
      <c r="L39" s="998"/>
      <c r="M39" s="998"/>
      <c r="N39" s="998"/>
      <c r="O39" s="998"/>
      <c r="P39" s="996"/>
      <c r="Q39" s="998" t="s">
        <v>3173</v>
      </c>
      <c r="R39" s="998"/>
      <c r="S39" s="998"/>
      <c r="T39" s="998"/>
      <c r="U39" s="998"/>
      <c r="V39" s="998"/>
      <c r="W39" s="998"/>
      <c r="X39" s="998" t="s">
        <v>7571</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7572</v>
      </c>
      <c r="C40" s="989" t="s">
        <v>2534</v>
      </c>
      <c r="D40" s="998" t="s">
        <v>2800</v>
      </c>
      <c r="E40" s="998" t="s">
        <v>3661</v>
      </c>
      <c r="F40" s="1015" t="s">
        <v>5039</v>
      </c>
      <c r="G40" s="993" t="s">
        <v>712</v>
      </c>
      <c r="H40" s="998" t="s">
        <v>7573</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7574</v>
      </c>
      <c r="B41" s="988" t="s">
        <v>7575</v>
      </c>
      <c r="C41" s="989" t="s">
        <v>996</v>
      </c>
      <c r="D41" s="998" t="s">
        <v>5232</v>
      </c>
      <c r="E41" s="998" t="s">
        <v>7576</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7577</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7578</v>
      </c>
      <c r="B43" s="988" t="s">
        <v>7579</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7580</v>
      </c>
      <c r="B44" s="988" t="s">
        <v>7581</v>
      </c>
      <c r="C44" s="989" t="s">
        <v>2402</v>
      </c>
      <c r="D44" s="950" t="s">
        <v>1356</v>
      </c>
      <c r="E44" s="998" t="s">
        <v>2402</v>
      </c>
      <c r="F44" s="992"/>
      <c r="G44" s="1009"/>
      <c r="H44" s="998"/>
      <c r="I44" s="998" t="str">
        <f>HYPERLINK("https://youtu.be/t-1yqXLdZMA","38.05")</f>
        <v>38.05</v>
      </c>
      <c r="J44" s="998" t="s">
        <v>7582</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7583</v>
      </c>
      <c r="B45" s="1006" t="s">
        <v>7581</v>
      </c>
      <c r="C45" s="1042" t="s">
        <v>7584</v>
      </c>
      <c r="D45" s="1043" t="s">
        <v>7584</v>
      </c>
      <c r="E45" s="998"/>
      <c r="F45" s="992"/>
      <c r="G45" s="1009"/>
      <c r="H45" s="995" t="s">
        <v>5739</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7585</v>
      </c>
      <c r="B46" s="988" t="s">
        <v>7581</v>
      </c>
      <c r="C46" s="989" t="s">
        <v>7586</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7586</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7587</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7588</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7589</v>
      </c>
      <c r="C49" s="989" t="s">
        <v>5394</v>
      </c>
      <c r="D49" s="1043" t="s">
        <v>6134</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7590</v>
      </c>
      <c r="C50" s="989" t="s">
        <v>7591</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7591</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7583</v>
      </c>
      <c r="B51" s="1006" t="s">
        <v>7581</v>
      </c>
      <c r="C51" s="989" t="s">
        <v>7592</v>
      </c>
      <c r="D51" s="1047"/>
      <c r="E51" s="998"/>
      <c r="F51" s="992"/>
      <c r="G51" s="1009"/>
      <c r="H51" s="998"/>
      <c r="I51" s="998"/>
      <c r="J51" s="998"/>
      <c r="K51" s="998"/>
      <c r="L51" s="998"/>
      <c r="M51" s="998"/>
      <c r="N51" s="998"/>
      <c r="O51" s="998"/>
      <c r="P51" s="996"/>
      <c r="Q51" s="998"/>
      <c r="R51" s="998"/>
      <c r="S51" s="1032" t="s">
        <v>7592</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7593</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7594</v>
      </c>
      <c r="C52" s="1007" t="s">
        <v>7595</v>
      </c>
      <c r="D52" s="1043" t="s">
        <v>7596</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7595</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7470</v>
      </c>
      <c r="C53" s="989" t="s">
        <v>351</v>
      </c>
      <c r="D53" s="953" t="s">
        <v>7597</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7598</v>
      </c>
      <c r="B55" s="1056" t="s">
        <v>7599</v>
      </c>
      <c r="C55" s="1042" t="s">
        <v>1846</v>
      </c>
      <c r="D55" s="998"/>
      <c r="E55" s="998" t="s">
        <v>1480</v>
      </c>
      <c r="F55" s="992"/>
      <c r="G55" s="993" t="s">
        <v>2017</v>
      </c>
      <c r="H55" s="998"/>
      <c r="I55" s="998" t="s">
        <v>5684</v>
      </c>
      <c r="J55" s="998" t="s">
        <v>1846</v>
      </c>
      <c r="K55" s="998" t="s">
        <v>7600</v>
      </c>
      <c r="L55" s="998" t="s">
        <v>910</v>
      </c>
      <c r="M55" s="998" t="s">
        <v>754</v>
      </c>
      <c r="N55" s="998" t="s">
        <v>2990</v>
      </c>
      <c r="O55" s="998"/>
      <c r="P55" s="996" t="s">
        <v>3422</v>
      </c>
      <c r="Q55" s="998" t="s">
        <v>122</v>
      </c>
      <c r="R55" s="998" t="s">
        <v>7601</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7602</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5914</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7603</v>
      </c>
      <c r="C57" s="1042">
        <v>52.89</v>
      </c>
      <c r="D57" s="1036" t="s">
        <v>3583</v>
      </c>
      <c r="E57" s="1064"/>
      <c r="F57" s="992"/>
      <c r="G57" s="1009"/>
      <c r="H57" s="1064"/>
      <c r="I57" s="1064"/>
      <c r="J57" s="1064"/>
      <c r="K57" s="1064"/>
      <c r="L57" s="1064"/>
      <c r="M57" s="1064"/>
      <c r="N57" s="1065" t="s">
        <v>7604</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7605</v>
      </c>
      <c r="C58" s="1042" t="s">
        <v>241</v>
      </c>
      <c r="D58" s="998" t="s">
        <v>494</v>
      </c>
      <c r="E58" s="1036" t="s">
        <v>352</v>
      </c>
      <c r="F58" s="1017" t="s">
        <v>5737</v>
      </c>
      <c r="G58" s="993" t="s">
        <v>1271</v>
      </c>
      <c r="H58" s="993" t="s">
        <v>368</v>
      </c>
      <c r="I58" s="1036"/>
      <c r="J58" s="1036"/>
      <c r="K58" s="1036"/>
      <c r="L58" s="1036"/>
      <c r="M58" s="1036"/>
      <c r="N58" s="1036"/>
      <c r="O58" s="1036" t="s">
        <v>5737</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7606</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7492</v>
      </c>
      <c r="B60" s="1068" t="s">
        <v>7599</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7602</v>
      </c>
      <c r="C61" s="1042" t="s">
        <v>469</v>
      </c>
      <c r="D61" s="1036"/>
      <c r="E61" s="1036" t="s">
        <v>7607</v>
      </c>
      <c r="F61" s="1069"/>
      <c r="G61" s="1009"/>
      <c r="H61" s="1036" t="s">
        <v>469</v>
      </c>
      <c r="I61" s="1036"/>
      <c r="J61" s="1036"/>
      <c r="K61" s="1036"/>
      <c r="L61" s="1036"/>
      <c r="M61" s="1036"/>
      <c r="N61" s="1036"/>
      <c r="O61" s="1036"/>
      <c r="P61" s="996" t="s">
        <v>7608</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7603</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7605</v>
      </c>
      <c r="C63" s="1042" t="s">
        <v>416</v>
      </c>
      <c r="D63" s="1036"/>
      <c r="E63" s="1036" t="s">
        <v>2686</v>
      </c>
      <c r="F63" s="1070" t="s">
        <v>194</v>
      </c>
      <c r="G63" s="993" t="s">
        <v>7609</v>
      </c>
      <c r="H63" s="993" t="s">
        <v>623</v>
      </c>
      <c r="I63" s="1036"/>
      <c r="J63" s="1036"/>
      <c r="K63" s="1036"/>
      <c r="L63" s="1036"/>
      <c r="M63" s="1036"/>
      <c r="N63" s="1036"/>
      <c r="O63" s="993" t="s">
        <v>3978</v>
      </c>
      <c r="P63" s="996" t="s">
        <v>7610</v>
      </c>
      <c r="Q63" s="1036" t="s">
        <v>7522</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7485</v>
      </c>
      <c r="B64" s="1072" t="s">
        <v>7611</v>
      </c>
      <c r="C64" s="1042" t="s">
        <v>4134</v>
      </c>
      <c r="D64" s="1001"/>
      <c r="E64" s="1001"/>
      <c r="F64" s="1017" t="s">
        <v>7612</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7613</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7472</v>
      </c>
      <c r="B66" s="1056" t="s">
        <v>7470</v>
      </c>
      <c r="C66" s="1074" t="s">
        <v>2548</v>
      </c>
      <c r="D66" s="1040" t="s">
        <v>7614</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7485</v>
      </c>
      <c r="B67" s="1068" t="s">
        <v>7615</v>
      </c>
      <c r="C67" s="1042" t="s">
        <v>3738</v>
      </c>
      <c r="D67" s="1040"/>
      <c r="E67" s="1040"/>
      <c r="F67" s="992"/>
      <c r="G67" s="1009"/>
      <c r="H67" s="993">
        <v>35.06</v>
      </c>
      <c r="I67" s="1040"/>
      <c r="J67" s="1040"/>
      <c r="K67" s="1040"/>
      <c r="L67" s="1040"/>
      <c r="M67" s="1040"/>
      <c r="N67" s="1040"/>
      <c r="O67" s="1040"/>
      <c r="P67" s="1041"/>
      <c r="Q67" s="1040"/>
      <c r="R67" s="1040"/>
      <c r="S67" s="1040"/>
      <c r="T67" s="1040"/>
      <c r="U67" s="1040" t="s">
        <v>7616</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7617</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7618</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7619</v>
      </c>
      <c r="C69" s="1016" t="s">
        <v>2779</v>
      </c>
      <c r="D69" s="996" t="s">
        <v>7522</v>
      </c>
      <c r="E69" s="996"/>
      <c r="F69" s="1017" t="s">
        <v>2779</v>
      </c>
      <c r="G69" s="1009"/>
      <c r="H69" s="1045" t="s">
        <v>1253</v>
      </c>
      <c r="I69" s="996"/>
      <c r="J69" s="996"/>
      <c r="K69" s="996"/>
      <c r="L69" s="996"/>
      <c r="M69" s="996"/>
      <c r="N69" s="996"/>
      <c r="O69" s="996"/>
      <c r="P69" s="996"/>
      <c r="Q69" s="996"/>
      <c r="R69" s="994" t="s">
        <v>7612</v>
      </c>
      <c r="S69" s="996"/>
      <c r="T69" s="996"/>
      <c r="U69" s="994" t="s">
        <v>7620</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7492</v>
      </c>
      <c r="B70" s="1068" t="s">
        <v>7615</v>
      </c>
      <c r="C70" s="1007" t="s">
        <v>1028</v>
      </c>
      <c r="D70" s="996" t="s">
        <v>4215</v>
      </c>
      <c r="E70" s="996"/>
      <c r="F70" s="992"/>
      <c r="G70" s="1009"/>
      <c r="H70" s="996"/>
      <c r="I70" s="996"/>
      <c r="J70" s="1045" t="s">
        <v>6364</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7621</v>
      </c>
      <c r="C71" s="1007" t="s">
        <v>469</v>
      </c>
      <c r="D71" s="998" t="s">
        <v>2351</v>
      </c>
      <c r="E71" s="998" t="s">
        <v>3476</v>
      </c>
      <c r="F71" s="1070" t="s">
        <v>7622</v>
      </c>
      <c r="G71" s="1009"/>
      <c r="H71" s="998" t="s">
        <v>575</v>
      </c>
      <c r="I71" s="998"/>
      <c r="J71" s="998" t="s">
        <v>7622</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7623</v>
      </c>
      <c r="B72" s="1056" t="s">
        <v>7624</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7625</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7626</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7627</v>
      </c>
      <c r="C74" s="1042" t="s">
        <v>663</v>
      </c>
      <c r="D74" s="998" t="s">
        <v>1273</v>
      </c>
      <c r="E74" s="1040" t="s">
        <v>911</v>
      </c>
      <c r="F74" s="1070" t="s">
        <v>1890</v>
      </c>
      <c r="G74" s="993" t="s">
        <v>1273</v>
      </c>
      <c r="H74" s="1040" t="s">
        <v>1210</v>
      </c>
      <c r="I74" s="1040" t="s">
        <v>1431</v>
      </c>
      <c r="J74" s="1040" t="s">
        <v>4373</v>
      </c>
      <c r="K74" s="1040" t="s">
        <v>3100</v>
      </c>
      <c r="L74" s="1040" t="s">
        <v>7628</v>
      </c>
      <c r="M74" s="1040" t="s">
        <v>5913</v>
      </c>
      <c r="N74" s="1040" t="s">
        <v>360</v>
      </c>
      <c r="O74" s="1040" t="s">
        <v>6152</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7629</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7630</v>
      </c>
      <c r="B75" s="1056" t="s">
        <v>7631</v>
      </c>
      <c r="C75" s="1042" t="s">
        <v>2199</v>
      </c>
      <c r="D75" s="998"/>
      <c r="E75" s="998" t="s">
        <v>2199</v>
      </c>
      <c r="F75" s="1061"/>
      <c r="G75" s="993" t="s">
        <v>6602</v>
      </c>
      <c r="H75" s="998"/>
      <c r="I75" s="998" t="s">
        <v>7632</v>
      </c>
      <c r="J75" s="998"/>
      <c r="K75" s="998" t="s">
        <v>4248</v>
      </c>
      <c r="L75" s="998"/>
      <c r="M75" s="998"/>
      <c r="N75" s="998" t="s">
        <v>7633</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7634</v>
      </c>
      <c r="C76" s="1042" t="s">
        <v>355</v>
      </c>
      <c r="D76" s="998" t="s">
        <v>1479</v>
      </c>
      <c r="E76" s="998" t="s">
        <v>355</v>
      </c>
      <c r="F76" s="1004" t="s">
        <v>361</v>
      </c>
      <c r="G76" s="993" t="s">
        <v>1274</v>
      </c>
      <c r="H76" s="998" t="s">
        <v>1540</v>
      </c>
      <c r="I76" s="998" t="s">
        <v>1432</v>
      </c>
      <c r="J76" s="998" t="s">
        <v>4989</v>
      </c>
      <c r="K76" s="998" t="s">
        <v>7635</v>
      </c>
      <c r="L76" s="998" t="s">
        <v>912</v>
      </c>
      <c r="M76" s="998" t="s">
        <v>756</v>
      </c>
      <c r="N76" s="998" t="s">
        <v>1360</v>
      </c>
      <c r="O76" s="998" t="s">
        <v>2322</v>
      </c>
      <c r="P76" s="996" t="s">
        <v>3943</v>
      </c>
      <c r="Q76" s="998" t="s">
        <v>7636</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7485</v>
      </c>
      <c r="B77" s="1068" t="s">
        <v>7637</v>
      </c>
      <c r="C77" s="1007" t="s">
        <v>7638</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7638</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7639</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7640</v>
      </c>
      <c r="C79" s="1042" t="s">
        <v>6215</v>
      </c>
      <c r="D79" s="998" t="s">
        <v>1570</v>
      </c>
      <c r="E79" s="998" t="s">
        <v>757</v>
      </c>
      <c r="F79" s="1023" t="s">
        <v>1053</v>
      </c>
      <c r="G79" s="993" t="s">
        <v>1275</v>
      </c>
      <c r="H79" s="998" t="s">
        <v>6215</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7641</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7492</v>
      </c>
      <c r="B80" s="1068" t="s">
        <v>7631</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7642</v>
      </c>
      <c r="C81" s="1042" t="s">
        <v>2786</v>
      </c>
      <c r="D81" s="998" t="s">
        <v>2530</v>
      </c>
      <c r="E81" s="998" t="s">
        <v>2400</v>
      </c>
      <c r="F81" s="1017" t="s">
        <v>7643</v>
      </c>
      <c r="G81" s="993" t="s">
        <v>7644</v>
      </c>
      <c r="H81" s="998"/>
      <c r="I81" s="998"/>
      <c r="J81" s="998"/>
      <c r="K81" s="998"/>
      <c r="L81" s="998"/>
      <c r="M81" s="998" t="s">
        <v>7645</v>
      </c>
      <c r="N81" s="998"/>
      <c r="O81" s="998"/>
      <c r="P81" s="996" t="s">
        <v>7646</v>
      </c>
      <c r="Q81" s="998"/>
      <c r="R81" s="998"/>
      <c r="S81" s="998" t="s">
        <v>4041</v>
      </c>
      <c r="T81" s="998"/>
      <c r="U81" s="998"/>
      <c r="V81" s="998"/>
      <c r="W81" s="998" t="s">
        <v>7646</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7647</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7527</v>
      </c>
      <c r="B83" s="1056" t="s">
        <v>7648</v>
      </c>
      <c r="C83" s="1042" t="s">
        <v>2255</v>
      </c>
      <c r="D83" s="998"/>
      <c r="E83" s="998" t="s">
        <v>2255</v>
      </c>
      <c r="F83" s="1061"/>
      <c r="G83" s="993" t="s">
        <v>7649</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7650</v>
      </c>
      <c r="C84" s="1042" t="s">
        <v>2650</v>
      </c>
      <c r="D84" s="998" t="s">
        <v>3646</v>
      </c>
      <c r="E84" s="998" t="s">
        <v>2650</v>
      </c>
      <c r="F84" s="992"/>
      <c r="G84" s="1009"/>
      <c r="H84" s="998"/>
      <c r="I84" s="998"/>
      <c r="J84" s="998"/>
      <c r="K84" s="998" t="s">
        <v>7651</v>
      </c>
      <c r="L84" s="998" t="s">
        <v>5182</v>
      </c>
      <c r="M84" s="998"/>
      <c r="N84" s="998" t="str">
        <f>HYPERLINK("https://youtu.be/HUwmtKe7cOY","56.54")</f>
        <v>56.54</v>
      </c>
      <c r="O84" s="998"/>
      <c r="P84" s="996" t="s">
        <v>3817</v>
      </c>
      <c r="Q84" s="998"/>
      <c r="R84" s="998"/>
      <c r="S84" s="998"/>
      <c r="T84" s="998"/>
      <c r="U84" s="998" t="s">
        <v>7652</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7653</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7654</v>
      </c>
      <c r="B86" s="1056" t="s">
        <v>7655</v>
      </c>
      <c r="C86" s="1042" t="s">
        <v>3540</v>
      </c>
      <c r="D86" s="998"/>
      <c r="E86" s="998" t="s">
        <v>7656</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7657</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7658</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7659</v>
      </c>
      <c r="C88" s="1086" t="s">
        <v>6579</v>
      </c>
      <c r="D88" s="1087" t="s">
        <v>7660</v>
      </c>
      <c r="E88" s="1088" t="s">
        <v>2388</v>
      </c>
      <c r="F88" s="1088" t="s">
        <v>760</v>
      </c>
      <c r="G88" s="1088" t="s">
        <v>667</v>
      </c>
      <c r="H88" s="1087" t="s">
        <v>760</v>
      </c>
      <c r="I88" s="1088" t="s">
        <v>2438</v>
      </c>
      <c r="J88" s="1088" t="s">
        <v>1278</v>
      </c>
      <c r="K88" s="1087" t="s">
        <v>3104</v>
      </c>
      <c r="L88" s="1087" t="s">
        <v>7661</v>
      </c>
      <c r="M88" s="964"/>
      <c r="N88" s="964"/>
      <c r="O88" s="1088" t="s">
        <v>6579</v>
      </c>
      <c r="P88" s="1088" t="s">
        <v>7662</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7663</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7664</v>
      </c>
      <c r="B89" s="1072" t="s">
        <v>7470</v>
      </c>
      <c r="C89" s="1074" t="s">
        <v>7665</v>
      </c>
      <c r="D89" s="994" t="s">
        <v>7666</v>
      </c>
      <c r="E89" s="1036"/>
      <c r="F89" s="1070" t="s">
        <v>7667</v>
      </c>
      <c r="G89" s="1009"/>
      <c r="H89" s="994" t="s">
        <v>7665</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7668</v>
      </c>
      <c r="B90" s="1072" t="s">
        <v>7470</v>
      </c>
      <c r="C90" s="1016" t="s">
        <v>7669</v>
      </c>
      <c r="D90" s="994" t="s">
        <v>7670</v>
      </c>
      <c r="E90" s="1036"/>
      <c r="F90" s="1035" t="s">
        <v>7671</v>
      </c>
      <c r="G90" s="1009"/>
      <c r="H90" s="994" t="s">
        <v>7669</v>
      </c>
      <c r="I90" s="1036"/>
      <c r="J90" s="1036"/>
      <c r="K90" s="1036"/>
      <c r="L90" s="1036"/>
      <c r="M90" s="1036"/>
      <c r="N90" s="1036"/>
      <c r="O90" s="1036"/>
      <c r="P90" s="996"/>
      <c r="Q90" s="1036"/>
      <c r="R90" s="1036"/>
      <c r="S90" s="1036"/>
      <c r="T90" s="1036"/>
      <c r="U90" s="994" t="s">
        <v>7672</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7574</v>
      </c>
      <c r="B91" s="1056" t="s">
        <v>7575</v>
      </c>
      <c r="C91" s="1042" t="s">
        <v>5346</v>
      </c>
      <c r="D91" s="998" t="s">
        <v>7074</v>
      </c>
      <c r="E91" s="998" t="s">
        <v>5346</v>
      </c>
      <c r="F91" s="1061"/>
      <c r="G91" s="1009"/>
      <c r="H91" s="998" t="s">
        <v>5346</v>
      </c>
      <c r="I91" s="998" t="s">
        <v>5165</v>
      </c>
      <c r="J91" s="998"/>
      <c r="K91" s="998" t="s">
        <v>4710</v>
      </c>
      <c r="L91" s="998"/>
      <c r="M91" s="998" t="s">
        <v>3247</v>
      </c>
      <c r="N91" s="998" t="str">
        <f>HYPERLINK("https://youtu.be/HjDDp_Mj_yI","16.74")</f>
        <v>16.74</v>
      </c>
      <c r="O91" s="998"/>
      <c r="P91" s="996" t="s">
        <v>6438</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7673</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6710</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7674</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7675</v>
      </c>
      <c r="C94" s="1042" t="s">
        <v>1075</v>
      </c>
      <c r="D94" s="998" t="s">
        <v>1573</v>
      </c>
      <c r="E94" s="994" t="s">
        <v>360</v>
      </c>
      <c r="F94" s="992"/>
      <c r="G94" s="993" t="s">
        <v>1279</v>
      </c>
      <c r="H94" s="994" t="s">
        <v>1075</v>
      </c>
      <c r="I94" s="995"/>
      <c r="J94" s="994" t="s">
        <v>7676</v>
      </c>
      <c r="K94" s="995"/>
      <c r="L94" s="995" t="s">
        <v>125</v>
      </c>
      <c r="M94" s="994" t="s">
        <v>6072</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7677</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7578</v>
      </c>
      <c r="B96" s="1056" t="s">
        <v>7678</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7679</v>
      </c>
      <c r="B97" s="1056" t="s">
        <v>7581</v>
      </c>
      <c r="C97" s="1042" t="s">
        <v>7680</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7681</v>
      </c>
      <c r="B98" s="1072" t="s">
        <v>7581</v>
      </c>
      <c r="C98" s="1042" t="s">
        <v>7682</v>
      </c>
      <c r="D98" s="1043" t="s">
        <v>7682</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7470</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7683</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7469</v>
      </c>
      <c r="B101" s="1097"/>
      <c r="C101" s="1098" t="s">
        <v>4202</v>
      </c>
      <c r="D101" s="953" t="s">
        <v>1577</v>
      </c>
      <c r="E101" s="1099" t="s">
        <v>2439</v>
      </c>
      <c r="F101" s="992"/>
      <c r="G101" s="993" t="s">
        <v>6042</v>
      </c>
      <c r="H101" s="1099"/>
      <c r="I101" s="1099" t="str">
        <f>HYPERLINK("https://youtu.be/ycBfir2aflI","41.70")</f>
        <v>41.70</v>
      </c>
      <c r="J101" s="1099" t="s">
        <v>7503</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7485</v>
      </c>
      <c r="B102" s="1104"/>
      <c r="C102" s="1098" t="s">
        <v>1620</v>
      </c>
      <c r="D102" s="953" t="s">
        <v>1578</v>
      </c>
      <c r="E102" s="1105"/>
      <c r="F102" s="1106"/>
      <c r="G102" s="993" t="s">
        <v>7607</v>
      </c>
      <c r="H102" s="1105"/>
      <c r="I102" s="1099" t="s">
        <v>3338</v>
      </c>
      <c r="J102" s="1099" t="s">
        <v>4152</v>
      </c>
      <c r="K102" s="1105" t="s">
        <v>1235</v>
      </c>
      <c r="L102" s="1105" t="s">
        <v>919</v>
      </c>
      <c r="M102" s="1099" t="s">
        <v>764</v>
      </c>
      <c r="N102" s="1105" t="s">
        <v>3720</v>
      </c>
      <c r="O102" s="1099" t="s">
        <v>1620</v>
      </c>
      <c r="P102" s="1107" t="s">
        <v>2910</v>
      </c>
      <c r="Q102" s="1105"/>
      <c r="R102" s="1105" t="s">
        <v>5796</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7492</v>
      </c>
      <c r="B103" s="1108"/>
      <c r="C103" s="1098" t="s">
        <v>3396</v>
      </c>
      <c r="D103" s="1109" t="s">
        <v>4513</v>
      </c>
      <c r="E103" s="1105"/>
      <c r="F103" s="992"/>
      <c r="G103" s="993" t="s">
        <v>6092</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7684</v>
      </c>
      <c r="B104" s="1110" t="s">
        <v>7685</v>
      </c>
      <c r="C104" s="1098" t="s">
        <v>1516</v>
      </c>
      <c r="D104" s="950" t="s">
        <v>7686</v>
      </c>
      <c r="E104" s="1105"/>
      <c r="F104" s="992"/>
      <c r="G104" s="993" t="s">
        <v>1284</v>
      </c>
      <c r="H104" s="1105"/>
      <c r="I104" s="1105" t="s">
        <v>6854</v>
      </c>
      <c r="J104" s="1099" t="s">
        <v>7687</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7688</v>
      </c>
      <c r="C105" s="1098" t="s">
        <v>7689</v>
      </c>
      <c r="D105" s="953" t="s">
        <v>1579</v>
      </c>
      <c r="E105" s="1105"/>
      <c r="F105" s="1106"/>
      <c r="G105" s="1009"/>
      <c r="H105" s="1105"/>
      <c r="I105" s="1105"/>
      <c r="J105" s="1099" t="s">
        <v>7689</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7623</v>
      </c>
      <c r="B106" s="1110" t="s">
        <v>7690</v>
      </c>
      <c r="C106" s="1098" t="s">
        <v>5653</v>
      </c>
      <c r="D106" s="950" t="s">
        <v>6792</v>
      </c>
      <c r="E106" s="1105"/>
      <c r="F106" s="992"/>
      <c r="G106" s="993" t="s">
        <v>613</v>
      </c>
      <c r="H106" s="1105"/>
      <c r="I106" s="1105"/>
      <c r="J106" s="1099" t="s">
        <v>7691</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7692</v>
      </c>
      <c r="BG106" s="1105"/>
      <c r="BH106" s="1105"/>
      <c r="BI106" s="1101"/>
      <c r="BJ106" s="1101"/>
      <c r="BK106" s="1101"/>
      <c r="BL106" s="1101"/>
      <c r="BM106" s="1101"/>
      <c r="BN106" s="1101"/>
      <c r="BO106" s="1101"/>
    </row>
    <row r="107" ht="15.75" customHeight="1">
      <c r="A107" s="1096" t="s">
        <v>7630</v>
      </c>
      <c r="B107" s="1110" t="s">
        <v>7693</v>
      </c>
      <c r="C107" s="1098" t="s">
        <v>7694</v>
      </c>
      <c r="D107" s="950" t="s">
        <v>3717</v>
      </c>
      <c r="E107" s="1105"/>
      <c r="F107" s="1106"/>
      <c r="G107" s="993" t="s">
        <v>134</v>
      </c>
      <c r="H107" s="1105"/>
      <c r="I107" s="1105" t="s">
        <v>7695</v>
      </c>
      <c r="J107" s="1099" t="s">
        <v>7696</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7485</v>
      </c>
      <c r="B108" s="1104" t="s">
        <v>7693</v>
      </c>
      <c r="C108" s="989" t="s">
        <v>7697</v>
      </c>
      <c r="D108" s="1043" t="s">
        <v>7612</v>
      </c>
      <c r="E108" s="1099" t="s">
        <v>369</v>
      </c>
      <c r="F108" s="992"/>
      <c r="G108" s="993" t="s">
        <v>7698</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7697</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7492</v>
      </c>
      <c r="B109" s="1113" t="s">
        <v>7685</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7699</v>
      </c>
      <c r="B110" s="1114" t="s">
        <v>7470</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7654</v>
      </c>
      <c r="B111" s="1110" t="s">
        <v>7581</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7700</v>
      </c>
      <c r="C112" s="1098" t="s">
        <v>1259</v>
      </c>
      <c r="D112" s="953" t="s">
        <v>1582</v>
      </c>
      <c r="E112" s="1105"/>
      <c r="F112" s="992"/>
      <c r="G112" s="993" t="s">
        <v>1287</v>
      </c>
      <c r="H112" s="1105"/>
      <c r="I112" s="1105" t="s">
        <v>7701</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7574</v>
      </c>
      <c r="B113" s="1110" t="s">
        <v>7702</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6092</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7703</v>
      </c>
      <c r="C114" s="1098"/>
      <c r="D114" s="1099"/>
      <c r="E114" s="1099" t="s">
        <v>6092</v>
      </c>
      <c r="F114" s="1116" t="s">
        <v>3819</v>
      </c>
      <c r="G114" s="1009"/>
      <c r="H114" s="1099" t="s">
        <v>6092</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7577</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7578</v>
      </c>
      <c r="B116" s="1110" t="s">
        <v>7704</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6410</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7705</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7706</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7707</v>
      </c>
      <c r="C118" s="1098" t="s">
        <v>7708</v>
      </c>
      <c r="D118" s="998" t="s">
        <v>1583</v>
      </c>
      <c r="E118" s="1099" t="s">
        <v>7708</v>
      </c>
      <c r="F118" s="1017" t="s">
        <v>2052</v>
      </c>
      <c r="G118" s="1009"/>
      <c r="H118" s="1105" t="s">
        <v>1930</v>
      </c>
      <c r="I118" s="1099" t="s">
        <v>261</v>
      </c>
      <c r="J118" s="1099" t="s">
        <v>4793</v>
      </c>
      <c r="K118" s="1099" t="s">
        <v>847</v>
      </c>
      <c r="L118" s="1099"/>
      <c r="M118" s="1099" t="s">
        <v>770</v>
      </c>
      <c r="N118" s="1099"/>
      <c r="O118" s="1099" t="s">
        <v>4254</v>
      </c>
      <c r="P118" s="1100" t="s">
        <v>6185</v>
      </c>
      <c r="Q118" s="1099" t="s">
        <v>2562</v>
      </c>
      <c r="R118" s="1099" t="s">
        <v>3367</v>
      </c>
      <c r="S118" s="1099"/>
      <c r="T118" s="1099" t="s">
        <v>6815</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7709</v>
      </c>
      <c r="C119" s="1098" t="s">
        <v>7710</v>
      </c>
      <c r="D119" s="1105"/>
      <c r="E119" s="1105"/>
      <c r="F119" s="1004" t="s">
        <v>2550</v>
      </c>
      <c r="G119" s="1009"/>
      <c r="H119" s="1105"/>
      <c r="I119" s="1105"/>
      <c r="J119" s="1105"/>
      <c r="K119" s="1105"/>
      <c r="L119" s="1105"/>
      <c r="M119" s="1105"/>
      <c r="N119" s="1105"/>
      <c r="O119" s="1105"/>
      <c r="P119" s="1107"/>
      <c r="Q119" s="1105"/>
      <c r="R119" s="1105"/>
      <c r="S119" s="1105" t="s">
        <v>7711</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7712</v>
      </c>
      <c r="B120" s="1114" t="s">
        <v>7581</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6015</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7681</v>
      </c>
      <c r="B121" s="1104" t="s">
        <v>7581</v>
      </c>
      <c r="C121" s="1042" t="s">
        <v>7713</v>
      </c>
      <c r="D121" s="1043" t="s">
        <v>7713</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6644</v>
      </c>
      <c r="B122" s="1114" t="s">
        <v>7470</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7685</v>
      </c>
      <c r="C123" s="1098" t="s">
        <v>2953</v>
      </c>
      <c r="D123" s="953" t="s">
        <v>7714</v>
      </c>
      <c r="E123" s="1105"/>
      <c r="F123" s="992"/>
      <c r="G123" s="1009"/>
      <c r="H123" s="1105"/>
      <c r="I123" s="1099" t="s">
        <v>7715</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7716</v>
      </c>
      <c r="B125" s="1127"/>
      <c r="C125" s="1098" t="s">
        <v>4106</v>
      </c>
      <c r="D125" s="1099" t="s">
        <v>7717</v>
      </c>
      <c r="E125" s="1099" t="s">
        <v>7718</v>
      </c>
      <c r="F125" s="1017" t="s">
        <v>7719</v>
      </c>
      <c r="G125" s="1009"/>
      <c r="H125" s="1099" t="s">
        <v>4106</v>
      </c>
      <c r="I125" s="1099"/>
      <c r="J125" s="1099"/>
      <c r="K125" s="1099"/>
      <c r="L125" s="1099" t="s">
        <v>7718</v>
      </c>
      <c r="M125" s="1099"/>
      <c r="N125" s="1099"/>
      <c r="O125" s="1099"/>
      <c r="P125" s="1100" t="s">
        <v>7720</v>
      </c>
      <c r="Q125" s="1099"/>
      <c r="R125" s="1099"/>
      <c r="S125" s="1099" t="s">
        <v>7721</v>
      </c>
      <c r="T125" s="1099"/>
      <c r="U125" s="1099"/>
      <c r="V125" s="1099"/>
      <c r="W125" s="1099" t="s">
        <v>7720</v>
      </c>
      <c r="X125" s="1099"/>
      <c r="Y125" s="1099"/>
      <c r="Z125" s="1128"/>
      <c r="AA125" s="1099" t="s">
        <v>7719</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7469</v>
      </c>
      <c r="B126" s="1129" t="s">
        <v>7722</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7723</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7724</v>
      </c>
      <c r="C128" s="1016" t="s">
        <v>1182</v>
      </c>
      <c r="D128" s="998" t="s">
        <v>661</v>
      </c>
      <c r="E128" s="1105"/>
      <c r="F128" s="1017" t="s">
        <v>1182</v>
      </c>
      <c r="G128" s="993" t="s">
        <v>1351</v>
      </c>
      <c r="H128" s="1105"/>
      <c r="I128" s="1105"/>
      <c r="J128" s="1105" t="s">
        <v>2718</v>
      </c>
      <c r="K128" s="1105" t="s">
        <v>7725</v>
      </c>
      <c r="L128" s="1105"/>
      <c r="M128" s="1105"/>
      <c r="N128" s="1105"/>
      <c r="O128" s="1105"/>
      <c r="P128" s="1107" t="s">
        <v>7726</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7727</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7485</v>
      </c>
      <c r="B130" s="1136" t="s">
        <v>7470</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7492</v>
      </c>
      <c r="B131" s="1140" t="s">
        <v>7470</v>
      </c>
      <c r="C131" s="1098" t="s">
        <v>7728</v>
      </c>
      <c r="D131" s="1105"/>
      <c r="E131" s="1105"/>
      <c r="F131" s="1017" t="s">
        <v>1944</v>
      </c>
      <c r="G131" s="993" t="s">
        <v>7729</v>
      </c>
      <c r="H131" s="993" t="s">
        <v>7728</v>
      </c>
      <c r="I131" s="1105"/>
      <c r="J131" s="1105"/>
      <c r="K131" s="1105"/>
      <c r="L131" s="1105"/>
      <c r="M131" s="1105"/>
      <c r="N131" s="1105"/>
      <c r="O131" s="1105"/>
      <c r="P131" s="1107"/>
      <c r="Q131" s="1105"/>
      <c r="R131" s="1105"/>
      <c r="S131" s="1105" t="s">
        <v>7728</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7472</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6277</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7485</v>
      </c>
      <c r="B133" s="1140" t="s">
        <v>7470</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7492</v>
      </c>
      <c r="B134" s="1140" t="s">
        <v>7470</v>
      </c>
      <c r="C134" s="1098" t="s">
        <v>7730</v>
      </c>
      <c r="D134" s="1099"/>
      <c r="E134" s="1099" t="s">
        <v>7730</v>
      </c>
      <c r="F134" s="1137" t="s">
        <v>1548</v>
      </c>
      <c r="G134" s="993" t="s">
        <v>7731</v>
      </c>
      <c r="H134" s="1099"/>
      <c r="I134" s="1099"/>
      <c r="J134" s="1099"/>
      <c r="K134" s="1099"/>
      <c r="L134" s="1099" t="s">
        <v>3012</v>
      </c>
      <c r="M134" s="1099" t="s">
        <v>7731</v>
      </c>
      <c r="N134" s="1099"/>
      <c r="O134" s="1099"/>
      <c r="P134" s="1100" t="s">
        <v>7730</v>
      </c>
      <c r="Q134" s="1099" t="s">
        <v>488</v>
      </c>
      <c r="R134" s="1099"/>
      <c r="S134" s="1099"/>
      <c r="T134" s="1099"/>
      <c r="U134" s="1099"/>
      <c r="V134" s="1099"/>
      <c r="W134" s="1099"/>
      <c r="X134" s="1099"/>
      <c r="Y134" s="1099" t="s">
        <v>7732</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7623</v>
      </c>
      <c r="B135" s="1129" t="s">
        <v>7733</v>
      </c>
      <c r="C135" s="1098" t="s">
        <v>7734</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7735</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6386</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7736</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6470</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7737</v>
      </c>
      <c r="C138" s="1098" t="s">
        <v>379</v>
      </c>
      <c r="D138" s="998" t="s">
        <v>776</v>
      </c>
      <c r="E138" s="993" t="s">
        <v>379</v>
      </c>
      <c r="F138" s="1023" t="s">
        <v>3974</v>
      </c>
      <c r="G138" s="993" t="s">
        <v>1294</v>
      </c>
      <c r="H138" s="1142" t="s">
        <v>5731</v>
      </c>
      <c r="I138" s="993" t="s">
        <v>5437</v>
      </c>
      <c r="J138" s="1009"/>
      <c r="K138" s="1009"/>
      <c r="L138" s="993" t="s">
        <v>929</v>
      </c>
      <c r="M138" s="993" t="s">
        <v>6469</v>
      </c>
      <c r="N138" s="1009"/>
      <c r="O138" s="993" t="s">
        <v>7738</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7739</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7516</v>
      </c>
      <c r="B139" s="1129" t="s">
        <v>7740</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7741</v>
      </c>
      <c r="P139" s="1107"/>
      <c r="Q139" s="1105"/>
      <c r="R139" s="1105"/>
      <c r="S139" s="1105" t="s">
        <v>568</v>
      </c>
      <c r="T139" s="1105"/>
      <c r="U139" s="1105"/>
      <c r="V139" s="1105"/>
      <c r="W139" s="1105"/>
      <c r="X139" s="1105"/>
      <c r="Y139" s="1105"/>
      <c r="Z139" s="1128"/>
      <c r="AA139" s="1105"/>
      <c r="AB139" s="1105"/>
      <c r="AC139" s="1105"/>
      <c r="AD139" s="1105"/>
      <c r="AE139" s="1105" t="s">
        <v>7742</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7743</v>
      </c>
      <c r="C140" s="1098" t="s">
        <v>4552</v>
      </c>
      <c r="D140" s="1143"/>
      <c r="E140" s="1143"/>
      <c r="F140" s="1130"/>
      <c r="G140" s="1009"/>
      <c r="H140" s="1143"/>
      <c r="I140" s="1143"/>
      <c r="J140" s="993" t="s">
        <v>7744</v>
      </c>
      <c r="K140" s="1143"/>
      <c r="L140" s="1143"/>
      <c r="M140" s="1143"/>
      <c r="N140" s="1143"/>
      <c r="O140" s="1143"/>
      <c r="P140" s="1100"/>
      <c r="Q140" s="1143"/>
      <c r="R140" s="1143" t="s">
        <v>4552</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7745</v>
      </c>
      <c r="C141" s="1098" t="s">
        <v>7746</v>
      </c>
      <c r="D141" s="998" t="s">
        <v>793</v>
      </c>
      <c r="E141" s="1144"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7527</v>
      </c>
      <c r="B142" s="1129" t="s">
        <v>7747</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7748</v>
      </c>
      <c r="C143" s="1098" t="s">
        <v>7749</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7750</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7751</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7752</v>
      </c>
      <c r="C145" s="989" t="s">
        <v>7753</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7753</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7538</v>
      </c>
      <c r="B146" s="1129" t="s">
        <v>7754</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7755</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7485</v>
      </c>
      <c r="B148" s="1136" t="s">
        <v>7754</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7756</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7755</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7757</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7492</v>
      </c>
      <c r="B150" s="1136" t="s">
        <v>7470</v>
      </c>
      <c r="C150" s="1098" t="s">
        <v>7758</v>
      </c>
      <c r="D150" s="1143"/>
      <c r="E150" s="1143"/>
      <c r="F150" s="1130"/>
      <c r="G150" s="993" t="s">
        <v>2751</v>
      </c>
      <c r="H150" s="1143"/>
      <c r="I150" s="1143"/>
      <c r="J150" s="1143"/>
      <c r="K150" s="1143"/>
      <c r="L150" s="1143"/>
      <c r="M150" s="1143"/>
      <c r="N150" s="1143"/>
      <c r="O150" s="1032" t="s">
        <v>7758</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7757</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7759</v>
      </c>
      <c r="B151" s="1140" t="s">
        <v>7760</v>
      </c>
      <c r="C151" s="1098" t="s">
        <v>7761</v>
      </c>
      <c r="D151" s="1099" t="s">
        <v>7762</v>
      </c>
      <c r="E151" s="1099" t="s">
        <v>7761</v>
      </c>
      <c r="F151" s="992"/>
      <c r="G151" s="1009"/>
      <c r="H151" s="1099"/>
      <c r="I151" s="1099" t="s">
        <v>7763</v>
      </c>
      <c r="J151" s="1099" t="s">
        <v>7764</v>
      </c>
      <c r="K151" s="1099"/>
      <c r="L151" s="1099" t="s">
        <v>934</v>
      </c>
      <c r="M151" s="1099"/>
      <c r="N151" s="1099" t="s">
        <v>7362</v>
      </c>
      <c r="O151" s="1099"/>
      <c r="P151" s="1100"/>
      <c r="Q151" s="1099"/>
      <c r="R151" s="1099"/>
      <c r="S151" s="1099"/>
      <c r="T151" s="1099" t="s">
        <v>7765</v>
      </c>
      <c r="U151" s="1099"/>
      <c r="V151" s="1099" t="s">
        <v>5112</v>
      </c>
      <c r="W151" s="1099"/>
      <c r="X151" s="1099"/>
      <c r="Y151" s="1099"/>
      <c r="Z151" s="1128"/>
      <c r="AA151" s="1099"/>
      <c r="AB151" s="1099"/>
      <c r="AC151" s="1099"/>
      <c r="AD151" s="1099"/>
      <c r="AE151" s="1099"/>
      <c r="AF151" s="1099"/>
      <c r="AG151" s="1099"/>
      <c r="AH151" s="1099"/>
      <c r="AI151" s="1099"/>
      <c r="AJ151" s="1099" t="s">
        <v>6852</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7766</v>
      </c>
      <c r="BF151" s="1099"/>
      <c r="BG151" s="1099"/>
      <c r="BH151" s="1099"/>
      <c r="BI151" s="1128"/>
      <c r="BJ151" s="1128"/>
      <c r="BK151" s="1128"/>
      <c r="BL151" s="1128"/>
      <c r="BM151" s="1128"/>
      <c r="BN151" s="1128"/>
      <c r="BO151" s="1128"/>
    </row>
    <row r="152" ht="15.75" customHeight="1">
      <c r="A152" s="1131"/>
      <c r="B152" s="1132" t="s">
        <v>7767</v>
      </c>
      <c r="C152" s="1098" t="s">
        <v>7768</v>
      </c>
      <c r="D152" s="1105"/>
      <c r="E152" s="1105"/>
      <c r="F152" s="1130"/>
      <c r="G152" s="1009"/>
      <c r="H152" s="1105"/>
      <c r="I152" s="1105"/>
      <c r="J152" s="1105"/>
      <c r="K152" s="1105" t="s">
        <v>7769</v>
      </c>
      <c r="L152" s="1105"/>
      <c r="M152" s="1105"/>
      <c r="N152" s="1105"/>
      <c r="O152" s="1105" t="s">
        <v>7768</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7770</v>
      </c>
      <c r="C153" s="1145" t="s">
        <v>2554</v>
      </c>
      <c r="D153" s="1036" t="s">
        <v>1591</v>
      </c>
      <c r="E153" s="993" t="s">
        <v>384</v>
      </c>
      <c r="F153" s="1023" t="s">
        <v>2554</v>
      </c>
      <c r="G153" s="1009"/>
      <c r="H153" s="993" t="s">
        <v>7771</v>
      </c>
      <c r="I153" s="993" t="s">
        <v>589</v>
      </c>
      <c r="J153" s="993" t="s">
        <v>3254</v>
      </c>
      <c r="K153" s="1009" t="s">
        <v>3649</v>
      </c>
      <c r="L153" s="1009"/>
      <c r="M153" s="1009"/>
      <c r="N153" s="1009"/>
      <c r="O153" s="1009"/>
      <c r="P153" s="1100"/>
      <c r="Q153" s="1009"/>
      <c r="R153" s="1009"/>
      <c r="S153" s="1009"/>
      <c r="T153" s="1009"/>
      <c r="U153" s="993" t="s">
        <v>7147</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7772</v>
      </c>
      <c r="BC153" s="1009"/>
      <c r="BD153" s="1009"/>
      <c r="BE153" s="1009"/>
      <c r="BF153" s="1009"/>
      <c r="BG153" s="1009"/>
      <c r="BH153" s="1009"/>
      <c r="BI153" s="1128"/>
      <c r="BJ153" s="1128"/>
      <c r="BK153" s="1128"/>
      <c r="BL153" s="1128"/>
      <c r="BM153" s="1128"/>
      <c r="BN153" s="1128"/>
      <c r="BO153" s="1128"/>
    </row>
    <row r="154" ht="15.75" customHeight="1">
      <c r="A154" s="1131"/>
      <c r="B154" s="1132" t="s">
        <v>7773</v>
      </c>
      <c r="C154" s="989" t="s">
        <v>3490</v>
      </c>
      <c r="D154" s="953" t="s">
        <v>1590</v>
      </c>
      <c r="E154" s="1105"/>
      <c r="F154" s="1130"/>
      <c r="G154" s="993" t="s">
        <v>1298</v>
      </c>
      <c r="H154" s="1105"/>
      <c r="I154" s="1105"/>
      <c r="J154" s="1105"/>
      <c r="K154" s="1109" t="s">
        <v>3648</v>
      </c>
      <c r="L154" s="1105"/>
      <c r="M154" s="1105" t="s">
        <v>7774</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7775</v>
      </c>
      <c r="B155" s="1140" t="s">
        <v>7760</v>
      </c>
      <c r="C155" s="1098" t="s">
        <v>777</v>
      </c>
      <c r="D155" s="1147" t="s">
        <v>5109</v>
      </c>
      <c r="E155" s="1147" t="s">
        <v>3654</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7776</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7777</v>
      </c>
      <c r="C157" s="989" t="s">
        <v>2623</v>
      </c>
      <c r="D157" s="1147" t="s">
        <v>7778</v>
      </c>
      <c r="E157" s="1147"/>
      <c r="F157" s="1035" t="s">
        <v>3848</v>
      </c>
      <c r="G157" s="1009"/>
      <c r="H157" s="993" t="s">
        <v>2623</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7779</v>
      </c>
      <c r="C158" s="1016" t="s">
        <v>5134</v>
      </c>
      <c r="D158" s="1147"/>
      <c r="E158" s="1147"/>
      <c r="F158" s="1017" t="s">
        <v>5134</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7780</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7773</v>
      </c>
      <c r="C160" s="989" t="s">
        <v>1432</v>
      </c>
      <c r="D160" s="1147"/>
      <c r="E160" s="1147"/>
      <c r="F160" s="1130"/>
      <c r="G160" s="993" t="s">
        <v>7049</v>
      </c>
      <c r="H160" s="1147" t="s">
        <v>7781</v>
      </c>
      <c r="I160" s="1147" t="s">
        <v>288</v>
      </c>
      <c r="J160" s="1147"/>
      <c r="K160" s="1147"/>
      <c r="L160" s="1147"/>
      <c r="M160" s="1099" t="s">
        <v>4791</v>
      </c>
      <c r="N160" s="1147"/>
      <c r="O160" s="1147"/>
      <c r="P160" s="1100"/>
      <c r="Q160" s="1147"/>
      <c r="R160" s="1147"/>
      <c r="S160" s="993" t="s">
        <v>6541</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7782</v>
      </c>
      <c r="B161" s="1140" t="s">
        <v>7783</v>
      </c>
      <c r="C161" s="1098" t="s">
        <v>7784</v>
      </c>
      <c r="D161" s="1147" t="s">
        <v>2288</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7785</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7786</v>
      </c>
      <c r="B163" s="1140" t="s">
        <v>7787</v>
      </c>
      <c r="C163" s="989" t="s">
        <v>7788</v>
      </c>
      <c r="D163" s="1147"/>
      <c r="E163" s="1147"/>
      <c r="F163" s="1017" t="s">
        <v>7789</v>
      </c>
      <c r="G163" s="993" t="s">
        <v>7790</v>
      </c>
      <c r="H163" s="1099" t="s">
        <v>7791</v>
      </c>
      <c r="I163" s="1147" t="s">
        <v>7792</v>
      </c>
      <c r="J163" s="1147"/>
      <c r="K163" s="1147"/>
      <c r="L163" s="1147"/>
      <c r="M163" s="1099" t="s">
        <v>1323</v>
      </c>
      <c r="N163" s="1147"/>
      <c r="O163" s="1147"/>
      <c r="P163" s="1100"/>
      <c r="Q163" s="1147"/>
      <c r="R163" s="1147"/>
      <c r="S163" s="993" t="s">
        <v>7788</v>
      </c>
      <c r="T163" s="1147"/>
      <c r="U163" s="993" t="s">
        <v>7793</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7794</v>
      </c>
      <c r="C164" s="1098" t="s">
        <v>7795</v>
      </c>
      <c r="D164" s="1147"/>
      <c r="E164" s="1147"/>
      <c r="F164" s="1137" t="s">
        <v>7796</v>
      </c>
      <c r="G164" s="1009"/>
      <c r="H164" s="1099" t="s">
        <v>7797</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7798</v>
      </c>
      <c r="C165" s="1098" t="s">
        <v>7799</v>
      </c>
      <c r="D165" s="1147"/>
      <c r="E165" s="1147"/>
      <c r="F165" s="1017" t="s">
        <v>7800</v>
      </c>
      <c r="G165" s="1009"/>
      <c r="H165" s="1099" t="s">
        <v>7799</v>
      </c>
      <c r="I165" s="1147" t="s">
        <v>7801</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7802</v>
      </c>
      <c r="C166" s="1098" t="s">
        <v>747</v>
      </c>
      <c r="D166" s="1147"/>
      <c r="E166" s="1147"/>
      <c r="F166" s="1137" t="s">
        <v>3101</v>
      </c>
      <c r="G166" s="1009"/>
      <c r="H166" s="1099" t="s">
        <v>747</v>
      </c>
      <c r="I166" s="1147"/>
      <c r="J166" s="1147"/>
      <c r="K166" s="1147"/>
      <c r="L166" s="1147"/>
      <c r="M166" s="1099" t="s">
        <v>2805</v>
      </c>
      <c r="N166" s="1147"/>
      <c r="O166" s="1147"/>
      <c r="P166" s="1100"/>
      <c r="Q166" s="1147"/>
      <c r="R166" s="1147"/>
      <c r="S166" s="1147"/>
      <c r="T166" s="1147"/>
      <c r="U166" s="1147"/>
      <c r="V166" s="1147"/>
      <c r="W166" s="1147" t="s">
        <v>2349</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7574</v>
      </c>
      <c r="B167" s="1149" t="s">
        <v>7803</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50" t="s">
        <v>7804</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7805</v>
      </c>
      <c r="C168" s="1098" t="s">
        <v>2442</v>
      </c>
      <c r="D168" s="998" t="s">
        <v>1592</v>
      </c>
      <c r="E168" s="1099" t="s">
        <v>7806</v>
      </c>
      <c r="F168" s="1017" t="s">
        <v>7807</v>
      </c>
      <c r="G168" s="1009"/>
      <c r="H168" s="1099" t="s">
        <v>7808</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7578</v>
      </c>
      <c r="B169" s="1149" t="s">
        <v>7809</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7492</v>
      </c>
      <c r="B170" s="1140" t="s">
        <v>7470</v>
      </c>
      <c r="C170" s="1098" t="s">
        <v>7810</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7811</v>
      </c>
      <c r="B171" s="1149" t="s">
        <v>7812</v>
      </c>
      <c r="C171" s="1098" t="s">
        <v>7813</v>
      </c>
      <c r="D171" s="1105" t="s">
        <v>6084</v>
      </c>
      <c r="E171" s="1105"/>
      <c r="F171" s="992"/>
      <c r="G171" s="1009"/>
      <c r="H171" s="1105"/>
      <c r="I171" s="1105"/>
      <c r="J171" s="1105"/>
      <c r="K171" s="1105" t="s">
        <v>6341</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7814</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7583</v>
      </c>
      <c r="B173" s="1140" t="s">
        <v>7812</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7814</v>
      </c>
      <c r="C174" s="1151" t="s">
        <v>7815</v>
      </c>
      <c r="D174" s="1152" t="s">
        <v>7815</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7585</v>
      </c>
      <c r="B175" s="1149" t="s">
        <v>7470</v>
      </c>
      <c r="C175" s="1098" t="s">
        <v>1524</v>
      </c>
      <c r="D175" s="950" t="s">
        <v>1593</v>
      </c>
      <c r="E175" s="1099" t="s">
        <v>7816</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7583</v>
      </c>
      <c r="B176" s="1136" t="s">
        <v>7470</v>
      </c>
      <c r="C176" s="1042" t="s">
        <v>7817</v>
      </c>
      <c r="D176" s="1043" t="s">
        <v>7817</v>
      </c>
      <c r="E176" s="1099"/>
      <c r="F176" s="992"/>
      <c r="G176" s="1009"/>
      <c r="H176" s="1099"/>
      <c r="I176" s="1099"/>
      <c r="J176" s="1099"/>
      <c r="K176" s="1099"/>
      <c r="L176" s="1099"/>
      <c r="M176" s="1099"/>
      <c r="N176" s="1099"/>
      <c r="O176" s="1099"/>
      <c r="P176" s="1100"/>
      <c r="Q176" s="1099"/>
      <c r="R176" s="1099"/>
      <c r="S176" s="1099"/>
      <c r="T176" s="1099"/>
      <c r="U176" s="993" t="s">
        <v>7818</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7470</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7819</v>
      </c>
      <c r="B179" s="1160" t="s">
        <v>7820</v>
      </c>
      <c r="C179" s="1098" t="s">
        <v>7821</v>
      </c>
      <c r="D179" s="995" t="s">
        <v>7822</v>
      </c>
      <c r="E179" s="998" t="s">
        <v>7823</v>
      </c>
      <c r="F179" s="1017" t="s">
        <v>7824</v>
      </c>
      <c r="G179" s="993" t="s">
        <v>7825</v>
      </c>
      <c r="H179" s="995" t="s">
        <v>7823</v>
      </c>
      <c r="I179" s="998"/>
      <c r="J179" s="998" t="s">
        <v>7826</v>
      </c>
      <c r="K179" s="998" t="s">
        <v>7827</v>
      </c>
      <c r="L179" s="998" t="s">
        <v>7824</v>
      </c>
      <c r="M179" s="998" t="s">
        <v>7824</v>
      </c>
      <c r="N179" s="998"/>
      <c r="O179" s="998"/>
      <c r="P179" s="996" t="s">
        <v>7823</v>
      </c>
      <c r="Q179" s="998"/>
      <c r="R179" s="998" t="s">
        <v>2168</v>
      </c>
      <c r="S179" s="998" t="s">
        <v>7828</v>
      </c>
      <c r="T179" s="998"/>
      <c r="U179" s="998"/>
      <c r="V179" s="998"/>
      <c r="W179" s="998"/>
      <c r="X179" s="998"/>
      <c r="Y179" s="998"/>
      <c r="Z179" s="1161"/>
      <c r="AA179" s="998"/>
      <c r="AB179" s="998"/>
      <c r="AC179" s="998" t="s">
        <v>7791</v>
      </c>
      <c r="AD179" s="998" t="s">
        <v>7825</v>
      </c>
      <c r="AE179" s="998"/>
      <c r="AF179" s="998"/>
      <c r="AG179" s="998" t="s">
        <v>7821</v>
      </c>
      <c r="AH179" s="998"/>
      <c r="AI179" s="998"/>
      <c r="AJ179" s="998"/>
      <c r="AK179" s="1058"/>
      <c r="AL179" s="998"/>
      <c r="AM179" s="998" t="s">
        <v>7827</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7829</v>
      </c>
      <c r="C180" s="1098" t="s">
        <v>7830</v>
      </c>
      <c r="D180" s="998"/>
      <c r="E180" s="998" t="s">
        <v>7826</v>
      </c>
      <c r="F180" s="1164"/>
      <c r="G180" s="1009"/>
      <c r="H180" s="998" t="s">
        <v>7830</v>
      </c>
      <c r="I180" s="998"/>
      <c r="J180" s="998"/>
      <c r="K180" s="998"/>
      <c r="L180" s="998"/>
      <c r="M180" s="998"/>
      <c r="N180" s="998"/>
      <c r="O180" s="998"/>
      <c r="P180" s="996" t="s">
        <v>7831</v>
      </c>
      <c r="Q180" s="998"/>
      <c r="R180" s="998"/>
      <c r="S180" s="998"/>
      <c r="T180" s="998" t="s">
        <v>7826</v>
      </c>
      <c r="U180" s="998"/>
      <c r="V180" s="998"/>
      <c r="W180" s="998"/>
      <c r="X180" s="998"/>
      <c r="Y180" s="998"/>
      <c r="Z180" s="1001"/>
      <c r="AA180" s="998" t="s">
        <v>7823</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7832</v>
      </c>
      <c r="B181" s="1160" t="s">
        <v>7470</v>
      </c>
      <c r="C181" s="1098" t="s">
        <v>1857</v>
      </c>
      <c r="D181" s="995" t="s">
        <v>5413</v>
      </c>
      <c r="E181" s="998" t="s">
        <v>6240</v>
      </c>
      <c r="F181" s="1017" t="s">
        <v>2995</v>
      </c>
      <c r="G181" s="993" t="s">
        <v>7833</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1"/>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7485</v>
      </c>
      <c r="B182" s="1166" t="s">
        <v>7470</v>
      </c>
      <c r="C182" s="1098" t="s">
        <v>7834</v>
      </c>
      <c r="D182" s="1080"/>
      <c r="E182" s="1080" t="s">
        <v>7835</v>
      </c>
      <c r="F182" s="1167" t="s">
        <v>7836</v>
      </c>
      <c r="G182" s="1009"/>
      <c r="H182" s="998" t="s">
        <v>7834</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7472</v>
      </c>
      <c r="B183" s="1168" t="s">
        <v>7837</v>
      </c>
      <c r="C183" s="1098" t="s">
        <v>5068</v>
      </c>
      <c r="D183" s="1169"/>
      <c r="E183" s="1169"/>
      <c r="F183" s="992"/>
      <c r="G183" s="1009"/>
      <c r="H183" s="1169"/>
      <c r="I183" s="1169"/>
      <c r="J183" s="1169" t="s">
        <v>5068</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7838</v>
      </c>
      <c r="C184" s="1098" t="s">
        <v>7839</v>
      </c>
      <c r="D184" s="998" t="s">
        <v>7840</v>
      </c>
      <c r="E184" s="998" t="s">
        <v>7839</v>
      </c>
      <c r="F184" s="1023" t="s">
        <v>1259</v>
      </c>
      <c r="G184" s="993" t="s">
        <v>1304</v>
      </c>
      <c r="H184" s="998" t="s">
        <v>5684</v>
      </c>
      <c r="I184" s="998"/>
      <c r="J184" s="998" t="s">
        <v>611</v>
      </c>
      <c r="K184" s="998" t="s">
        <v>357</v>
      </c>
      <c r="L184" s="998"/>
      <c r="M184" s="998"/>
      <c r="N184" s="998" t="s">
        <v>147</v>
      </c>
      <c r="O184" s="998" t="s">
        <v>7841</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7485</v>
      </c>
      <c r="B185" s="1170" t="s">
        <v>7842</v>
      </c>
      <c r="C185" s="1098" t="s">
        <v>7843</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7844</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7845</v>
      </c>
      <c r="C186" s="1098" t="s">
        <v>7846</v>
      </c>
      <c r="D186" s="998" t="s">
        <v>1596</v>
      </c>
      <c r="E186" s="998" t="s">
        <v>7846</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7847</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7848</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7849</v>
      </c>
      <c r="B188" s="1170" t="s">
        <v>7624</v>
      </c>
      <c r="C188" s="1098" t="s">
        <v>3875</v>
      </c>
      <c r="D188" s="1169"/>
      <c r="E188" s="1169"/>
      <c r="F188" s="1173" t="s">
        <v>3041</v>
      </c>
      <c r="G188" s="1009"/>
      <c r="H188" s="1169"/>
      <c r="I188" s="1169"/>
      <c r="J188" s="1169"/>
      <c r="K188" s="1169"/>
      <c r="L188" s="1169" t="s">
        <v>2852</v>
      </c>
      <c r="M188" s="1169"/>
      <c r="N188" s="1169"/>
      <c r="O188" s="1169"/>
      <c r="P188" s="1022"/>
      <c r="Q188" s="1169"/>
      <c r="R188" s="1169"/>
      <c r="S188" s="1169"/>
      <c r="T188" s="1169"/>
      <c r="U188" s="1169"/>
      <c r="V188" s="1169"/>
      <c r="W188" s="1169"/>
      <c r="X188" s="1169"/>
      <c r="Y188" s="1169"/>
      <c r="Z188" s="1001"/>
      <c r="AA188" s="1169"/>
      <c r="AB188" s="1169" t="s">
        <v>3294</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7850</v>
      </c>
      <c r="C189" s="1174" t="s">
        <v>1573</v>
      </c>
      <c r="D189" s="1175"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7851</v>
      </c>
      <c r="B190" s="1170" t="s">
        <v>7624</v>
      </c>
      <c r="C190" s="1098" t="s">
        <v>7852</v>
      </c>
      <c r="D190" s="1169"/>
      <c r="E190" s="1169"/>
      <c r="F190" s="1167" t="s">
        <v>7853</v>
      </c>
      <c r="G190" s="1009"/>
      <c r="H190" s="1169" t="s">
        <v>7852</v>
      </c>
      <c r="I190" s="1169"/>
      <c r="J190" s="1169" t="s">
        <v>7854</v>
      </c>
      <c r="K190" s="1169"/>
      <c r="L190" s="1169"/>
      <c r="M190" s="1169"/>
      <c r="N190" s="1169"/>
      <c r="O190" s="1169"/>
      <c r="P190" s="1022"/>
      <c r="Q190" s="1169"/>
      <c r="R190" s="1169"/>
      <c r="S190" s="1169"/>
      <c r="T190" s="1169"/>
      <c r="U190" s="1169"/>
      <c r="V190" s="1169"/>
      <c r="W190" s="1169"/>
      <c r="X190" s="1169" t="s">
        <v>7836</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7850</v>
      </c>
      <c r="C191" s="1098" t="s">
        <v>7855</v>
      </c>
      <c r="D191" s="995" t="s">
        <v>7856</v>
      </c>
      <c r="E191" s="994" t="s">
        <v>7855</v>
      </c>
      <c r="F191" s="992"/>
      <c r="G191" s="1009"/>
      <c r="H191" s="995" t="s">
        <v>7855</v>
      </c>
      <c r="I191" s="995"/>
      <c r="J191" s="995"/>
      <c r="K191" s="995"/>
      <c r="L191" s="995"/>
      <c r="M191" s="995"/>
      <c r="N191" s="995"/>
      <c r="O191" s="995"/>
      <c r="P191" s="996"/>
      <c r="Q191" s="995"/>
      <c r="R191" s="995"/>
      <c r="S191" s="995"/>
      <c r="T191" s="995"/>
      <c r="U191" s="995"/>
      <c r="V191" s="995"/>
      <c r="W191" s="995"/>
      <c r="X191" s="995"/>
      <c r="Y191" s="994" t="s">
        <v>7855</v>
      </c>
      <c r="Z191" s="1161"/>
      <c r="AA191" s="995"/>
      <c r="AB191" s="995"/>
      <c r="AC191" s="995"/>
      <c r="AD191" s="995"/>
      <c r="AE191" s="995"/>
      <c r="AF191" s="995"/>
      <c r="AG191" s="995"/>
      <c r="AH191" s="995" t="s">
        <v>7857</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7498</v>
      </c>
      <c r="B192" s="1168" t="s">
        <v>7858</v>
      </c>
      <c r="C192" s="1098" t="s">
        <v>2609</v>
      </c>
      <c r="D192" s="1169"/>
      <c r="E192" s="1169"/>
      <c r="F192" s="1164"/>
      <c r="G192" s="993" t="s">
        <v>7859</v>
      </c>
      <c r="H192" s="1169"/>
      <c r="I192" s="1169"/>
      <c r="J192" s="1169"/>
      <c r="K192" s="1169"/>
      <c r="L192" s="1169"/>
      <c r="M192" s="1169"/>
      <c r="N192" s="1169" t="s">
        <v>4571</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7860</v>
      </c>
      <c r="C193" s="1098" t="s">
        <v>821</v>
      </c>
      <c r="D193" s="1169" t="s">
        <v>3464</v>
      </c>
      <c r="E193" s="1169"/>
      <c r="F193" s="1017" t="s">
        <v>2229</v>
      </c>
      <c r="G193" s="1009"/>
      <c r="H193" s="1169"/>
      <c r="I193" s="1169" t="s">
        <v>3593</v>
      </c>
      <c r="J193" s="1169"/>
      <c r="K193" s="1169" t="s">
        <v>3360</v>
      </c>
      <c r="L193" s="1169"/>
      <c r="M193" s="1169"/>
      <c r="N193" s="1169" t="s">
        <v>7861</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4525</v>
      </c>
      <c r="AI193" s="1169"/>
      <c r="AJ193" s="1169"/>
      <c r="AK193" s="1058"/>
      <c r="AL193" s="1169"/>
      <c r="AM193" s="1169"/>
      <c r="AN193" s="1169"/>
      <c r="AO193" s="1169"/>
      <c r="AP193" s="1169"/>
      <c r="AQ193" s="1058"/>
      <c r="AR193" s="1058"/>
      <c r="AS193" s="1169"/>
      <c r="AT193" s="1169"/>
      <c r="AU193" s="1001"/>
      <c r="AV193" s="1169"/>
      <c r="AW193" s="1169"/>
      <c r="AX193" s="1169"/>
      <c r="AY193" s="1169" t="s">
        <v>3322</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7862</v>
      </c>
      <c r="C194" s="1098" t="s">
        <v>496</v>
      </c>
      <c r="D194" s="998" t="s">
        <v>2921</v>
      </c>
      <c r="E194" s="1169"/>
      <c r="F194" s="1023" t="s">
        <v>2556</v>
      </c>
      <c r="G194" s="993" t="s">
        <v>632</v>
      </c>
      <c r="H194" s="1169" t="s">
        <v>785</v>
      </c>
      <c r="I194" s="1169"/>
      <c r="J194" s="1169" t="s">
        <v>5594</v>
      </c>
      <c r="K194" s="1169"/>
      <c r="L194" s="1169" t="s">
        <v>941</v>
      </c>
      <c r="M194" s="1169"/>
      <c r="N194" s="1169"/>
      <c r="O194" s="1169" t="s">
        <v>1026</v>
      </c>
      <c r="P194" s="1022"/>
      <c r="Q194" s="1169" t="s">
        <v>6437</v>
      </c>
      <c r="R194" s="1169"/>
      <c r="S194" s="1169"/>
      <c r="T194" s="1169" t="s">
        <v>496</v>
      </c>
      <c r="U194" s="994" t="s">
        <v>2792</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7485</v>
      </c>
      <c r="B195" s="1170" t="s">
        <v>7863</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7864</v>
      </c>
      <c r="C196" s="1098" t="s">
        <v>7800</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7865</v>
      </c>
      <c r="C197" s="1098" t="s">
        <v>7866</v>
      </c>
      <c r="D197" s="1169" t="s">
        <v>1548</v>
      </c>
      <c r="E197" s="1169"/>
      <c r="F197" s="1035" t="s">
        <v>7867</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2053</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7868</v>
      </c>
      <c r="C198" s="1098" t="s">
        <v>2168</v>
      </c>
      <c r="D198" s="1040" t="s">
        <v>7869</v>
      </c>
      <c r="E198" s="1169"/>
      <c r="F198" s="1167" t="s">
        <v>590</v>
      </c>
      <c r="G198" s="1009"/>
      <c r="H198" s="1169" t="s">
        <v>3070</v>
      </c>
      <c r="I198" s="1169"/>
      <c r="J198" s="1169"/>
      <c r="K198" s="1169"/>
      <c r="L198" s="1169"/>
      <c r="M198" s="1169"/>
      <c r="N198" s="1169"/>
      <c r="O198" s="1169"/>
      <c r="P198" s="1022"/>
      <c r="Q198" s="1169"/>
      <c r="R198" s="1169"/>
      <c r="S198" s="1169"/>
      <c r="T198" s="1169" t="s">
        <v>2168</v>
      </c>
      <c r="U198" s="1169"/>
      <c r="V198" s="1169"/>
      <c r="W198" s="1169"/>
      <c r="X198" s="1169"/>
      <c r="Y198" s="1169"/>
      <c r="Z198" s="1161"/>
      <c r="AA198" s="1169" t="s">
        <v>688</v>
      </c>
      <c r="AB198" s="1169"/>
      <c r="AC198" s="1099" t="s">
        <v>2168</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7630</v>
      </c>
      <c r="B199" s="1180" t="s">
        <v>7870</v>
      </c>
      <c r="C199" s="1098" t="s">
        <v>5414</v>
      </c>
      <c r="D199" s="1169"/>
      <c r="E199" s="1169"/>
      <c r="F199" s="992"/>
      <c r="G199" s="993" t="s">
        <v>3215</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7871</v>
      </c>
      <c r="C200" s="1098" t="s">
        <v>5274</v>
      </c>
      <c r="D200" s="1169" t="s">
        <v>3430</v>
      </c>
      <c r="E200" s="1169"/>
      <c r="F200" s="1167" t="s">
        <v>660</v>
      </c>
      <c r="G200" s="993" t="s">
        <v>4516</v>
      </c>
      <c r="H200" s="1169"/>
      <c r="I200" s="1169"/>
      <c r="J200" s="1169"/>
      <c r="K200" s="1169" t="s">
        <v>5610</v>
      </c>
      <c r="L200" s="1169" t="s">
        <v>1677</v>
      </c>
      <c r="M200" s="1169"/>
      <c r="N200" s="1169" t="s">
        <v>4657</v>
      </c>
      <c r="O200" s="1169"/>
      <c r="P200" s="1022"/>
      <c r="Q200" s="1169"/>
      <c r="R200" s="1169"/>
      <c r="S200" s="1169"/>
      <c r="T200" s="1169" t="s">
        <v>3535</v>
      </c>
      <c r="U200" s="1169"/>
      <c r="V200" s="1169" t="s">
        <v>7872</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7873</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7874</v>
      </c>
      <c r="C202" s="1098" t="s">
        <v>368</v>
      </c>
      <c r="D202" s="995" t="s">
        <v>5853</v>
      </c>
      <c r="E202" s="994" t="s">
        <v>368</v>
      </c>
      <c r="F202" s="1173" t="s">
        <v>7875</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7876</v>
      </c>
      <c r="C203" s="1098" t="s">
        <v>942</v>
      </c>
      <c r="D203" s="998" t="s">
        <v>162</v>
      </c>
      <c r="E203" s="1040"/>
      <c r="F203" s="1023" t="s">
        <v>598</v>
      </c>
      <c r="G203" s="993" t="s">
        <v>116</v>
      </c>
      <c r="H203" s="1099" t="s">
        <v>7877</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7485</v>
      </c>
      <c r="B204" s="1170" t="s">
        <v>7870</v>
      </c>
      <c r="C204" s="1098" t="s">
        <v>1494</v>
      </c>
      <c r="D204" s="1040"/>
      <c r="E204" s="1040"/>
      <c r="F204" s="1164"/>
      <c r="G204" s="1009"/>
      <c r="H204" s="1040"/>
      <c r="I204" s="1040"/>
      <c r="J204" s="1040" t="s">
        <v>6935</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7878</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7879</v>
      </c>
      <c r="BH204" s="1040"/>
      <c r="BI204" s="1161"/>
      <c r="BJ204" s="1161"/>
      <c r="BK204" s="1161"/>
      <c r="BL204" s="1161"/>
      <c r="BM204" s="1161"/>
      <c r="BN204" s="1161"/>
      <c r="BO204" s="1161"/>
    </row>
    <row r="205" ht="15.75" customHeight="1">
      <c r="A205" s="1162"/>
      <c r="B205" s="1163" t="s">
        <v>7871</v>
      </c>
      <c r="C205" s="1098" t="s">
        <v>7880</v>
      </c>
      <c r="D205" s="1040" t="s">
        <v>330</v>
      </c>
      <c r="E205" s="1040" t="s">
        <v>3825</v>
      </c>
      <c r="F205" s="1167" t="s">
        <v>4974</v>
      </c>
      <c r="G205" s="993" t="s">
        <v>6536</v>
      </c>
      <c r="H205" s="1040"/>
      <c r="I205" s="1040" t="s">
        <v>7881</v>
      </c>
      <c r="J205" s="1040"/>
      <c r="K205" s="1040"/>
      <c r="L205" s="1040" t="s">
        <v>3825</v>
      </c>
      <c r="M205" s="1040"/>
      <c r="N205" s="1040" t="s">
        <v>7882</v>
      </c>
      <c r="O205" s="1040"/>
      <c r="P205" s="1041" t="s">
        <v>3852</v>
      </c>
      <c r="Q205" s="1040"/>
      <c r="R205" s="1036" t="s">
        <v>7883</v>
      </c>
      <c r="S205" s="1040"/>
      <c r="T205" s="1040"/>
      <c r="U205" s="1040"/>
      <c r="V205" s="1040" t="s">
        <v>3160</v>
      </c>
      <c r="W205" s="1040"/>
      <c r="X205" s="1040" t="s">
        <v>3898</v>
      </c>
      <c r="Y205" s="1040"/>
      <c r="Z205" s="1000" t="s">
        <v>7884</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7873</v>
      </c>
      <c r="C206" s="1098" t="s">
        <v>4910</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4723</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7874</v>
      </c>
      <c r="C207" s="1098" t="s">
        <v>2924</v>
      </c>
      <c r="D207" s="998" t="s">
        <v>545</v>
      </c>
      <c r="E207" s="998" t="s">
        <v>2924</v>
      </c>
      <c r="F207" s="1017" t="s">
        <v>7885</v>
      </c>
      <c r="G207" s="1009"/>
      <c r="H207" s="998"/>
      <c r="I207" s="998" t="s">
        <v>1462</v>
      </c>
      <c r="J207" s="998" t="s">
        <v>7886</v>
      </c>
      <c r="K207" s="998" t="s">
        <v>4236</v>
      </c>
      <c r="L207" s="998"/>
      <c r="M207" s="998" t="s">
        <v>2694</v>
      </c>
      <c r="N207" s="998" t="s">
        <v>4491</v>
      </c>
      <c r="O207" s="998" t="s">
        <v>4833</v>
      </c>
      <c r="P207" s="994" t="s">
        <v>7887</v>
      </c>
      <c r="Q207" s="998"/>
      <c r="R207" s="994" t="s">
        <v>5884</v>
      </c>
      <c r="S207" s="998"/>
      <c r="T207" s="998"/>
      <c r="U207" s="998"/>
      <c r="V207" s="998"/>
      <c r="W207" s="998" t="s">
        <v>2527</v>
      </c>
      <c r="X207" s="998" t="s">
        <v>7888</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7876</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1"/>
      <c r="AA208" s="994" t="s">
        <v>2136</v>
      </c>
      <c r="AB208" s="995"/>
      <c r="AC208" s="995" t="s">
        <v>2136</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7492</v>
      </c>
      <c r="B209" s="1170" t="s">
        <v>7470</v>
      </c>
      <c r="C209" s="1098" t="s">
        <v>894</v>
      </c>
      <c r="D209" s="995" t="s">
        <v>6018</v>
      </c>
      <c r="E209" s="994" t="s">
        <v>382</v>
      </c>
      <c r="F209" s="1017" t="s">
        <v>1011</v>
      </c>
      <c r="G209" s="993" t="s">
        <v>7889</v>
      </c>
      <c r="H209" s="995" t="s">
        <v>2166</v>
      </c>
      <c r="I209" s="995"/>
      <c r="J209" s="995"/>
      <c r="K209" s="995"/>
      <c r="L209" s="995" t="s">
        <v>7890</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7891</v>
      </c>
      <c r="B210" s="1170" t="s">
        <v>7470</v>
      </c>
      <c r="C210" s="1098" t="s">
        <v>7892</v>
      </c>
      <c r="D210" s="995"/>
      <c r="E210" s="994" t="s">
        <v>7892</v>
      </c>
      <c r="F210" s="1173" t="s">
        <v>7893</v>
      </c>
      <c r="G210" s="1009"/>
      <c r="H210" s="995" t="s">
        <v>7894</v>
      </c>
      <c r="I210" s="995"/>
      <c r="J210" s="995" t="s">
        <v>7895</v>
      </c>
      <c r="K210" s="995"/>
      <c r="L210" s="995"/>
      <c r="M210" s="995"/>
      <c r="N210" s="995"/>
      <c r="O210" s="994" t="s">
        <v>7892</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7699</v>
      </c>
      <c r="B211" s="1168" t="s">
        <v>7896</v>
      </c>
      <c r="C211" s="1098" t="s">
        <v>7897</v>
      </c>
      <c r="D211" s="998" t="s">
        <v>1598</v>
      </c>
      <c r="E211" s="998" t="s">
        <v>7897</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7492</v>
      </c>
      <c r="B212" s="1170" t="s">
        <v>7470</v>
      </c>
      <c r="C212" s="1016" t="s">
        <v>7898</v>
      </c>
      <c r="D212" s="998" t="s">
        <v>3392</v>
      </c>
      <c r="E212" s="998" t="s">
        <v>4444</v>
      </c>
      <c r="F212" s="1017" t="s">
        <v>7898</v>
      </c>
      <c r="G212" s="993" t="s">
        <v>967</v>
      </c>
      <c r="H212" s="998" t="s">
        <v>1051</v>
      </c>
      <c r="I212" s="998"/>
      <c r="J212" s="998"/>
      <c r="K212" s="998"/>
      <c r="L212" s="998" t="s">
        <v>315</v>
      </c>
      <c r="M212" s="998"/>
      <c r="N212" s="998"/>
      <c r="O212" s="998"/>
      <c r="P212" s="996"/>
      <c r="Q212" s="998"/>
      <c r="R212" s="998"/>
      <c r="S212" s="998" t="s">
        <v>7899</v>
      </c>
      <c r="T212" s="998"/>
      <c r="U212" s="998"/>
      <c r="V212" s="998"/>
      <c r="W212" s="998" t="s">
        <v>7900</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7538</v>
      </c>
      <c r="B213" s="1168" t="s">
        <v>7901</v>
      </c>
      <c r="C213" s="1185" t="s">
        <v>5870</v>
      </c>
      <c r="D213" s="1169"/>
      <c r="E213" s="1169"/>
      <c r="F213" s="1173" t="s">
        <v>6476</v>
      </c>
      <c r="G213" s="1009"/>
      <c r="H213" s="994" t="s">
        <v>5870</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7902</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7574</v>
      </c>
      <c r="B215" s="1168" t="s">
        <v>7903</v>
      </c>
      <c r="C215" s="1098" t="s">
        <v>1873</v>
      </c>
      <c r="D215" s="1169" t="s">
        <v>4158</v>
      </c>
      <c r="E215" s="1169"/>
      <c r="F215" s="1173" t="s">
        <v>889</v>
      </c>
      <c r="G215" s="993" t="s">
        <v>3117</v>
      </c>
      <c r="H215" s="1169"/>
      <c r="I215" s="1169"/>
      <c r="J215" s="1169"/>
      <c r="K215" s="1169" t="s">
        <v>1125</v>
      </c>
      <c r="L215" s="1169"/>
      <c r="M215" s="1169"/>
      <c r="N215" s="1169" t="s">
        <v>7904</v>
      </c>
      <c r="O215" s="1099" t="s">
        <v>6812</v>
      </c>
      <c r="P215" s="1022" t="s">
        <v>7905</v>
      </c>
      <c r="Q215" s="1169"/>
      <c r="R215" s="1169" t="s">
        <v>889</v>
      </c>
      <c r="S215" s="1169" t="s">
        <v>7905</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7906</v>
      </c>
      <c r="C216" s="1098" t="s">
        <v>396</v>
      </c>
      <c r="D216" s="998" t="s">
        <v>1526</v>
      </c>
      <c r="E216" s="1169"/>
      <c r="F216" s="1004" t="s">
        <v>2560</v>
      </c>
      <c r="G216" s="993" t="s">
        <v>167</v>
      </c>
      <c r="H216" s="1169"/>
      <c r="I216" s="1169"/>
      <c r="J216" s="1169"/>
      <c r="K216" s="1169"/>
      <c r="L216" s="1099" t="s">
        <v>947</v>
      </c>
      <c r="M216" s="1099" t="s">
        <v>790</v>
      </c>
      <c r="N216" s="1169"/>
      <c r="O216" s="1099" t="s">
        <v>1992</v>
      </c>
      <c r="P216" s="1022" t="s">
        <v>1466</v>
      </c>
      <c r="Q216" s="1169"/>
      <c r="R216" s="1169" t="s">
        <v>2812</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7578</v>
      </c>
      <c r="B217" s="1168" t="s">
        <v>7907</v>
      </c>
      <c r="C217" s="1098" t="s">
        <v>1467</v>
      </c>
      <c r="D217" s="1043" t="s">
        <v>1601</v>
      </c>
      <c r="E217" s="1169"/>
      <c r="F217" s="1164"/>
      <c r="G217" s="1009"/>
      <c r="H217" s="1169"/>
      <c r="I217" s="1169" t="s">
        <v>1467</v>
      </c>
      <c r="J217" s="1169" t="s">
        <v>7908</v>
      </c>
      <c r="K217" s="1169" t="s">
        <v>7909</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7910</v>
      </c>
      <c r="BI217" s="1161"/>
      <c r="BJ217" s="1161"/>
      <c r="BK217" s="1161"/>
      <c r="BL217" s="1161"/>
      <c r="BM217" s="1161"/>
      <c r="BN217" s="1161"/>
      <c r="BO217" s="1161"/>
    </row>
    <row r="218" ht="15.75" customHeight="1">
      <c r="A218" s="1159" t="s">
        <v>7811</v>
      </c>
      <c r="B218" s="1168" t="s">
        <v>7470</v>
      </c>
      <c r="C218" s="1098" t="str">
        <f>HYPERLINK("https://www.youtube.com/watch?v=_HQgQjbTLjM","1:11.32")</f>
        <v>1:11.32</v>
      </c>
      <c r="D218" s="953" t="s">
        <v>1602</v>
      </c>
      <c r="E218" s="1169"/>
      <c r="F218" s="1164"/>
      <c r="G218" s="993" t="s">
        <v>1310</v>
      </c>
      <c r="H218" s="1169"/>
      <c r="I218" s="1169" t="s">
        <v>1477</v>
      </c>
      <c r="J218" s="1169" t="s">
        <v>7911</v>
      </c>
      <c r="K218" s="1169" t="s">
        <v>3658</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7583</v>
      </c>
      <c r="B219" s="1170" t="s">
        <v>7470</v>
      </c>
      <c r="C219" s="1007" t="s">
        <v>7912</v>
      </c>
      <c r="D219" s="994" t="s">
        <v>7912</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7913</v>
      </c>
      <c r="B220" s="1170" t="s">
        <v>7914</v>
      </c>
      <c r="C220" s="1098" t="s">
        <v>7915</v>
      </c>
      <c r="D220" s="1169"/>
      <c r="E220" s="1169"/>
      <c r="F220" s="1164"/>
      <c r="G220" s="1009"/>
      <c r="H220" s="1169"/>
      <c r="I220" s="1169"/>
      <c r="J220" s="1169" t="s">
        <v>7915</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7916</v>
      </c>
      <c r="C221" s="1098" t="s">
        <v>2423</v>
      </c>
      <c r="D221" s="1169"/>
      <c r="E221" s="1169"/>
      <c r="F221" s="992"/>
      <c r="G221" s="1009"/>
      <c r="H221" s="1169"/>
      <c r="I221" s="1169"/>
      <c r="J221" s="1169" t="s">
        <v>2423</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7679</v>
      </c>
      <c r="B222" s="1168" t="s">
        <v>7470</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7583</v>
      </c>
      <c r="B223" s="1170" t="s">
        <v>7470</v>
      </c>
      <c r="C223" s="1007" t="s">
        <v>7917</v>
      </c>
      <c r="D223" s="994" t="s">
        <v>7917</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7918</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7919</v>
      </c>
      <c r="C224" s="1098" t="s">
        <v>1469</v>
      </c>
      <c r="D224" s="953" t="s">
        <v>7920</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7921</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7469</v>
      </c>
      <c r="B226" s="1195" t="s">
        <v>7470</v>
      </c>
      <c r="C226" s="1098" t="s">
        <v>872</v>
      </c>
      <c r="D226" s="998" t="s">
        <v>1604</v>
      </c>
      <c r="E226" s="1105"/>
      <c r="F226" s="1023" t="s">
        <v>2561</v>
      </c>
      <c r="G226" s="993" t="s">
        <v>1312</v>
      </c>
      <c r="H226" s="1099" t="s">
        <v>1101</v>
      </c>
      <c r="I226" s="1105" t="s">
        <v>7922</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6" t="s">
        <v>7923</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7684</v>
      </c>
      <c r="B227" s="1195" t="s">
        <v>7924</v>
      </c>
      <c r="C227" s="1098" t="s">
        <v>1619</v>
      </c>
      <c r="D227" s="998" t="s">
        <v>1605</v>
      </c>
      <c r="E227" s="1099" t="s">
        <v>1619</v>
      </c>
      <c r="F227" s="1004" t="s">
        <v>2562</v>
      </c>
      <c r="G227" s="993" t="s">
        <v>2816</v>
      </c>
      <c r="H227" s="1099" t="s">
        <v>2215</v>
      </c>
      <c r="I227" s="1099" t="s">
        <v>1605</v>
      </c>
      <c r="J227" s="1099" t="s">
        <v>7757</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7498</v>
      </c>
      <c r="B228" s="1195" t="s">
        <v>7470</v>
      </c>
      <c r="C228" s="1098" t="str">
        <f>HYPERLINK("https://www.youtube.com/watch?v=aWzlUqH0LaM","41.87")</f>
        <v>41.87</v>
      </c>
      <c r="D228" s="1109"/>
      <c r="E228" s="1105"/>
      <c r="F228" s="992"/>
      <c r="G228" s="993" t="s">
        <v>7925</v>
      </c>
      <c r="H228" s="1099" t="s">
        <v>312</v>
      </c>
      <c r="I228" s="1099" t="s">
        <v>1641</v>
      </c>
      <c r="J228" s="1105"/>
      <c r="K228" s="1099" t="s">
        <v>6590</v>
      </c>
      <c r="L228" s="1099" t="s">
        <v>4496</v>
      </c>
      <c r="M228" s="1099" t="str">
        <f>HYPERLINK("https://www.youtube.com/watch?v=aWzlUqH0LaM","41.87")</f>
        <v>41.87</v>
      </c>
      <c r="N228" s="1105" t="s">
        <v>2196</v>
      </c>
      <c r="O228" s="1099" t="s">
        <v>1537</v>
      </c>
      <c r="P228" s="1107" t="s">
        <v>3291</v>
      </c>
      <c r="Q228" s="1105"/>
      <c r="R228" s="1105"/>
      <c r="S228" s="1105"/>
      <c r="T228" s="1105"/>
      <c r="U228" s="1105"/>
      <c r="V228" s="1105" t="s">
        <v>7926</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7630</v>
      </c>
      <c r="B229" s="1195" t="s">
        <v>7927</v>
      </c>
      <c r="C229" s="989" t="s">
        <v>7928</v>
      </c>
      <c r="D229" s="1105" t="s">
        <v>7440</v>
      </c>
      <c r="E229" s="1105"/>
      <c r="F229" s="1199"/>
      <c r="G229" s="993" t="s">
        <v>7929</v>
      </c>
      <c r="H229" s="1105"/>
      <c r="I229" s="1105"/>
      <c r="J229" s="1105"/>
      <c r="K229" s="1105"/>
      <c r="L229" s="1105"/>
      <c r="M229" s="1105"/>
      <c r="N229" s="1105"/>
      <c r="O229" s="1105"/>
      <c r="P229" s="1107"/>
      <c r="Q229" s="1105"/>
      <c r="R229" s="1105"/>
      <c r="S229" s="1105"/>
      <c r="T229" s="1105"/>
      <c r="U229" s="1032" t="s">
        <v>7928</v>
      </c>
      <c r="V229" s="1105"/>
      <c r="W229" s="1105"/>
      <c r="X229" s="1105"/>
      <c r="Y229" s="1105"/>
      <c r="Z229" s="1025" t="s">
        <v>7930</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7931</v>
      </c>
      <c r="C230" s="1098" t="s">
        <v>508</v>
      </c>
      <c r="D230" s="998" t="s">
        <v>7932</v>
      </c>
      <c r="E230" s="1105"/>
      <c r="F230" s="1035" t="s">
        <v>7933</v>
      </c>
      <c r="G230" s="993" t="s">
        <v>1315</v>
      </c>
      <c r="H230" s="1105" t="s">
        <v>7934</v>
      </c>
      <c r="I230" s="1105"/>
      <c r="J230" s="1099" t="s">
        <v>7935</v>
      </c>
      <c r="K230" s="1105"/>
      <c r="L230" s="1105" t="s">
        <v>953</v>
      </c>
      <c r="M230" s="1099" t="s">
        <v>794</v>
      </c>
      <c r="N230" s="1105"/>
      <c r="O230" s="1105"/>
      <c r="P230" s="1107" t="s">
        <v>4192</v>
      </c>
      <c r="Q230" s="1105"/>
      <c r="R230" s="1105"/>
      <c r="S230" s="1105"/>
      <c r="T230" s="1099" t="s">
        <v>508</v>
      </c>
      <c r="U230" s="1105"/>
      <c r="V230" s="1105" t="s">
        <v>6332</v>
      </c>
      <c r="W230" s="1105"/>
      <c r="X230" s="1105"/>
      <c r="Y230" s="1105"/>
      <c r="Z230" s="1197"/>
      <c r="AA230" s="1105"/>
      <c r="AB230" s="1105"/>
      <c r="AC230" s="1105" t="s">
        <v>7936</v>
      </c>
      <c r="AD230" s="1105" t="s">
        <v>2768</v>
      </c>
      <c r="AE230" s="1105"/>
      <c r="AF230" s="1105"/>
      <c r="AG230" s="1105"/>
      <c r="AH230" s="1105"/>
      <c r="AI230" s="1105"/>
      <c r="AJ230" s="1105"/>
      <c r="AK230" s="1102"/>
      <c r="AL230" s="1105"/>
      <c r="AM230" s="1105"/>
      <c r="AN230" s="1105"/>
      <c r="AO230" s="1105"/>
      <c r="AP230" s="1105"/>
      <c r="AQ230" s="1102"/>
      <c r="AR230" s="1150" t="s">
        <v>7937</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7938</v>
      </c>
      <c r="C231" s="1098" t="s">
        <v>7939</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7939</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7940</v>
      </c>
      <c r="C232" s="1098" t="s">
        <v>3119</v>
      </c>
      <c r="D232" s="1105"/>
      <c r="E232" s="1105"/>
      <c r="F232" s="1023" t="s">
        <v>2564</v>
      </c>
      <c r="G232" s="1009"/>
      <c r="H232" s="1099" t="s">
        <v>6781</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7941</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7485</v>
      </c>
      <c r="B233" s="1206" t="s">
        <v>7927</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7942</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7931</v>
      </c>
      <c r="C234" s="1209" t="s">
        <v>7943</v>
      </c>
      <c r="D234" s="1210" t="s">
        <v>7943</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7938</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7940</v>
      </c>
      <c r="C236" s="989" t="s">
        <v>766</v>
      </c>
      <c r="D236" s="1207"/>
      <c r="E236" s="1207"/>
      <c r="F236" s="1017" t="s">
        <v>2565</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7492</v>
      </c>
      <c r="B237" s="1206" t="s">
        <v>7944</v>
      </c>
      <c r="C237" s="1098" t="s">
        <v>7945</v>
      </c>
      <c r="D237" s="1211">
        <v>13.23</v>
      </c>
      <c r="E237" s="1207"/>
      <c r="F237" s="1212" t="s">
        <v>7946</v>
      </c>
      <c r="G237" s="993" t="s">
        <v>7947</v>
      </c>
      <c r="H237" s="1207"/>
      <c r="I237" s="1207"/>
      <c r="J237" s="1213" t="s">
        <v>3587</v>
      </c>
      <c r="K237" s="1207"/>
      <c r="L237" s="1207"/>
      <c r="M237" s="1207"/>
      <c r="N237" s="1207"/>
      <c r="O237" s="1207"/>
      <c r="P237" s="1208"/>
      <c r="Q237" s="1207"/>
      <c r="R237" s="1213" t="s">
        <v>7790</v>
      </c>
      <c r="S237" s="1207"/>
      <c r="T237" s="1207"/>
      <c r="U237" s="1207"/>
      <c r="V237" s="1207"/>
      <c r="W237" s="1213" t="s">
        <v>2602</v>
      </c>
      <c r="X237" s="1207"/>
      <c r="Y237" s="1207"/>
      <c r="Z237" s="1197"/>
      <c r="AA237" s="1207"/>
      <c r="AB237" s="1207"/>
      <c r="AC237" s="1213" t="s">
        <v>7945</v>
      </c>
      <c r="AD237" s="1207"/>
      <c r="AE237" s="1207"/>
      <c r="AF237" s="1207"/>
      <c r="AG237" s="1207"/>
      <c r="AH237" s="1207"/>
      <c r="AI237" s="1207"/>
      <c r="AJ237" s="1207"/>
      <c r="AK237" s="1102"/>
      <c r="AL237" s="1207"/>
      <c r="AM237" s="1207" t="s">
        <v>7804</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7948</v>
      </c>
      <c r="C238" s="1098" t="s">
        <v>488</v>
      </c>
      <c r="D238" s="1099"/>
      <c r="E238" s="1099" t="s">
        <v>801</v>
      </c>
      <c r="F238" s="1017" t="s">
        <v>1474</v>
      </c>
      <c r="G238" s="993" t="s">
        <v>7949</v>
      </c>
      <c r="H238" s="1099" t="s">
        <v>488</v>
      </c>
      <c r="I238" s="1099"/>
      <c r="J238" s="1099"/>
      <c r="K238" s="1099"/>
      <c r="L238" s="1099" t="s">
        <v>7945</v>
      </c>
      <c r="M238" s="1099"/>
      <c r="N238" s="1099"/>
      <c r="O238" s="1099"/>
      <c r="P238" s="1100"/>
      <c r="Q238" s="1099"/>
      <c r="R238" s="1099"/>
      <c r="S238" s="1099" t="s">
        <v>7950</v>
      </c>
      <c r="T238" s="1099"/>
      <c r="U238" s="1099"/>
      <c r="V238" s="1099"/>
      <c r="W238" s="1099"/>
      <c r="X238" s="1099"/>
      <c r="Y238" s="1099" t="s">
        <v>7790</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7699</v>
      </c>
      <c r="B239" s="1195" t="s">
        <v>7470</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5508</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7951</v>
      </c>
      <c r="B240" s="1216" t="s">
        <v>7470</v>
      </c>
      <c r="C240" s="1016" t="s">
        <v>7952</v>
      </c>
      <c r="D240" s="993" t="s">
        <v>7953</v>
      </c>
      <c r="E240" s="1105"/>
      <c r="F240" s="1017" t="s">
        <v>7954</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7538</v>
      </c>
      <c r="B241" s="1195" t="s">
        <v>7955</v>
      </c>
      <c r="C241" s="1098" t="s">
        <v>7956</v>
      </c>
      <c r="D241" s="1105" t="s">
        <v>4187</v>
      </c>
      <c r="E241" s="1105"/>
      <c r="F241" s="1199"/>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7957</v>
      </c>
      <c r="C242" s="1145" t="s">
        <v>2212</v>
      </c>
      <c r="D242" s="998" t="s">
        <v>1999</v>
      </c>
      <c r="E242" s="1105"/>
      <c r="F242" s="1023" t="s">
        <v>2212</v>
      </c>
      <c r="G242" s="993" t="s">
        <v>1316</v>
      </c>
      <c r="H242" s="1105"/>
      <c r="I242" s="1105" t="s">
        <v>4377</v>
      </c>
      <c r="J242" s="1099" t="s">
        <v>6172</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7"/>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7958</v>
      </c>
      <c r="C243" s="1016" t="s">
        <v>2566</v>
      </c>
      <c r="D243" s="1099"/>
      <c r="E243" s="1099" t="s">
        <v>404</v>
      </c>
      <c r="F243" s="1004" t="s">
        <v>2566</v>
      </c>
      <c r="G243" s="1009"/>
      <c r="H243" s="1105" t="s">
        <v>7601</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7959</v>
      </c>
      <c r="BC243" s="1099"/>
      <c r="BD243" s="1099"/>
      <c r="BE243" s="1099"/>
      <c r="BF243" s="1099"/>
      <c r="BG243" s="1099"/>
      <c r="BH243" s="1099"/>
      <c r="BI243" s="1001"/>
      <c r="BJ243" s="1001"/>
      <c r="BK243" s="1001"/>
      <c r="BL243" s="1001"/>
      <c r="BM243" s="1001"/>
      <c r="BN243" s="1001"/>
      <c r="BO243" s="1001"/>
    </row>
    <row r="244" ht="15.75" customHeight="1">
      <c r="A244" s="1205" t="s">
        <v>7485</v>
      </c>
      <c r="B244" s="1218" t="s">
        <v>7960</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7961</v>
      </c>
      <c r="C245" s="1013" t="s">
        <v>1782</v>
      </c>
      <c r="D245" s="1099"/>
      <c r="E245" s="1099" t="s">
        <v>4232</v>
      </c>
      <c r="F245" s="1212"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7962</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7963</v>
      </c>
      <c r="C246" s="1098" t="s">
        <v>5357</v>
      </c>
      <c r="D246" s="1105" t="s">
        <v>1627</v>
      </c>
      <c r="E246" s="1105"/>
      <c r="H246" s="1105"/>
      <c r="I246" s="1105" t="s">
        <v>2413</v>
      </c>
      <c r="J246" s="1105"/>
      <c r="L246" s="1105"/>
      <c r="M246" s="1105"/>
      <c r="N246" s="1105" t="s">
        <v>3228</v>
      </c>
      <c r="O246" s="1105"/>
      <c r="P246" s="1107" t="s">
        <v>7964</v>
      </c>
      <c r="Q246" s="1105"/>
      <c r="R246" s="1105" t="s">
        <v>5357</v>
      </c>
      <c r="S246" s="1105"/>
      <c r="T246" s="1105"/>
      <c r="U246" s="993" t="s">
        <v>3032</v>
      </c>
      <c r="V246" s="1105" t="s">
        <v>3763</v>
      </c>
      <c r="W246" s="1105"/>
      <c r="X246" s="1105"/>
      <c r="Y246" s="1105"/>
      <c r="Z246" s="1197"/>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7965</v>
      </c>
      <c r="C247" s="1098" t="s">
        <v>427</v>
      </c>
      <c r="D247" s="1220"/>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7966</v>
      </c>
      <c r="C248" s="1098" t="s">
        <v>7967</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7968</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7967</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7492</v>
      </c>
      <c r="B249" s="1218" t="s">
        <v>7969</v>
      </c>
      <c r="C249" s="1098" t="s">
        <v>5002</v>
      </c>
      <c r="D249" s="1221"/>
      <c r="E249" s="1099" t="s">
        <v>5790</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1900</v>
      </c>
      <c r="AA249" s="1221"/>
      <c r="AB249" s="1221"/>
      <c r="AC249" s="1221"/>
      <c r="AD249" s="1221" t="s">
        <v>7970</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7971</v>
      </c>
      <c r="C250" s="1098" t="s">
        <v>1344</v>
      </c>
      <c r="D250" s="1099" t="s">
        <v>1306</v>
      </c>
      <c r="E250" s="1099" t="s">
        <v>1344</v>
      </c>
      <c r="F250" s="1199"/>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7972</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7973</v>
      </c>
      <c r="C251" s="1016" t="s">
        <v>5401</v>
      </c>
      <c r="D251" s="1222" t="s">
        <v>4605</v>
      </c>
      <c r="E251" s="1099"/>
      <c r="F251" s="1017" t="s">
        <v>5401</v>
      </c>
      <c r="G251" s="1009"/>
      <c r="H251" s="1099"/>
      <c r="I251" s="1099"/>
      <c r="J251" s="1099"/>
      <c r="K251" s="1099"/>
      <c r="L251" s="1099"/>
      <c r="M251" s="1099"/>
      <c r="N251" s="1099"/>
      <c r="O251" s="1099"/>
      <c r="P251" s="1100"/>
      <c r="Q251" s="1099"/>
      <c r="R251" s="1099"/>
      <c r="S251" s="1099"/>
      <c r="T251" s="1099"/>
      <c r="U251" s="993" t="s">
        <v>7974</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7574</v>
      </c>
      <c r="B252" s="1195" t="s">
        <v>7903</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7"/>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7673</v>
      </c>
      <c r="C253" s="1098" t="s">
        <v>3065</v>
      </c>
      <c r="D253" s="1099"/>
      <c r="E253" s="1099" t="s">
        <v>4265</v>
      </c>
      <c r="F253" s="1212" t="s">
        <v>7975</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7976</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7977</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7978</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7979</v>
      </c>
      <c r="B257" s="1195" t="s">
        <v>7470</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7980</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7585</v>
      </c>
      <c r="B258" s="1195" t="s">
        <v>7581</v>
      </c>
      <c r="C258" s="1098" t="s">
        <v>7981</v>
      </c>
      <c r="D258" s="953" t="s">
        <v>1614</v>
      </c>
      <c r="E258" s="1105"/>
      <c r="F258" s="1199"/>
      <c r="G258" s="1009"/>
      <c r="H258" s="1105"/>
      <c r="I258" s="1105" t="s">
        <v>1858</v>
      </c>
      <c r="J258" s="1099" t="s">
        <v>1468</v>
      </c>
      <c r="K258" s="1105" t="s">
        <v>5665</v>
      </c>
      <c r="L258" s="1105" t="s">
        <v>6034</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7583</v>
      </c>
      <c r="B259" s="1223" t="s">
        <v>7581</v>
      </c>
      <c r="C259" s="1042" t="s">
        <v>7982</v>
      </c>
      <c r="D259" s="1043" t="s">
        <v>7982</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7983</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7984</v>
      </c>
      <c r="C261" s="1098" t="s">
        <v>298</v>
      </c>
      <c r="D261" s="953" t="s">
        <v>1613</v>
      </c>
      <c r="E261" s="993" t="s">
        <v>408</v>
      </c>
      <c r="F261" s="1199"/>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7470</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7985</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7469</v>
      </c>
      <c r="B264" s="1231" t="s">
        <v>7986</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6746</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7987</v>
      </c>
      <c r="C265" s="1098" t="s">
        <v>4548</v>
      </c>
      <c r="D265" s="1105"/>
      <c r="E265" s="1105"/>
      <c r="F265" s="1235" t="s">
        <v>3770</v>
      </c>
      <c r="G265" s="1009"/>
      <c r="H265" s="1105"/>
      <c r="I265" s="1099" t="str">
        <f>HYPERLINK("https://youtu.be/K8Egs0-qumI","48.41")</f>
        <v>48.41</v>
      </c>
      <c r="J265" s="1105"/>
      <c r="K265" s="1105"/>
      <c r="L265" s="1105"/>
      <c r="M265" s="1105"/>
      <c r="N265" s="1105"/>
      <c r="O265" s="1105"/>
      <c r="P265" s="1107"/>
      <c r="Q265" s="1105"/>
      <c r="R265" s="993" t="s">
        <v>7988</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7989</v>
      </c>
      <c r="C266" s="1098" t="s">
        <v>430</v>
      </c>
      <c r="D266" s="1105" t="s">
        <v>4548</v>
      </c>
      <c r="E266" s="1105"/>
      <c r="F266" s="992"/>
      <c r="G266" s="1009"/>
      <c r="H266" s="1105"/>
      <c r="I266" s="1105" t="s">
        <v>7990</v>
      </c>
      <c r="J266" s="1099" t="s">
        <v>4839</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7991</v>
      </c>
      <c r="C267" s="1098" t="s">
        <v>3943</v>
      </c>
      <c r="D267" s="1105"/>
      <c r="E267" s="1105"/>
      <c r="F267" s="1238"/>
      <c r="G267" s="993" t="s">
        <v>6471</v>
      </c>
      <c r="H267" s="1105"/>
      <c r="I267" s="1099" t="s">
        <v>7992</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7993</v>
      </c>
      <c r="C268" s="1016" t="s">
        <v>2918</v>
      </c>
      <c r="D268" s="1099"/>
      <c r="E268" s="1099" t="s">
        <v>1537</v>
      </c>
      <c r="F268" s="1017" t="s">
        <v>2918</v>
      </c>
      <c r="G268" s="1009"/>
      <c r="H268" s="1099" t="s">
        <v>2068</v>
      </c>
      <c r="I268" s="1099"/>
      <c r="J268" s="1099" t="s">
        <v>2203</v>
      </c>
      <c r="K268" s="1099"/>
      <c r="L268" s="1100" t="s">
        <v>7994</v>
      </c>
      <c r="M268" s="1099"/>
      <c r="N268" s="1099"/>
      <c r="O268" s="1099" t="s">
        <v>1398</v>
      </c>
      <c r="P268" s="1100" t="s">
        <v>7995</v>
      </c>
      <c r="Q268" s="1099"/>
      <c r="R268" s="1099"/>
      <c r="S268" s="1099"/>
      <c r="T268" s="1099" t="s">
        <v>2193</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7996</v>
      </c>
      <c r="C269" s="1098" t="s">
        <v>2203</v>
      </c>
      <c r="D269" s="1099"/>
      <c r="E269" s="1099" t="s">
        <v>2203</v>
      </c>
      <c r="F269" s="1235" t="s">
        <v>7997</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7998</v>
      </c>
      <c r="C270" s="1239" t="s">
        <v>5656</v>
      </c>
      <c r="D270" s="1099"/>
      <c r="E270" s="1099" t="s">
        <v>802</v>
      </c>
      <c r="F270" s="1017" t="s">
        <v>1398</v>
      </c>
      <c r="G270" s="1009"/>
      <c r="H270" s="1100" t="s">
        <v>5515</v>
      </c>
      <c r="I270" s="1099"/>
      <c r="J270" s="1099"/>
      <c r="K270" s="1099"/>
      <c r="L270" s="1099"/>
      <c r="M270" s="1099"/>
      <c r="N270" s="1099"/>
      <c r="O270" s="1099" t="s">
        <v>5813</v>
      </c>
      <c r="P270" s="1100"/>
      <c r="Q270" s="1099"/>
      <c r="R270" s="1099"/>
      <c r="S270" s="1099"/>
      <c r="T270" s="1099"/>
      <c r="U270" s="1099"/>
      <c r="V270" s="1099"/>
      <c r="W270" s="1100" t="s">
        <v>7999</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5656</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8000</v>
      </c>
      <c r="C271" s="1016" t="s">
        <v>2567</v>
      </c>
      <c r="D271" s="1099" t="s">
        <v>848</v>
      </c>
      <c r="E271" s="1099" t="s">
        <v>8001</v>
      </c>
      <c r="F271" s="1017" t="s">
        <v>2567</v>
      </c>
      <c r="G271" s="993" t="s">
        <v>2766</v>
      </c>
      <c r="H271" s="1099"/>
      <c r="I271" s="1099"/>
      <c r="J271" s="1099"/>
      <c r="K271" s="1099"/>
      <c r="L271" s="1099"/>
      <c r="M271" s="1099"/>
      <c r="N271" s="1099"/>
      <c r="O271" s="1099" t="s">
        <v>8002</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7472</v>
      </c>
      <c r="B272" s="1231" t="s">
        <v>7470</v>
      </c>
      <c r="C272" s="1016" t="s">
        <v>8003</v>
      </c>
      <c r="D272" s="1105"/>
      <c r="E272" s="1105"/>
      <c r="F272" s="1017" t="s">
        <v>8003</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7623</v>
      </c>
      <c r="B273" s="1231" t="s">
        <v>8004</v>
      </c>
      <c r="C273" s="1098" t="s">
        <v>1627</v>
      </c>
      <c r="D273" s="1105" t="s">
        <v>1760</v>
      </c>
      <c r="E273" s="1105"/>
      <c r="F273" s="1238"/>
      <c r="G273" s="993" t="s">
        <v>4253</v>
      </c>
      <c r="H273" s="1105"/>
      <c r="I273" s="1099" t="str">
        <f>HYPERLINK("https://youtu.be/_GZXmZdCc5s","31.80")</f>
        <v>31.80</v>
      </c>
      <c r="J273" s="1105"/>
      <c r="K273" s="1099" t="s">
        <v>8005</v>
      </c>
      <c r="L273" s="1105"/>
      <c r="M273" s="1099" t="s">
        <v>1627</v>
      </c>
      <c r="N273" s="1099" t="str">
        <f>HYPERLINK("https://youtu.be/kUsh0nBBuMY","32.45")</f>
        <v>32.45</v>
      </c>
      <c r="O273" s="1105"/>
      <c r="P273" s="1107" t="s">
        <v>2257</v>
      </c>
      <c r="Q273" s="1105"/>
      <c r="R273" s="1105" t="s">
        <v>1085</v>
      </c>
      <c r="S273" s="1105"/>
      <c r="T273" s="1105"/>
      <c r="U273" s="1147" t="s">
        <v>3915</v>
      </c>
      <c r="V273" s="1105" t="s">
        <v>819</v>
      </c>
      <c r="W273" s="1105"/>
      <c r="X273" s="1105"/>
      <c r="Y273" s="1105"/>
      <c r="Z273" s="1241" t="s">
        <v>2198</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8006</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8007</v>
      </c>
      <c r="C275" s="1098" t="s">
        <v>5006</v>
      </c>
      <c r="D275" s="1105" t="s">
        <v>3431</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8008</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5856</v>
      </c>
      <c r="O276" s="1099" t="s">
        <v>718</v>
      </c>
      <c r="P276" s="1100" t="s">
        <v>427</v>
      </c>
      <c r="Q276" s="1099" t="s">
        <v>4087</v>
      </c>
      <c r="R276" s="1099"/>
      <c r="S276" s="1099"/>
      <c r="T276" s="1099"/>
      <c r="U276" s="1242" t="s">
        <v>1570</v>
      </c>
      <c r="V276" s="1099" t="s">
        <v>8009</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7516</v>
      </c>
      <c r="B277" s="1231" t="s">
        <v>8010</v>
      </c>
      <c r="C277" s="1098" t="s">
        <v>8011</v>
      </c>
      <c r="D277" s="1099" t="s">
        <v>7636</v>
      </c>
      <c r="E277" s="1099" t="s">
        <v>4154</v>
      </c>
      <c r="F277" s="1235" t="s">
        <v>2519</v>
      </c>
      <c r="G277" s="993" t="s">
        <v>8012</v>
      </c>
      <c r="H277" s="1099"/>
      <c r="I277" s="1099" t="str">
        <f>HYPERLINK("https://youtu.be/fNmQmNF7N9I","46.93")</f>
        <v>46.93</v>
      </c>
      <c r="J277" s="1099" t="s">
        <v>8011</v>
      </c>
      <c r="K277" s="1099" t="s">
        <v>538</v>
      </c>
      <c r="L277" s="1099" t="s">
        <v>5723</v>
      </c>
      <c r="M277" s="1099" t="s">
        <v>1574</v>
      </c>
      <c r="N277" s="1099"/>
      <c r="O277" s="1099"/>
      <c r="P277" s="1100"/>
      <c r="Q277" s="1099"/>
      <c r="R277" s="1099"/>
      <c r="S277" s="1099" t="s">
        <v>3990</v>
      </c>
      <c r="T277" s="1099" t="s">
        <v>7990</v>
      </c>
      <c r="U277" s="1099"/>
      <c r="V277" s="1099" t="s">
        <v>8013</v>
      </c>
      <c r="W277" s="1099" t="s">
        <v>4391</v>
      </c>
      <c r="X277" s="1099" t="s">
        <v>8014</v>
      </c>
      <c r="Y277" s="1099"/>
      <c r="Z277" s="1232"/>
      <c r="AA277" s="1099"/>
      <c r="AB277" s="1099" t="s">
        <v>8015</v>
      </c>
      <c r="AC277" s="1099" t="s">
        <v>8016</v>
      </c>
      <c r="AD277" s="1099"/>
      <c r="AE277" s="1099"/>
      <c r="AF277" s="1099"/>
      <c r="AG277" s="1099"/>
      <c r="AH277" s="1099"/>
      <c r="AI277" s="1099"/>
      <c r="AJ277" s="1099"/>
      <c r="AK277" s="1102"/>
      <c r="AL277" s="1099"/>
      <c r="AM277" s="1099"/>
      <c r="AN277" s="1099"/>
      <c r="AO277" s="1099"/>
      <c r="AP277" s="1099"/>
      <c r="AQ277" s="1102"/>
      <c r="AR277" s="1102"/>
      <c r="AS277" s="1099" t="s">
        <v>8017</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8018</v>
      </c>
      <c r="C278" s="1098" t="s">
        <v>3975</v>
      </c>
      <c r="D278" s="1099" t="s">
        <v>5175</v>
      </c>
      <c r="E278" s="1099" t="s">
        <v>3432</v>
      </c>
      <c r="F278" s="1035" t="s">
        <v>8019</v>
      </c>
      <c r="G278" s="993" t="s">
        <v>8020</v>
      </c>
      <c r="H278" s="1099"/>
      <c r="I278" s="1099" t="str">
        <f>HYPERLINK(" https://youtu.be/dsDcBzsPA5s","45.74")</f>
        <v>45.74</v>
      </c>
      <c r="J278" s="1099" t="s">
        <v>3975</v>
      </c>
      <c r="K278" s="1099" t="s">
        <v>8021</v>
      </c>
      <c r="L278" s="1099" t="s">
        <v>3868</v>
      </c>
      <c r="M278" s="1099" t="s">
        <v>1701</v>
      </c>
      <c r="N278" s="1099" t="s">
        <v>2069</v>
      </c>
      <c r="O278" s="1099" t="s">
        <v>4039</v>
      </c>
      <c r="P278" s="1100" t="s">
        <v>3555</v>
      </c>
      <c r="Q278" s="1099" t="s">
        <v>8022</v>
      </c>
      <c r="R278" s="1099"/>
      <c r="S278" s="1099" t="s">
        <v>8023</v>
      </c>
      <c r="T278" s="1099" t="s">
        <v>288</v>
      </c>
      <c r="U278" s="1099"/>
      <c r="V278" s="1099" t="s">
        <v>7999</v>
      </c>
      <c r="W278" s="1099" t="s">
        <v>705</v>
      </c>
      <c r="X278" s="1099" t="s">
        <v>8024</v>
      </c>
      <c r="Y278" s="1099"/>
      <c r="Z278" s="1001"/>
      <c r="AA278" s="1099"/>
      <c r="AB278" s="1099"/>
      <c r="AC278" s="1099" t="s">
        <v>7694</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8025</v>
      </c>
      <c r="C279" s="1098" t="s">
        <v>1043</v>
      </c>
      <c r="D279" s="1099" t="s">
        <v>4636</v>
      </c>
      <c r="E279" s="1099" t="s">
        <v>412</v>
      </c>
      <c r="F279" s="1017" t="s">
        <v>567</v>
      </c>
      <c r="G279" s="993" t="s">
        <v>1325</v>
      </c>
      <c r="H279" s="1099" t="s">
        <v>1908</v>
      </c>
      <c r="I279" s="1099" t="str">
        <f>HYPERLINK("https://youtu.be/9O9oqhlyCxY","45.20")</f>
        <v>45.20</v>
      </c>
      <c r="J279" s="1099" t="s">
        <v>8026</v>
      </c>
      <c r="K279" s="993" t="s">
        <v>3667</v>
      </c>
      <c r="L279" s="1099" t="s">
        <v>323</v>
      </c>
      <c r="M279" s="1099" t="s">
        <v>1399</v>
      </c>
      <c r="N279" s="1099" t="s">
        <v>7992</v>
      </c>
      <c r="O279" s="1099" t="s">
        <v>1043</v>
      </c>
      <c r="P279" s="1100"/>
      <c r="Q279" s="1099" t="s">
        <v>1861</v>
      </c>
      <c r="R279" s="1099"/>
      <c r="S279" s="1099" t="s">
        <v>430</v>
      </c>
      <c r="T279" s="1099" t="s">
        <v>520</v>
      </c>
      <c r="U279" s="1099"/>
      <c r="V279" s="1099"/>
      <c r="W279" s="1099" t="s">
        <v>619</v>
      </c>
      <c r="X279" s="1099"/>
      <c r="Y279" s="1099"/>
      <c r="Z279" s="1232"/>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7699</v>
      </c>
      <c r="B280" s="1244" t="s">
        <v>8027</v>
      </c>
      <c r="C280" s="1098" t="s">
        <v>883</v>
      </c>
      <c r="D280" s="953" t="s">
        <v>1618</v>
      </c>
      <c r="E280" s="1245" t="s">
        <v>413</v>
      </c>
      <c r="F280" s="1004" t="s">
        <v>2568</v>
      </c>
      <c r="G280" s="993" t="s">
        <v>1326</v>
      </c>
      <c r="H280" s="1245" t="s">
        <v>4546</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7485</v>
      </c>
      <c r="B281" s="1248" t="s">
        <v>8027</v>
      </c>
      <c r="C281" s="1098" t="s">
        <v>8028</v>
      </c>
      <c r="D281" s="1245" t="s">
        <v>1619</v>
      </c>
      <c r="E281" s="1245" t="s">
        <v>414</v>
      </c>
      <c r="F281" s="1004" t="s">
        <v>1581</v>
      </c>
      <c r="G281" s="1009"/>
      <c r="H281" s="1245" t="s">
        <v>8028</v>
      </c>
      <c r="I281" s="1245"/>
      <c r="J281" s="1245"/>
      <c r="K281" s="1245"/>
      <c r="L281" s="1245" t="s">
        <v>959</v>
      </c>
      <c r="M281" s="1245" t="s">
        <v>192</v>
      </c>
      <c r="N281" s="1245"/>
      <c r="O281" s="1245" t="s">
        <v>1045</v>
      </c>
      <c r="P281" s="1246"/>
      <c r="Q281" s="1245"/>
      <c r="R281" s="1245"/>
      <c r="S281" s="1245"/>
      <c r="T281" s="1245" t="s">
        <v>3088</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7492</v>
      </c>
      <c r="B282" s="1250" t="s">
        <v>7470</v>
      </c>
      <c r="C282" s="1098" t="s">
        <v>5796</v>
      </c>
      <c r="D282" s="1099" t="s">
        <v>5765</v>
      </c>
      <c r="E282" s="1099" t="s">
        <v>2946</v>
      </c>
      <c r="F282" s="1017" t="s">
        <v>434</v>
      </c>
      <c r="G282" s="993" t="s">
        <v>5750</v>
      </c>
      <c r="H282" s="1099" t="s">
        <v>5796</v>
      </c>
      <c r="I282" s="1099"/>
      <c r="J282" s="1099" t="s">
        <v>5233</v>
      </c>
      <c r="K282" s="1099"/>
      <c r="L282" s="1099" t="s">
        <v>8029</v>
      </c>
      <c r="M282" s="1099"/>
      <c r="N282" s="1099"/>
      <c r="O282" s="1099" t="s">
        <v>5796</v>
      </c>
      <c r="P282" s="1100"/>
      <c r="Q282" s="1099"/>
      <c r="R282" s="993" t="s">
        <v>8030</v>
      </c>
      <c r="S282" s="1099"/>
      <c r="T282" s="1099" t="s">
        <v>5796</v>
      </c>
      <c r="U282" s="1099"/>
      <c r="V282" s="1099"/>
      <c r="W282" s="1099" t="s">
        <v>3606</v>
      </c>
      <c r="X282" s="1099" t="s">
        <v>3593</v>
      </c>
      <c r="Y282" s="1099" t="s">
        <v>8031</v>
      </c>
      <c r="Z282" s="1001"/>
      <c r="AA282" s="1099" t="s">
        <v>6236</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7654</v>
      </c>
      <c r="B283" s="1251" t="s">
        <v>8032</v>
      </c>
      <c r="C283" s="1098" t="s">
        <v>8033</v>
      </c>
      <c r="D283" s="998" t="s">
        <v>1481</v>
      </c>
      <c r="E283" s="1099" t="s">
        <v>4417</v>
      </c>
      <c r="F283" s="1023" t="s">
        <v>2091</v>
      </c>
      <c r="G283" s="993" t="s">
        <v>1328</v>
      </c>
      <c r="H283" s="1099" t="s">
        <v>8033</v>
      </c>
      <c r="I283" s="1099" t="s">
        <v>1481</v>
      </c>
      <c r="J283" s="1099" t="s">
        <v>3833</v>
      </c>
      <c r="K283" s="1099"/>
      <c r="L283" s="1099" t="s">
        <v>960</v>
      </c>
      <c r="M283" s="1099"/>
      <c r="N283" s="1099"/>
      <c r="O283" s="1099" t="s">
        <v>8034</v>
      </c>
      <c r="P283" s="1100"/>
      <c r="Q283" s="1099" t="s">
        <v>193</v>
      </c>
      <c r="R283" s="1099"/>
      <c r="S283" s="1099"/>
      <c r="T283" s="1099" t="s">
        <v>523</v>
      </c>
      <c r="U283" s="1099"/>
      <c r="V283" s="1099"/>
      <c r="W283" s="1099" t="s">
        <v>8035</v>
      </c>
      <c r="X283" s="1099"/>
      <c r="Y283" s="1099"/>
      <c r="Z283" s="1232"/>
      <c r="AA283" s="1099"/>
      <c r="AB283" s="1099"/>
      <c r="AC283" s="1099"/>
      <c r="AD283" s="1099"/>
      <c r="AE283" s="1099"/>
      <c r="AF283" s="1099"/>
      <c r="AG283" s="1099" t="s">
        <v>8036</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7664</v>
      </c>
      <c r="B284" s="1250" t="s">
        <v>8032</v>
      </c>
      <c r="C284" s="989" t="s">
        <v>8037</v>
      </c>
      <c r="D284" s="1099" t="s">
        <v>8038</v>
      </c>
      <c r="E284" s="1099"/>
      <c r="F284" s="1004" t="s">
        <v>8039</v>
      </c>
      <c r="G284" s="1009"/>
      <c r="H284" s="993" t="s">
        <v>8037</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8040</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7574</v>
      </c>
      <c r="B285" s="1231" t="s">
        <v>8041</v>
      </c>
      <c r="C285" s="1098" t="s">
        <v>4212</v>
      </c>
      <c r="D285" s="1009"/>
      <c r="E285" s="993" t="s">
        <v>4351</v>
      </c>
      <c r="F285" s="1238"/>
      <c r="G285" s="993" t="s">
        <v>3244</v>
      </c>
      <c r="H285" s="993" t="s">
        <v>4212</v>
      </c>
      <c r="I285" s="1009"/>
      <c r="J285" s="1009"/>
      <c r="K285" s="1009"/>
      <c r="L285" s="1009"/>
      <c r="M285" s="1009"/>
      <c r="N285" s="1009" t="s">
        <v>4331</v>
      </c>
      <c r="O285" s="1009"/>
      <c r="P285" s="1100" t="s">
        <v>8042</v>
      </c>
      <c r="Q285" s="1009"/>
      <c r="R285" s="1009"/>
      <c r="S285" s="1009"/>
      <c r="T285" s="1009"/>
      <c r="U285" s="993" t="s">
        <v>7975</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8043</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40"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8044</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7578</v>
      </c>
      <c r="B288" s="1231" t="s">
        <v>7470</v>
      </c>
      <c r="C288" s="1098" t="s">
        <v>8045</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8046</v>
      </c>
      <c r="B289" s="1231" t="s">
        <v>7470</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7583</v>
      </c>
      <c r="B290" s="1250" t="s">
        <v>7470</v>
      </c>
      <c r="C290" s="989" t="s">
        <v>8047</v>
      </c>
      <c r="D290" s="993" t="s">
        <v>8047</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6644</v>
      </c>
      <c r="B291" s="1231" t="s">
        <v>7685</v>
      </c>
      <c r="C291" s="1098" t="s">
        <v>4169</v>
      </c>
      <c r="D291" s="950" t="s">
        <v>1621</v>
      </c>
      <c r="E291" s="1105"/>
      <c r="F291" s="1238"/>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7688</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7470</v>
      </c>
      <c r="C293" s="1098" t="s">
        <v>6820</v>
      </c>
      <c r="D293" s="1105" t="s">
        <v>8048</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8049</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8050</v>
      </c>
      <c r="B295" s="1262" t="s">
        <v>8051</v>
      </c>
      <c r="C295" s="989" t="s">
        <v>8052</v>
      </c>
      <c r="D295" s="1220"/>
      <c r="E295" s="1009"/>
      <c r="F295" s="1263"/>
      <c r="G295" s="993" t="s">
        <v>4848</v>
      </c>
      <c r="H295" s="1009"/>
      <c r="I295" s="1009"/>
      <c r="J295" s="1009"/>
      <c r="K295" s="1009"/>
      <c r="L295" s="1009"/>
      <c r="M295" s="1009"/>
      <c r="N295" s="1009"/>
      <c r="O295" s="1009"/>
      <c r="P295" s="1100"/>
      <c r="Q295" s="1009"/>
      <c r="R295" s="1009"/>
      <c r="S295" s="1009"/>
      <c r="T295" s="1009"/>
      <c r="U295" s="993" t="s">
        <v>8052</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8053</v>
      </c>
      <c r="C296" s="1098" t="s">
        <v>7181</v>
      </c>
      <c r="D296" s="1099" t="s">
        <v>8054</v>
      </c>
      <c r="E296" s="1099" t="s">
        <v>7181</v>
      </c>
      <c r="F296" s="992"/>
      <c r="H296" s="1099"/>
      <c r="I296" s="1099"/>
      <c r="J296" s="1099"/>
      <c r="K296" s="1100" t="s">
        <v>8055</v>
      </c>
      <c r="L296" s="1099"/>
      <c r="M296" s="1099"/>
      <c r="N296" s="1099"/>
      <c r="O296" s="1099"/>
      <c r="P296" s="1100" t="s">
        <v>8056</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8057</v>
      </c>
      <c r="C297" s="1098" t="s">
        <v>426</v>
      </c>
      <c r="D297" s="998" t="s">
        <v>1626</v>
      </c>
      <c r="E297" s="993" t="s">
        <v>426</v>
      </c>
      <c r="F297" s="1023" t="s">
        <v>272</v>
      </c>
      <c r="G297" s="993" t="s">
        <v>1339</v>
      </c>
      <c r="H297" s="993" t="s">
        <v>8058</v>
      </c>
      <c r="I297" s="993" t="str">
        <f>HYPERLINK("https://youtu.be/ZpzmhXUsVhA","1:19.38")</f>
        <v>1:19.38</v>
      </c>
      <c r="J297" s="1009"/>
      <c r="K297" s="993" t="s">
        <v>3673</v>
      </c>
      <c r="L297" s="1009" t="s">
        <v>969</v>
      </c>
      <c r="M297" s="1009" t="s">
        <v>6103</v>
      </c>
      <c r="N297" s="1009" t="s">
        <v>8059</v>
      </c>
      <c r="O297" s="993" t="s">
        <v>8060</v>
      </c>
      <c r="P297" s="1100" t="s">
        <v>8061</v>
      </c>
      <c r="Q297" s="1009"/>
      <c r="R297" s="1009"/>
      <c r="S297" s="1009"/>
      <c r="T297" s="1009"/>
      <c r="U297" s="1242" t="s">
        <v>8062</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8063</v>
      </c>
      <c r="B298" s="1266" t="s">
        <v>8051</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8053</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8057</v>
      </c>
      <c r="C300" s="1098" t="s">
        <v>2220</v>
      </c>
      <c r="D300" s="1268" t="s">
        <v>8064</v>
      </c>
      <c r="E300" s="1099" t="s">
        <v>3584</v>
      </c>
      <c r="F300" s="1070" t="s">
        <v>684</v>
      </c>
      <c r="G300" s="993" t="s">
        <v>2830</v>
      </c>
      <c r="H300" s="1142"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8065</v>
      </c>
      <c r="B301" s="1269" t="s">
        <v>8066</v>
      </c>
      <c r="C301" s="1098" t="s">
        <v>2571</v>
      </c>
      <c r="D301" s="1222" t="s">
        <v>1799</v>
      </c>
      <c r="E301" s="1099" t="s">
        <v>2571</v>
      </c>
      <c r="F301" s="992"/>
      <c r="G301" s="1009"/>
      <c r="H301" s="1099"/>
      <c r="I301" s="1099"/>
      <c r="J301" s="1099"/>
      <c r="K301" s="1099" t="s">
        <v>2336</v>
      </c>
      <c r="L301" s="1099"/>
      <c r="M301" s="1099"/>
      <c r="N301" s="1099"/>
      <c r="O301" s="1099"/>
      <c r="P301" s="1100" t="s">
        <v>8067</v>
      </c>
      <c r="Q301" s="1099"/>
      <c r="R301" s="1099"/>
      <c r="S301" s="1099" t="s">
        <v>2628</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8068</v>
      </c>
      <c r="C302" s="1098" t="s">
        <v>8009</v>
      </c>
      <c r="D302" s="998" t="s">
        <v>1627</v>
      </c>
      <c r="E302" s="993" t="s">
        <v>427</v>
      </c>
      <c r="F302" s="1023" t="s">
        <v>2571</v>
      </c>
      <c r="G302" s="993" t="s">
        <v>1340</v>
      </c>
      <c r="H302" s="993" t="s">
        <v>1938</v>
      </c>
      <c r="I302" s="1009"/>
      <c r="J302" s="1009"/>
      <c r="K302" s="1009"/>
      <c r="L302" s="993" t="s">
        <v>970</v>
      </c>
      <c r="M302" s="1009" t="s">
        <v>817</v>
      </c>
      <c r="N302" s="1009"/>
      <c r="O302" s="993" t="s">
        <v>8009</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8069</v>
      </c>
      <c r="B303" s="1262" t="s">
        <v>8070</v>
      </c>
      <c r="C303" s="1098" t="s">
        <v>6310</v>
      </c>
      <c r="D303" s="1099"/>
      <c r="E303" s="1099" t="s">
        <v>6310</v>
      </c>
      <c r="F303" s="992"/>
      <c r="G303" s="1009"/>
      <c r="H303" s="1099"/>
      <c r="I303" s="1099" t="s">
        <v>7945</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8071</v>
      </c>
      <c r="C304" s="1098" t="s">
        <v>7866</v>
      </c>
      <c r="D304" s="1099"/>
      <c r="E304" s="1099" t="s">
        <v>1409</v>
      </c>
      <c r="F304" s="1061"/>
      <c r="G304" s="1009"/>
      <c r="H304" s="1099"/>
      <c r="I304" s="1099" t="s">
        <v>7866</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8072</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8073</v>
      </c>
      <c r="C306" s="1098" t="s">
        <v>2602</v>
      </c>
      <c r="D306" s="1147"/>
      <c r="E306" s="1147"/>
      <c r="F306" s="1061"/>
      <c r="G306" s="1009"/>
      <c r="H306" s="1147"/>
      <c r="I306" s="1147" t="s">
        <v>2602</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8074</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8075</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7485</v>
      </c>
      <c r="B309" s="1269" t="s">
        <v>7581</v>
      </c>
      <c r="C309" s="1098" t="s">
        <v>3352</v>
      </c>
      <c r="D309" s="1099"/>
      <c r="E309" s="1099" t="s">
        <v>3763</v>
      </c>
      <c r="F309" s="992"/>
      <c r="G309" s="1009"/>
      <c r="H309" s="1099" t="s">
        <v>3352</v>
      </c>
      <c r="I309" s="1099" t="s">
        <v>6841</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8076</v>
      </c>
      <c r="B310" s="1271"/>
      <c r="C310" s="989" t="s">
        <v>8077</v>
      </c>
      <c r="D310" s="1105"/>
      <c r="E310" s="1105"/>
      <c r="F310" s="1061"/>
      <c r="G310" s="1009"/>
      <c r="H310" s="993" t="s">
        <v>8077</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8078</v>
      </c>
      <c r="B311" s="1269" t="s">
        <v>8079</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8080</v>
      </c>
      <c r="C312" s="1098" t="s">
        <v>3907</v>
      </c>
      <c r="D312" s="1144"/>
      <c r="E312" s="1144" t="s">
        <v>4178</v>
      </c>
      <c r="F312" s="1061"/>
      <c r="G312" s="1009"/>
      <c r="H312" s="1144"/>
      <c r="I312" s="993" t="s">
        <v>3907</v>
      </c>
      <c r="J312" s="1144"/>
      <c r="K312" s="1144"/>
      <c r="L312" s="1144"/>
      <c r="M312" s="1144" t="s">
        <v>7522</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8081</v>
      </c>
      <c r="B313" s="1270" t="s">
        <v>8082</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8083</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8084</v>
      </c>
      <c r="B315" s="1270" t="s">
        <v>8085</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8086</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8087</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8088</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8088</v>
      </c>
      <c r="C319" s="1098" t="s">
        <v>6530</v>
      </c>
      <c r="D319" s="1105"/>
      <c r="E319" s="1105"/>
      <c r="F319" s="992"/>
      <c r="G319" s="1009"/>
      <c r="H319" s="1105"/>
      <c r="I319" s="993" t="s">
        <v>6530</v>
      </c>
      <c r="J319" s="1105"/>
      <c r="K319" s="1105"/>
      <c r="L319" s="1105"/>
      <c r="M319" s="1105"/>
      <c r="N319" s="1105" t="s">
        <v>5903</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8089</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8090</v>
      </c>
      <c r="B321" s="1273" t="s">
        <v>8091</v>
      </c>
      <c r="C321" s="1098" t="s">
        <v>535</v>
      </c>
      <c r="D321" s="1109" t="s">
        <v>3431</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8092</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8093</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8094</v>
      </c>
      <c r="B324" s="1273" t="s">
        <v>7575</v>
      </c>
      <c r="C324" s="1098" t="s">
        <v>7376</v>
      </c>
      <c r="D324" s="1009"/>
      <c r="E324" s="993" t="s">
        <v>7376</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7577</v>
      </c>
      <c r="C325" s="1098" t="s">
        <v>4769</v>
      </c>
      <c r="D325" s="1009" t="s">
        <v>5101</v>
      </c>
      <c r="E325" s="993" t="s">
        <v>4470</v>
      </c>
      <c r="F325" s="1017" t="s">
        <v>6952</v>
      </c>
      <c r="G325" s="1009"/>
      <c r="H325" s="993" t="s">
        <v>4769</v>
      </c>
      <c r="I325" s="1009"/>
      <c r="J325" s="1009"/>
      <c r="K325" s="1009"/>
      <c r="L325" s="1009"/>
      <c r="M325" s="1009"/>
      <c r="N325" s="1009"/>
      <c r="O325" s="1009"/>
      <c r="P325" s="1100"/>
      <c r="Q325" s="1009"/>
      <c r="R325" s="993" t="s">
        <v>7738</v>
      </c>
      <c r="S325" s="1009"/>
      <c r="T325" s="1009"/>
      <c r="U325" s="1009"/>
      <c r="V325" s="1009"/>
      <c r="W325" s="993" t="s">
        <v>6094</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7738</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8095</v>
      </c>
      <c r="B326" s="1273" t="s">
        <v>7470</v>
      </c>
      <c r="C326" s="1074" t="s">
        <v>3560</v>
      </c>
      <c r="D326" s="1031"/>
      <c r="E326" s="1030" t="s">
        <v>1786</v>
      </c>
      <c r="F326" s="1070" t="s">
        <v>3560</v>
      </c>
      <c r="G326" s="1009"/>
      <c r="H326" s="1030" t="s">
        <v>2386</v>
      </c>
      <c r="I326" s="1031"/>
      <c r="J326" s="1030" t="s">
        <v>1786</v>
      </c>
      <c r="K326" s="1031"/>
      <c r="L326" s="1030" t="s">
        <v>8096</v>
      </c>
      <c r="M326" s="1030" t="s">
        <v>8097</v>
      </c>
      <c r="N326" s="1031"/>
      <c r="O326" s="1031"/>
      <c r="P326" s="1029"/>
      <c r="Q326" s="1031"/>
      <c r="R326" s="1031"/>
      <c r="S326" s="1031"/>
      <c r="T326" s="1031"/>
      <c r="U326" s="1031"/>
      <c r="V326" s="1031"/>
      <c r="W326" s="1030" t="s">
        <v>2830</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8098</v>
      </c>
      <c r="B327" s="1273" t="s">
        <v>8099</v>
      </c>
      <c r="C327" s="1098" t="s">
        <v>8100</v>
      </c>
      <c r="D327" s="1009"/>
      <c r="E327" s="993" t="s">
        <v>8100</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8101</v>
      </c>
      <c r="C328" s="1074" t="s">
        <v>8102</v>
      </c>
      <c r="D328" s="1009"/>
      <c r="E328" s="993" t="s">
        <v>8103</v>
      </c>
      <c r="F328" s="1070" t="s">
        <v>8102</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8104</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8105</v>
      </c>
      <c r="B329" s="1262" t="s">
        <v>8106</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8107</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8108</v>
      </c>
      <c r="C331" s="1098" t="s">
        <v>8109</v>
      </c>
      <c r="D331" s="1009"/>
      <c r="E331" s="993" t="s">
        <v>8109</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8110</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8111</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8112</v>
      </c>
      <c r="C334" s="1098" t="s">
        <v>8113</v>
      </c>
      <c r="D334" s="1009"/>
      <c r="E334" s="993" t="s">
        <v>3884</v>
      </c>
      <c r="F334" s="1070" t="s">
        <v>1105</v>
      </c>
      <c r="G334" s="1009"/>
      <c r="H334" s="993" t="s">
        <v>8113</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8114</v>
      </c>
      <c r="C335" s="1098" t="s">
        <v>8115</v>
      </c>
      <c r="D335" s="1105" t="s">
        <v>8116</v>
      </c>
      <c r="E335" s="1105"/>
      <c r="F335" s="1017" t="s">
        <v>8117</v>
      </c>
      <c r="G335" s="1009"/>
      <c r="H335" s="993" t="s">
        <v>8118</v>
      </c>
      <c r="I335" s="1105"/>
      <c r="J335" s="1105"/>
      <c r="K335" s="1105"/>
      <c r="L335" s="1105"/>
      <c r="M335" s="1105"/>
      <c r="N335" s="1105"/>
      <c r="O335" s="1105"/>
      <c r="P335" s="1107"/>
      <c r="Q335" s="1105"/>
      <c r="R335" s="993" t="s">
        <v>8119</v>
      </c>
      <c r="S335" s="1105"/>
      <c r="T335" s="993" t="s">
        <v>8120</v>
      </c>
      <c r="U335" s="1105"/>
      <c r="V335" s="1105"/>
      <c r="W335" s="1105"/>
      <c r="X335" s="1105"/>
      <c r="Y335" s="993" t="s">
        <v>8115</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8121</v>
      </c>
      <c r="B336" s="1262" t="s">
        <v>7470</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6437</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8122</v>
      </c>
      <c r="B337" s="1262" t="s">
        <v>8123</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8124</v>
      </c>
      <c r="C338" s="989" t="s">
        <v>8125</v>
      </c>
      <c r="D338" s="1009" t="s">
        <v>1008</v>
      </c>
      <c r="E338" s="993" t="s">
        <v>8126</v>
      </c>
      <c r="F338" s="1077" t="s">
        <v>8127</v>
      </c>
      <c r="G338" s="1009"/>
      <c r="H338" s="1009"/>
      <c r="I338" s="1009"/>
      <c r="J338" s="993" t="s">
        <v>8128</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8129</v>
      </c>
      <c r="C339" s="989" t="s">
        <v>8130</v>
      </c>
      <c r="D339" s="1009"/>
      <c r="E339" s="1009"/>
      <c r="F339" s="1017" t="s">
        <v>8131</v>
      </c>
      <c r="G339" s="1009"/>
      <c r="H339" s="1009" t="s">
        <v>8132</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8130</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8133</v>
      </c>
      <c r="B340" s="1270" t="s">
        <v>8134</v>
      </c>
      <c r="C340" s="1098" t="s">
        <v>5765</v>
      </c>
      <c r="D340" s="1275"/>
      <c r="E340" s="1275"/>
      <c r="F340" s="1070" t="s">
        <v>4588</v>
      </c>
      <c r="G340" s="1009"/>
      <c r="H340" s="993" t="s">
        <v>1389</v>
      </c>
      <c r="I340" s="1275"/>
      <c r="J340" s="993" t="s">
        <v>5765</v>
      </c>
      <c r="K340" s="1275"/>
      <c r="L340" s="1275"/>
      <c r="M340" s="1275"/>
      <c r="N340" s="1275"/>
      <c r="O340" s="1275"/>
      <c r="P340" s="1100"/>
      <c r="Q340" s="1275"/>
      <c r="R340" s="1275"/>
      <c r="S340" s="1275"/>
      <c r="T340" s="1275"/>
      <c r="U340" s="1275"/>
      <c r="V340" s="1275"/>
      <c r="W340" s="1275"/>
      <c r="X340" s="1275"/>
      <c r="Y340" s="993" t="s">
        <v>4471</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8135</v>
      </c>
      <c r="C341" s="1098" t="s">
        <v>4605</v>
      </c>
      <c r="D341" s="1009"/>
      <c r="E341" s="993" t="s">
        <v>5837</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8136</v>
      </c>
      <c r="B342" s="1262" t="s">
        <v>7470</v>
      </c>
      <c r="C342" s="1098" t="s">
        <v>8137</v>
      </c>
      <c r="D342" s="1143"/>
      <c r="E342" s="1143"/>
      <c r="F342" s="1061"/>
      <c r="G342" s="1009"/>
      <c r="H342" s="993" t="s">
        <v>8137</v>
      </c>
      <c r="I342" s="1143"/>
      <c r="J342" s="1143"/>
      <c r="K342" s="1143"/>
      <c r="L342" s="1143"/>
      <c r="M342" s="993" t="s">
        <v>8138</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8139</v>
      </c>
      <c r="B343" s="1262" t="s">
        <v>8140</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8141</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6141</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8142</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8143</v>
      </c>
      <c r="C1" s="23" t="s">
        <v>10</v>
      </c>
      <c r="F1" s="23" t="s">
        <v>34</v>
      </c>
      <c r="H1" s="24" t="s">
        <v>35</v>
      </c>
      <c r="K1" s="26" t="s">
        <v>36</v>
      </c>
      <c r="O1" s="28" t="s">
        <v>7683</v>
      </c>
      <c r="R1" s="29" t="s">
        <v>38</v>
      </c>
      <c r="U1" s="30" t="s">
        <v>39</v>
      </c>
      <c r="X1" s="32" t="s">
        <v>7921</v>
      </c>
      <c r="AA1" s="33" t="s">
        <v>7985</v>
      </c>
      <c r="AD1" s="34" t="s">
        <v>42</v>
      </c>
      <c r="AG1" s="1277"/>
      <c r="AH1" s="1277"/>
    </row>
    <row r="2" ht="38.25" customHeight="1">
      <c r="A2" s="35" t="s">
        <v>43</v>
      </c>
      <c r="B2" s="36" t="s">
        <v>44</v>
      </c>
      <c r="C2" s="36" t="s">
        <v>45</v>
      </c>
      <c r="F2" s="36" t="s">
        <v>8144</v>
      </c>
      <c r="H2" s="1278" t="s">
        <v>8145</v>
      </c>
      <c r="I2" s="1279"/>
      <c r="J2" s="1279"/>
      <c r="K2" s="1280" t="s">
        <v>8146</v>
      </c>
      <c r="L2" s="1281" t="s">
        <v>8147</v>
      </c>
      <c r="M2" s="1280" t="s">
        <v>8148</v>
      </c>
      <c r="N2" s="1280" t="s">
        <v>8149</v>
      </c>
      <c r="O2" s="1282" t="s">
        <v>8150</v>
      </c>
      <c r="P2" s="1282" t="s">
        <v>8151</v>
      </c>
      <c r="Q2" s="1282"/>
      <c r="R2" s="42" t="s">
        <v>48</v>
      </c>
      <c r="S2" s="42" t="s">
        <v>8152</v>
      </c>
      <c r="T2" s="42"/>
      <c r="U2" s="44" t="s">
        <v>50</v>
      </c>
      <c r="V2" s="44" t="s">
        <v>54</v>
      </c>
      <c r="W2" s="44" t="s">
        <v>62</v>
      </c>
      <c r="X2" s="45" t="s">
        <v>52</v>
      </c>
      <c r="Y2" s="45"/>
      <c r="Z2" s="45"/>
      <c r="AA2" s="47" t="s">
        <v>51</v>
      </c>
      <c r="AB2" s="1283" t="s">
        <v>8153</v>
      </c>
      <c r="AC2" s="47"/>
      <c r="AD2" s="1284" t="s">
        <v>8154</v>
      </c>
      <c r="AE2" s="1284"/>
      <c r="AF2" s="1284"/>
      <c r="AG2" s="1285"/>
      <c r="AH2" s="1285"/>
    </row>
    <row r="3">
      <c r="A3" s="1286" t="s">
        <v>4257</v>
      </c>
      <c r="B3" s="1287" t="s">
        <v>6303</v>
      </c>
      <c r="C3" s="1288" t="s">
        <v>548</v>
      </c>
      <c r="D3" s="1289" t="s">
        <v>548</v>
      </c>
      <c r="E3" s="1290" t="s">
        <v>439</v>
      </c>
      <c r="F3" s="1291" t="s">
        <v>334</v>
      </c>
      <c r="G3" s="1287" t="s">
        <v>334</v>
      </c>
      <c r="H3" s="1292"/>
      <c r="I3" s="1293"/>
      <c r="J3" s="1294"/>
      <c r="K3" s="1295"/>
      <c r="L3" s="951"/>
      <c r="M3" s="951"/>
      <c r="N3" s="951"/>
      <c r="O3" s="951"/>
      <c r="P3" s="951"/>
      <c r="Q3" s="1296"/>
      <c r="R3" s="1297" t="s">
        <v>6297</v>
      </c>
      <c r="S3" s="1292"/>
      <c r="T3" s="1292"/>
      <c r="U3" s="1298" t="s">
        <v>7915</v>
      </c>
      <c r="V3" s="1296"/>
      <c r="W3" s="1296"/>
      <c r="X3" s="1298" t="s">
        <v>8155</v>
      </c>
      <c r="Y3" s="1296"/>
      <c r="Z3" s="1296"/>
      <c r="AA3" s="1299" t="s">
        <v>8156</v>
      </c>
      <c r="AB3" s="1296"/>
      <c r="AC3" s="951"/>
      <c r="AD3" s="1296"/>
      <c r="AE3" s="1296"/>
      <c r="AF3" s="1296"/>
      <c r="AG3" s="1300"/>
      <c r="AH3" s="1300"/>
    </row>
    <row r="4">
      <c r="A4" s="1301" t="s">
        <v>5267</v>
      </c>
      <c r="B4" s="1287" t="s">
        <v>2642</v>
      </c>
      <c r="C4" s="1288" t="s">
        <v>548</v>
      </c>
      <c r="D4" s="1289" t="s">
        <v>548</v>
      </c>
      <c r="E4" s="1290" t="s">
        <v>548</v>
      </c>
      <c r="F4" s="1291" t="s">
        <v>334</v>
      </c>
      <c r="G4" s="1287" t="s">
        <v>334</v>
      </c>
      <c r="H4" s="951"/>
      <c r="I4" s="97"/>
      <c r="J4" s="92"/>
      <c r="K4" s="951"/>
      <c r="L4" s="951"/>
      <c r="M4" s="951"/>
      <c r="N4" s="951"/>
      <c r="O4" s="951"/>
      <c r="P4" s="951"/>
      <c r="Q4" s="1296"/>
      <c r="R4" s="1302" t="s">
        <v>6089</v>
      </c>
      <c r="S4" s="951"/>
      <c r="T4" s="951"/>
      <c r="U4" s="1303" t="s">
        <v>2115</v>
      </c>
      <c r="V4" s="1296"/>
      <c r="W4" s="1296"/>
      <c r="X4" s="1297" t="s">
        <v>8157</v>
      </c>
      <c r="Y4" s="1296"/>
      <c r="Z4" s="1296"/>
      <c r="AA4" s="953" t="s">
        <v>1245</v>
      </c>
      <c r="AB4" s="1296"/>
      <c r="AC4" s="951"/>
      <c r="AD4" s="1296"/>
      <c r="AE4" s="1296"/>
      <c r="AF4" s="1296"/>
      <c r="AG4" s="1300"/>
      <c r="AH4" s="1300"/>
    </row>
    <row r="5">
      <c r="A5" s="1286" t="s">
        <v>4046</v>
      </c>
      <c r="B5" s="1287" t="s">
        <v>335</v>
      </c>
      <c r="C5" s="1288" t="s">
        <v>1258</v>
      </c>
      <c r="D5" s="1289" t="s">
        <v>548</v>
      </c>
      <c r="E5" s="1290" t="s">
        <v>1258</v>
      </c>
      <c r="F5" s="1291" t="s">
        <v>649</v>
      </c>
      <c r="G5" s="1287" t="s">
        <v>336</v>
      </c>
      <c r="H5" s="951"/>
      <c r="I5" s="97"/>
      <c r="J5" s="92"/>
      <c r="K5" s="951"/>
      <c r="L5" s="951"/>
      <c r="M5" s="951"/>
      <c r="N5" s="951"/>
      <c r="O5" s="951"/>
      <c r="P5" s="951"/>
      <c r="Q5" s="1296"/>
      <c r="R5" s="1303" t="s">
        <v>4510</v>
      </c>
      <c r="S5" s="1304" t="s">
        <v>1663</v>
      </c>
      <c r="T5" s="951"/>
      <c r="U5" s="953" t="s">
        <v>1039</v>
      </c>
      <c r="V5" s="1296"/>
      <c r="W5" s="1296"/>
      <c r="X5" s="953" t="s">
        <v>8158</v>
      </c>
      <c r="Y5" s="1296"/>
      <c r="Z5" s="1296"/>
      <c r="AA5" s="1305" t="s">
        <v>8159</v>
      </c>
      <c r="AB5" s="1296"/>
      <c r="AC5" s="951"/>
      <c r="AD5" s="1296"/>
      <c r="AE5" s="1296"/>
      <c r="AF5" s="1296"/>
      <c r="AG5" s="1300"/>
      <c r="AH5" s="1300"/>
    </row>
    <row r="6">
      <c r="A6" s="1286" t="s">
        <v>2457</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7290</v>
      </c>
      <c r="X6" s="951"/>
      <c r="Y6" s="1296"/>
      <c r="Z6" s="1296"/>
      <c r="AA6" s="951"/>
      <c r="AB6" s="1296"/>
      <c r="AC6" s="951"/>
      <c r="AD6" s="953" t="s">
        <v>218</v>
      </c>
      <c r="AE6" s="1296"/>
      <c r="AF6" s="1296"/>
      <c r="AG6" s="1300"/>
      <c r="AH6" s="1300"/>
    </row>
    <row r="7">
      <c r="A7" s="1286" t="s">
        <v>981</v>
      </c>
      <c r="B7" s="1287" t="s">
        <v>3287</v>
      </c>
      <c r="C7" s="1288" t="s">
        <v>439</v>
      </c>
      <c r="D7" s="1289" t="s">
        <v>548</v>
      </c>
      <c r="E7" s="1290" t="s">
        <v>1258</v>
      </c>
      <c r="F7" s="1291" t="s">
        <v>649</v>
      </c>
      <c r="G7" s="1287" t="s">
        <v>649</v>
      </c>
      <c r="H7" s="951"/>
      <c r="I7" s="97"/>
      <c r="J7" s="92"/>
      <c r="K7" s="1292"/>
      <c r="L7" s="1292"/>
      <c r="M7" s="1292"/>
      <c r="N7" s="950"/>
      <c r="O7" s="1307"/>
      <c r="P7" s="951"/>
      <c r="Q7" s="1296"/>
      <c r="R7" s="1296"/>
      <c r="S7" s="1303" t="s">
        <v>8160</v>
      </c>
      <c r="T7" s="951"/>
      <c r="U7" s="1296"/>
      <c r="V7" s="1296"/>
      <c r="W7" s="1296"/>
      <c r="X7" s="951"/>
      <c r="Y7" s="1296"/>
      <c r="Z7" s="1296"/>
      <c r="AA7" s="1297" t="s">
        <v>8161</v>
      </c>
      <c r="AB7" s="1297" t="s">
        <v>6430</v>
      </c>
      <c r="AC7" s="951"/>
      <c r="AD7" s="1296"/>
      <c r="AE7" s="1296"/>
      <c r="AF7" s="1296"/>
      <c r="AG7" s="1300"/>
      <c r="AH7" s="1300"/>
    </row>
    <row r="8">
      <c r="A8" s="1286" t="s">
        <v>1058</v>
      </c>
      <c r="B8" s="1287" t="s">
        <v>3287</v>
      </c>
      <c r="C8" s="1288" t="s">
        <v>548</v>
      </c>
      <c r="D8" s="1289" t="s">
        <v>439</v>
      </c>
      <c r="E8" s="1290" t="s">
        <v>548</v>
      </c>
      <c r="F8" s="1291" t="s">
        <v>334</v>
      </c>
      <c r="G8" s="1287" t="s">
        <v>334</v>
      </c>
      <c r="H8" s="951"/>
      <c r="I8" s="97"/>
      <c r="J8" s="92"/>
      <c r="K8" s="1303" t="s">
        <v>8162</v>
      </c>
      <c r="L8" s="1302" t="s">
        <v>6258</v>
      </c>
      <c r="M8" s="951"/>
      <c r="N8" s="951"/>
      <c r="O8" s="951"/>
      <c r="P8" s="1303" t="s">
        <v>8163</v>
      </c>
      <c r="Q8" s="1296"/>
      <c r="R8" s="1296"/>
      <c r="S8" s="951"/>
      <c r="T8" s="951"/>
      <c r="U8" s="1296"/>
      <c r="V8" s="1296"/>
      <c r="W8" s="1296"/>
      <c r="X8" s="1297" t="s">
        <v>8157</v>
      </c>
      <c r="Y8" s="1296"/>
      <c r="Z8" s="1296"/>
      <c r="AA8" s="951"/>
      <c r="AB8" s="1296"/>
      <c r="AC8" s="951"/>
      <c r="AD8" s="1296"/>
      <c r="AE8" s="1296"/>
      <c r="AF8" s="1296"/>
      <c r="AG8" s="1300"/>
      <c r="AH8" s="1300"/>
    </row>
    <row r="9">
      <c r="A9" s="958" t="s">
        <v>7417</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7801</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3192</v>
      </c>
      <c r="X10" s="951"/>
      <c r="Y10" s="1296"/>
      <c r="Z10" s="1296"/>
      <c r="AA10" s="951"/>
      <c r="AB10" s="1296"/>
      <c r="AC10" s="951"/>
      <c r="AD10" s="1303" t="s">
        <v>8164</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7835</v>
      </c>
      <c r="AE11" s="1296"/>
      <c r="AF11" s="1296"/>
      <c r="AG11" s="1300"/>
      <c r="AH11" s="1300"/>
    </row>
    <row r="12">
      <c r="A12" s="958" t="s">
        <v>4537</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8165</v>
      </c>
      <c r="X12" s="951"/>
      <c r="Y12" s="1296"/>
      <c r="Z12" s="1296"/>
      <c r="AA12" s="951"/>
      <c r="AB12" s="1296"/>
      <c r="AC12" s="951"/>
      <c r="AD12" s="1296"/>
      <c r="AE12" s="1296"/>
      <c r="AF12" s="1296"/>
      <c r="AG12" s="1300"/>
      <c r="AH12" s="1300"/>
    </row>
    <row r="13">
      <c r="A13" s="1286" t="s">
        <v>8166</v>
      </c>
      <c r="B13" s="1287" t="s">
        <v>440</v>
      </c>
      <c r="C13" s="1288" t="s">
        <v>649</v>
      </c>
      <c r="D13" s="1289" t="s">
        <v>1258</v>
      </c>
      <c r="E13" s="1290" t="s">
        <v>1258</v>
      </c>
      <c r="F13" s="1291" t="s">
        <v>649</v>
      </c>
      <c r="G13" s="1287" t="s">
        <v>649</v>
      </c>
      <c r="H13" s="951"/>
      <c r="I13" s="97"/>
      <c r="J13" s="92"/>
      <c r="K13" s="1297" t="s">
        <v>8167</v>
      </c>
      <c r="L13" s="1297" t="s">
        <v>8168</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2756</v>
      </c>
      <c r="B14" s="1287" t="s">
        <v>336</v>
      </c>
      <c r="C14" s="1288" t="s">
        <v>1258</v>
      </c>
      <c r="D14" s="1289" t="s">
        <v>1258</v>
      </c>
      <c r="E14" s="1290" t="s">
        <v>548</v>
      </c>
      <c r="F14" s="1291" t="s">
        <v>439</v>
      </c>
      <c r="G14" s="1287" t="s">
        <v>439</v>
      </c>
      <c r="H14" s="951"/>
      <c r="I14" s="97"/>
      <c r="J14" s="92"/>
      <c r="K14" s="951"/>
      <c r="L14" s="953" t="s">
        <v>6812</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8169</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5653</v>
      </c>
      <c r="X16" s="951"/>
      <c r="Y16" s="1296"/>
      <c r="Z16" s="1296"/>
      <c r="AA16" s="951"/>
      <c r="AB16" s="1296"/>
      <c r="AC16" s="951"/>
      <c r="AD16" s="1296"/>
      <c r="AE16" s="1296"/>
      <c r="AF16" s="1296"/>
      <c r="AG16" s="1300"/>
      <c r="AH16" s="1300"/>
    </row>
    <row r="17">
      <c r="A17" s="1286" t="s">
        <v>8170</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5246</v>
      </c>
      <c r="T17" s="951"/>
      <c r="U17" s="1296"/>
      <c r="V17" s="1296"/>
      <c r="W17" s="1296"/>
      <c r="X17" s="951"/>
      <c r="Y17" s="1296"/>
      <c r="Z17" s="1296"/>
      <c r="AA17" s="951"/>
      <c r="AB17" s="1296"/>
      <c r="AC17" s="951"/>
      <c r="AD17" s="1296"/>
      <c r="AE17" s="1296"/>
      <c r="AF17" s="1296"/>
      <c r="AG17" s="1300"/>
      <c r="AH17" s="1300"/>
    </row>
    <row r="18">
      <c r="A18" s="1286" t="s">
        <v>8171</v>
      </c>
      <c r="B18" s="1287" t="s">
        <v>649</v>
      </c>
      <c r="C18" s="1288" t="s">
        <v>548</v>
      </c>
      <c r="D18" s="1289" t="s">
        <v>1258</v>
      </c>
      <c r="E18" s="1290" t="s">
        <v>1258</v>
      </c>
      <c r="F18" s="1291" t="s">
        <v>548</v>
      </c>
      <c r="G18" s="1287" t="s">
        <v>548</v>
      </c>
      <c r="H18" s="951"/>
      <c r="I18" s="97"/>
      <c r="J18" s="92"/>
      <c r="K18" s="951"/>
      <c r="L18" s="1297" t="s">
        <v>8168</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5237</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3739</v>
      </c>
      <c r="S19" s="1292"/>
      <c r="T19" s="1292"/>
      <c r="U19" s="1310" t="s">
        <v>7576</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8172</v>
      </c>
      <c r="AE20" s="1296"/>
      <c r="AF20" s="1296"/>
      <c r="AG20" s="1300"/>
      <c r="AH20" s="1300"/>
    </row>
    <row r="21">
      <c r="A21" s="837" t="s">
        <v>6605</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8173</v>
      </c>
      <c r="X21" s="951"/>
      <c r="Y21" s="1296"/>
      <c r="Z21" s="1296"/>
      <c r="AA21" s="951"/>
      <c r="AB21" s="1296"/>
      <c r="AC21" s="951"/>
      <c r="AD21" s="1296"/>
      <c r="AE21" s="1296"/>
      <c r="AF21" s="1296"/>
      <c r="AG21" s="1300"/>
      <c r="AH21" s="1300"/>
    </row>
    <row r="22">
      <c r="A22" s="1286" t="s">
        <v>4911</v>
      </c>
      <c r="B22" s="1287" t="s">
        <v>649</v>
      </c>
      <c r="C22" s="1288" t="s">
        <v>548</v>
      </c>
      <c r="D22" s="1289" t="s">
        <v>1258</v>
      </c>
      <c r="E22" s="1290" t="s">
        <v>1258</v>
      </c>
      <c r="F22" s="1291" t="s">
        <v>548</v>
      </c>
      <c r="G22" s="1287" t="s">
        <v>548</v>
      </c>
      <c r="H22" s="951"/>
      <c r="I22" s="97"/>
      <c r="J22" s="92"/>
      <c r="K22" s="951"/>
      <c r="L22" s="951"/>
      <c r="M22" s="951"/>
      <c r="N22" s="951"/>
      <c r="O22" s="951"/>
      <c r="P22" s="1297" t="s">
        <v>8174</v>
      </c>
      <c r="Q22" s="1296"/>
      <c r="R22" s="1296"/>
      <c r="S22" s="951"/>
      <c r="T22" s="951"/>
      <c r="U22" s="1296"/>
      <c r="V22" s="1296"/>
      <c r="W22" s="1296"/>
      <c r="X22" s="951"/>
      <c r="Y22" s="1296"/>
      <c r="Z22" s="1296"/>
      <c r="AA22" s="951"/>
      <c r="AB22" s="1296"/>
      <c r="AC22" s="951"/>
      <c r="AD22" s="1296"/>
      <c r="AE22" s="1296"/>
      <c r="AF22" s="1296"/>
      <c r="AG22" s="1300"/>
      <c r="AH22" s="1300"/>
    </row>
    <row r="23">
      <c r="A23" s="1286" t="s">
        <v>2024</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8175</v>
      </c>
      <c r="AE23" s="1296"/>
      <c r="AF23" s="1296"/>
      <c r="AG23" s="1300"/>
      <c r="AH23" s="1300"/>
    </row>
    <row r="24">
      <c r="A24" s="1286" t="s">
        <v>6957</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8176</v>
      </c>
      <c r="X25" s="951"/>
      <c r="Y25" s="1296"/>
      <c r="Z25" s="1296"/>
      <c r="AA25" s="951"/>
      <c r="AB25" s="1296"/>
      <c r="AC25" s="951"/>
      <c r="AD25" s="1296"/>
      <c r="AE25" s="1296"/>
      <c r="AF25" s="1296"/>
      <c r="AG25" s="1300"/>
      <c r="AH25" s="1300"/>
    </row>
    <row r="26">
      <c r="A26" s="1286" t="s">
        <v>2572</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8177</v>
      </c>
      <c r="W26" s="1296"/>
      <c r="X26" s="951"/>
      <c r="Y26" s="1296"/>
      <c r="Z26" s="1296"/>
      <c r="AA26" s="951"/>
      <c r="AB26" s="1296"/>
      <c r="AC26" s="951"/>
      <c r="AD26" s="1296"/>
      <c r="AE26" s="1296"/>
      <c r="AF26" s="1296"/>
      <c r="AG26" s="1300"/>
      <c r="AH26" s="1300"/>
    </row>
    <row r="27">
      <c r="A27" s="1320" t="s">
        <v>5740</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6392</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8178</v>
      </c>
      <c r="C1" s="23" t="s">
        <v>10</v>
      </c>
      <c r="F1" s="23" t="s">
        <v>34</v>
      </c>
      <c r="H1" s="1321" t="s">
        <v>8179</v>
      </c>
      <c r="W1" s="1322" t="s">
        <v>8180</v>
      </c>
      <c r="AM1" s="1323" t="s">
        <v>8181</v>
      </c>
      <c r="BG1" s="1324" t="s">
        <v>8182</v>
      </c>
      <c r="BQ1" s="1325" t="s">
        <v>8183</v>
      </c>
      <c r="BV1" s="1326" t="s">
        <v>8184</v>
      </c>
      <c r="CE1" s="1321" t="s">
        <v>8185</v>
      </c>
      <c r="CM1" s="1327" t="s">
        <v>8186</v>
      </c>
      <c r="CP1" s="1328" t="s">
        <v>8187</v>
      </c>
      <c r="CT1" s="1329" t="s">
        <v>8188</v>
      </c>
      <c r="CU1" s="1330" t="s">
        <v>8189</v>
      </c>
    </row>
    <row r="2">
      <c r="A2" s="1331" t="s">
        <v>43</v>
      </c>
      <c r="B2" s="36" t="s">
        <v>44</v>
      </c>
      <c r="C2" s="36" t="s">
        <v>45</v>
      </c>
      <c r="F2" s="36" t="s">
        <v>8190</v>
      </c>
      <c r="H2" s="1332" t="s">
        <v>8191</v>
      </c>
      <c r="I2" s="1332" t="s">
        <v>8192</v>
      </c>
      <c r="J2" s="1332" t="s">
        <v>8193</v>
      </c>
      <c r="K2" s="1332" t="s">
        <v>8194</v>
      </c>
      <c r="L2" s="1332" t="s">
        <v>8195</v>
      </c>
      <c r="M2" s="1332" t="s">
        <v>8196</v>
      </c>
      <c r="N2" s="1332" t="s">
        <v>8197</v>
      </c>
      <c r="O2" s="1332" t="s">
        <v>8198</v>
      </c>
      <c r="P2" s="1332" t="s">
        <v>8199</v>
      </c>
      <c r="Q2" s="1332" t="s">
        <v>8200</v>
      </c>
      <c r="R2" s="1332" t="s">
        <v>8201</v>
      </c>
      <c r="S2" s="1332" t="s">
        <v>8202</v>
      </c>
      <c r="T2" s="1332" t="s">
        <v>8203</v>
      </c>
      <c r="U2" s="1332" t="s">
        <v>8204</v>
      </c>
      <c r="V2" s="1332" t="s">
        <v>8205</v>
      </c>
      <c r="W2" s="1333" t="s">
        <v>8206</v>
      </c>
      <c r="X2" s="1333" t="s">
        <v>8207</v>
      </c>
      <c r="Y2" s="1333" t="s">
        <v>8208</v>
      </c>
      <c r="Z2" s="1333" t="s">
        <v>8209</v>
      </c>
      <c r="AA2" s="1333" t="s">
        <v>8210</v>
      </c>
      <c r="AB2" s="1333" t="s">
        <v>8211</v>
      </c>
      <c r="AC2" s="1333" t="s">
        <v>8212</v>
      </c>
      <c r="AD2" s="1333" t="s">
        <v>8213</v>
      </c>
      <c r="AE2" s="1333" t="s">
        <v>8214</v>
      </c>
      <c r="AF2" s="1333" t="s">
        <v>8215</v>
      </c>
      <c r="AG2" s="1333" t="s">
        <v>8216</v>
      </c>
      <c r="AH2" s="1333" t="s">
        <v>8217</v>
      </c>
      <c r="AI2" s="1333" t="s">
        <v>8218</v>
      </c>
      <c r="AJ2" s="1333" t="s">
        <v>8219</v>
      </c>
      <c r="AK2" s="1333" t="s">
        <v>8220</v>
      </c>
      <c r="AL2" s="1333" t="s">
        <v>8221</v>
      </c>
      <c r="AM2" s="1334" t="s">
        <v>8222</v>
      </c>
      <c r="AN2" s="1334" t="s">
        <v>8223</v>
      </c>
      <c r="AO2" s="1334" t="s">
        <v>8224</v>
      </c>
      <c r="AP2" s="1334" t="s">
        <v>8225</v>
      </c>
      <c r="AQ2" s="1334" t="s">
        <v>8226</v>
      </c>
      <c r="AR2" s="1334" t="s">
        <v>8227</v>
      </c>
      <c r="AS2" s="1334" t="s">
        <v>8228</v>
      </c>
      <c r="AT2" s="1334" t="s">
        <v>8229</v>
      </c>
      <c r="AU2" s="1334" t="s">
        <v>8230</v>
      </c>
      <c r="AV2" s="1334" t="s">
        <v>8231</v>
      </c>
      <c r="AW2" s="1334" t="s">
        <v>8232</v>
      </c>
      <c r="AX2" s="1334" t="s">
        <v>8233</v>
      </c>
      <c r="AY2" s="1334" t="s">
        <v>8234</v>
      </c>
      <c r="AZ2" s="1334" t="s">
        <v>8235</v>
      </c>
      <c r="BA2" s="1334" t="s">
        <v>8236</v>
      </c>
      <c r="BB2" s="1334" t="s">
        <v>8237</v>
      </c>
      <c r="BC2" s="1334" t="s">
        <v>8238</v>
      </c>
      <c r="BD2" s="1334" t="s">
        <v>8239</v>
      </c>
      <c r="BE2" s="1334" t="s">
        <v>8240</v>
      </c>
      <c r="BF2" s="1334" t="s">
        <v>8241</v>
      </c>
      <c r="BG2" s="1335" t="s">
        <v>8242</v>
      </c>
      <c r="BH2" s="1335" t="s">
        <v>8243</v>
      </c>
      <c r="BI2" s="1335" t="s">
        <v>8244</v>
      </c>
      <c r="BJ2" s="1335" t="s">
        <v>8245</v>
      </c>
      <c r="BK2" s="1335" t="s">
        <v>8246</v>
      </c>
      <c r="BL2" s="1335" t="s">
        <v>8247</v>
      </c>
      <c r="BM2" s="1335" t="s">
        <v>8248</v>
      </c>
      <c r="BN2" s="1335" t="s">
        <v>8249</v>
      </c>
      <c r="BO2" s="1335" t="s">
        <v>8250</v>
      </c>
      <c r="BP2" s="1335" t="s">
        <v>8251</v>
      </c>
      <c r="BQ2" s="1336" t="s">
        <v>8252</v>
      </c>
      <c r="BR2" s="1336" t="s">
        <v>8253</v>
      </c>
      <c r="BS2" s="1336" t="s">
        <v>8254</v>
      </c>
      <c r="BT2" s="1336" t="s">
        <v>8255</v>
      </c>
      <c r="BU2" s="1336" t="s">
        <v>8256</v>
      </c>
      <c r="BV2" s="1337" t="s">
        <v>8257</v>
      </c>
      <c r="BW2" s="1337" t="s">
        <v>8258</v>
      </c>
      <c r="BX2" s="1337" t="s">
        <v>8259</v>
      </c>
      <c r="BY2" s="1337" t="s">
        <v>8260</v>
      </c>
      <c r="BZ2" s="1337" t="s">
        <v>8261</v>
      </c>
      <c r="CA2" s="1337" t="s">
        <v>8262</v>
      </c>
      <c r="CB2" s="1337" t="s">
        <v>8263</v>
      </c>
      <c r="CC2" s="1337" t="s">
        <v>8264</v>
      </c>
      <c r="CD2" s="1337" t="s">
        <v>8265</v>
      </c>
      <c r="CE2" s="1338" t="s">
        <v>8191</v>
      </c>
      <c r="CF2" s="1338" t="s">
        <v>8194</v>
      </c>
      <c r="CG2" s="1338" t="s">
        <v>8198</v>
      </c>
      <c r="CH2" s="1338" t="s">
        <v>8200</v>
      </c>
      <c r="CI2" s="1338" t="s">
        <v>8201</v>
      </c>
      <c r="CJ2" s="1338" t="s">
        <v>8204</v>
      </c>
      <c r="CK2" s="1338" t="s">
        <v>8266</v>
      </c>
      <c r="CL2" s="1338" t="s">
        <v>8267</v>
      </c>
      <c r="CM2" s="1339" t="s">
        <v>8268</v>
      </c>
      <c r="CN2" s="1339" t="s">
        <v>8269</v>
      </c>
      <c r="CO2" s="1339" t="s">
        <v>8270</v>
      </c>
      <c r="CP2" s="1280" t="s">
        <v>8271</v>
      </c>
      <c r="CQ2" s="1280" t="s">
        <v>8272</v>
      </c>
      <c r="CR2" s="1280" t="s">
        <v>8273</v>
      </c>
      <c r="CS2" s="1280" t="s">
        <v>8274</v>
      </c>
      <c r="CT2" s="1340" t="s">
        <v>8275</v>
      </c>
      <c r="CU2" s="1341" t="s">
        <v>8276</v>
      </c>
    </row>
    <row r="3">
      <c r="A3" s="1342" t="s">
        <v>7466</v>
      </c>
      <c r="B3" s="760" t="s">
        <v>8277</v>
      </c>
      <c r="C3" s="756" t="s">
        <v>983</v>
      </c>
      <c r="D3" s="757" t="s">
        <v>440</v>
      </c>
      <c r="E3" s="758" t="s">
        <v>334</v>
      </c>
      <c r="F3" s="759" t="s">
        <v>1947</v>
      </c>
      <c r="G3" s="760" t="s">
        <v>3488</v>
      </c>
      <c r="H3" s="950" t="s">
        <v>8278</v>
      </c>
      <c r="I3" s="953" t="s">
        <v>8279</v>
      </c>
      <c r="J3" s="950" t="s">
        <v>6462</v>
      </c>
      <c r="K3" s="1302" t="s">
        <v>8280</v>
      </c>
      <c r="L3" s="953" t="s">
        <v>8281</v>
      </c>
      <c r="M3" s="1302" t="s">
        <v>3752</v>
      </c>
      <c r="N3" s="950" t="s">
        <v>8282</v>
      </c>
      <c r="O3" s="1302" t="s">
        <v>8283</v>
      </c>
      <c r="P3" s="1303" t="s">
        <v>8284</v>
      </c>
      <c r="Q3" s="1302" t="s">
        <v>8285</v>
      </c>
      <c r="R3" s="950" t="s">
        <v>8286</v>
      </c>
      <c r="S3" s="1305" t="s">
        <v>8287</v>
      </c>
      <c r="T3" s="953" t="s">
        <v>8288</v>
      </c>
      <c r="U3" s="1297" t="s">
        <v>8289</v>
      </c>
      <c r="V3" s="950" t="s">
        <v>8290</v>
      </c>
      <c r="W3" s="950" t="s">
        <v>2355</v>
      </c>
      <c r="X3" s="1305" t="s">
        <v>1779</v>
      </c>
      <c r="Y3" s="950" t="s">
        <v>2016</v>
      </c>
      <c r="Z3" s="1305" t="s">
        <v>8291</v>
      </c>
      <c r="AA3" s="950" t="s">
        <v>4447</v>
      </c>
      <c r="AB3" s="1305"/>
      <c r="AC3" s="950" t="s">
        <v>3450</v>
      </c>
      <c r="AD3" s="950" t="s">
        <v>3945</v>
      </c>
      <c r="AE3" s="950" t="s">
        <v>8292</v>
      </c>
      <c r="AF3" s="1305" t="s">
        <v>8293</v>
      </c>
      <c r="AG3" s="950"/>
      <c r="AH3" s="1305" t="s">
        <v>8294</v>
      </c>
      <c r="AI3" s="1305" t="s">
        <v>8295</v>
      </c>
      <c r="AJ3" s="1296"/>
      <c r="AK3" s="950"/>
      <c r="AL3" s="950"/>
      <c r="AM3" s="953" t="s">
        <v>4356</v>
      </c>
      <c r="AN3" s="1303" t="s">
        <v>8296</v>
      </c>
      <c r="AO3" s="1303" t="s">
        <v>8297</v>
      </c>
      <c r="AP3" s="1297" t="s">
        <v>8298</v>
      </c>
      <c r="AQ3" s="1297" t="s">
        <v>8299</v>
      </c>
      <c r="AR3" s="1303" t="s">
        <v>8300</v>
      </c>
      <c r="AS3" s="1297" t="s">
        <v>8301</v>
      </c>
      <c r="AT3" s="1303" t="s">
        <v>8302</v>
      </c>
      <c r="AU3" s="1297" t="s">
        <v>8303</v>
      </c>
      <c r="AV3" s="1297" t="s">
        <v>8304</v>
      </c>
      <c r="AW3" s="953" t="s">
        <v>8305</v>
      </c>
      <c r="AX3" s="1297" t="s">
        <v>8306</v>
      </c>
      <c r="AY3" s="1305" t="s">
        <v>8307</v>
      </c>
      <c r="AZ3" s="1305" t="s">
        <v>5141</v>
      </c>
      <c r="BA3" s="1297" t="s">
        <v>6679</v>
      </c>
      <c r="BB3" s="1305" t="s">
        <v>8308</v>
      </c>
      <c r="BC3" s="1303" t="s">
        <v>8309</v>
      </c>
      <c r="BD3" s="950" t="s">
        <v>8310</v>
      </c>
      <c r="BE3" s="1305"/>
      <c r="BF3" s="1297" t="s">
        <v>8311</v>
      </c>
      <c r="BG3" s="950"/>
      <c r="BH3" s="1305"/>
      <c r="BI3" s="1305" t="s">
        <v>8312</v>
      </c>
      <c r="BJ3" s="1305"/>
      <c r="BK3" s="1305"/>
      <c r="BL3" s="950"/>
      <c r="BM3" s="1305" t="s">
        <v>8313</v>
      </c>
      <c r="BN3" s="1305"/>
      <c r="BO3" s="1305"/>
      <c r="BP3" s="1305"/>
      <c r="BQ3" s="950" t="s">
        <v>8314</v>
      </c>
      <c r="BR3" s="1296"/>
      <c r="BS3" s="950" t="s">
        <v>8315</v>
      </c>
      <c r="BT3" s="1296"/>
      <c r="BU3" s="950" t="s">
        <v>8316</v>
      </c>
      <c r="BV3" s="951"/>
      <c r="BW3" s="1296"/>
      <c r="BX3" s="1305" t="s">
        <v>3928</v>
      </c>
      <c r="BY3" s="951"/>
      <c r="BZ3" s="951"/>
      <c r="CA3" s="1305" t="s">
        <v>3483</v>
      </c>
      <c r="CB3" s="1305" t="s">
        <v>374</v>
      </c>
      <c r="CC3" s="1305" t="s">
        <v>2385</v>
      </c>
      <c r="CD3" s="1305"/>
      <c r="CE3" s="950" t="s">
        <v>8317</v>
      </c>
      <c r="CF3" s="950" t="s">
        <v>8318</v>
      </c>
      <c r="CG3" s="1305"/>
      <c r="CH3" s="1305"/>
      <c r="CI3" s="950"/>
      <c r="CJ3" s="950"/>
      <c r="CK3" s="1305"/>
      <c r="CL3" s="1305"/>
      <c r="CM3" s="950"/>
      <c r="CN3" s="950"/>
      <c r="CO3" s="950"/>
      <c r="CP3" s="950" t="s">
        <v>8319</v>
      </c>
      <c r="CQ3" s="950" t="s">
        <v>8320</v>
      </c>
      <c r="CR3" s="1305"/>
      <c r="CS3" s="1305"/>
      <c r="CT3" s="1305" t="s">
        <v>8321</v>
      </c>
      <c r="CU3" s="950"/>
    </row>
    <row r="4">
      <c r="A4" s="1343" t="s">
        <v>6957</v>
      </c>
      <c r="B4" s="760" t="s">
        <v>8322</v>
      </c>
      <c r="C4" s="756" t="s">
        <v>649</v>
      </c>
      <c r="D4" s="757" t="s">
        <v>336</v>
      </c>
      <c r="E4" s="758" t="s">
        <v>983</v>
      </c>
      <c r="F4" s="759" t="s">
        <v>6266</v>
      </c>
      <c r="G4" s="760" t="s">
        <v>3568</v>
      </c>
      <c r="H4" s="1344" t="s">
        <v>8323</v>
      </c>
      <c r="I4" s="1345" t="s">
        <v>8324</v>
      </c>
      <c r="J4" s="951"/>
      <c r="K4" s="950" t="s">
        <v>8325</v>
      </c>
      <c r="L4" s="951"/>
      <c r="M4" s="953" t="s">
        <v>8326</v>
      </c>
      <c r="N4" s="951"/>
      <c r="O4" s="953" t="s">
        <v>8327</v>
      </c>
      <c r="P4" s="1302" t="s">
        <v>8328</v>
      </c>
      <c r="Q4" s="951"/>
      <c r="R4" s="953" t="s">
        <v>8329</v>
      </c>
      <c r="S4" s="951"/>
      <c r="T4" s="950" t="s">
        <v>8330</v>
      </c>
      <c r="U4" s="953" t="s">
        <v>7048</v>
      </c>
      <c r="V4" s="1297" t="s">
        <v>8331</v>
      </c>
      <c r="W4" s="953" t="s">
        <v>1295</v>
      </c>
      <c r="X4" s="953" t="s">
        <v>1727</v>
      </c>
      <c r="Y4" s="953" t="s">
        <v>1584</v>
      </c>
      <c r="Z4" s="1297" t="s">
        <v>2771</v>
      </c>
      <c r="AA4" s="1292"/>
      <c r="AB4" s="1346" t="s">
        <v>8332</v>
      </c>
      <c r="AC4" s="953" t="s">
        <v>3409</v>
      </c>
      <c r="AD4" s="953" t="s">
        <v>4769</v>
      </c>
      <c r="AE4" s="1292"/>
      <c r="AF4" s="1302" t="s">
        <v>7320</v>
      </c>
      <c r="AG4" s="951"/>
      <c r="AH4" s="1303" t="s">
        <v>8333</v>
      </c>
      <c r="AI4" s="1303" t="s">
        <v>5047</v>
      </c>
      <c r="AJ4" s="1296"/>
      <c r="AK4" s="953" t="s">
        <v>8334</v>
      </c>
      <c r="AL4" s="951"/>
      <c r="AM4" s="953" t="s">
        <v>8335</v>
      </c>
      <c r="AN4" s="950" t="s">
        <v>8336</v>
      </c>
      <c r="AO4" s="950" t="s">
        <v>8337</v>
      </c>
      <c r="AP4" s="1302" t="s">
        <v>8338</v>
      </c>
      <c r="AQ4" s="951"/>
      <c r="AR4" s="950" t="s">
        <v>8339</v>
      </c>
      <c r="AS4" s="951"/>
      <c r="AT4" s="1302" t="s">
        <v>8340</v>
      </c>
      <c r="AU4" s="1302" t="s">
        <v>8341</v>
      </c>
      <c r="AV4" s="951"/>
      <c r="AW4" s="1302" t="s">
        <v>8342</v>
      </c>
      <c r="AX4" s="951"/>
      <c r="AY4" s="951"/>
      <c r="AZ4" s="1302" t="s">
        <v>1577</v>
      </c>
      <c r="BA4" s="1303" t="s">
        <v>5303</v>
      </c>
      <c r="BB4" s="1302" t="s">
        <v>8343</v>
      </c>
      <c r="BC4" s="953" t="s">
        <v>8344</v>
      </c>
      <c r="BD4" s="1303" t="s">
        <v>8345</v>
      </c>
      <c r="BE4" s="1296"/>
      <c r="BF4" s="951"/>
      <c r="BG4" s="951"/>
      <c r="BH4" s="1296"/>
      <c r="BI4" s="1296"/>
      <c r="BJ4" s="1296"/>
      <c r="BK4" s="1296"/>
      <c r="BL4" s="951"/>
      <c r="BM4" s="1296"/>
      <c r="BN4" s="1296"/>
      <c r="BO4" s="1296"/>
      <c r="BP4" s="1296"/>
      <c r="BQ4" s="1296"/>
      <c r="BR4" s="1296"/>
      <c r="BS4" s="1296"/>
      <c r="BT4" s="1296"/>
      <c r="BU4" s="1296"/>
      <c r="BV4" s="951"/>
      <c r="BW4" s="1297" t="s">
        <v>5380</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7111</v>
      </c>
      <c r="B5" s="760" t="s">
        <v>8346</v>
      </c>
      <c r="C5" s="756" t="s">
        <v>649</v>
      </c>
      <c r="D5" s="757" t="s">
        <v>440</v>
      </c>
      <c r="E5" s="758" t="s">
        <v>1258</v>
      </c>
      <c r="F5" s="759" t="s">
        <v>1199</v>
      </c>
      <c r="G5" s="760" t="s">
        <v>5627</v>
      </c>
      <c r="H5" s="950" t="s">
        <v>8347</v>
      </c>
      <c r="I5" s="950" t="s">
        <v>7286</v>
      </c>
      <c r="J5" s="950"/>
      <c r="K5" s="1303" t="s">
        <v>8348</v>
      </c>
      <c r="L5" s="1303" t="s">
        <v>8349</v>
      </c>
      <c r="M5" s="950"/>
      <c r="N5" s="950"/>
      <c r="O5" s="953" t="s">
        <v>8350</v>
      </c>
      <c r="P5" s="950" t="s">
        <v>8351</v>
      </c>
      <c r="Q5" s="950" t="s">
        <v>8352</v>
      </c>
      <c r="R5" s="1297" t="s">
        <v>8353</v>
      </c>
      <c r="S5" s="950"/>
      <c r="T5" s="1303" t="s">
        <v>8354</v>
      </c>
      <c r="U5" s="1303" t="s">
        <v>8355</v>
      </c>
      <c r="V5" s="950"/>
      <c r="W5" s="950" t="s">
        <v>7489</v>
      </c>
      <c r="X5" s="950"/>
      <c r="Y5" s="950" t="s">
        <v>8356</v>
      </c>
      <c r="Z5" s="1303" t="s">
        <v>122</v>
      </c>
      <c r="AA5" s="1292"/>
      <c r="AB5" s="1292"/>
      <c r="AC5" s="950" t="s">
        <v>8357</v>
      </c>
      <c r="AD5" s="951"/>
      <c r="AE5" s="950"/>
      <c r="AF5" s="950" t="s">
        <v>8358</v>
      </c>
      <c r="AG5" s="950"/>
      <c r="AH5" s="950" t="s">
        <v>4767</v>
      </c>
      <c r="AI5" s="950" t="s">
        <v>1892</v>
      </c>
      <c r="AJ5" s="951"/>
      <c r="AK5" s="950"/>
      <c r="AL5" s="950"/>
      <c r="AM5" s="950" t="s">
        <v>8359</v>
      </c>
      <c r="AN5" s="951"/>
      <c r="AO5" s="951"/>
      <c r="AP5" s="950" t="s">
        <v>8360</v>
      </c>
      <c r="AQ5" s="1303" t="s">
        <v>8361</v>
      </c>
      <c r="AR5" s="950" t="s">
        <v>8362</v>
      </c>
      <c r="AS5" s="950"/>
      <c r="AT5" s="950" t="s">
        <v>8363</v>
      </c>
      <c r="AU5" s="953" t="s">
        <v>8364</v>
      </c>
      <c r="AV5" s="950"/>
      <c r="AW5" s="1306" t="s">
        <v>8365</v>
      </c>
      <c r="AX5" s="113"/>
      <c r="AY5" s="113" t="s">
        <v>8366</v>
      </c>
      <c r="AZ5" s="950" t="s">
        <v>3092</v>
      </c>
      <c r="BA5" s="950"/>
      <c r="BB5" s="950" t="s">
        <v>8345</v>
      </c>
      <c r="BC5" s="1297" t="s">
        <v>8367</v>
      </c>
      <c r="BD5" s="950" t="s">
        <v>8368</v>
      </c>
      <c r="BE5" s="950"/>
      <c r="BF5" s="950"/>
      <c r="BG5" s="950" t="s">
        <v>8369</v>
      </c>
      <c r="BH5" s="950"/>
      <c r="BI5" s="950"/>
      <c r="BJ5" s="950"/>
      <c r="BK5" s="950" t="s">
        <v>8370</v>
      </c>
      <c r="BL5" s="950"/>
      <c r="BM5" s="950"/>
      <c r="BN5" s="950"/>
      <c r="BO5" s="950"/>
      <c r="BP5" s="950" t="s">
        <v>8371</v>
      </c>
      <c r="BQ5" s="951"/>
      <c r="BR5" s="951"/>
      <c r="BS5" s="951"/>
      <c r="BT5" s="951"/>
      <c r="BU5" s="951"/>
      <c r="BV5" s="950"/>
      <c r="BW5" s="950" t="s">
        <v>7742</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8" t="s">
        <v>7464</v>
      </c>
      <c r="B6" s="760" t="s">
        <v>8372</v>
      </c>
      <c r="C6" s="756" t="s">
        <v>983</v>
      </c>
      <c r="D6" s="757" t="s">
        <v>1199</v>
      </c>
      <c r="E6" s="758" t="s">
        <v>440</v>
      </c>
      <c r="F6" s="759" t="s">
        <v>6266</v>
      </c>
      <c r="G6" s="760" t="s">
        <v>4246</v>
      </c>
      <c r="H6" s="1303" t="s">
        <v>8373</v>
      </c>
      <c r="I6" s="953" t="s">
        <v>8374</v>
      </c>
      <c r="J6" s="950"/>
      <c r="K6" s="953" t="s">
        <v>8375</v>
      </c>
      <c r="L6" s="1297" t="s">
        <v>8376</v>
      </c>
      <c r="M6" s="951"/>
      <c r="N6" s="951"/>
      <c r="O6" s="953" t="s">
        <v>8377</v>
      </c>
      <c r="P6" s="951"/>
      <c r="Q6" s="950" t="s">
        <v>8378</v>
      </c>
      <c r="R6" s="1303" t="s">
        <v>8379</v>
      </c>
      <c r="S6" s="951"/>
      <c r="T6" s="1302" t="s">
        <v>8380</v>
      </c>
      <c r="U6" s="1302" t="s">
        <v>673</v>
      </c>
      <c r="V6" s="950" t="s">
        <v>8381</v>
      </c>
      <c r="W6" s="951"/>
      <c r="X6" s="1302" t="s">
        <v>6254</v>
      </c>
      <c r="Y6" s="1303" t="s">
        <v>2536</v>
      </c>
      <c r="Z6" s="951"/>
      <c r="AA6" s="951"/>
      <c r="AB6" s="951"/>
      <c r="AC6" s="951"/>
      <c r="AD6" s="950" t="s">
        <v>8382</v>
      </c>
      <c r="AE6" s="1292"/>
      <c r="AF6" s="953" t="s">
        <v>466</v>
      </c>
      <c r="AG6" s="1292"/>
      <c r="AH6" s="951"/>
      <c r="AI6" s="951"/>
      <c r="AJ6" s="1297" t="s">
        <v>2254</v>
      </c>
      <c r="AK6" s="1303" t="s">
        <v>6231</v>
      </c>
      <c r="AL6" s="1349" t="s">
        <v>8383</v>
      </c>
      <c r="AM6" s="1302" t="s">
        <v>8384</v>
      </c>
      <c r="AN6" s="951"/>
      <c r="AO6" s="951"/>
      <c r="AP6" s="950" t="s">
        <v>8338</v>
      </c>
      <c r="AQ6" s="950"/>
      <c r="AR6" s="1302" t="s">
        <v>8385</v>
      </c>
      <c r="AS6" s="1292"/>
      <c r="AT6" s="1297" t="s">
        <v>8386</v>
      </c>
      <c r="AU6" s="953" t="s">
        <v>8387</v>
      </c>
      <c r="AV6" s="1303" t="s">
        <v>8388</v>
      </c>
      <c r="AW6" s="1303" t="s">
        <v>8389</v>
      </c>
      <c r="AX6" s="951"/>
      <c r="AY6" s="951"/>
      <c r="AZ6" s="1297" t="s">
        <v>4626</v>
      </c>
      <c r="BA6" s="1292"/>
      <c r="BB6" s="1303" t="s">
        <v>8390</v>
      </c>
      <c r="BC6" s="1302" t="s">
        <v>8391</v>
      </c>
      <c r="BD6" s="951"/>
      <c r="BE6" s="951"/>
      <c r="BF6" s="951"/>
      <c r="BG6" s="1350" t="s">
        <v>8392</v>
      </c>
      <c r="BH6" s="889"/>
      <c r="BI6" s="889"/>
      <c r="BJ6" s="889"/>
      <c r="BK6" s="1350" t="s">
        <v>8393</v>
      </c>
      <c r="BL6" s="889"/>
      <c r="BM6" s="821" t="s">
        <v>8394</v>
      </c>
      <c r="BN6" s="864" t="s">
        <v>8395</v>
      </c>
      <c r="BO6" s="889"/>
      <c r="BP6" s="889"/>
      <c r="BQ6" s="1351"/>
      <c r="BR6" s="951"/>
      <c r="BS6" s="1297" t="s">
        <v>8396</v>
      </c>
      <c r="BT6" s="951"/>
      <c r="BU6" s="951"/>
      <c r="BV6" s="951"/>
      <c r="BW6" s="951"/>
      <c r="BX6" s="951"/>
      <c r="BY6" s="951"/>
      <c r="BZ6" s="951"/>
      <c r="CA6" s="951"/>
      <c r="CB6" s="951"/>
      <c r="CC6" s="1303" t="s">
        <v>452</v>
      </c>
      <c r="CD6" s="1292"/>
      <c r="CE6" s="1352"/>
      <c r="CF6" s="1352"/>
      <c r="CG6" s="1353"/>
      <c r="CH6" s="1353"/>
      <c r="CI6" s="1352" t="s">
        <v>8397</v>
      </c>
      <c r="CJ6" s="1353"/>
      <c r="CK6" s="1353"/>
      <c r="CL6" s="1352" t="s">
        <v>5627</v>
      </c>
      <c r="CM6" s="1354" t="s">
        <v>2152</v>
      </c>
      <c r="CN6" s="1354" t="s">
        <v>3376</v>
      </c>
      <c r="CO6" s="1352"/>
      <c r="CP6" s="1352"/>
      <c r="CQ6" s="1352"/>
      <c r="CR6" s="1352"/>
      <c r="CS6" s="1355" t="s">
        <v>8398</v>
      </c>
      <c r="CT6" s="951"/>
      <c r="CU6" s="951"/>
    </row>
    <row r="7">
      <c r="A7" s="1356" t="s">
        <v>6744</v>
      </c>
      <c r="B7" s="760" t="s">
        <v>8399</v>
      </c>
      <c r="C7" s="756" t="s">
        <v>3287</v>
      </c>
      <c r="D7" s="757" t="s">
        <v>440</v>
      </c>
      <c r="E7" s="758" t="s">
        <v>649</v>
      </c>
      <c r="F7" s="759" t="s">
        <v>4109</v>
      </c>
      <c r="G7" s="760" t="s">
        <v>4880</v>
      </c>
      <c r="H7" s="953" t="s">
        <v>8400</v>
      </c>
      <c r="I7" s="990" t="s">
        <v>8401</v>
      </c>
      <c r="J7" s="1357"/>
      <c r="K7" s="1358" t="s">
        <v>8402</v>
      </c>
      <c r="L7" s="1292"/>
      <c r="M7" s="1303" t="s">
        <v>8403</v>
      </c>
      <c r="N7" s="951"/>
      <c r="O7" s="951"/>
      <c r="P7" s="1305" t="s">
        <v>8404</v>
      </c>
      <c r="Q7" s="951"/>
      <c r="R7" s="950"/>
      <c r="S7" s="951"/>
      <c r="T7" s="951"/>
      <c r="U7" s="1305" t="s">
        <v>8405</v>
      </c>
      <c r="V7" s="1305"/>
      <c r="W7" s="1302" t="s">
        <v>2130</v>
      </c>
      <c r="X7" s="953" t="s">
        <v>1822</v>
      </c>
      <c r="Y7" s="953" t="s">
        <v>2784</v>
      </c>
      <c r="Z7" s="1302" t="s">
        <v>8406</v>
      </c>
      <c r="AA7" s="1292"/>
      <c r="AB7" s="1292"/>
      <c r="AC7" s="1305" t="s">
        <v>8407</v>
      </c>
      <c r="AD7" s="953" t="s">
        <v>4470</v>
      </c>
      <c r="AE7" s="1292"/>
      <c r="AF7" s="953" t="s">
        <v>8408</v>
      </c>
      <c r="AG7" s="1292"/>
      <c r="AH7" s="1305" t="s">
        <v>8409</v>
      </c>
      <c r="AI7" s="1305" t="s">
        <v>1276</v>
      </c>
      <c r="AJ7" s="1305"/>
      <c r="AK7" s="950" t="s">
        <v>5949</v>
      </c>
      <c r="AL7" s="1305" t="s">
        <v>6408</v>
      </c>
      <c r="AM7" s="1297" t="s">
        <v>8410</v>
      </c>
      <c r="AN7" s="1297" t="s">
        <v>8411</v>
      </c>
      <c r="AO7" s="1297" t="s">
        <v>8412</v>
      </c>
      <c r="AP7" s="953" t="s">
        <v>8413</v>
      </c>
      <c r="AQ7" s="1292"/>
      <c r="AR7" s="953" t="s">
        <v>8414</v>
      </c>
      <c r="AS7" s="1292"/>
      <c r="AT7" s="1359" t="s">
        <v>8415</v>
      </c>
      <c r="AU7" s="1359" t="s">
        <v>8416</v>
      </c>
      <c r="AV7" s="1292"/>
      <c r="AW7" s="1304" t="s">
        <v>8417</v>
      </c>
      <c r="AX7" s="1292"/>
      <c r="AY7" s="1303" t="s">
        <v>8418</v>
      </c>
      <c r="AZ7" s="953" t="s">
        <v>4673</v>
      </c>
      <c r="BA7" s="1292"/>
      <c r="BB7" s="953" t="s">
        <v>8419</v>
      </c>
      <c r="BC7" s="1304" t="s">
        <v>8420</v>
      </c>
      <c r="BD7" s="953" t="s">
        <v>8421</v>
      </c>
      <c r="BE7" s="1292"/>
      <c r="BF7" s="1292"/>
      <c r="BG7" s="951"/>
      <c r="BH7" s="951"/>
      <c r="BI7" s="1296"/>
      <c r="BJ7" s="1296"/>
      <c r="BK7" s="1296"/>
      <c r="BL7" s="951"/>
      <c r="BM7" s="1296"/>
      <c r="BN7" s="1296"/>
      <c r="BO7" s="1296"/>
      <c r="BP7" s="1296"/>
      <c r="BQ7" s="1296"/>
      <c r="BR7" s="1296"/>
      <c r="BS7" s="1296"/>
      <c r="BT7" s="1296"/>
      <c r="BU7" s="1296"/>
      <c r="BV7" s="1360" t="s">
        <v>4629</v>
      </c>
      <c r="BW7" s="1303" t="s">
        <v>2475</v>
      </c>
      <c r="BX7" s="1302" t="s">
        <v>2487</v>
      </c>
      <c r="BY7" s="1297" t="s">
        <v>8422</v>
      </c>
      <c r="BZ7" s="1303" t="s">
        <v>8423</v>
      </c>
      <c r="CA7" s="1297" t="s">
        <v>1280</v>
      </c>
      <c r="CB7" s="1297" t="s">
        <v>8424</v>
      </c>
      <c r="CC7" s="1297" t="s">
        <v>478</v>
      </c>
      <c r="CD7" s="1361" t="s">
        <v>2514</v>
      </c>
      <c r="CE7" s="951"/>
      <c r="CF7" s="951"/>
      <c r="CG7" s="1296"/>
      <c r="CH7" s="1296"/>
      <c r="CI7" s="951"/>
      <c r="CJ7" s="951"/>
      <c r="CK7" s="1296"/>
      <c r="CL7" s="1296"/>
      <c r="CM7" s="1297" t="s">
        <v>2540</v>
      </c>
      <c r="CN7" s="1297" t="s">
        <v>2865</v>
      </c>
      <c r="CO7" s="1297" t="s">
        <v>3341</v>
      </c>
      <c r="CP7" s="1296"/>
      <c r="CQ7" s="1296"/>
      <c r="CR7" s="1296"/>
      <c r="CS7" s="1296"/>
      <c r="CT7" s="950" t="s">
        <v>8425</v>
      </c>
      <c r="CU7" s="950"/>
    </row>
    <row r="8">
      <c r="A8" s="1362" t="s">
        <v>8426</v>
      </c>
      <c r="B8" s="760" t="s">
        <v>8427</v>
      </c>
      <c r="C8" s="756" t="s">
        <v>1258</v>
      </c>
      <c r="D8" s="757" t="s">
        <v>334</v>
      </c>
      <c r="E8" s="758" t="s">
        <v>336</v>
      </c>
      <c r="F8" s="759" t="s">
        <v>223</v>
      </c>
      <c r="G8" s="760" t="s">
        <v>6940</v>
      </c>
      <c r="H8" s="953" t="s">
        <v>8428</v>
      </c>
      <c r="I8" s="953" t="s">
        <v>8429</v>
      </c>
      <c r="J8" s="1292"/>
      <c r="K8" s="951"/>
      <c r="L8" s="951"/>
      <c r="M8" s="951"/>
      <c r="N8" s="951"/>
      <c r="O8" s="951"/>
      <c r="P8" s="950" t="s">
        <v>8430</v>
      </c>
      <c r="Q8" s="951"/>
      <c r="R8" s="1302" t="s">
        <v>8431</v>
      </c>
      <c r="S8" s="951"/>
      <c r="T8" s="951"/>
      <c r="U8" s="1363" t="s">
        <v>8432</v>
      </c>
      <c r="V8" s="1314"/>
      <c r="W8" s="1359" t="s">
        <v>784</v>
      </c>
      <c r="X8" s="1314" t="s">
        <v>3770</v>
      </c>
      <c r="Y8" s="1358" t="s">
        <v>5044</v>
      </c>
      <c r="Z8" s="1292"/>
      <c r="AA8" s="1292" t="s">
        <v>8433</v>
      </c>
      <c r="AB8" s="1314"/>
      <c r="AC8" s="1302" t="s">
        <v>8434</v>
      </c>
      <c r="AD8" s="953" t="s">
        <v>819</v>
      </c>
      <c r="AE8" s="1292"/>
      <c r="AF8" s="1292"/>
      <c r="AG8" s="1292"/>
      <c r="AH8" s="951"/>
      <c r="AI8" s="1296"/>
      <c r="AJ8" s="1296"/>
      <c r="AK8" s="1305" t="s">
        <v>327</v>
      </c>
      <c r="AL8" s="950"/>
      <c r="AM8" s="1303" t="s">
        <v>8435</v>
      </c>
      <c r="AN8" s="1305" t="s">
        <v>8436</v>
      </c>
      <c r="AO8" s="951"/>
      <c r="AP8" s="953" t="s">
        <v>8437</v>
      </c>
      <c r="AQ8" s="1292"/>
      <c r="AR8" s="951"/>
      <c r="AS8" s="951"/>
      <c r="AT8" s="953" t="s">
        <v>8438</v>
      </c>
      <c r="AU8" s="950"/>
      <c r="AV8" s="950"/>
      <c r="AW8" s="953" t="s">
        <v>8439</v>
      </c>
      <c r="AX8" s="951"/>
      <c r="AY8" s="951"/>
      <c r="AZ8" s="951"/>
      <c r="BA8" s="951"/>
      <c r="BB8" s="953" t="s">
        <v>8440</v>
      </c>
      <c r="BC8" s="1305" t="s">
        <v>8441</v>
      </c>
      <c r="BD8" s="951"/>
      <c r="BE8" s="1296"/>
      <c r="BF8" s="951"/>
      <c r="BG8" s="889"/>
      <c r="BH8" s="851" t="s">
        <v>8442</v>
      </c>
      <c r="BI8" s="897"/>
      <c r="BJ8" s="897"/>
      <c r="BK8" s="897"/>
      <c r="BL8" s="889"/>
      <c r="BM8" s="897"/>
      <c r="BN8" s="897"/>
      <c r="BO8" s="897"/>
      <c r="BP8" s="897"/>
      <c r="BQ8" s="1296"/>
      <c r="BR8" s="1296"/>
      <c r="BS8" s="1303" t="s">
        <v>8443</v>
      </c>
      <c r="BT8" s="1296"/>
      <c r="BU8" s="1296"/>
      <c r="BV8" s="1364" t="s">
        <v>1136</v>
      </c>
      <c r="BW8" s="1302" t="s">
        <v>3635</v>
      </c>
      <c r="BX8" s="1303" t="s">
        <v>2314</v>
      </c>
      <c r="BY8" s="1363" t="s">
        <v>3272</v>
      </c>
      <c r="BZ8" s="1292"/>
      <c r="CA8" s="1303" t="s">
        <v>2041</v>
      </c>
      <c r="CB8" s="1363" t="s">
        <v>2848</v>
      </c>
      <c r="CC8" s="1365" t="s">
        <v>3541</v>
      </c>
      <c r="CD8" s="1307"/>
      <c r="CE8" s="1353"/>
      <c r="CF8" s="1353"/>
      <c r="CG8" s="1366"/>
      <c r="CH8" s="1366"/>
      <c r="CI8" s="1353"/>
      <c r="CJ8" s="1353"/>
      <c r="CK8" s="1366"/>
      <c r="CL8" s="1366"/>
      <c r="CM8" s="1367" t="s">
        <v>2153</v>
      </c>
      <c r="CN8" s="1353"/>
      <c r="CO8" s="1353"/>
      <c r="CP8" s="1366"/>
      <c r="CQ8" s="1368" t="s">
        <v>8417</v>
      </c>
      <c r="CR8" s="1366"/>
      <c r="CS8" s="1366"/>
      <c r="CT8" s="1292"/>
      <c r="CU8" s="1292"/>
    </row>
    <row r="9">
      <c r="A9" s="1369" t="s">
        <v>8444</v>
      </c>
      <c r="B9" s="760" t="s">
        <v>8445</v>
      </c>
      <c r="C9" s="756" t="s">
        <v>548</v>
      </c>
      <c r="D9" s="757" t="s">
        <v>336</v>
      </c>
      <c r="E9" s="758" t="s">
        <v>336</v>
      </c>
      <c r="F9" s="759" t="s">
        <v>6940</v>
      </c>
      <c r="G9" s="760" t="s">
        <v>2988</v>
      </c>
      <c r="H9" s="1345" t="s">
        <v>8446</v>
      </c>
      <c r="I9" s="1345" t="s">
        <v>8447</v>
      </c>
      <c r="J9" s="951"/>
      <c r="K9" s="953" t="s">
        <v>8448</v>
      </c>
      <c r="L9" s="953" t="s">
        <v>8449</v>
      </c>
      <c r="M9" s="951"/>
      <c r="N9" s="951"/>
      <c r="O9" s="953" t="s">
        <v>8450</v>
      </c>
      <c r="P9" s="953" t="s">
        <v>8451</v>
      </c>
      <c r="Q9" s="1303" t="s">
        <v>5114</v>
      </c>
      <c r="R9" s="953" t="s">
        <v>8452</v>
      </c>
      <c r="S9" s="1302" t="s">
        <v>8453</v>
      </c>
      <c r="T9" s="953" t="s">
        <v>8454</v>
      </c>
      <c r="U9" s="953" t="s">
        <v>6038</v>
      </c>
      <c r="V9" s="1296"/>
      <c r="W9" s="951"/>
      <c r="X9" s="953" t="s">
        <v>147</v>
      </c>
      <c r="Y9" s="953" t="s">
        <v>4208</v>
      </c>
      <c r="Z9" s="951"/>
      <c r="AA9" s="1303" t="s">
        <v>6134</v>
      </c>
      <c r="AB9" s="1296"/>
      <c r="AC9" s="953" t="s">
        <v>2255</v>
      </c>
      <c r="AD9" s="953" t="s">
        <v>2297</v>
      </c>
      <c r="AE9" s="1302" t="s">
        <v>1274</v>
      </c>
      <c r="AF9" s="951"/>
      <c r="AG9" s="951"/>
      <c r="AH9" s="951"/>
      <c r="AI9" s="1296"/>
      <c r="AJ9" s="1296"/>
      <c r="AK9" s="951"/>
      <c r="AL9" s="951"/>
      <c r="AM9" s="950" t="s">
        <v>8319</v>
      </c>
      <c r="AN9" s="1302" t="s">
        <v>8389</v>
      </c>
      <c r="AO9" s="951"/>
      <c r="AP9" s="1152" t="s">
        <v>8319</v>
      </c>
      <c r="AQ9" s="953" t="s">
        <v>8455</v>
      </c>
      <c r="AR9" s="953" t="s">
        <v>8456</v>
      </c>
      <c r="AS9" s="951"/>
      <c r="AT9" s="953" t="s">
        <v>8457</v>
      </c>
      <c r="AU9" s="953" t="s">
        <v>8458</v>
      </c>
      <c r="AV9" s="1302" t="s">
        <v>8459</v>
      </c>
      <c r="AW9" s="953" t="s">
        <v>8460</v>
      </c>
      <c r="AX9" s="1303" t="s">
        <v>8461</v>
      </c>
      <c r="AY9" s="951"/>
      <c r="AZ9" s="951"/>
      <c r="BA9" s="951"/>
      <c r="BB9" s="953" t="s">
        <v>8458</v>
      </c>
      <c r="BC9" s="951"/>
      <c r="BD9" s="1302" t="s">
        <v>8462</v>
      </c>
      <c r="BE9" s="1370" t="s">
        <v>8463</v>
      </c>
      <c r="BF9" s="951"/>
      <c r="BG9" s="1371" t="s">
        <v>8464</v>
      </c>
      <c r="BH9" s="1372"/>
      <c r="BI9" s="1372"/>
      <c r="BJ9" s="1372"/>
      <c r="BK9" s="1372"/>
      <c r="BL9" s="1373"/>
      <c r="BM9" s="1372"/>
      <c r="BN9" s="1372"/>
      <c r="BO9" s="1372"/>
      <c r="BP9" s="1372"/>
      <c r="BQ9" s="1296"/>
      <c r="BR9" s="1296"/>
      <c r="BS9" s="1296"/>
      <c r="BT9" s="1296"/>
      <c r="BU9" s="1296"/>
      <c r="BV9" s="951"/>
      <c r="BW9" s="1296"/>
      <c r="BX9" s="951"/>
      <c r="BY9" s="951"/>
      <c r="BZ9" s="951"/>
      <c r="CA9" s="1296"/>
      <c r="CB9" s="1296"/>
      <c r="CC9" s="1296"/>
      <c r="CD9" s="1296"/>
      <c r="CE9" s="1353"/>
      <c r="CF9" s="1353"/>
      <c r="CG9" s="1366"/>
      <c r="CH9" s="1366"/>
      <c r="CI9" s="1353"/>
      <c r="CJ9" s="1353"/>
      <c r="CK9" s="1366"/>
      <c r="CL9" s="1366"/>
      <c r="CM9" s="1353"/>
      <c r="CN9" s="1353"/>
      <c r="CO9" s="1353"/>
      <c r="CP9" s="1366"/>
      <c r="CQ9" s="1366"/>
      <c r="CR9" s="1366"/>
      <c r="CS9" s="1366"/>
      <c r="CT9" s="1303" t="s">
        <v>8465</v>
      </c>
      <c r="CU9" s="951"/>
    </row>
    <row r="10">
      <c r="A10" s="1374" t="s">
        <v>2188</v>
      </c>
      <c r="B10" s="760" t="s">
        <v>8466</v>
      </c>
      <c r="C10" s="756" t="s">
        <v>1258</v>
      </c>
      <c r="D10" s="757" t="s">
        <v>548</v>
      </c>
      <c r="E10" s="758" t="s">
        <v>439</v>
      </c>
      <c r="F10" s="759" t="s">
        <v>334</v>
      </c>
      <c r="G10" s="760" t="s">
        <v>4626</v>
      </c>
      <c r="H10" s="1375" t="s">
        <v>8467</v>
      </c>
      <c r="I10" s="1344" t="s">
        <v>2200</v>
      </c>
      <c r="J10" s="950" t="s">
        <v>8468</v>
      </c>
      <c r="K10" s="950" t="s">
        <v>8469</v>
      </c>
      <c r="L10" s="950" t="s">
        <v>8470</v>
      </c>
      <c r="M10" s="950" t="s">
        <v>8471</v>
      </c>
      <c r="N10" s="950" t="s">
        <v>8472</v>
      </c>
      <c r="O10" s="950" t="s">
        <v>8473</v>
      </c>
      <c r="P10" s="950" t="s">
        <v>8474</v>
      </c>
      <c r="Q10" s="950" t="s">
        <v>8475</v>
      </c>
      <c r="R10" s="950" t="s">
        <v>8476</v>
      </c>
      <c r="S10" s="953" t="s">
        <v>8477</v>
      </c>
      <c r="T10" s="950" t="s">
        <v>8478</v>
      </c>
      <c r="U10" s="950" t="s">
        <v>8479</v>
      </c>
      <c r="V10" s="1302" t="s">
        <v>8480</v>
      </c>
      <c r="W10" s="950" t="s">
        <v>4000</v>
      </c>
      <c r="X10" s="950" t="s">
        <v>8481</v>
      </c>
      <c r="Y10" s="1305" t="s">
        <v>2056</v>
      </c>
      <c r="Z10" s="951"/>
      <c r="AA10" s="951"/>
      <c r="AB10" s="1296"/>
      <c r="AC10" s="1305" t="s">
        <v>8482</v>
      </c>
      <c r="AD10" s="1305" t="s">
        <v>5290</v>
      </c>
      <c r="AE10" s="1303" t="s">
        <v>2524</v>
      </c>
      <c r="AF10" s="1305" t="s">
        <v>8483</v>
      </c>
      <c r="AG10" s="950" t="s">
        <v>8484</v>
      </c>
      <c r="AH10" s="951"/>
      <c r="AI10" s="1296"/>
      <c r="AJ10" s="1296"/>
      <c r="AK10" s="950" t="s">
        <v>8485</v>
      </c>
      <c r="AL10" s="950" t="s">
        <v>2919</v>
      </c>
      <c r="AM10" s="951"/>
      <c r="AN10" s="951"/>
      <c r="AO10" s="951"/>
      <c r="AP10" s="951"/>
      <c r="AQ10" s="951"/>
      <c r="AR10" s="951"/>
      <c r="AS10" s="951"/>
      <c r="AT10" s="950" t="s">
        <v>8486</v>
      </c>
      <c r="AU10" s="950" t="s">
        <v>8421</v>
      </c>
      <c r="AV10" s="951"/>
      <c r="AW10" s="950" t="s">
        <v>8419</v>
      </c>
      <c r="AX10" s="950" t="s">
        <v>8487</v>
      </c>
      <c r="AY10" s="951"/>
      <c r="AZ10" s="950"/>
      <c r="BA10" s="950"/>
      <c r="BB10" s="1292"/>
      <c r="BC10" s="950" t="s">
        <v>8488</v>
      </c>
      <c r="BD10" s="950" t="s">
        <v>8456</v>
      </c>
      <c r="BE10" s="950"/>
      <c r="BF10" s="950" t="s">
        <v>8489</v>
      </c>
      <c r="BG10" s="951"/>
      <c r="BH10" s="1296"/>
      <c r="BI10" s="1296"/>
      <c r="BJ10" s="1296"/>
      <c r="BK10" s="1296"/>
      <c r="BL10" s="951"/>
      <c r="BM10" s="1296"/>
      <c r="BN10" s="1296"/>
      <c r="BO10" s="1296"/>
      <c r="BP10" s="1296"/>
      <c r="BQ10" s="1296"/>
      <c r="BR10" s="1296"/>
      <c r="BS10" s="1296"/>
      <c r="BT10" s="1296"/>
      <c r="BU10" s="1296"/>
      <c r="BV10" s="950"/>
      <c r="BW10" s="1305" t="s">
        <v>951</v>
      </c>
      <c r="BX10" s="1305" t="s">
        <v>2217</v>
      </c>
      <c r="BY10" s="1305" t="s">
        <v>6084</v>
      </c>
      <c r="BZ10" s="950"/>
      <c r="CA10" s="1305" t="s">
        <v>3483</v>
      </c>
      <c r="CB10" s="1305" t="s">
        <v>793</v>
      </c>
      <c r="CC10" s="1305" t="s">
        <v>192</v>
      </c>
      <c r="CD10" s="1305"/>
      <c r="CE10" s="1353"/>
      <c r="CF10" s="1353"/>
      <c r="CG10" s="1366"/>
      <c r="CH10" s="1366"/>
      <c r="CI10" s="1353"/>
      <c r="CJ10" s="1353"/>
      <c r="CK10" s="1366"/>
      <c r="CL10" s="1366"/>
      <c r="CM10" s="1353"/>
      <c r="CN10" s="1353"/>
      <c r="CO10" s="1353"/>
      <c r="CP10" s="1366"/>
      <c r="CQ10" s="1366"/>
      <c r="CR10" s="1366"/>
      <c r="CS10" s="1366"/>
      <c r="CT10" s="1305" t="s">
        <v>8490</v>
      </c>
      <c r="CU10" s="950"/>
    </row>
    <row r="11">
      <c r="A11" s="1376" t="s">
        <v>2986</v>
      </c>
      <c r="B11" s="760" t="s">
        <v>8491</v>
      </c>
      <c r="C11" s="756" t="s">
        <v>649</v>
      </c>
      <c r="D11" s="757" t="s">
        <v>439</v>
      </c>
      <c r="E11" s="758" t="s">
        <v>1258</v>
      </c>
      <c r="F11" s="759" t="s">
        <v>648</v>
      </c>
      <c r="G11" s="760" t="s">
        <v>2676</v>
      </c>
      <c r="H11" s="1375"/>
      <c r="I11" s="1375" t="s">
        <v>8492</v>
      </c>
      <c r="J11" s="951"/>
      <c r="K11" s="950" t="s">
        <v>8493</v>
      </c>
      <c r="L11" s="953" t="s">
        <v>8494</v>
      </c>
      <c r="M11" s="950" t="s">
        <v>8495</v>
      </c>
      <c r="N11" s="951"/>
      <c r="O11" s="950" t="s">
        <v>8496</v>
      </c>
      <c r="P11" s="950" t="s">
        <v>8497</v>
      </c>
      <c r="Q11" s="950" t="s">
        <v>8498</v>
      </c>
      <c r="R11" s="950" t="s">
        <v>8499</v>
      </c>
      <c r="S11" s="1303" t="s">
        <v>3023</v>
      </c>
      <c r="T11" s="951"/>
      <c r="U11" s="950" t="s">
        <v>4001</v>
      </c>
      <c r="V11" s="1296"/>
      <c r="W11" s="950" t="s">
        <v>5018</v>
      </c>
      <c r="X11" s="953" t="s">
        <v>3665</v>
      </c>
      <c r="Y11" s="953" t="s">
        <v>8500</v>
      </c>
      <c r="Z11" s="951"/>
      <c r="AA11" s="1297" t="s">
        <v>5752</v>
      </c>
      <c r="AB11" s="1296"/>
      <c r="AC11" s="950" t="s">
        <v>5891</v>
      </c>
      <c r="AD11" s="950" t="s">
        <v>2056</v>
      </c>
      <c r="AE11" s="950"/>
      <c r="AF11" s="950" t="s">
        <v>5653</v>
      </c>
      <c r="AG11" s="951"/>
      <c r="AH11" s="951"/>
      <c r="AI11" s="1296"/>
      <c r="AJ11" s="1296"/>
      <c r="AK11" s="951"/>
      <c r="AL11" s="951"/>
      <c r="AM11" s="1305" t="s">
        <v>8417</v>
      </c>
      <c r="AN11" s="951"/>
      <c r="AO11" s="951"/>
      <c r="AP11" s="950" t="s">
        <v>8460</v>
      </c>
      <c r="AQ11" s="950" t="s">
        <v>8460</v>
      </c>
      <c r="AR11" s="1297" t="s">
        <v>8501</v>
      </c>
      <c r="AS11" s="950" t="s">
        <v>8502</v>
      </c>
      <c r="AT11" s="950"/>
      <c r="AU11" s="1303" t="s">
        <v>8503</v>
      </c>
      <c r="AV11" s="950" t="s">
        <v>8438</v>
      </c>
      <c r="AW11" s="950" t="s">
        <v>8504</v>
      </c>
      <c r="AX11" s="951"/>
      <c r="AY11" s="1297" t="s">
        <v>8505</v>
      </c>
      <c r="AZ11" s="950" t="s">
        <v>5141</v>
      </c>
      <c r="BA11" s="950"/>
      <c r="BB11" s="950" t="s">
        <v>8421</v>
      </c>
      <c r="BC11" s="1305" t="s">
        <v>8488</v>
      </c>
      <c r="BD11" s="1305" t="s">
        <v>8506</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3505</v>
      </c>
      <c r="BZ11" s="951"/>
      <c r="CA11" s="1296"/>
      <c r="CB11" s="950" t="s">
        <v>3642</v>
      </c>
      <c r="CC11" s="1296"/>
      <c r="CD11" s="1296"/>
      <c r="CE11" s="1353"/>
      <c r="CF11" s="1353"/>
      <c r="CG11" s="1366"/>
      <c r="CH11" s="1366"/>
      <c r="CI11" s="1353"/>
      <c r="CJ11" s="1353"/>
      <c r="CK11" s="1366"/>
      <c r="CL11" s="1366"/>
      <c r="CM11" s="1353"/>
      <c r="CN11" s="1353"/>
      <c r="CO11" s="1353"/>
      <c r="CP11" s="1366"/>
      <c r="CQ11" s="1366"/>
      <c r="CR11" s="1366"/>
      <c r="CS11" s="1352" t="s">
        <v>8507</v>
      </c>
      <c r="CT11" s="951"/>
      <c r="CU11" s="951"/>
    </row>
    <row r="12">
      <c r="A12" s="1347" t="s">
        <v>3864</v>
      </c>
      <c r="B12" s="760" t="s">
        <v>8508</v>
      </c>
      <c r="C12" s="756" t="s">
        <v>1258</v>
      </c>
      <c r="D12" s="757" t="s">
        <v>548</v>
      </c>
      <c r="E12" s="758" t="s">
        <v>1258</v>
      </c>
      <c r="F12" s="759" t="s">
        <v>548</v>
      </c>
      <c r="G12" s="760" t="s">
        <v>1881</v>
      </c>
      <c r="H12" s="1375"/>
      <c r="I12" s="1375" t="s">
        <v>3873</v>
      </c>
      <c r="J12" s="950" t="s">
        <v>8509</v>
      </c>
      <c r="K12" s="950" t="s">
        <v>8510</v>
      </c>
      <c r="L12" s="950" t="s">
        <v>8511</v>
      </c>
      <c r="M12" s="950" t="s">
        <v>8512</v>
      </c>
      <c r="N12" s="950" t="s">
        <v>8513</v>
      </c>
      <c r="O12" s="950" t="s">
        <v>8514</v>
      </c>
      <c r="P12" s="950" t="s">
        <v>8515</v>
      </c>
      <c r="Q12" s="951"/>
      <c r="R12" s="1305" t="s">
        <v>8516</v>
      </c>
      <c r="S12" s="950" t="s">
        <v>8517</v>
      </c>
      <c r="T12" s="950" t="s">
        <v>8518</v>
      </c>
      <c r="U12" s="950" t="s">
        <v>8519</v>
      </c>
      <c r="V12" s="950" t="s">
        <v>4082</v>
      </c>
      <c r="W12" s="950" t="s">
        <v>4995</v>
      </c>
      <c r="X12" s="950" t="s">
        <v>8520</v>
      </c>
      <c r="Y12" s="950" t="s">
        <v>379</v>
      </c>
      <c r="Z12" s="1305" t="s">
        <v>3220</v>
      </c>
      <c r="AA12" s="950" t="s">
        <v>8521</v>
      </c>
      <c r="AB12" s="1305"/>
      <c r="AC12" s="1305" t="s">
        <v>2252</v>
      </c>
      <c r="AD12" s="1305" t="s">
        <v>8522</v>
      </c>
      <c r="AE12" s="950" t="s">
        <v>5182</v>
      </c>
      <c r="AF12" s="950" t="s">
        <v>4089</v>
      </c>
      <c r="AG12" s="1305" t="s">
        <v>8523</v>
      </c>
      <c r="AH12" s="951"/>
      <c r="AI12" s="1296"/>
      <c r="AJ12" s="1296"/>
      <c r="AK12" s="951"/>
      <c r="AL12" s="950" t="s">
        <v>5529</v>
      </c>
      <c r="AM12" s="1305" t="s">
        <v>8440</v>
      </c>
      <c r="AN12" s="1305" t="s">
        <v>8524</v>
      </c>
      <c r="AO12" s="951"/>
      <c r="AP12" s="950" t="s">
        <v>8525</v>
      </c>
      <c r="AQ12" s="950" t="s">
        <v>8319</v>
      </c>
      <c r="AR12" s="1305" t="s">
        <v>8415</v>
      </c>
      <c r="AS12" s="950" t="s">
        <v>8526</v>
      </c>
      <c r="AT12" s="950" t="s">
        <v>8527</v>
      </c>
      <c r="AU12" s="950" t="s">
        <v>8392</v>
      </c>
      <c r="AV12" s="113" t="s">
        <v>8528</v>
      </c>
      <c r="AW12" s="950" t="s">
        <v>8529</v>
      </c>
      <c r="AX12" s="950" t="s">
        <v>8530</v>
      </c>
      <c r="AY12" s="951"/>
      <c r="AZ12" s="1305" t="s">
        <v>1726</v>
      </c>
      <c r="BA12" s="950"/>
      <c r="BB12" s="1305" t="s">
        <v>8531</v>
      </c>
      <c r="BC12" s="1305" t="s">
        <v>8532</v>
      </c>
      <c r="BD12" s="950" t="s">
        <v>8533</v>
      </c>
      <c r="BE12" s="950"/>
      <c r="BF12" s="951"/>
      <c r="BG12" s="1373"/>
      <c r="BH12" s="1372"/>
      <c r="BI12" s="1372"/>
      <c r="BJ12" s="1372"/>
      <c r="BK12" s="1372"/>
      <c r="BL12" s="1373"/>
      <c r="BM12" s="1372"/>
      <c r="BN12" s="1372"/>
      <c r="BO12" s="1372"/>
      <c r="BP12" s="1372"/>
      <c r="BQ12" s="1296"/>
      <c r="BR12" s="1296"/>
      <c r="BS12" s="1296"/>
      <c r="BT12" s="1296"/>
      <c r="BU12" s="1296"/>
      <c r="BV12" s="950" t="s">
        <v>4205</v>
      </c>
      <c r="BW12" s="1296"/>
      <c r="BX12" s="950" t="s">
        <v>4536</v>
      </c>
      <c r="BY12" s="950" t="s">
        <v>5437</v>
      </c>
      <c r="BZ12" s="951"/>
      <c r="CA12" s="1296"/>
      <c r="CB12" s="950" t="s">
        <v>1667</v>
      </c>
      <c r="CC12" s="1296"/>
      <c r="CD12" s="1296"/>
      <c r="CE12" s="1353"/>
      <c r="CF12" s="950" t="s">
        <v>8488</v>
      </c>
      <c r="CG12" s="1296"/>
      <c r="CH12" s="1366"/>
      <c r="CI12" s="1368" t="s">
        <v>8320</v>
      </c>
      <c r="CJ12" s="1352" t="s">
        <v>8534</v>
      </c>
      <c r="CK12" s="1352"/>
      <c r="CL12" s="1354" t="s">
        <v>6266</v>
      </c>
      <c r="CM12" s="1352" t="s">
        <v>8535</v>
      </c>
      <c r="CN12" s="1352" t="s">
        <v>6234</v>
      </c>
      <c r="CO12" s="1352" t="s">
        <v>2676</v>
      </c>
      <c r="CP12" s="1352" t="s">
        <v>8536</v>
      </c>
      <c r="CQ12" s="1352" t="s">
        <v>8537</v>
      </c>
      <c r="CR12" s="1366"/>
      <c r="CS12" s="1366"/>
      <c r="CT12" s="951"/>
      <c r="CU12" s="951"/>
    </row>
    <row r="13">
      <c r="A13" s="1378" t="s">
        <v>7408</v>
      </c>
      <c r="B13" s="760" t="s">
        <v>8538</v>
      </c>
      <c r="C13" s="756" t="s">
        <v>334</v>
      </c>
      <c r="D13" s="757" t="s">
        <v>334</v>
      </c>
      <c r="E13" s="758" t="s">
        <v>649</v>
      </c>
      <c r="F13" s="759" t="s">
        <v>223</v>
      </c>
      <c r="G13" s="760" t="s">
        <v>1060</v>
      </c>
      <c r="H13" s="1379" t="str">
        <f>HYPERLINK("https://www.twitch.tv/videos/990301696","3:46.19")</f>
        <v>3:46.19</v>
      </c>
      <c r="I13" s="1375" t="s">
        <v>8539</v>
      </c>
      <c r="J13" s="950"/>
      <c r="K13" s="950" t="s">
        <v>8540</v>
      </c>
      <c r="L13" s="951"/>
      <c r="M13" s="1380" t="str">
        <f>HYPERLINK("https://youtu.be/muKa7MrNAp8","2:59.41")</f>
        <v>2:59.41</v>
      </c>
      <c r="N13" s="1359"/>
      <c r="O13" s="113" t="s">
        <v>8541</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8542</v>
      </c>
      <c r="X13" s="950"/>
      <c r="Y13" s="950" t="s">
        <v>8543</v>
      </c>
      <c r="Z13" s="951"/>
      <c r="AA13" s="951"/>
      <c r="AB13" s="1296"/>
      <c r="AC13" s="951"/>
      <c r="AD13" s="950" t="s">
        <v>4273</v>
      </c>
      <c r="AE13" s="951"/>
      <c r="AF13" s="951"/>
      <c r="AG13" s="951"/>
      <c r="AH13" s="950" t="s">
        <v>5703</v>
      </c>
      <c r="AI13" s="1305"/>
      <c r="AJ13" s="1305"/>
      <c r="AK13" s="1302" t="s">
        <v>8544</v>
      </c>
      <c r="AL13" s="1292"/>
      <c r="AM13" s="1305" t="s">
        <v>8460</v>
      </c>
      <c r="AN13" s="951"/>
      <c r="AO13" s="951"/>
      <c r="AP13" s="951"/>
      <c r="AQ13" s="951"/>
      <c r="AR13" s="951"/>
      <c r="AS13" s="951"/>
      <c r="AT13" s="950" t="s">
        <v>8530</v>
      </c>
      <c r="AU13" s="950" t="s">
        <v>8545</v>
      </c>
      <c r="AV13" s="951"/>
      <c r="AW13" s="951"/>
      <c r="AX13" s="951"/>
      <c r="AY13" s="951"/>
      <c r="AZ13" s="950" t="s">
        <v>3092</v>
      </c>
      <c r="BA13" s="950"/>
      <c r="BB13" s="951"/>
      <c r="BC13" s="951"/>
      <c r="BD13" s="951"/>
      <c r="BE13" s="1296"/>
      <c r="BF13" s="951"/>
      <c r="BG13" s="1384" t="str">
        <f>HYPERLINK("https://youtu.be/bkbjkIxiol8","3:06")</f>
        <v>3:06</v>
      </c>
      <c r="BH13" s="1385" t="str">
        <f>HYPERLINK("https://youtu.be/EiQPLe-OzQM","4:27")</f>
        <v>4:27</v>
      </c>
      <c r="BI13" s="1366"/>
      <c r="BJ13" s="1366"/>
      <c r="BK13" s="1366"/>
      <c r="BL13" s="1353"/>
      <c r="BM13" s="1366"/>
      <c r="BN13" s="1366"/>
      <c r="BO13" s="1366"/>
      <c r="BP13" s="1366"/>
      <c r="BQ13" s="1296"/>
      <c r="BR13" s="1296"/>
      <c r="BS13" s="1296"/>
      <c r="BT13" s="1296"/>
      <c r="BU13" s="1296"/>
      <c r="BV13" s="951"/>
      <c r="BW13" s="1296"/>
      <c r="BX13" s="951"/>
      <c r="BY13" s="1383" t="str">
        <f>HYPERLINK("https://clips.twitch.tv/NiceImportantPidgeonBuddhaBar-rtnvj3c2frKXHMdy","35.38")</f>
        <v>35.38</v>
      </c>
      <c r="BZ13" s="951"/>
      <c r="CA13" s="1296"/>
      <c r="CB13" s="1296"/>
      <c r="CC13" s="1296"/>
      <c r="CD13" s="1296"/>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3"/>
      <c r="CN13" s="1353"/>
      <c r="CO13" s="1353"/>
      <c r="CP13" s="1366"/>
      <c r="CQ13" s="1366"/>
      <c r="CR13" s="1390" t="str">
        <f>HYPERLINK("https://clips.twitch.tv/ArborealGlutenFreeMushroomAliens-sq7HDhuxrAadlxw_","30")</f>
        <v>30</v>
      </c>
      <c r="CS13" s="1366"/>
      <c r="CT13" s="1391" t="str">
        <f>HYPERLINK("https://www.twitch.tv/videos/969469110","1:27.41")</f>
        <v>1:27.41</v>
      </c>
      <c r="CU13" s="950"/>
    </row>
    <row r="14">
      <c r="A14" s="1392" t="s">
        <v>4924</v>
      </c>
      <c r="B14" s="760" t="s">
        <v>7167</v>
      </c>
      <c r="C14" s="756" t="s">
        <v>334</v>
      </c>
      <c r="D14" s="757" t="s">
        <v>439</v>
      </c>
      <c r="E14" s="758" t="s">
        <v>439</v>
      </c>
      <c r="F14" s="759" t="s">
        <v>3376</v>
      </c>
      <c r="G14" s="760" t="s">
        <v>6940</v>
      </c>
      <c r="H14" s="1375"/>
      <c r="I14" s="1375" t="s">
        <v>8414</v>
      </c>
      <c r="J14" s="951"/>
      <c r="K14" s="953" t="s">
        <v>8546</v>
      </c>
      <c r="L14" s="951"/>
      <c r="M14" s="953" t="s">
        <v>8547</v>
      </c>
      <c r="N14" s="951"/>
      <c r="O14" s="953" t="s">
        <v>8548</v>
      </c>
      <c r="P14" s="953" t="s">
        <v>8549</v>
      </c>
      <c r="Q14" s="951"/>
      <c r="R14" s="1305" t="s">
        <v>8550</v>
      </c>
      <c r="S14" s="953" t="s">
        <v>8551</v>
      </c>
      <c r="T14" s="951"/>
      <c r="U14" s="953" t="s">
        <v>8552</v>
      </c>
      <c r="V14" s="1292"/>
      <c r="W14" s="950" t="s">
        <v>5129</v>
      </c>
      <c r="X14" s="953" t="s">
        <v>8553</v>
      </c>
      <c r="Y14" s="1305" t="s">
        <v>2743</v>
      </c>
      <c r="Z14" s="951"/>
      <c r="AA14" s="951"/>
      <c r="AB14" s="1296"/>
      <c r="AC14" s="950" t="s">
        <v>8554</v>
      </c>
      <c r="AD14" s="990" t="s">
        <v>4273</v>
      </c>
      <c r="AE14" s="951"/>
      <c r="AF14" s="951"/>
      <c r="AG14" s="951"/>
      <c r="AH14" s="1305" t="s">
        <v>5409</v>
      </c>
      <c r="AI14" s="1296"/>
      <c r="AJ14" s="1296"/>
      <c r="AK14" s="1305" t="s">
        <v>4829</v>
      </c>
      <c r="AL14" s="950"/>
      <c r="AM14" s="953" t="s">
        <v>8436</v>
      </c>
      <c r="AN14" s="951"/>
      <c r="AO14" s="951"/>
      <c r="AP14" s="953" t="s">
        <v>8555</v>
      </c>
      <c r="AQ14" s="1302" t="s">
        <v>8360</v>
      </c>
      <c r="AR14" s="953" t="s">
        <v>8556</v>
      </c>
      <c r="AS14" s="950" t="s">
        <v>8557</v>
      </c>
      <c r="AT14" s="953" t="s">
        <v>8558</v>
      </c>
      <c r="AU14" s="951"/>
      <c r="AV14" s="951"/>
      <c r="AW14" s="951"/>
      <c r="AX14" s="951"/>
      <c r="AY14" s="951"/>
      <c r="AZ14" s="1303" t="s">
        <v>8559</v>
      </c>
      <c r="BA14" s="1292"/>
      <c r="BB14" s="953" t="s">
        <v>8560</v>
      </c>
      <c r="BC14" s="1363" t="s">
        <v>8561</v>
      </c>
      <c r="BD14" s="1297" t="s">
        <v>8562</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8563</v>
      </c>
      <c r="CF14" s="1355" t="s">
        <v>8534</v>
      </c>
      <c r="CG14" s="1393" t="s">
        <v>8564</v>
      </c>
      <c r="CH14" s="1366"/>
      <c r="CI14" s="1353"/>
      <c r="CJ14" s="1353"/>
      <c r="CK14" s="1366"/>
      <c r="CL14" s="1366"/>
      <c r="CM14" s="1353"/>
      <c r="CN14" s="1367" t="s">
        <v>6234</v>
      </c>
      <c r="CO14" s="1353"/>
      <c r="CP14" s="1366"/>
      <c r="CQ14" s="1366"/>
      <c r="CR14" s="1393" t="s">
        <v>6940</v>
      </c>
      <c r="CS14" s="1366"/>
      <c r="CT14" s="951"/>
      <c r="CU14" s="951"/>
    </row>
    <row r="15">
      <c r="A15" s="1347" t="s">
        <v>1809</v>
      </c>
      <c r="B15" s="760" t="s">
        <v>7183</v>
      </c>
      <c r="C15" s="756" t="s">
        <v>334</v>
      </c>
      <c r="D15" s="757" t="s">
        <v>439</v>
      </c>
      <c r="E15" s="758" t="s">
        <v>1258</v>
      </c>
      <c r="F15" s="759" t="s">
        <v>648</v>
      </c>
      <c r="G15" s="760" t="s">
        <v>2642</v>
      </c>
      <c r="H15" s="1375"/>
      <c r="I15" s="1394" t="s">
        <v>8565</v>
      </c>
      <c r="J15" s="951"/>
      <c r="K15" s="950" t="s">
        <v>8566</v>
      </c>
      <c r="L15" s="951"/>
      <c r="M15" s="1297" t="s">
        <v>8567</v>
      </c>
      <c r="N15" s="951"/>
      <c r="O15" s="951"/>
      <c r="P15" s="951"/>
      <c r="Q15" s="1297" t="s">
        <v>8568</v>
      </c>
      <c r="R15" s="951"/>
      <c r="S15" s="951"/>
      <c r="T15" s="951"/>
      <c r="U15" s="951"/>
      <c r="V15" s="1296"/>
      <c r="W15" s="1305" t="s">
        <v>7471</v>
      </c>
      <c r="X15" s="950"/>
      <c r="Y15" s="953" t="s">
        <v>1153</v>
      </c>
      <c r="Z15" s="951"/>
      <c r="AA15" s="951"/>
      <c r="AB15" s="1296"/>
      <c r="AC15" s="1305" t="s">
        <v>5501</v>
      </c>
      <c r="AD15" s="1303" t="s">
        <v>612</v>
      </c>
      <c r="AE15" s="951"/>
      <c r="AF15" s="951"/>
      <c r="AG15" s="951"/>
      <c r="AH15" s="951"/>
      <c r="AI15" s="1296"/>
      <c r="AJ15" s="1296"/>
      <c r="AK15" s="951"/>
      <c r="AL15" s="951"/>
      <c r="AM15" s="951"/>
      <c r="AN15" s="951"/>
      <c r="AO15" s="951"/>
      <c r="AP15" s="1305" t="s">
        <v>8437</v>
      </c>
      <c r="AQ15" s="950"/>
      <c r="AR15" s="1305" t="s">
        <v>8569</v>
      </c>
      <c r="AS15" s="950"/>
      <c r="AT15" s="951"/>
      <c r="AU15" s="1305" t="s">
        <v>8458</v>
      </c>
      <c r="AV15" s="950"/>
      <c r="AW15" s="1305" t="s">
        <v>8570</v>
      </c>
      <c r="AX15" s="951"/>
      <c r="AY15" s="951"/>
      <c r="AZ15" s="951"/>
      <c r="BA15" s="951"/>
      <c r="BB15" s="1297" t="s">
        <v>8571</v>
      </c>
      <c r="BC15" s="953" t="s">
        <v>8317</v>
      </c>
      <c r="BD15" s="951"/>
      <c r="BE15" s="1296"/>
      <c r="BF15" s="951"/>
      <c r="BG15" s="951"/>
      <c r="BH15" s="1296"/>
      <c r="BI15" s="1296"/>
      <c r="BJ15" s="1296"/>
      <c r="BK15" s="1296"/>
      <c r="BL15" s="951"/>
      <c r="BM15" s="1297" t="s">
        <v>8572</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5" t="s">
        <v>2929</v>
      </c>
      <c r="B16" s="760" t="s">
        <v>7239</v>
      </c>
      <c r="C16" s="756" t="s">
        <v>1200</v>
      </c>
      <c r="D16" s="757" t="s">
        <v>548</v>
      </c>
      <c r="E16" s="758" t="s">
        <v>1258</v>
      </c>
      <c r="F16" s="759" t="s">
        <v>648</v>
      </c>
      <c r="G16" s="760" t="s">
        <v>222</v>
      </c>
      <c r="H16" s="1396" t="s">
        <v>8573</v>
      </c>
      <c r="I16" s="1396" t="s">
        <v>8574</v>
      </c>
      <c r="J16" s="1297" t="s">
        <v>8575</v>
      </c>
      <c r="K16" s="1297" t="s">
        <v>8576</v>
      </c>
      <c r="L16" s="950" t="s">
        <v>8577</v>
      </c>
      <c r="M16" s="951"/>
      <c r="N16" s="1297" t="s">
        <v>3695</v>
      </c>
      <c r="O16" s="1303" t="s">
        <v>8578</v>
      </c>
      <c r="P16" s="951"/>
      <c r="Q16" s="950" t="s">
        <v>8579</v>
      </c>
      <c r="R16" s="950" t="s">
        <v>8580</v>
      </c>
      <c r="S16" s="1297" t="s">
        <v>8581</v>
      </c>
      <c r="T16" s="1297" t="s">
        <v>8582</v>
      </c>
      <c r="U16" s="950" t="s">
        <v>8583</v>
      </c>
      <c r="V16" s="950" t="s">
        <v>8584</v>
      </c>
      <c r="W16" s="951"/>
      <c r="X16" s="951"/>
      <c r="Y16" s="951"/>
      <c r="Z16" s="951"/>
      <c r="AA16" s="951"/>
      <c r="AB16" s="1296"/>
      <c r="AC16" s="951"/>
      <c r="AD16" s="951"/>
      <c r="AE16" s="951"/>
      <c r="AF16" s="951"/>
      <c r="AG16" s="951"/>
      <c r="AH16" s="951"/>
      <c r="AI16" s="1296"/>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3"/>
      <c r="BH16" s="1372"/>
      <c r="BI16" s="1372"/>
      <c r="BJ16" s="1372"/>
      <c r="BK16" s="1372"/>
      <c r="BL16" s="1373"/>
      <c r="BM16" s="1372"/>
      <c r="BN16" s="1372"/>
      <c r="BO16" s="1372"/>
      <c r="BP16" s="1372"/>
      <c r="BQ16" s="1296"/>
      <c r="BR16" s="1296"/>
      <c r="BS16" s="1296"/>
      <c r="BT16" s="1296"/>
      <c r="BU16" s="1296"/>
      <c r="BV16" s="951"/>
      <c r="BW16" s="1296"/>
      <c r="BX16" s="951"/>
      <c r="BY16" s="951"/>
      <c r="BZ16" s="951"/>
      <c r="CA16" s="1296"/>
      <c r="CB16" s="1296"/>
      <c r="CC16" s="1296"/>
      <c r="CD16" s="1296"/>
      <c r="CE16" s="1353"/>
      <c r="CF16" s="1353"/>
      <c r="CG16" s="1366"/>
      <c r="CH16" s="1366"/>
      <c r="CI16" s="1353"/>
      <c r="CJ16" s="1353"/>
      <c r="CK16" s="1366"/>
      <c r="CL16" s="1366"/>
      <c r="CM16" s="1353"/>
      <c r="CN16" s="1353"/>
      <c r="CO16" s="1353"/>
      <c r="CP16" s="1366"/>
      <c r="CQ16" s="1366"/>
      <c r="CR16" s="1366"/>
      <c r="CS16" s="1366"/>
      <c r="CT16" s="951"/>
      <c r="CU16" s="951"/>
    </row>
    <row r="17">
      <c r="A17" s="1397" t="s">
        <v>3187</v>
      </c>
      <c r="B17" s="760" t="s">
        <v>8585</v>
      </c>
      <c r="C17" s="756" t="s">
        <v>548</v>
      </c>
      <c r="D17" s="757" t="s">
        <v>1258</v>
      </c>
      <c r="E17" s="758" t="s">
        <v>1258</v>
      </c>
      <c r="F17" s="759" t="s">
        <v>1061</v>
      </c>
      <c r="G17" s="760" t="s">
        <v>2931</v>
      </c>
      <c r="H17" s="1375"/>
      <c r="I17" s="1398" t="s">
        <v>8586</v>
      </c>
      <c r="J17" s="951"/>
      <c r="K17" s="953" t="s">
        <v>8587</v>
      </c>
      <c r="L17" s="953" t="s">
        <v>8588</v>
      </c>
      <c r="M17" s="953" t="s">
        <v>8589</v>
      </c>
      <c r="N17" s="951"/>
      <c r="O17" s="990" t="s">
        <v>8590</v>
      </c>
      <c r="P17" s="1305" t="s">
        <v>8591</v>
      </c>
      <c r="Q17" s="951"/>
      <c r="R17" s="953" t="s">
        <v>8592</v>
      </c>
      <c r="S17" s="953" t="s">
        <v>8593</v>
      </c>
      <c r="T17" s="950" t="s">
        <v>8594</v>
      </c>
      <c r="U17" s="1305" t="s">
        <v>8595</v>
      </c>
      <c r="V17" s="1296"/>
      <c r="W17" s="951"/>
      <c r="X17" s="953" t="s">
        <v>2771</v>
      </c>
      <c r="Y17" s="953" t="s">
        <v>3265</v>
      </c>
      <c r="Z17" s="951"/>
      <c r="AA17" s="990" t="s">
        <v>8596</v>
      </c>
      <c r="AB17" s="1296"/>
      <c r="AC17" s="950" t="s">
        <v>8597</v>
      </c>
      <c r="AD17" s="950" t="s">
        <v>5291</v>
      </c>
      <c r="AE17" s="953" t="s">
        <v>4531</v>
      </c>
      <c r="AF17" s="950" t="s">
        <v>7300</v>
      </c>
      <c r="AG17" s="951"/>
      <c r="AH17" s="951"/>
      <c r="AI17" s="1296"/>
      <c r="AJ17" s="1296"/>
      <c r="AK17" s="951"/>
      <c r="AL17" s="951"/>
      <c r="AM17" s="950" t="s">
        <v>8598</v>
      </c>
      <c r="AN17" s="950" t="s">
        <v>8599</v>
      </c>
      <c r="AO17" s="1305" t="s">
        <v>8600</v>
      </c>
      <c r="AP17" s="951"/>
      <c r="AQ17" s="950" t="s">
        <v>8436</v>
      </c>
      <c r="AR17" s="951"/>
      <c r="AS17" s="951"/>
      <c r="AT17" s="953" t="s">
        <v>8601</v>
      </c>
      <c r="AU17" s="953" t="s">
        <v>8602</v>
      </c>
      <c r="AV17" s="951"/>
      <c r="AW17" s="951"/>
      <c r="AX17" s="951"/>
      <c r="AY17" s="951"/>
      <c r="AZ17" s="951"/>
      <c r="BA17" s="951"/>
      <c r="BB17" s="953" t="s">
        <v>8603</v>
      </c>
      <c r="BC17" s="953" t="s">
        <v>8604</v>
      </c>
      <c r="BD17" s="951"/>
      <c r="BE17" s="1296"/>
      <c r="BF17" s="951"/>
      <c r="BG17" s="1373"/>
      <c r="BH17" s="1372"/>
      <c r="BI17" s="1372"/>
      <c r="BJ17" s="1372"/>
      <c r="BK17" s="1372"/>
      <c r="BL17" s="1399" t="s">
        <v>8605</v>
      </c>
      <c r="BM17" s="1372"/>
      <c r="BN17" s="1372"/>
      <c r="BO17" s="1372"/>
      <c r="BP17" s="1372"/>
      <c r="BQ17" s="1296"/>
      <c r="BR17" s="1296"/>
      <c r="BS17" s="1296"/>
      <c r="BT17" s="1296"/>
      <c r="BU17" s="1296"/>
      <c r="BV17" s="953" t="s">
        <v>3196</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400" t="s">
        <v>4046</v>
      </c>
      <c r="B18" s="760" t="s">
        <v>7275</v>
      </c>
      <c r="C18" s="756" t="s">
        <v>548</v>
      </c>
      <c r="D18" s="757" t="s">
        <v>1258</v>
      </c>
      <c r="E18" s="758" t="s">
        <v>548</v>
      </c>
      <c r="F18" s="759" t="s">
        <v>439</v>
      </c>
      <c r="G18" s="760" t="s">
        <v>3092</v>
      </c>
      <c r="H18" s="1375"/>
      <c r="I18" s="1375" t="s">
        <v>8606</v>
      </c>
      <c r="J18" s="950"/>
      <c r="K18" s="1305" t="s">
        <v>8607</v>
      </c>
      <c r="L18" s="950"/>
      <c r="M18" s="1305" t="s">
        <v>8608</v>
      </c>
      <c r="N18" s="951"/>
      <c r="O18" s="1305" t="s">
        <v>8609</v>
      </c>
      <c r="P18" s="951"/>
      <c r="Q18" s="951"/>
      <c r="R18" s="950" t="s">
        <v>8610</v>
      </c>
      <c r="S18" s="1359" t="s">
        <v>8611</v>
      </c>
      <c r="T18" s="1305" t="s">
        <v>8612</v>
      </c>
      <c r="U18" s="950" t="s">
        <v>3781</v>
      </c>
      <c r="V18" s="1305"/>
      <c r="W18" s="1305" t="s">
        <v>4438</v>
      </c>
      <c r="X18" s="950" t="s">
        <v>3814</v>
      </c>
      <c r="Y18" s="1305" t="s">
        <v>2825</v>
      </c>
      <c r="Z18" s="951"/>
      <c r="AA18" s="951"/>
      <c r="AB18" s="1296"/>
      <c r="AC18" s="1305" t="s">
        <v>8613</v>
      </c>
      <c r="AD18" s="950" t="s">
        <v>5416</v>
      </c>
      <c r="AE18" s="950"/>
      <c r="AF18" s="1305" t="s">
        <v>8614</v>
      </c>
      <c r="AG18" s="1297" t="s">
        <v>8615</v>
      </c>
      <c r="AH18" s="1302" t="s">
        <v>1267</v>
      </c>
      <c r="AI18" s="1296"/>
      <c r="AJ18" s="1296"/>
      <c r="AK18" s="1305" t="s">
        <v>708</v>
      </c>
      <c r="AL18" s="951"/>
      <c r="AM18" s="1305" t="s">
        <v>8462</v>
      </c>
      <c r="AN18" s="951"/>
      <c r="AO18" s="951"/>
      <c r="AP18" s="950" t="s">
        <v>8336</v>
      </c>
      <c r="AQ18" s="950"/>
      <c r="AR18" s="950" t="s">
        <v>8363</v>
      </c>
      <c r="AS18" s="950" t="s">
        <v>8616</v>
      </c>
      <c r="AT18" s="950" t="s">
        <v>8617</v>
      </c>
      <c r="AU18" s="950" t="s">
        <v>8618</v>
      </c>
      <c r="AV18" s="950"/>
      <c r="AW18" s="951"/>
      <c r="AX18" s="951"/>
      <c r="AY18" s="951"/>
      <c r="AZ18" s="1305" t="s">
        <v>4776</v>
      </c>
      <c r="BA18" s="950"/>
      <c r="BB18" s="1305" t="s">
        <v>8458</v>
      </c>
      <c r="BC18" s="1305" t="s">
        <v>8619</v>
      </c>
      <c r="BD18" s="1305" t="s">
        <v>8393</v>
      </c>
      <c r="BE18" s="1305"/>
      <c r="BF18" s="950"/>
      <c r="BG18" s="951"/>
      <c r="BH18" s="1296"/>
      <c r="BI18" s="1296"/>
      <c r="BJ18" s="1296"/>
      <c r="BK18" s="1296"/>
      <c r="BL18" s="951"/>
      <c r="BM18" s="1296"/>
      <c r="BN18" s="1305" t="s">
        <v>8620</v>
      </c>
      <c r="BO18" s="1305" t="s">
        <v>8621</v>
      </c>
      <c r="BP18" s="1305"/>
      <c r="BQ18" s="1296"/>
      <c r="BR18" s="1296"/>
      <c r="BS18" s="1296"/>
      <c r="BT18" s="1296"/>
      <c r="BU18" s="1296"/>
      <c r="BV18" s="1377" t="s">
        <v>4692</v>
      </c>
      <c r="BW18" s="1296"/>
      <c r="BX18" s="951"/>
      <c r="BY18" s="950" t="s">
        <v>2228</v>
      </c>
      <c r="BZ18" s="951"/>
      <c r="CA18" s="1296"/>
      <c r="CB18" s="950" t="s">
        <v>4531</v>
      </c>
      <c r="CC18" s="1305" t="s">
        <v>8622</v>
      </c>
      <c r="CD18" s="1305"/>
      <c r="CE18" s="951"/>
      <c r="CF18" s="951"/>
      <c r="CG18" s="1296"/>
      <c r="CH18" s="1296"/>
      <c r="CI18" s="951"/>
      <c r="CJ18" s="951"/>
      <c r="CK18" s="1296"/>
      <c r="CL18" s="1296"/>
      <c r="CM18" s="1305" t="s">
        <v>8623</v>
      </c>
      <c r="CN18" s="1305" t="s">
        <v>1947</v>
      </c>
      <c r="CO18" s="1305" t="s">
        <v>1811</v>
      </c>
      <c r="CP18" s="1305" t="s">
        <v>8624</v>
      </c>
      <c r="CQ18" s="950" t="s">
        <v>8625</v>
      </c>
      <c r="CR18" s="1305" t="s">
        <v>3341</v>
      </c>
      <c r="CS18" s="950" t="s">
        <v>8626</v>
      </c>
      <c r="CT18" s="951"/>
      <c r="CU18" s="951"/>
    </row>
    <row r="19">
      <c r="A19" s="1401" t="s">
        <v>8170</v>
      </c>
      <c r="B19" s="760" t="s">
        <v>8627</v>
      </c>
      <c r="C19" s="756" t="s">
        <v>440</v>
      </c>
      <c r="D19" s="757" t="s">
        <v>439</v>
      </c>
      <c r="E19" s="758" t="s">
        <v>1258</v>
      </c>
      <c r="F19" s="759" t="s">
        <v>3287</v>
      </c>
      <c r="G19" s="760" t="s">
        <v>1199</v>
      </c>
      <c r="H19" s="1375"/>
      <c r="I19" s="1375"/>
      <c r="J19" s="951"/>
      <c r="K19" s="951"/>
      <c r="L19" s="951"/>
      <c r="M19" s="951"/>
      <c r="N19" s="951"/>
      <c r="O19" s="951"/>
      <c r="P19" s="951"/>
      <c r="Q19" s="951"/>
      <c r="R19" s="951"/>
      <c r="S19" s="951"/>
      <c r="T19" s="951"/>
      <c r="U19" s="951"/>
      <c r="V19" s="1296"/>
      <c r="W19" s="1297" t="s">
        <v>8628</v>
      </c>
      <c r="X19" s="1303" t="s">
        <v>1743</v>
      </c>
      <c r="Y19" s="951"/>
      <c r="Z19" s="951"/>
      <c r="AA19" s="951"/>
      <c r="AB19" s="1297" t="s">
        <v>8629</v>
      </c>
      <c r="AC19" s="1303" t="s">
        <v>2459</v>
      </c>
      <c r="AD19" s="953" t="s">
        <v>2763</v>
      </c>
      <c r="AE19" s="1292"/>
      <c r="AF19" s="1297" t="s">
        <v>8630</v>
      </c>
      <c r="AG19" s="951"/>
      <c r="AH19" s="1297" t="s">
        <v>1701</v>
      </c>
      <c r="AI19" s="1297" t="s">
        <v>3142</v>
      </c>
      <c r="AJ19" s="1296"/>
      <c r="AK19" s="950" t="s">
        <v>4275</v>
      </c>
      <c r="AL19" s="951"/>
      <c r="AM19" s="951"/>
      <c r="AN19" s="951"/>
      <c r="AO19" s="951"/>
      <c r="AP19" s="953" t="s">
        <v>8631</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3442</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2" t="s">
        <v>4794</v>
      </c>
      <c r="B20" s="760" t="s">
        <v>8632</v>
      </c>
      <c r="C20" s="756" t="s">
        <v>1258</v>
      </c>
      <c r="D20" s="757" t="s">
        <v>1258</v>
      </c>
      <c r="E20" s="758" t="s">
        <v>1258</v>
      </c>
      <c r="F20" s="759" t="s">
        <v>548</v>
      </c>
      <c r="G20" s="760" t="s">
        <v>3376</v>
      </c>
      <c r="H20" s="1375"/>
      <c r="I20" s="1375" t="s">
        <v>8633</v>
      </c>
      <c r="J20" s="950"/>
      <c r="K20" s="950" t="s">
        <v>6790</v>
      </c>
      <c r="L20" s="950"/>
      <c r="M20" s="951"/>
      <c r="N20" s="951"/>
      <c r="O20" s="951"/>
      <c r="P20" s="951"/>
      <c r="Q20" s="951"/>
      <c r="R20" s="1305" t="s">
        <v>8634</v>
      </c>
      <c r="S20" s="951"/>
      <c r="T20" s="1305" t="s">
        <v>8635</v>
      </c>
      <c r="U20" s="1305" t="s">
        <v>8636</v>
      </c>
      <c r="V20" s="1305" t="s">
        <v>8637</v>
      </c>
      <c r="W20" s="1305" t="s">
        <v>3495</v>
      </c>
      <c r="X20" s="950" t="s">
        <v>2615</v>
      </c>
      <c r="Y20" s="1305" t="s">
        <v>8638</v>
      </c>
      <c r="Z20" s="951"/>
      <c r="AA20" s="951"/>
      <c r="AB20" s="1296"/>
      <c r="AC20" s="953" t="s">
        <v>346</v>
      </c>
      <c r="AD20" s="1305" t="s">
        <v>3943</v>
      </c>
      <c r="AE20" s="950"/>
      <c r="AF20" s="1305" t="s">
        <v>8639</v>
      </c>
      <c r="AG20" s="950"/>
      <c r="AH20" s="1305" t="s">
        <v>8640</v>
      </c>
      <c r="AI20" s="1296"/>
      <c r="AJ20" s="1296"/>
      <c r="AK20" s="951"/>
      <c r="AL20" s="951"/>
      <c r="AM20" s="951"/>
      <c r="AN20" s="951"/>
      <c r="AO20" s="951"/>
      <c r="AP20" s="950" t="s">
        <v>8336</v>
      </c>
      <c r="AQ20" s="951"/>
      <c r="AR20" s="950" t="s">
        <v>8641</v>
      </c>
      <c r="AS20" s="951"/>
      <c r="AT20" s="951"/>
      <c r="AU20" s="950" t="s">
        <v>8642</v>
      </c>
      <c r="AV20" s="950"/>
      <c r="AW20" s="950" t="s">
        <v>8368</v>
      </c>
      <c r="AX20" s="951"/>
      <c r="AY20" s="951"/>
      <c r="AZ20" s="1305" t="s">
        <v>2152</v>
      </c>
      <c r="BA20" s="950"/>
      <c r="BB20" s="951"/>
      <c r="BC20" s="1305" t="s">
        <v>8643</v>
      </c>
      <c r="BD20" s="950" t="s">
        <v>8644</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4431</v>
      </c>
      <c r="B21" s="760" t="s">
        <v>8645</v>
      </c>
      <c r="C21" s="756" t="s">
        <v>1258</v>
      </c>
      <c r="D21" s="757" t="s">
        <v>1258</v>
      </c>
      <c r="E21" s="758" t="s">
        <v>1258</v>
      </c>
      <c r="F21" s="759" t="s">
        <v>1258</v>
      </c>
      <c r="G21" s="760" t="s">
        <v>3376</v>
      </c>
      <c r="H21" s="1375" t="s">
        <v>8646</v>
      </c>
      <c r="I21" s="1375" t="s">
        <v>8647</v>
      </c>
      <c r="J21" s="950" t="s">
        <v>8648</v>
      </c>
      <c r="K21" s="1375" t="s">
        <v>8649</v>
      </c>
      <c r="L21" s="950" t="s">
        <v>8650</v>
      </c>
      <c r="M21" s="950" t="s">
        <v>8400</v>
      </c>
      <c r="N21" s="950" t="s">
        <v>8651</v>
      </c>
      <c r="O21" s="950" t="s">
        <v>8652</v>
      </c>
      <c r="P21" s="950" t="s">
        <v>7178</v>
      </c>
      <c r="Q21" s="951"/>
      <c r="R21" s="950" t="s">
        <v>8541</v>
      </c>
      <c r="S21" s="113" t="s">
        <v>8653</v>
      </c>
      <c r="T21" s="951"/>
      <c r="U21" s="1403" t="s">
        <v>8654</v>
      </c>
      <c r="V21" s="950" t="s">
        <v>8655</v>
      </c>
      <c r="W21" s="1305" t="s">
        <v>8656</v>
      </c>
      <c r="X21" s="950" t="s">
        <v>8657</v>
      </c>
      <c r="Y21" s="950" t="s">
        <v>250</v>
      </c>
      <c r="Z21" s="951"/>
      <c r="AA21" s="951"/>
      <c r="AB21" s="1296"/>
      <c r="AC21" s="1305" t="s">
        <v>8658</v>
      </c>
      <c r="AD21" s="950" t="s">
        <v>4169</v>
      </c>
      <c r="AE21" s="951"/>
      <c r="AF21" s="951"/>
      <c r="AG21" s="951"/>
      <c r="AH21" s="951"/>
      <c r="AI21" s="1296"/>
      <c r="AJ21" s="1296"/>
      <c r="AK21" s="951"/>
      <c r="AL21" s="951"/>
      <c r="AM21" s="950"/>
      <c r="AN21" s="951"/>
      <c r="AO21" s="951"/>
      <c r="AP21" s="950" t="s">
        <v>8413</v>
      </c>
      <c r="AQ21" s="950" t="s">
        <v>8659</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4" t="s">
        <v>6617</v>
      </c>
      <c r="B22" s="760" t="s">
        <v>8660</v>
      </c>
      <c r="C22" s="756" t="s">
        <v>1258</v>
      </c>
      <c r="D22" s="757" t="s">
        <v>1258</v>
      </c>
      <c r="E22" s="758" t="s">
        <v>1258</v>
      </c>
      <c r="F22" s="759" t="s">
        <v>1258</v>
      </c>
      <c r="G22" s="760" t="s">
        <v>223</v>
      </c>
      <c r="H22" s="1375"/>
      <c r="I22" s="1375" t="s">
        <v>8661</v>
      </c>
      <c r="J22" s="950"/>
      <c r="K22" s="1305" t="s">
        <v>8662</v>
      </c>
      <c r="L22" s="950"/>
      <c r="M22" s="950"/>
      <c r="N22" s="950"/>
      <c r="O22" s="1305" t="s">
        <v>8663</v>
      </c>
      <c r="P22" s="950"/>
      <c r="Q22" s="951"/>
      <c r="R22" s="951"/>
      <c r="S22" s="951"/>
      <c r="T22" s="950"/>
      <c r="U22" s="1305" t="s">
        <v>8664</v>
      </c>
      <c r="V22" s="1305"/>
      <c r="W22" s="1305" t="s">
        <v>117</v>
      </c>
      <c r="X22" s="950"/>
      <c r="Y22" s="1305" t="s">
        <v>3235</v>
      </c>
      <c r="Z22" s="950"/>
      <c r="AA22" s="950"/>
      <c r="AB22" s="1305"/>
      <c r="AC22" s="1305" t="s">
        <v>8665</v>
      </c>
      <c r="AD22" s="1305" t="s">
        <v>4905</v>
      </c>
      <c r="AE22" s="950"/>
      <c r="AF22" s="950"/>
      <c r="AG22" s="950"/>
      <c r="AH22" s="951"/>
      <c r="AI22" s="1296"/>
      <c r="AJ22" s="1296"/>
      <c r="AK22" s="951"/>
      <c r="AL22" s="951"/>
      <c r="AM22" s="1305" t="s">
        <v>8666</v>
      </c>
      <c r="AN22" s="951"/>
      <c r="AO22" s="951"/>
      <c r="AP22" s="1305" t="s">
        <v>8667</v>
      </c>
      <c r="AQ22" s="950"/>
      <c r="AR22" s="1305" t="s">
        <v>8668</v>
      </c>
      <c r="AS22" s="950"/>
      <c r="AT22" s="1305" t="s">
        <v>8669</v>
      </c>
      <c r="AU22" s="1305" t="s">
        <v>8670</v>
      </c>
      <c r="AV22" s="950"/>
      <c r="AW22" s="950"/>
      <c r="AX22" s="951"/>
      <c r="AY22" s="951"/>
      <c r="AZ22" s="1305" t="s">
        <v>5141</v>
      </c>
      <c r="BA22" s="950"/>
      <c r="BB22" s="1305" t="s">
        <v>8369</v>
      </c>
      <c r="BC22" s="1305" t="s">
        <v>8455</v>
      </c>
      <c r="BD22" s="1305" t="s">
        <v>8533</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7432</v>
      </c>
      <c r="B23" s="760" t="s">
        <v>8660</v>
      </c>
      <c r="C23" s="756" t="s">
        <v>1258</v>
      </c>
      <c r="D23" s="757" t="s">
        <v>1258</v>
      </c>
      <c r="E23" s="758" t="s">
        <v>1258</v>
      </c>
      <c r="F23" s="759" t="s">
        <v>439</v>
      </c>
      <c r="G23" s="760" t="s">
        <v>223</v>
      </c>
      <c r="H23" s="1375" t="s">
        <v>8671</v>
      </c>
      <c r="I23" s="1375"/>
      <c r="J23" s="951"/>
      <c r="K23" s="1305" t="s">
        <v>8672</v>
      </c>
      <c r="L23" s="950"/>
      <c r="M23" s="951"/>
      <c r="N23" s="951"/>
      <c r="O23" s="951"/>
      <c r="P23" s="951"/>
      <c r="Q23" s="1305" t="s">
        <v>8673</v>
      </c>
      <c r="R23" s="1305" t="s">
        <v>8674</v>
      </c>
      <c r="S23" s="951"/>
      <c r="T23" s="1305" t="s">
        <v>8675</v>
      </c>
      <c r="U23" s="1405" t="s">
        <v>8676</v>
      </c>
      <c r="V23" s="1405"/>
      <c r="W23" s="1305" t="s">
        <v>371</v>
      </c>
      <c r="X23" s="950"/>
      <c r="Y23" s="1305" t="s">
        <v>5169</v>
      </c>
      <c r="Z23" s="951"/>
      <c r="AA23" s="951"/>
      <c r="AB23" s="1296"/>
      <c r="AC23" s="1305" t="s">
        <v>8677</v>
      </c>
      <c r="AD23" s="1305" t="s">
        <v>4111</v>
      </c>
      <c r="AE23" s="1292"/>
      <c r="AF23" s="953" t="s">
        <v>724</v>
      </c>
      <c r="AG23" s="1292"/>
      <c r="AH23" s="1305" t="s">
        <v>7586</v>
      </c>
      <c r="AI23" s="1305" t="s">
        <v>5533</v>
      </c>
      <c r="AJ23" s="1296"/>
      <c r="AK23" s="951"/>
      <c r="AL23" s="951"/>
      <c r="AM23" s="951"/>
      <c r="AN23" s="951"/>
      <c r="AO23" s="951"/>
      <c r="AP23" s="951"/>
      <c r="AQ23" s="951"/>
      <c r="AR23" s="951"/>
      <c r="AS23" s="951"/>
      <c r="AT23" s="951"/>
      <c r="AU23" s="951"/>
      <c r="AV23" s="951"/>
      <c r="AW23" s="951"/>
      <c r="AX23" s="950"/>
      <c r="AY23" s="1305" t="s">
        <v>8532</v>
      </c>
      <c r="AZ23" s="951"/>
      <c r="BA23" s="951"/>
      <c r="BB23" s="1305" t="s">
        <v>8463</v>
      </c>
      <c r="BC23" s="951"/>
      <c r="BD23" s="951"/>
      <c r="BE23" s="1296"/>
      <c r="BF23" s="951"/>
      <c r="BG23" s="1373"/>
      <c r="BH23" s="1372"/>
      <c r="BI23" s="1372"/>
      <c r="BJ23" s="1372"/>
      <c r="BK23" s="1372"/>
      <c r="BL23" s="1373"/>
      <c r="BM23" s="1372"/>
      <c r="BN23" s="1372"/>
      <c r="BO23" s="1372"/>
      <c r="BP23" s="1372"/>
      <c r="BQ23" s="1296"/>
      <c r="BR23" s="1296"/>
      <c r="BS23" s="1296"/>
      <c r="BT23" s="1296"/>
      <c r="BU23" s="1296"/>
      <c r="BV23" s="950"/>
      <c r="BW23" s="1305" t="s">
        <v>5448</v>
      </c>
      <c r="BX23" s="951"/>
      <c r="BY23" s="951"/>
      <c r="BZ23" s="951"/>
      <c r="CA23" s="1296"/>
      <c r="CB23" s="1296"/>
      <c r="CC23" s="1296"/>
      <c r="CD23" s="1296"/>
      <c r="CE23" s="1406"/>
      <c r="CF23" s="1406"/>
      <c r="CG23" s="1407"/>
      <c r="CH23" s="1407"/>
      <c r="CI23" s="1406"/>
      <c r="CJ23" s="1406"/>
      <c r="CK23" s="1407"/>
      <c r="CL23" s="1407"/>
      <c r="CM23" s="951"/>
      <c r="CN23" s="951"/>
      <c r="CO23" s="951"/>
      <c r="CP23" s="1296"/>
      <c r="CQ23" s="1296"/>
      <c r="CR23" s="1296"/>
      <c r="CS23" s="1296"/>
      <c r="CT23" s="953" t="s">
        <v>8678</v>
      </c>
      <c r="CU23" s="1292"/>
    </row>
    <row r="24">
      <c r="A24" s="1408" t="s">
        <v>7421</v>
      </c>
      <c r="B24" s="760" t="s">
        <v>8679</v>
      </c>
      <c r="C24" s="756" t="s">
        <v>1258</v>
      </c>
      <c r="D24" s="757" t="s">
        <v>1258</v>
      </c>
      <c r="E24" s="758" t="s">
        <v>1258</v>
      </c>
      <c r="F24" s="759" t="s">
        <v>1258</v>
      </c>
      <c r="G24" s="760" t="s">
        <v>2865</v>
      </c>
      <c r="H24" s="1375"/>
      <c r="I24" s="1375" t="s">
        <v>8680</v>
      </c>
      <c r="J24" s="950"/>
      <c r="K24" s="950" t="s">
        <v>8681</v>
      </c>
      <c r="L24" s="950"/>
      <c r="M24" s="951"/>
      <c r="N24" s="1296" t="s">
        <v>8682</v>
      </c>
      <c r="O24" s="951"/>
      <c r="P24" s="951"/>
      <c r="Q24" s="951"/>
      <c r="R24" s="1305" t="s">
        <v>8683</v>
      </c>
      <c r="S24" s="951"/>
      <c r="T24" s="1305" t="s">
        <v>8684</v>
      </c>
      <c r="U24" s="1305" t="s">
        <v>8685</v>
      </c>
      <c r="V24" s="1305"/>
      <c r="W24" s="1305" t="s">
        <v>2797</v>
      </c>
      <c r="X24" s="950"/>
      <c r="Y24" s="1305" t="s">
        <v>1013</v>
      </c>
      <c r="Z24" s="1296" t="s">
        <v>8686</v>
      </c>
      <c r="AA24" s="951"/>
      <c r="AB24" s="1296"/>
      <c r="AC24" s="950"/>
      <c r="AD24" s="1305" t="s">
        <v>1977</v>
      </c>
      <c r="AE24" s="950"/>
      <c r="AF24" s="950"/>
      <c r="AG24" s="950"/>
      <c r="AH24" s="950"/>
      <c r="AI24" s="1296" t="s">
        <v>8687</v>
      </c>
      <c r="AJ24" s="1296"/>
      <c r="AK24" s="951"/>
      <c r="AL24" s="951"/>
      <c r="AM24" s="1296" t="s">
        <v>8688</v>
      </c>
      <c r="AN24" s="951"/>
      <c r="AO24" s="951"/>
      <c r="AP24" s="950" t="s">
        <v>8689</v>
      </c>
      <c r="AQ24" s="951"/>
      <c r="AR24" s="1296" t="s">
        <v>8690</v>
      </c>
      <c r="AS24" s="951"/>
      <c r="AT24" s="1296" t="s">
        <v>8691</v>
      </c>
      <c r="AU24" s="950" t="s">
        <v>8692</v>
      </c>
      <c r="AV24" s="950"/>
      <c r="AW24" s="950" t="s">
        <v>8666</v>
      </c>
      <c r="AX24" s="951"/>
      <c r="AY24" s="1296" t="s">
        <v>8563</v>
      </c>
      <c r="AZ24" s="950"/>
      <c r="BA24" s="950"/>
      <c r="BB24" s="1296" t="s">
        <v>8693</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9" t="s">
        <v>5301</v>
      </c>
      <c r="B25" s="760" t="s">
        <v>8694</v>
      </c>
      <c r="C25" s="756" t="s">
        <v>1258</v>
      </c>
      <c r="D25" s="757" t="s">
        <v>548</v>
      </c>
      <c r="E25" s="758" t="s">
        <v>548</v>
      </c>
      <c r="F25" s="759" t="s">
        <v>440</v>
      </c>
      <c r="G25" s="760" t="s">
        <v>5141</v>
      </c>
      <c r="H25" s="1379" t="s">
        <v>8695</v>
      </c>
      <c r="I25" s="1379" t="s">
        <v>5307</v>
      </c>
      <c r="J25" s="1292"/>
      <c r="K25" s="1305" t="s">
        <v>8696</v>
      </c>
      <c r="L25" s="950"/>
      <c r="M25" s="950"/>
      <c r="N25" s="1305" t="s">
        <v>8697</v>
      </c>
      <c r="O25" s="1305" t="s">
        <v>8698</v>
      </c>
      <c r="P25" s="1305" t="s">
        <v>8699</v>
      </c>
      <c r="Q25" s="1305" t="s">
        <v>8700</v>
      </c>
      <c r="R25" s="1305" t="s">
        <v>8701</v>
      </c>
      <c r="S25" s="1305" t="s">
        <v>5325</v>
      </c>
      <c r="T25" s="1305" t="s">
        <v>8702</v>
      </c>
      <c r="U25" s="1305" t="s">
        <v>8703</v>
      </c>
      <c r="V25" s="1305"/>
      <c r="W25" s="1305" t="s">
        <v>6093</v>
      </c>
      <c r="X25" s="950"/>
      <c r="Y25" s="951"/>
      <c r="Z25" s="951"/>
      <c r="AA25" s="951"/>
      <c r="AB25" s="1296"/>
      <c r="AC25" s="1305" t="s">
        <v>8704</v>
      </c>
      <c r="AD25" s="1305" t="s">
        <v>5898</v>
      </c>
      <c r="AE25" s="950"/>
      <c r="AF25" s="1305" t="s">
        <v>7001</v>
      </c>
      <c r="AG25" s="950"/>
      <c r="AH25" s="1305" t="s">
        <v>3327</v>
      </c>
      <c r="AI25" s="1305"/>
      <c r="AJ25" s="1305"/>
      <c r="AK25" s="951"/>
      <c r="AL25" s="951"/>
      <c r="AM25" s="1305" t="s">
        <v>8416</v>
      </c>
      <c r="AN25" s="1305" t="s">
        <v>8545</v>
      </c>
      <c r="AO25" s="1305" t="s">
        <v>8438</v>
      </c>
      <c r="AP25" s="1305" t="s">
        <v>8705</v>
      </c>
      <c r="AQ25" s="950"/>
      <c r="AR25" s="1305" t="s">
        <v>8616</v>
      </c>
      <c r="AS25" s="950"/>
      <c r="AT25" s="1305" t="s">
        <v>8706</v>
      </c>
      <c r="AU25" s="1305" t="s">
        <v>8707</v>
      </c>
      <c r="AV25" s="950"/>
      <c r="AW25" s="1305" t="s">
        <v>8462</v>
      </c>
      <c r="AX25" s="950"/>
      <c r="AY25" s="1305" t="s">
        <v>8631</v>
      </c>
      <c r="AZ25" s="951"/>
      <c r="BA25" s="951"/>
      <c r="BB25" s="1305" t="s">
        <v>8524</v>
      </c>
      <c r="BC25" s="950" t="s">
        <v>8631</v>
      </c>
      <c r="BD25" s="1305" t="s">
        <v>8618</v>
      </c>
      <c r="BE25" s="1305"/>
      <c r="BF25" s="950"/>
      <c r="BG25" s="1410" t="s">
        <v>8708</v>
      </c>
      <c r="BH25" s="1411" t="s">
        <v>8709</v>
      </c>
      <c r="BI25" s="897"/>
      <c r="BJ25" s="897"/>
      <c r="BK25" s="897"/>
      <c r="BL25" s="897" t="s">
        <v>8710</v>
      </c>
      <c r="BM25" s="897" t="s">
        <v>8711</v>
      </c>
      <c r="BN25" s="897"/>
      <c r="BO25" s="897"/>
      <c r="BP25" s="897"/>
      <c r="BQ25" s="1296"/>
      <c r="BR25" s="1412" t="s">
        <v>8712</v>
      </c>
      <c r="BS25" s="1296"/>
      <c r="BT25" s="1296"/>
      <c r="BU25" s="1296"/>
      <c r="BV25" s="1413" t="s">
        <v>163</v>
      </c>
      <c r="BW25" s="1305" t="s">
        <v>1782</v>
      </c>
      <c r="BX25" s="1305" t="s">
        <v>1632</v>
      </c>
      <c r="BY25" s="1302" t="s">
        <v>4962</v>
      </c>
      <c r="BZ25" s="1305" t="s">
        <v>2252</v>
      </c>
      <c r="CA25" s="1305" t="s">
        <v>5460</v>
      </c>
      <c r="CB25" s="1305" t="s">
        <v>2131</v>
      </c>
      <c r="CC25" s="1305" t="s">
        <v>8713</v>
      </c>
      <c r="CD25" s="1305"/>
      <c r="CE25" s="1368" t="s">
        <v>8643</v>
      </c>
      <c r="CF25" s="1368" t="s">
        <v>8307</v>
      </c>
      <c r="CG25" s="1368" t="s">
        <v>8714</v>
      </c>
      <c r="CH25" s="1368"/>
      <c r="CI25" s="1353"/>
      <c r="CJ25" s="1353"/>
      <c r="CK25" s="1366"/>
      <c r="CL25" s="1366"/>
      <c r="CM25" s="1353"/>
      <c r="CN25" s="1353"/>
      <c r="CO25" s="1353"/>
      <c r="CP25" s="1366"/>
      <c r="CQ25" s="1366"/>
      <c r="CR25" s="1366"/>
      <c r="CS25" s="1366"/>
      <c r="CT25" s="953" t="s">
        <v>4901</v>
      </c>
      <c r="CU25" s="1292"/>
    </row>
    <row r="26">
      <c r="A26" s="1362" t="s">
        <v>7456</v>
      </c>
      <c r="B26" s="760" t="s">
        <v>8715</v>
      </c>
      <c r="C26" s="756" t="s">
        <v>1258</v>
      </c>
      <c r="D26" s="757" t="s">
        <v>1258</v>
      </c>
      <c r="E26" s="758" t="s">
        <v>548</v>
      </c>
      <c r="F26" s="759" t="s">
        <v>334</v>
      </c>
      <c r="G26" s="760" t="s">
        <v>3376</v>
      </c>
      <c r="H26" s="1375"/>
      <c r="I26" s="1375" t="s">
        <v>8716</v>
      </c>
      <c r="J26" s="950"/>
      <c r="K26" s="950" t="s">
        <v>8717</v>
      </c>
      <c r="L26" s="1302" t="s">
        <v>3759</v>
      </c>
      <c r="M26" s="951"/>
      <c r="N26" s="951"/>
      <c r="O26" s="951"/>
      <c r="P26" s="950" t="s">
        <v>5807</v>
      </c>
      <c r="Q26" s="951"/>
      <c r="R26" s="953" t="s">
        <v>8718</v>
      </c>
      <c r="S26" s="951"/>
      <c r="T26" s="951"/>
      <c r="U26" s="950" t="s">
        <v>753</v>
      </c>
      <c r="V26" s="1305"/>
      <c r="W26" s="1305" t="s">
        <v>4324</v>
      </c>
      <c r="X26" s="950" t="s">
        <v>3500</v>
      </c>
      <c r="Y26" s="953" t="s">
        <v>5845</v>
      </c>
      <c r="Z26" s="951"/>
      <c r="AA26" s="951"/>
      <c r="AB26" s="1296"/>
      <c r="AC26" s="1305" t="s">
        <v>8719</v>
      </c>
      <c r="AD26" s="1305" t="s">
        <v>5680</v>
      </c>
      <c r="AE26" s="950"/>
      <c r="AF26" s="1305" t="s">
        <v>8720</v>
      </c>
      <c r="AG26" s="950"/>
      <c r="AH26" s="1305" t="s">
        <v>8721</v>
      </c>
      <c r="AI26" s="1296"/>
      <c r="AJ26" s="1296"/>
      <c r="AK26" s="1310" t="s">
        <v>3804</v>
      </c>
      <c r="AL26" s="1357"/>
      <c r="AM26" s="951"/>
      <c r="AN26" s="951"/>
      <c r="AO26" s="951"/>
      <c r="AP26" s="951"/>
      <c r="AQ26" s="951"/>
      <c r="AR26" s="1305" t="s">
        <v>8722</v>
      </c>
      <c r="AS26" s="950"/>
      <c r="AT26" s="951"/>
      <c r="AU26" s="951"/>
      <c r="AV26" s="951"/>
      <c r="AW26" s="1305" t="s">
        <v>8345</v>
      </c>
      <c r="AX26" s="951"/>
      <c r="AY26" s="951"/>
      <c r="AZ26" s="951"/>
      <c r="BA26" s="951"/>
      <c r="BB26" s="1305" t="s">
        <v>8421</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4048</v>
      </c>
      <c r="CN26" s="1305" t="s">
        <v>221</v>
      </c>
      <c r="CO26" s="1305" t="s">
        <v>4673</v>
      </c>
      <c r="CP26" s="1296"/>
      <c r="CQ26" s="1296"/>
      <c r="CR26" s="1296"/>
      <c r="CS26" s="1296"/>
      <c r="CT26" s="951"/>
      <c r="CU26" s="951"/>
    </row>
    <row r="27">
      <c r="A27" s="1342" t="s">
        <v>7435</v>
      </c>
      <c r="B27" s="760" t="s">
        <v>8723</v>
      </c>
      <c r="C27" s="756" t="s">
        <v>1258</v>
      </c>
      <c r="D27" s="757" t="s">
        <v>1258</v>
      </c>
      <c r="E27" s="758" t="s">
        <v>1258</v>
      </c>
      <c r="F27" s="759" t="s">
        <v>334</v>
      </c>
      <c r="G27" s="760" t="s">
        <v>1061</v>
      </c>
      <c r="H27" s="1375"/>
      <c r="I27" s="1375" t="s">
        <v>8724</v>
      </c>
      <c r="J27" s="951"/>
      <c r="K27" s="950" t="s">
        <v>8725</v>
      </c>
      <c r="L27" s="951"/>
      <c r="M27" s="951"/>
      <c r="N27" s="951"/>
      <c r="O27" s="951"/>
      <c r="P27" s="950" t="s">
        <v>8726</v>
      </c>
      <c r="Q27" s="951"/>
      <c r="R27" s="950" t="s">
        <v>8727</v>
      </c>
      <c r="S27" s="951"/>
      <c r="T27" s="950" t="s">
        <v>8728</v>
      </c>
      <c r="U27" s="953" t="s">
        <v>5400</v>
      </c>
      <c r="V27" s="1296"/>
      <c r="W27" s="951"/>
      <c r="X27" s="950" t="s">
        <v>7652</v>
      </c>
      <c r="Y27" s="953" t="s">
        <v>7738</v>
      </c>
      <c r="Z27" s="951"/>
      <c r="AA27" s="950" t="s">
        <v>8729</v>
      </c>
      <c r="AB27" s="1296"/>
      <c r="AC27" s="950" t="s">
        <v>8730</v>
      </c>
      <c r="AD27" s="953" t="s">
        <v>1504</v>
      </c>
      <c r="AE27" s="953" t="s">
        <v>5119</v>
      </c>
      <c r="AF27" s="950" t="s">
        <v>1269</v>
      </c>
      <c r="AG27" s="950" t="s">
        <v>1057</v>
      </c>
      <c r="AH27" s="951"/>
      <c r="AI27" s="1296"/>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1" t="s">
        <v>4671</v>
      </c>
      <c r="B28" s="760" t="s">
        <v>2265</v>
      </c>
      <c r="C28" s="756" t="s">
        <v>440</v>
      </c>
      <c r="D28" s="757" t="s">
        <v>1258</v>
      </c>
      <c r="E28" s="758" t="s">
        <v>548</v>
      </c>
      <c r="F28" s="759" t="s">
        <v>1200</v>
      </c>
      <c r="G28" s="760" t="s">
        <v>1200</v>
      </c>
      <c r="H28" s="1414"/>
      <c r="I28" s="1414"/>
      <c r="J28" s="951"/>
      <c r="K28" s="951"/>
      <c r="L28" s="951"/>
      <c r="M28" s="951"/>
      <c r="N28" s="951"/>
      <c r="O28" s="951"/>
      <c r="P28" s="951"/>
      <c r="Q28" s="951"/>
      <c r="R28" s="951"/>
      <c r="S28" s="951"/>
      <c r="T28" s="951"/>
      <c r="U28" s="951"/>
      <c r="V28" s="1296"/>
      <c r="W28" s="951"/>
      <c r="X28" s="1297" t="s">
        <v>2976</v>
      </c>
      <c r="Y28" s="1297" t="s">
        <v>8544</v>
      </c>
      <c r="Z28" s="951"/>
      <c r="AA28" s="951"/>
      <c r="AB28" s="1296"/>
      <c r="AC28" s="1297" t="s">
        <v>4716</v>
      </c>
      <c r="AD28" s="951"/>
      <c r="AE28" s="951"/>
      <c r="AF28" s="951"/>
      <c r="AG28" s="951"/>
      <c r="AH28" s="951"/>
      <c r="AI28" s="1296"/>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3"/>
      <c r="BH28" s="1372"/>
      <c r="BI28" s="1372"/>
      <c r="BJ28" s="1372"/>
      <c r="BK28" s="1372"/>
      <c r="BL28" s="1373"/>
      <c r="BM28" s="1372"/>
      <c r="BN28" s="1372"/>
      <c r="BO28" s="1372"/>
      <c r="BP28" s="1372"/>
      <c r="BQ28" s="1296"/>
      <c r="BR28" s="1296"/>
      <c r="BS28" s="1296"/>
      <c r="BT28" s="1296"/>
      <c r="BU28" s="1296"/>
      <c r="BV28" s="1302" t="s">
        <v>4004</v>
      </c>
      <c r="BW28" s="1296"/>
      <c r="BX28" s="1297" t="s">
        <v>1665</v>
      </c>
      <c r="BY28" s="951"/>
      <c r="BZ28" s="1297" t="s">
        <v>8731</v>
      </c>
      <c r="CA28" s="1296"/>
      <c r="CB28" s="1296"/>
      <c r="CC28" s="1296"/>
      <c r="CD28" s="1370" t="s">
        <v>2067</v>
      </c>
      <c r="CE28" s="951"/>
      <c r="CF28" s="951"/>
      <c r="CG28" s="1296"/>
      <c r="CH28" s="1296"/>
      <c r="CI28" s="951"/>
      <c r="CJ28" s="951"/>
      <c r="CK28" s="1296"/>
      <c r="CL28" s="1296"/>
      <c r="CM28" s="951"/>
      <c r="CN28" s="951"/>
      <c r="CO28" s="951"/>
      <c r="CP28" s="1296"/>
      <c r="CQ28" s="1296"/>
      <c r="CR28" s="1296"/>
      <c r="CS28" s="1296"/>
      <c r="CT28" s="951"/>
      <c r="CU28" s="951"/>
    </row>
    <row r="29">
      <c r="A29" s="1415" t="s">
        <v>437</v>
      </c>
      <c r="B29" s="760" t="s">
        <v>6609</v>
      </c>
      <c r="C29" s="756" t="s">
        <v>1258</v>
      </c>
      <c r="D29" s="757" t="s">
        <v>548</v>
      </c>
      <c r="E29" s="758" t="s">
        <v>548</v>
      </c>
      <c r="F29" s="759" t="s">
        <v>649</v>
      </c>
      <c r="G29" s="760" t="s">
        <v>649</v>
      </c>
      <c r="H29" s="1375"/>
      <c r="I29" s="1375"/>
      <c r="J29" s="951"/>
      <c r="K29" s="951"/>
      <c r="L29" s="951"/>
      <c r="M29" s="951"/>
      <c r="N29" s="951"/>
      <c r="O29" s="951"/>
      <c r="P29" s="951"/>
      <c r="Q29" s="951"/>
      <c r="R29" s="951"/>
      <c r="S29" s="951"/>
      <c r="T29" s="951"/>
      <c r="U29" s="951"/>
      <c r="V29" s="1296"/>
      <c r="W29" s="951"/>
      <c r="X29" s="953" t="s">
        <v>3280</v>
      </c>
      <c r="Y29" s="1302" t="s">
        <v>5256</v>
      </c>
      <c r="Z29" s="951"/>
      <c r="AA29" s="951"/>
      <c r="AB29" s="1296"/>
      <c r="AC29" s="951"/>
      <c r="AD29" s="951"/>
      <c r="AE29" s="1292"/>
      <c r="AF29" s="1303" t="s">
        <v>5705</v>
      </c>
      <c r="AG29" s="951"/>
      <c r="AH29" s="951"/>
      <c r="AI29" s="1296"/>
      <c r="AJ29" s="1296"/>
      <c r="AK29" s="951"/>
      <c r="AL29" s="951"/>
      <c r="AM29" s="951"/>
      <c r="AN29" s="951"/>
      <c r="AO29" s="951"/>
      <c r="AP29" s="951"/>
      <c r="AQ29" s="951"/>
      <c r="AR29" s="951"/>
      <c r="AS29" s="951"/>
      <c r="AT29" s="951"/>
      <c r="AU29" s="951"/>
      <c r="AV29" s="951"/>
      <c r="AW29" s="951"/>
      <c r="AX29" s="950" t="s">
        <v>7522</v>
      </c>
      <c r="AY29" s="951"/>
      <c r="AZ29" s="951"/>
      <c r="BA29" s="951"/>
      <c r="BB29" s="951"/>
      <c r="BC29" s="951"/>
      <c r="BD29" s="951"/>
      <c r="BE29" s="1296"/>
      <c r="BF29" s="951"/>
      <c r="BG29" s="1373"/>
      <c r="BH29" s="1372"/>
      <c r="BI29" s="1372"/>
      <c r="BJ29" s="1372"/>
      <c r="BK29" s="1372"/>
      <c r="BL29" s="1373"/>
      <c r="BM29" s="1372"/>
      <c r="BN29" s="1372"/>
      <c r="BO29" s="1372"/>
      <c r="BP29" s="1372"/>
      <c r="BQ29" s="1296"/>
      <c r="BR29" s="1296"/>
      <c r="BS29" s="1296"/>
      <c r="BT29" s="1296"/>
      <c r="BU29" s="1296"/>
      <c r="BV29" s="950"/>
      <c r="BW29" s="1305"/>
      <c r="BX29" s="950"/>
      <c r="BY29" s="950"/>
      <c r="BZ29" s="950"/>
      <c r="CA29" s="1305"/>
      <c r="CB29" s="1305"/>
      <c r="CC29" s="1305"/>
      <c r="CD29" s="1305"/>
      <c r="CE29" s="1353"/>
      <c r="CF29" s="1353"/>
      <c r="CG29" s="1366"/>
      <c r="CH29" s="1366"/>
      <c r="CI29" s="1353"/>
      <c r="CJ29" s="1353"/>
      <c r="CK29" s="1366"/>
      <c r="CL29" s="1366"/>
      <c r="CM29" s="1353"/>
      <c r="CN29" s="1353"/>
      <c r="CO29" s="1353"/>
      <c r="CP29" s="1366"/>
      <c r="CQ29" s="1366"/>
      <c r="CR29" s="1366"/>
      <c r="CS29" s="1366"/>
      <c r="CT29" s="951"/>
      <c r="CU29" s="951"/>
    </row>
    <row r="30">
      <c r="A30" s="1409" t="s">
        <v>827</v>
      </c>
      <c r="B30" s="760" t="s">
        <v>2342</v>
      </c>
      <c r="C30" s="756" t="s">
        <v>1258</v>
      </c>
      <c r="D30" s="757" t="s">
        <v>1258</v>
      </c>
      <c r="E30" s="758" t="s">
        <v>1258</v>
      </c>
      <c r="F30" s="759" t="s">
        <v>439</v>
      </c>
      <c r="G30" s="760" t="s">
        <v>649</v>
      </c>
      <c r="H30" s="1375"/>
      <c r="I30" s="1375"/>
      <c r="J30" s="92"/>
      <c r="K30" s="92"/>
      <c r="L30" s="92"/>
      <c r="M30" s="92"/>
      <c r="N30" s="92"/>
      <c r="O30" s="92"/>
      <c r="P30" s="92"/>
      <c r="Q30" s="92"/>
      <c r="R30" s="113" t="s">
        <v>8732</v>
      </c>
      <c r="S30" s="92"/>
      <c r="T30" s="92"/>
      <c r="U30" s="92"/>
      <c r="V30" s="97"/>
      <c r="W30" s="92"/>
      <c r="X30" s="92"/>
      <c r="Y30" s="1310" t="s">
        <v>303</v>
      </c>
      <c r="Z30" s="92"/>
      <c r="AA30" s="92"/>
      <c r="AB30" s="97"/>
      <c r="AC30" s="92"/>
      <c r="AD30" s="92"/>
      <c r="AE30" s="92"/>
      <c r="AF30" s="92"/>
      <c r="AG30" s="92"/>
      <c r="AH30" s="92"/>
      <c r="AI30" s="97"/>
      <c r="AJ30" s="97"/>
      <c r="AK30" s="92"/>
      <c r="AL30" s="92"/>
      <c r="AM30" s="92"/>
      <c r="AN30" s="92"/>
      <c r="AO30" s="92"/>
      <c r="AP30" s="92"/>
      <c r="AQ30" s="92"/>
      <c r="AR30" s="92"/>
      <c r="AS30" s="92"/>
      <c r="AT30" s="92"/>
      <c r="AU30" s="1310" t="s">
        <v>8733</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4945</v>
      </c>
      <c r="B31" s="760" t="s">
        <v>3839</v>
      </c>
      <c r="C31" s="756" t="s">
        <v>1258</v>
      </c>
      <c r="D31" s="757" t="s">
        <v>1258</v>
      </c>
      <c r="E31" s="758" t="s">
        <v>1258</v>
      </c>
      <c r="F31" s="759" t="s">
        <v>1258</v>
      </c>
      <c r="G31" s="760" t="s">
        <v>222</v>
      </c>
      <c r="H31" s="1375"/>
      <c r="I31" s="1375" t="s">
        <v>7522</v>
      </c>
      <c r="J31" s="951"/>
      <c r="K31" s="950" t="s">
        <v>8734</v>
      </c>
      <c r="L31" s="951"/>
      <c r="M31" s="951"/>
      <c r="N31" s="951"/>
      <c r="O31" s="951"/>
      <c r="P31" s="950" t="s">
        <v>8735</v>
      </c>
      <c r="Q31" s="951"/>
      <c r="R31" s="951"/>
      <c r="S31" s="951"/>
      <c r="T31" s="950" t="s">
        <v>8736</v>
      </c>
      <c r="U31" s="950" t="s">
        <v>8737</v>
      </c>
      <c r="V31" s="1296"/>
      <c r="W31" s="950" t="s">
        <v>251</v>
      </c>
      <c r="X31" s="950" t="s">
        <v>8738</v>
      </c>
      <c r="Y31" s="950" t="s">
        <v>368</v>
      </c>
      <c r="Z31" s="951"/>
      <c r="AA31" s="951"/>
      <c r="AB31" s="1296"/>
      <c r="AC31" s="951"/>
      <c r="AD31" s="951"/>
      <c r="AE31" s="951"/>
      <c r="AF31" s="951"/>
      <c r="AG31" s="951"/>
      <c r="AH31" s="951"/>
      <c r="AI31" s="1296"/>
      <c r="AJ31" s="1296"/>
      <c r="AK31" s="951"/>
      <c r="AL31" s="951"/>
      <c r="AM31" s="951"/>
      <c r="AN31" s="951"/>
      <c r="AO31" s="951"/>
      <c r="AP31" s="990" t="s">
        <v>8504</v>
      </c>
      <c r="AQ31" s="990"/>
      <c r="AR31" s="951"/>
      <c r="AS31" s="950" t="s">
        <v>8617</v>
      </c>
      <c r="AT31" s="951"/>
      <c r="AU31" s="950" t="s">
        <v>8722</v>
      </c>
      <c r="AV31" s="951"/>
      <c r="AW31" s="951"/>
      <c r="AX31" s="951"/>
      <c r="AY31" s="951"/>
      <c r="AZ31" s="950" t="s">
        <v>2374</v>
      </c>
      <c r="BA31" s="951"/>
      <c r="BB31" s="990" t="s">
        <v>8739</v>
      </c>
      <c r="BC31" s="950" t="s">
        <v>8335</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6" t="s">
        <v>4537</v>
      </c>
      <c r="B32" s="760" t="s">
        <v>4031</v>
      </c>
      <c r="C32" s="756" t="s">
        <v>1258</v>
      </c>
      <c r="D32" s="757" t="s">
        <v>1258</v>
      </c>
      <c r="E32" s="758" t="s">
        <v>1258</v>
      </c>
      <c r="F32" s="759" t="s">
        <v>1258</v>
      </c>
      <c r="G32" s="760" t="s">
        <v>983</v>
      </c>
      <c r="H32" s="1375"/>
      <c r="I32" s="1375"/>
      <c r="J32" s="951"/>
      <c r="K32" s="951"/>
      <c r="L32" s="951"/>
      <c r="M32" s="951"/>
      <c r="N32" s="951"/>
      <c r="O32" s="951"/>
      <c r="P32" s="951"/>
      <c r="Q32" s="951"/>
      <c r="R32" s="951"/>
      <c r="S32" s="951"/>
      <c r="T32" s="951"/>
      <c r="U32" s="951"/>
      <c r="V32" s="1296"/>
      <c r="W32" s="1305" t="s">
        <v>670</v>
      </c>
      <c r="X32" s="950"/>
      <c r="Y32" s="1305" t="s">
        <v>6074</v>
      </c>
      <c r="Z32" s="951"/>
      <c r="AA32" s="951"/>
      <c r="AB32" s="1296"/>
      <c r="AC32" s="1305" t="s">
        <v>8740</v>
      </c>
      <c r="AD32" s="950" t="s">
        <v>2125</v>
      </c>
      <c r="AE32" s="950"/>
      <c r="AF32" s="1305" t="s">
        <v>7227</v>
      </c>
      <c r="AG32" s="950"/>
      <c r="AH32" s="1305" t="s">
        <v>4446</v>
      </c>
      <c r="AI32" s="1296"/>
      <c r="AJ32" s="1296"/>
      <c r="AK32" s="951"/>
      <c r="AL32" s="951"/>
      <c r="AM32" s="951"/>
      <c r="AN32" s="951"/>
      <c r="AO32" s="951"/>
      <c r="AP32" s="951"/>
      <c r="AQ32" s="951"/>
      <c r="AR32" s="951"/>
      <c r="AS32" s="951"/>
      <c r="AT32" s="951"/>
      <c r="AU32" s="951"/>
      <c r="AV32" s="951"/>
      <c r="AW32" s="951"/>
      <c r="AX32" s="951"/>
      <c r="AY32" s="951"/>
      <c r="AZ32" s="951"/>
      <c r="BA32" s="951"/>
      <c r="BB32" s="1305" t="s">
        <v>8545</v>
      </c>
      <c r="BC32" s="951"/>
      <c r="BD32" s="951"/>
      <c r="BE32" s="1296"/>
      <c r="BF32" s="951"/>
      <c r="BG32" s="1373"/>
      <c r="BH32" s="1372"/>
      <c r="BI32" s="1372"/>
      <c r="BJ32" s="1372"/>
      <c r="BK32" s="1372"/>
      <c r="BL32" s="1373"/>
      <c r="BM32" s="1372"/>
      <c r="BN32" s="1372"/>
      <c r="BO32" s="1372"/>
      <c r="BP32" s="1372"/>
      <c r="BQ32" s="1296"/>
      <c r="BR32" s="1296"/>
      <c r="BS32" s="1296"/>
      <c r="BT32" s="1296"/>
      <c r="BU32" s="1296"/>
      <c r="BV32" s="951"/>
      <c r="BW32" s="1296"/>
      <c r="BX32" s="1305" t="s">
        <v>4558</v>
      </c>
      <c r="BY32" s="1305" t="s">
        <v>4473</v>
      </c>
      <c r="BZ32" s="951"/>
      <c r="CA32" s="1296"/>
      <c r="CB32" s="1296"/>
      <c r="CC32" s="1296"/>
      <c r="CD32" s="1296"/>
      <c r="CE32" s="1353"/>
      <c r="CF32" s="1353"/>
      <c r="CG32" s="1366"/>
      <c r="CH32" s="1366"/>
      <c r="CI32" s="1353"/>
      <c r="CJ32" s="1353"/>
      <c r="CK32" s="1366"/>
      <c r="CL32" s="1366"/>
      <c r="CM32" s="1353"/>
      <c r="CN32" s="1353"/>
      <c r="CO32" s="1353"/>
      <c r="CP32" s="1366"/>
      <c r="CQ32" s="1366"/>
      <c r="CR32" s="1366"/>
      <c r="CS32" s="1366"/>
      <c r="CT32" s="951"/>
      <c r="CU32" s="951"/>
    </row>
    <row r="33">
      <c r="A33" s="1417" t="s">
        <v>6194</v>
      </c>
      <c r="B33" s="760" t="s">
        <v>4880</v>
      </c>
      <c r="C33" s="756" t="s">
        <v>1258</v>
      </c>
      <c r="D33" s="757" t="s">
        <v>1258</v>
      </c>
      <c r="E33" s="758" t="s">
        <v>548</v>
      </c>
      <c r="F33" s="759" t="s">
        <v>649</v>
      </c>
      <c r="G33" s="760" t="s">
        <v>335</v>
      </c>
      <c r="H33" s="1375" t="s">
        <v>8741</v>
      </c>
      <c r="I33" s="1375"/>
      <c r="J33" s="951"/>
      <c r="K33" s="951"/>
      <c r="L33" s="951"/>
      <c r="M33" s="951"/>
      <c r="N33" s="951"/>
      <c r="O33" s="951"/>
      <c r="P33" s="951"/>
      <c r="Q33" s="951"/>
      <c r="R33" s="951"/>
      <c r="S33" s="951"/>
      <c r="T33" s="953" t="s">
        <v>8742</v>
      </c>
      <c r="U33" s="950" t="s">
        <v>8743</v>
      </c>
      <c r="V33" s="950" t="s">
        <v>8744</v>
      </c>
      <c r="W33" s="951"/>
      <c r="X33" s="950" t="s">
        <v>8745</v>
      </c>
      <c r="Y33" s="950" t="s">
        <v>8746</v>
      </c>
      <c r="Z33" s="951"/>
      <c r="AA33" s="951"/>
      <c r="AB33" s="1296"/>
      <c r="AC33" s="953" t="s">
        <v>1654</v>
      </c>
      <c r="AD33" s="950" t="s">
        <v>5480</v>
      </c>
      <c r="AE33" s="951"/>
      <c r="AF33" s="951"/>
      <c r="AG33" s="951"/>
      <c r="AH33" s="951"/>
      <c r="AI33" s="1296"/>
      <c r="AJ33" s="1296"/>
      <c r="AK33" s="951"/>
      <c r="AL33" s="951"/>
      <c r="AM33" s="950" t="s">
        <v>8747</v>
      </c>
      <c r="AN33" s="951"/>
      <c r="AO33" s="951"/>
      <c r="AP33" s="950" t="s">
        <v>8392</v>
      </c>
      <c r="AQ33" s="951"/>
      <c r="AR33" s="951"/>
      <c r="AS33" s="951"/>
      <c r="AT33" s="951"/>
      <c r="AU33" s="950" t="s">
        <v>8502</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8748</v>
      </c>
      <c r="CF33" s="951"/>
      <c r="CG33" s="1296"/>
      <c r="CH33" s="1296"/>
      <c r="CI33" s="951"/>
      <c r="CJ33" s="951"/>
      <c r="CK33" s="1296"/>
      <c r="CL33" s="1296"/>
      <c r="CM33" s="951"/>
      <c r="CN33" s="951"/>
      <c r="CO33" s="951"/>
      <c r="CP33" s="1296"/>
      <c r="CQ33" s="1296"/>
      <c r="CR33" s="1296"/>
      <c r="CS33" s="1296"/>
      <c r="CT33" s="951"/>
      <c r="CU33" s="951"/>
    </row>
    <row r="34">
      <c r="A34" s="1401" t="s">
        <v>7461</v>
      </c>
      <c r="B34" s="760" t="s">
        <v>3568</v>
      </c>
      <c r="C34" s="756" t="s">
        <v>439</v>
      </c>
      <c r="D34" s="757" t="s">
        <v>1258</v>
      </c>
      <c r="E34" s="758" t="s">
        <v>1258</v>
      </c>
      <c r="F34" s="759" t="s">
        <v>439</v>
      </c>
      <c r="G34" s="760" t="s">
        <v>439</v>
      </c>
      <c r="H34" s="1375"/>
      <c r="I34" s="1375"/>
      <c r="J34" s="951"/>
      <c r="K34" s="951"/>
      <c r="L34" s="951"/>
      <c r="M34" s="951"/>
      <c r="N34" s="951"/>
      <c r="O34" s="1297" t="s">
        <v>8749</v>
      </c>
      <c r="P34" s="1297" t="s">
        <v>8750</v>
      </c>
      <c r="Q34" s="951"/>
      <c r="R34" s="951"/>
      <c r="S34" s="951"/>
      <c r="T34" s="951"/>
      <c r="U34" s="951"/>
      <c r="V34" s="1296"/>
      <c r="W34" s="951"/>
      <c r="X34" s="951"/>
      <c r="Y34" s="951"/>
      <c r="Z34" s="951"/>
      <c r="AA34" s="951"/>
      <c r="AB34" s="1296"/>
      <c r="AC34" s="951"/>
      <c r="AD34" s="951"/>
      <c r="AE34" s="951"/>
      <c r="AF34" s="951"/>
      <c r="AG34" s="951"/>
      <c r="AH34" s="951"/>
      <c r="AI34" s="1296"/>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8751</v>
      </c>
      <c r="B35" s="760" t="s">
        <v>5627</v>
      </c>
      <c r="C35" s="756" t="s">
        <v>1258</v>
      </c>
      <c r="D35" s="757" t="s">
        <v>1258</v>
      </c>
      <c r="E35" s="758" t="s">
        <v>1258</v>
      </c>
      <c r="F35" s="759" t="s">
        <v>1258</v>
      </c>
      <c r="G35" s="760" t="s">
        <v>336</v>
      </c>
      <c r="H35" s="1375"/>
      <c r="I35" s="1375"/>
      <c r="J35" s="951"/>
      <c r="K35" s="951"/>
      <c r="L35" s="951"/>
      <c r="M35" s="951"/>
      <c r="N35" s="951"/>
      <c r="O35" s="951"/>
      <c r="P35" s="951"/>
      <c r="Q35" s="951"/>
      <c r="R35" s="950"/>
      <c r="S35" s="951"/>
      <c r="T35" s="951"/>
      <c r="U35" s="951"/>
      <c r="V35" s="1296"/>
      <c r="W35" s="951"/>
      <c r="X35" s="951"/>
      <c r="Y35" s="951"/>
      <c r="Z35" s="951"/>
      <c r="AA35" s="951"/>
      <c r="AB35" s="1296"/>
      <c r="AC35" s="951"/>
      <c r="AD35" s="951"/>
      <c r="AE35" s="951"/>
      <c r="AF35" s="951"/>
      <c r="AG35" s="951"/>
      <c r="AH35" s="951"/>
      <c r="AI35" s="1296"/>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3"/>
      <c r="BH35" s="1372"/>
      <c r="BI35" s="1372"/>
      <c r="BJ35" s="1372"/>
      <c r="BK35" s="1372"/>
      <c r="BL35" s="1373"/>
      <c r="BM35" s="1372"/>
      <c r="BN35" s="1372"/>
      <c r="BO35" s="1372"/>
      <c r="BP35" s="1372"/>
      <c r="BQ35" s="1296"/>
      <c r="BR35" s="1296"/>
      <c r="BS35" s="1296"/>
      <c r="BT35" s="1296"/>
      <c r="BU35" s="1296"/>
      <c r="BV35" s="951"/>
      <c r="BW35" s="1296"/>
      <c r="BX35" s="1418" t="s">
        <v>2314</v>
      </c>
      <c r="BY35" s="1363" t="s">
        <v>3750</v>
      </c>
      <c r="BZ35" s="1363" t="s">
        <v>8752</v>
      </c>
      <c r="CA35" s="1296"/>
      <c r="CB35" s="1363" t="s">
        <v>1077</v>
      </c>
      <c r="CC35" s="1363" t="s">
        <v>2874</v>
      </c>
      <c r="CD35" s="1363"/>
      <c r="CE35" s="1353"/>
      <c r="CF35" s="1353"/>
      <c r="CG35" s="1366"/>
      <c r="CH35" s="1366"/>
      <c r="CI35" s="1353"/>
      <c r="CJ35" s="1353"/>
      <c r="CK35" s="1366"/>
      <c r="CL35" s="1366"/>
      <c r="CM35" s="1353"/>
      <c r="CN35" s="1353"/>
      <c r="CO35" s="1353"/>
      <c r="CP35" s="1366"/>
      <c r="CQ35" s="1366"/>
      <c r="CR35" s="1366"/>
      <c r="CS35" s="1366"/>
      <c r="CT35" s="951"/>
      <c r="CU35" s="951"/>
    </row>
    <row r="36">
      <c r="A36" s="1401" t="s">
        <v>1058</v>
      </c>
      <c r="B36" s="760" t="s">
        <v>6266</v>
      </c>
      <c r="C36" s="756" t="s">
        <v>548</v>
      </c>
      <c r="D36" s="757" t="s">
        <v>1258</v>
      </c>
      <c r="E36" s="758" t="s">
        <v>1258</v>
      </c>
      <c r="F36" s="759" t="s">
        <v>548</v>
      </c>
      <c r="G36" s="760" t="s">
        <v>548</v>
      </c>
      <c r="H36" s="1375"/>
      <c r="I36" s="1375"/>
      <c r="J36" s="951"/>
      <c r="K36" s="951"/>
      <c r="L36" s="951"/>
      <c r="M36" s="951"/>
      <c r="N36" s="951"/>
      <c r="O36" s="951"/>
      <c r="P36" s="951"/>
      <c r="Q36" s="951"/>
      <c r="R36" s="951"/>
      <c r="S36" s="951"/>
      <c r="T36" s="951"/>
      <c r="U36" s="951"/>
      <c r="V36" s="1296"/>
      <c r="W36" s="951"/>
      <c r="X36" s="951"/>
      <c r="Y36" s="951"/>
      <c r="Z36" s="951"/>
      <c r="AA36" s="951"/>
      <c r="AB36" s="1296"/>
      <c r="AC36" s="951"/>
      <c r="AD36" s="1297" t="s">
        <v>1397</v>
      </c>
      <c r="AE36" s="951"/>
      <c r="AF36" s="951"/>
      <c r="AG36" s="951"/>
      <c r="AH36" s="951"/>
      <c r="AI36" s="1296"/>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3126</v>
      </c>
      <c r="B37" s="760" t="s">
        <v>4109</v>
      </c>
      <c r="C37" s="756" t="s">
        <v>1258</v>
      </c>
      <c r="D37" s="757" t="s">
        <v>1258</v>
      </c>
      <c r="E37" s="758" t="s">
        <v>548</v>
      </c>
      <c r="F37" s="759" t="s">
        <v>548</v>
      </c>
      <c r="G37" s="760" t="s">
        <v>548</v>
      </c>
      <c r="H37" s="1375"/>
      <c r="I37" s="1375"/>
      <c r="J37" s="951"/>
      <c r="K37" s="951"/>
      <c r="L37" s="951"/>
      <c r="M37" s="951"/>
      <c r="N37" s="951"/>
      <c r="O37" s="951"/>
      <c r="P37" s="951"/>
      <c r="Q37" s="951"/>
      <c r="R37" s="951"/>
      <c r="S37" s="951"/>
      <c r="T37" s="951"/>
      <c r="U37" s="951"/>
      <c r="V37" s="1296"/>
      <c r="W37" s="951"/>
      <c r="X37" s="951"/>
      <c r="Y37" s="951"/>
      <c r="Z37" s="951"/>
      <c r="AA37" s="951"/>
      <c r="AB37" s="1296"/>
      <c r="AC37" s="950"/>
      <c r="AD37" s="1302" t="s">
        <v>427</v>
      </c>
      <c r="AE37" s="1292"/>
      <c r="AF37" s="1292"/>
      <c r="AG37" s="1292"/>
      <c r="AH37" s="951"/>
      <c r="AI37" s="1296"/>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9"/>
      <c r="CF37" s="1389"/>
      <c r="CG37" s="1388"/>
      <c r="CH37" s="1388"/>
      <c r="CI37" s="1389"/>
      <c r="CJ37" s="1389"/>
      <c r="CK37" s="1388"/>
      <c r="CL37" s="1388"/>
      <c r="CM37" s="1353"/>
      <c r="CN37" s="1353"/>
      <c r="CO37" s="1353"/>
      <c r="CP37" s="1366"/>
      <c r="CQ37" s="1366"/>
      <c r="CR37" s="1366"/>
      <c r="CS37" s="1366"/>
      <c r="CT37" s="1292"/>
      <c r="CU37" s="1292"/>
    </row>
    <row r="38">
      <c r="A38" s="1419" t="s">
        <v>6526</v>
      </c>
      <c r="B38" s="760" t="s">
        <v>4048</v>
      </c>
      <c r="C38" s="756" t="s">
        <v>1258</v>
      </c>
      <c r="D38" s="757" t="s">
        <v>1258</v>
      </c>
      <c r="E38" s="758" t="s">
        <v>1258</v>
      </c>
      <c r="F38" s="759" t="s">
        <v>1258</v>
      </c>
      <c r="G38" s="760" t="s">
        <v>335</v>
      </c>
      <c r="H38" s="1375"/>
      <c r="I38" s="1375"/>
      <c r="J38" s="951"/>
      <c r="K38" s="951"/>
      <c r="L38" s="951"/>
      <c r="M38" s="951"/>
      <c r="N38" s="951"/>
      <c r="O38" s="951"/>
      <c r="P38" s="951"/>
      <c r="Q38" s="951"/>
      <c r="R38" s="951"/>
      <c r="S38" s="950" t="s">
        <v>8753</v>
      </c>
      <c r="T38" s="951"/>
      <c r="U38" s="950" t="s">
        <v>8754</v>
      </c>
      <c r="V38" s="1296"/>
      <c r="W38" s="951"/>
      <c r="X38" s="950" t="s">
        <v>6420</v>
      </c>
      <c r="Y38" s="950" t="s">
        <v>2003</v>
      </c>
      <c r="Z38" s="951"/>
      <c r="AA38" s="950" t="s">
        <v>3139</v>
      </c>
      <c r="AB38" s="1296"/>
      <c r="AC38" s="950" t="s">
        <v>8755</v>
      </c>
      <c r="AD38" s="950" t="s">
        <v>2124</v>
      </c>
      <c r="AE38" s="950" t="s">
        <v>6505</v>
      </c>
      <c r="AF38" s="950" t="s">
        <v>8756</v>
      </c>
      <c r="AG38" s="951"/>
      <c r="AH38" s="951"/>
      <c r="AI38" s="1296"/>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8420</v>
      </c>
      <c r="CF38" s="951"/>
      <c r="CG38" s="1296"/>
      <c r="CH38" s="1296"/>
      <c r="CI38" s="951"/>
      <c r="CJ38" s="950" t="s">
        <v>8757</v>
      </c>
      <c r="CK38" s="1296"/>
      <c r="CL38" s="1296"/>
      <c r="CM38" s="951"/>
      <c r="CN38" s="951"/>
      <c r="CO38" s="951"/>
      <c r="CP38" s="1296"/>
      <c r="CQ38" s="1296"/>
      <c r="CR38" s="1296"/>
      <c r="CS38" s="1296"/>
      <c r="CT38" s="951"/>
      <c r="CU38" s="951"/>
    </row>
    <row r="39">
      <c r="A39" s="1404" t="s">
        <v>1416</v>
      </c>
      <c r="B39" s="760" t="s">
        <v>8758</v>
      </c>
      <c r="C39" s="756" t="s">
        <v>1258</v>
      </c>
      <c r="D39" s="757" t="s">
        <v>548</v>
      </c>
      <c r="E39" s="758" t="s">
        <v>1258</v>
      </c>
      <c r="F39" s="759" t="s">
        <v>548</v>
      </c>
      <c r="G39" s="760" t="s">
        <v>548</v>
      </c>
      <c r="H39" s="1375"/>
      <c r="I39" s="1375"/>
      <c r="J39" s="951"/>
      <c r="K39" s="951"/>
      <c r="L39" s="951"/>
      <c r="M39" s="951"/>
      <c r="N39" s="951"/>
      <c r="O39" s="951"/>
      <c r="P39" s="951"/>
      <c r="Q39" s="951"/>
      <c r="R39" s="951"/>
      <c r="S39" s="951"/>
      <c r="T39" s="951"/>
      <c r="U39" s="951"/>
      <c r="V39" s="1296"/>
      <c r="W39" s="1303" t="s">
        <v>5534</v>
      </c>
      <c r="X39" s="1292"/>
      <c r="Y39" s="951"/>
      <c r="Z39" s="951"/>
      <c r="AA39" s="951"/>
      <c r="AB39" s="1296"/>
      <c r="AC39" s="951"/>
      <c r="AD39" s="951"/>
      <c r="AE39" s="951"/>
      <c r="AF39" s="951"/>
      <c r="AG39" s="951"/>
      <c r="AH39" s="951"/>
      <c r="AI39" s="1296"/>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9"/>
      <c r="CF39" s="1389"/>
      <c r="CG39" s="1388"/>
      <c r="CH39" s="1388"/>
      <c r="CI39" s="1389"/>
      <c r="CJ39" s="1389"/>
      <c r="CK39" s="1388"/>
      <c r="CL39" s="1388"/>
      <c r="CM39" s="1353"/>
      <c r="CN39" s="1353"/>
      <c r="CO39" s="1353"/>
      <c r="CP39" s="1366"/>
      <c r="CQ39" s="1366"/>
      <c r="CR39" s="1366"/>
      <c r="CS39" s="1366"/>
      <c r="CT39" s="951"/>
      <c r="CU39" s="951"/>
    </row>
    <row r="40">
      <c r="A40" s="1420" t="s">
        <v>5801</v>
      </c>
      <c r="B40" s="760" t="s">
        <v>1947</v>
      </c>
      <c r="C40" s="756" t="s">
        <v>1258</v>
      </c>
      <c r="D40" s="757" t="s">
        <v>1258</v>
      </c>
      <c r="E40" s="758" t="s">
        <v>1258</v>
      </c>
      <c r="F40" s="759" t="s">
        <v>1258</v>
      </c>
      <c r="G40" s="760" t="s">
        <v>3287</v>
      </c>
      <c r="H40" s="1375"/>
      <c r="I40" s="1375"/>
      <c r="J40" s="951"/>
      <c r="K40" s="951"/>
      <c r="L40" s="951"/>
      <c r="M40" s="951"/>
      <c r="N40" s="951"/>
      <c r="O40" s="951"/>
      <c r="P40" s="950" t="s">
        <v>8759</v>
      </c>
      <c r="Q40" s="951"/>
      <c r="R40" s="950" t="s">
        <v>8760</v>
      </c>
      <c r="S40" s="951"/>
      <c r="T40" s="951"/>
      <c r="U40" s="951"/>
      <c r="V40" s="1296"/>
      <c r="W40" s="951"/>
      <c r="X40" s="950" t="s">
        <v>8614</v>
      </c>
      <c r="Y40" s="951"/>
      <c r="Z40" s="951"/>
      <c r="AA40" s="950" t="s">
        <v>8761</v>
      </c>
      <c r="AB40" s="1296"/>
      <c r="AC40" s="951"/>
      <c r="AD40" s="951"/>
      <c r="AE40" s="950" t="s">
        <v>3885</v>
      </c>
      <c r="AF40" s="950" t="s">
        <v>8762</v>
      </c>
      <c r="AG40" s="950" t="s">
        <v>570</v>
      </c>
      <c r="AH40" s="1305" t="s">
        <v>8763</v>
      </c>
      <c r="AI40" s="1296"/>
      <c r="AJ40" s="1296"/>
      <c r="AK40" s="951"/>
      <c r="AL40" s="951"/>
      <c r="AM40" s="951"/>
      <c r="AN40" s="951"/>
      <c r="AO40" s="951"/>
      <c r="AP40" s="950" t="s">
        <v>8458</v>
      </c>
      <c r="AQ40" s="951"/>
      <c r="AR40" s="951"/>
      <c r="AS40" s="951"/>
      <c r="AT40" s="951"/>
      <c r="AU40" s="951"/>
      <c r="AV40" s="951"/>
      <c r="AW40" s="951"/>
      <c r="AX40" s="951"/>
      <c r="AY40" s="951"/>
      <c r="AZ40" s="951"/>
      <c r="BA40" s="951"/>
      <c r="BB40" s="950" t="s">
        <v>8692</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4647</v>
      </c>
      <c r="B41" s="760" t="s">
        <v>221</v>
      </c>
      <c r="C41" s="756" t="s">
        <v>1258</v>
      </c>
      <c r="D41" s="757" t="s">
        <v>1258</v>
      </c>
      <c r="E41" s="758" t="s">
        <v>1258</v>
      </c>
      <c r="F41" s="759" t="s">
        <v>1258</v>
      </c>
      <c r="G41" s="760" t="s">
        <v>548</v>
      </c>
      <c r="H41" s="1375"/>
      <c r="I41" s="1375"/>
      <c r="J41" s="951"/>
      <c r="K41" s="951"/>
      <c r="L41" s="951"/>
      <c r="M41" s="951"/>
      <c r="N41" s="951"/>
      <c r="O41" s="951"/>
      <c r="P41" s="951"/>
      <c r="Q41" s="951"/>
      <c r="R41" s="951"/>
      <c r="S41" s="951"/>
      <c r="T41" s="951"/>
      <c r="U41" s="951"/>
      <c r="V41" s="1296"/>
      <c r="W41" s="92"/>
      <c r="X41" s="92"/>
      <c r="Y41" s="1305" t="s">
        <v>892</v>
      </c>
      <c r="Z41" s="951"/>
      <c r="AA41" s="951"/>
      <c r="AB41" s="1296"/>
      <c r="AC41" s="951"/>
      <c r="AD41" s="951"/>
      <c r="AE41" s="951"/>
      <c r="AF41" s="951"/>
      <c r="AG41" s="951"/>
      <c r="AH41" s="951"/>
      <c r="AI41" s="1296"/>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1" t="s">
        <v>7194</v>
      </c>
      <c r="B42" s="760" t="s">
        <v>3967</v>
      </c>
      <c r="C42" s="756" t="s">
        <v>1258</v>
      </c>
      <c r="D42" s="757" t="s">
        <v>1258</v>
      </c>
      <c r="E42" s="758" t="s">
        <v>1258</v>
      </c>
      <c r="F42" s="759" t="s">
        <v>1258</v>
      </c>
      <c r="G42" s="760" t="s">
        <v>439</v>
      </c>
      <c r="H42" s="1414"/>
      <c r="I42" s="1414"/>
      <c r="J42" s="951"/>
      <c r="K42" s="951"/>
      <c r="L42" s="951"/>
      <c r="M42" s="951"/>
      <c r="N42" s="951"/>
      <c r="O42" s="951"/>
      <c r="P42" s="951"/>
      <c r="Q42" s="951"/>
      <c r="R42" s="950" t="s">
        <v>8764</v>
      </c>
      <c r="S42" s="951"/>
      <c r="T42" s="951"/>
      <c r="U42" s="950" t="s">
        <v>8765</v>
      </c>
      <c r="V42" s="1296"/>
      <c r="W42" s="951"/>
      <c r="X42" s="951"/>
      <c r="Y42" s="951"/>
      <c r="Z42" s="951"/>
      <c r="AA42" s="951"/>
      <c r="AB42" s="1296"/>
      <c r="AC42" s="951"/>
      <c r="AD42" s="951"/>
      <c r="AE42" s="951"/>
      <c r="AF42" s="951"/>
      <c r="AG42" s="951"/>
      <c r="AH42" s="951"/>
      <c r="AI42" s="1296"/>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3"/>
      <c r="BH42" s="1372"/>
      <c r="BI42" s="1372"/>
      <c r="BJ42" s="1372"/>
      <c r="BK42" s="1372"/>
      <c r="BL42" s="1373"/>
      <c r="BM42" s="1372"/>
      <c r="BN42" s="1372"/>
      <c r="BO42" s="1372"/>
      <c r="BP42" s="1372"/>
      <c r="BQ42" s="1296"/>
      <c r="BR42" s="1296"/>
      <c r="BS42" s="1296"/>
      <c r="BT42" s="1296"/>
      <c r="BU42" s="1296"/>
      <c r="BV42" s="951"/>
      <c r="BW42" s="1296"/>
      <c r="BX42" s="951"/>
      <c r="BY42" s="951"/>
      <c r="BZ42" s="951"/>
      <c r="CA42" s="1296"/>
      <c r="CB42" s="1296"/>
      <c r="CC42" s="1296"/>
      <c r="CD42" s="1296"/>
      <c r="CE42" s="1353"/>
      <c r="CF42" s="1353"/>
      <c r="CG42" s="1366"/>
      <c r="CH42" s="1366"/>
      <c r="CI42" s="1353"/>
      <c r="CJ42" s="1353"/>
      <c r="CK42" s="1366"/>
      <c r="CL42" s="1366"/>
      <c r="CM42" s="951"/>
      <c r="CN42" s="951"/>
      <c r="CO42" s="951"/>
      <c r="CP42" s="1296"/>
      <c r="CQ42" s="1296"/>
      <c r="CR42" s="1296"/>
      <c r="CS42" s="1296"/>
      <c r="CT42" s="951"/>
      <c r="CU42" s="951"/>
    </row>
    <row r="43">
      <c r="A43" s="1401" t="s">
        <v>8766</v>
      </c>
      <c r="B43" s="760" t="s">
        <v>6234</v>
      </c>
      <c r="C43" s="756" t="s">
        <v>1258</v>
      </c>
      <c r="D43" s="757" t="s">
        <v>548</v>
      </c>
      <c r="E43" s="758" t="s">
        <v>1258</v>
      </c>
      <c r="F43" s="759" t="s">
        <v>548</v>
      </c>
      <c r="G43" s="760" t="s">
        <v>548</v>
      </c>
      <c r="H43" s="1375"/>
      <c r="I43" s="1375"/>
      <c r="J43" s="951"/>
      <c r="K43" s="951"/>
      <c r="L43" s="951"/>
      <c r="M43" s="951"/>
      <c r="N43" s="951"/>
      <c r="O43" s="951"/>
      <c r="P43" s="951"/>
      <c r="Q43" s="951"/>
      <c r="R43" s="951"/>
      <c r="S43" s="951"/>
      <c r="T43" s="951"/>
      <c r="U43" s="951"/>
      <c r="V43" s="1296"/>
      <c r="W43" s="951"/>
      <c r="X43" s="951"/>
      <c r="Y43" s="951"/>
      <c r="Z43" s="951"/>
      <c r="AA43" s="951"/>
      <c r="AB43" s="1296"/>
      <c r="AC43" s="951"/>
      <c r="AD43" s="951"/>
      <c r="AE43" s="951"/>
      <c r="AF43" s="951"/>
      <c r="AG43" s="951"/>
      <c r="AH43" s="951"/>
      <c r="AI43" s="1296"/>
      <c r="AJ43" s="1296"/>
      <c r="AK43" s="951"/>
      <c r="AL43" s="951"/>
      <c r="AM43" s="951"/>
      <c r="AN43" s="951"/>
      <c r="AO43" s="951"/>
      <c r="AP43" s="1303" t="s">
        <v>8360</v>
      </c>
      <c r="AQ43" s="951"/>
      <c r="AR43" s="951"/>
      <c r="AS43" s="951"/>
      <c r="AT43" s="951"/>
      <c r="AU43" s="951"/>
      <c r="AV43" s="951"/>
      <c r="AW43" s="951"/>
      <c r="AX43" s="951"/>
      <c r="AY43" s="951"/>
      <c r="AZ43" s="951"/>
      <c r="BA43" s="951"/>
      <c r="BB43" s="951"/>
      <c r="BC43" s="951"/>
      <c r="BD43" s="951"/>
      <c r="BE43" s="1296"/>
      <c r="BF43" s="951"/>
      <c r="BG43" s="1373"/>
      <c r="BH43" s="1372"/>
      <c r="BI43" s="1372"/>
      <c r="BJ43" s="1372"/>
      <c r="BK43" s="1372"/>
      <c r="BL43" s="1373"/>
      <c r="BM43" s="1372"/>
      <c r="BN43" s="1372"/>
      <c r="BO43" s="1372"/>
      <c r="BP43" s="1372"/>
      <c r="BQ43" s="1296"/>
      <c r="BR43" s="1296"/>
      <c r="BS43" s="1296"/>
      <c r="BT43" s="1296"/>
      <c r="BU43" s="1296"/>
      <c r="BV43" s="951"/>
      <c r="BW43" s="1296"/>
      <c r="BX43" s="951"/>
      <c r="BY43" s="951"/>
      <c r="BZ43" s="951"/>
      <c r="CA43" s="1296"/>
      <c r="CB43" s="1296"/>
      <c r="CC43" s="1296"/>
      <c r="CD43" s="1296"/>
      <c r="CE43" s="1353"/>
      <c r="CF43" s="1353"/>
      <c r="CG43" s="1366"/>
      <c r="CH43" s="1366"/>
      <c r="CI43" s="1353"/>
      <c r="CJ43" s="1353"/>
      <c r="CK43" s="1366"/>
      <c r="CL43" s="1366"/>
      <c r="CM43" s="1353"/>
      <c r="CN43" s="1353"/>
      <c r="CO43" s="1353"/>
      <c r="CP43" s="1366"/>
      <c r="CQ43" s="1366"/>
      <c r="CR43" s="1366"/>
      <c r="CS43" s="1366"/>
      <c r="CT43" s="951"/>
      <c r="CU43" s="951"/>
    </row>
    <row r="44">
      <c r="A44" s="1404" t="s">
        <v>899</v>
      </c>
      <c r="B44" s="760" t="s">
        <v>2865</v>
      </c>
      <c r="C44" s="756" t="s">
        <v>1258</v>
      </c>
      <c r="D44" s="757" t="s">
        <v>1258</v>
      </c>
      <c r="E44" s="758" t="s">
        <v>1258</v>
      </c>
      <c r="F44" s="759" t="s">
        <v>548</v>
      </c>
      <c r="G44" s="760" t="s">
        <v>548</v>
      </c>
      <c r="H44" s="1375"/>
      <c r="I44" s="1375"/>
      <c r="J44" s="951"/>
      <c r="K44" s="951"/>
      <c r="L44" s="951"/>
      <c r="M44" s="951"/>
      <c r="N44" s="951"/>
      <c r="O44" s="951"/>
      <c r="P44" s="951"/>
      <c r="Q44" s="951"/>
      <c r="R44" s="953" t="s">
        <v>8767</v>
      </c>
      <c r="S44" s="951"/>
      <c r="T44" s="951"/>
      <c r="U44" s="951"/>
      <c r="V44" s="1296"/>
      <c r="W44" s="951"/>
      <c r="X44" s="951"/>
      <c r="Y44" s="951"/>
      <c r="Z44" s="951"/>
      <c r="AA44" s="951"/>
      <c r="AB44" s="1296"/>
      <c r="AC44" s="951"/>
      <c r="AD44" s="951"/>
      <c r="AE44" s="951"/>
      <c r="AF44" s="951"/>
      <c r="AG44" s="951"/>
      <c r="AH44" s="951"/>
      <c r="AI44" s="1296"/>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1"/>
      <c r="BH44" s="1422"/>
      <c r="BI44" s="1422"/>
      <c r="BJ44" s="1422"/>
      <c r="BK44" s="1422"/>
      <c r="BL44" s="1421"/>
      <c r="BM44" s="1422"/>
      <c r="BN44" s="1422"/>
      <c r="BO44" s="1422"/>
      <c r="BP44" s="1422"/>
      <c r="BQ44" s="1296"/>
      <c r="BR44" s="1296"/>
      <c r="BS44" s="1296"/>
      <c r="BT44" s="1296"/>
      <c r="BU44" s="1296"/>
      <c r="BV44" s="951"/>
      <c r="BW44" s="1296"/>
      <c r="BX44" s="951"/>
      <c r="BY44" s="951"/>
      <c r="BZ44" s="951"/>
      <c r="CA44" s="1296"/>
      <c r="CB44" s="1296"/>
      <c r="CC44" s="1296"/>
      <c r="CD44" s="1296"/>
      <c r="CE44" s="1423"/>
      <c r="CF44" s="1423"/>
      <c r="CG44" s="1424"/>
      <c r="CH44" s="1424"/>
      <c r="CI44" s="1423"/>
      <c r="CJ44" s="1423"/>
      <c r="CK44" s="1424"/>
      <c r="CL44" s="1424"/>
      <c r="CM44" s="1292"/>
      <c r="CN44" s="1292"/>
      <c r="CO44" s="1292"/>
      <c r="CP44" s="1314"/>
      <c r="CQ44" s="1314"/>
      <c r="CR44" s="1314"/>
      <c r="CS44" s="1314"/>
      <c r="CT44" s="951"/>
      <c r="CU44" s="951"/>
    </row>
    <row r="45">
      <c r="A45" s="1425" t="s">
        <v>6252</v>
      </c>
      <c r="B45" s="760" t="s">
        <v>223</v>
      </c>
      <c r="C45" s="756" t="s">
        <v>1258</v>
      </c>
      <c r="D45" s="757" t="s">
        <v>1258</v>
      </c>
      <c r="E45" s="758" t="s">
        <v>1258</v>
      </c>
      <c r="F45" s="759" t="s">
        <v>1258</v>
      </c>
      <c r="G45" s="760" t="s">
        <v>336</v>
      </c>
      <c r="H45" s="1375"/>
      <c r="I45" s="1375"/>
      <c r="J45" s="951"/>
      <c r="K45" s="950" t="s">
        <v>8768</v>
      </c>
      <c r="L45" s="951"/>
      <c r="M45" s="951"/>
      <c r="N45" s="951"/>
      <c r="O45" s="951"/>
      <c r="P45" s="951"/>
      <c r="Q45" s="951"/>
      <c r="R45" s="951"/>
      <c r="S45" s="951"/>
      <c r="T45" s="951"/>
      <c r="U45" s="951"/>
      <c r="V45" s="1296"/>
      <c r="W45" s="1305" t="s">
        <v>6511</v>
      </c>
      <c r="X45" s="950"/>
      <c r="Y45" s="951"/>
      <c r="Z45" s="951"/>
      <c r="AA45" s="951"/>
      <c r="AB45" s="1296"/>
      <c r="AC45" s="951"/>
      <c r="AD45" s="1305" t="s">
        <v>3071</v>
      </c>
      <c r="AE45" s="92"/>
      <c r="AF45" s="92"/>
      <c r="AG45" s="92"/>
      <c r="AH45" s="951"/>
      <c r="AI45" s="1296"/>
      <c r="AJ45" s="1296"/>
      <c r="AK45" s="951"/>
      <c r="AL45" s="951"/>
      <c r="AM45" s="951"/>
      <c r="AN45" s="951"/>
      <c r="AO45" s="951"/>
      <c r="AP45" s="951"/>
      <c r="AQ45" s="951"/>
      <c r="AR45" s="951"/>
      <c r="AS45" s="951"/>
      <c r="AT45" s="951"/>
      <c r="AU45" s="950" t="s">
        <v>8363</v>
      </c>
      <c r="AV45" s="950"/>
      <c r="AW45" s="951"/>
      <c r="AX45" s="951"/>
      <c r="AY45" s="951"/>
      <c r="AZ45" s="951"/>
      <c r="BA45" s="951"/>
      <c r="BB45" s="951"/>
      <c r="BC45" s="950" t="s">
        <v>8460</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2" t="s">
        <v>3620</v>
      </c>
      <c r="B46" s="760" t="s">
        <v>2642</v>
      </c>
      <c r="C46" s="756" t="s">
        <v>1258</v>
      </c>
      <c r="D46" s="757" t="s">
        <v>1258</v>
      </c>
      <c r="E46" s="758" t="s">
        <v>1258</v>
      </c>
      <c r="F46" s="759" t="s">
        <v>439</v>
      </c>
      <c r="G46" s="760" t="s">
        <v>439</v>
      </c>
      <c r="H46" s="1375"/>
      <c r="I46" s="1375"/>
      <c r="J46" s="951"/>
      <c r="K46" s="951"/>
      <c r="L46" s="951"/>
      <c r="M46" s="951"/>
      <c r="N46" s="951"/>
      <c r="O46" s="951"/>
      <c r="P46" s="951"/>
      <c r="Q46" s="951"/>
      <c r="R46" s="951"/>
      <c r="S46" s="951"/>
      <c r="T46" s="951"/>
      <c r="U46" s="1359"/>
      <c r="V46" s="1363"/>
      <c r="W46" s="951"/>
      <c r="X46" s="951"/>
      <c r="Y46" s="953" t="s">
        <v>266</v>
      </c>
      <c r="Z46" s="951"/>
      <c r="AA46" s="951"/>
      <c r="AB46" s="1296"/>
      <c r="AC46" s="951"/>
      <c r="AD46" s="953" t="s">
        <v>1331</v>
      </c>
      <c r="AE46" s="951"/>
      <c r="AF46" s="951"/>
      <c r="AG46" s="951"/>
      <c r="AH46" s="951"/>
      <c r="AI46" s="1296"/>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3"/>
      <c r="BH46" s="1372"/>
      <c r="BI46" s="1372"/>
      <c r="BJ46" s="1372"/>
      <c r="BK46" s="1372"/>
      <c r="BL46" s="1373"/>
      <c r="BM46" s="1372"/>
      <c r="BN46" s="1372"/>
      <c r="BO46" s="1372"/>
      <c r="BP46" s="1372"/>
      <c r="BQ46" s="1296"/>
      <c r="BR46" s="1296"/>
      <c r="BS46" s="1296"/>
      <c r="BT46" s="1296"/>
      <c r="BU46" s="1296"/>
      <c r="BV46" s="951"/>
      <c r="BW46" s="1296"/>
      <c r="BX46" s="951"/>
      <c r="BY46" s="951"/>
      <c r="BZ46" s="951"/>
      <c r="CA46" s="1296"/>
      <c r="CB46" s="1296"/>
      <c r="CC46" s="1296"/>
      <c r="CD46" s="1296"/>
      <c r="CE46" s="1406"/>
      <c r="CF46" s="1406"/>
      <c r="CG46" s="1407"/>
      <c r="CH46" s="1407"/>
      <c r="CI46" s="1406"/>
      <c r="CJ46" s="1406"/>
      <c r="CK46" s="1407"/>
      <c r="CL46" s="1407"/>
      <c r="CM46" s="951"/>
      <c r="CN46" s="951"/>
      <c r="CO46" s="951"/>
      <c r="CP46" s="1296"/>
      <c r="CQ46" s="1296"/>
      <c r="CR46" s="1296"/>
      <c r="CS46" s="1296"/>
      <c r="CT46" s="951"/>
      <c r="CU46" s="951"/>
    </row>
    <row r="47">
      <c r="A47" s="1401" t="s">
        <v>5139</v>
      </c>
      <c r="B47" s="760" t="s">
        <v>222</v>
      </c>
      <c r="C47" s="756" t="s">
        <v>1258</v>
      </c>
      <c r="D47" s="757" t="s">
        <v>1258</v>
      </c>
      <c r="E47" s="758" t="s">
        <v>1258</v>
      </c>
      <c r="F47" s="759" t="s">
        <v>1258</v>
      </c>
      <c r="G47" s="760" t="s">
        <v>548</v>
      </c>
      <c r="H47" s="1375"/>
      <c r="I47" s="1375"/>
      <c r="J47" s="951"/>
      <c r="K47" s="951"/>
      <c r="L47" s="951"/>
      <c r="M47" s="951"/>
      <c r="N47" s="951"/>
      <c r="O47" s="951"/>
      <c r="P47" s="951"/>
      <c r="Q47" s="951"/>
      <c r="R47" s="951"/>
      <c r="S47" s="951"/>
      <c r="T47" s="951"/>
      <c r="U47" s="951"/>
      <c r="V47" s="1296"/>
      <c r="W47" s="951"/>
      <c r="X47" s="950" t="s">
        <v>5075</v>
      </c>
      <c r="Y47" s="951"/>
      <c r="Z47" s="951"/>
      <c r="AA47" s="951"/>
      <c r="AB47" s="1296"/>
      <c r="AC47" s="951"/>
      <c r="AD47" s="951"/>
      <c r="AE47" s="951"/>
      <c r="AF47" s="951"/>
      <c r="AG47" s="951"/>
      <c r="AH47" s="951"/>
      <c r="AI47" s="1296"/>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6" t="s">
        <v>6447</v>
      </c>
      <c r="B48" s="760" t="s">
        <v>222</v>
      </c>
      <c r="C48" s="756" t="s">
        <v>1258</v>
      </c>
      <c r="D48" s="757" t="s">
        <v>1258</v>
      </c>
      <c r="E48" s="758" t="s">
        <v>1258</v>
      </c>
      <c r="F48" s="759" t="s">
        <v>1258</v>
      </c>
      <c r="G48" s="760" t="s">
        <v>649</v>
      </c>
      <c r="H48" s="1375"/>
      <c r="I48" s="1375"/>
      <c r="J48" s="951"/>
      <c r="K48" s="951"/>
      <c r="L48" s="951"/>
      <c r="M48" s="951"/>
      <c r="N48" s="951"/>
      <c r="O48" s="951"/>
      <c r="P48" s="951"/>
      <c r="Q48" s="951"/>
      <c r="R48" s="951"/>
      <c r="S48" s="951"/>
      <c r="T48" s="951"/>
      <c r="U48" s="950" t="s">
        <v>8769</v>
      </c>
      <c r="V48" s="1296"/>
      <c r="W48" s="951"/>
      <c r="X48" s="950" t="s">
        <v>3303</v>
      </c>
      <c r="Y48" s="951"/>
      <c r="Z48" s="951"/>
      <c r="AA48" s="951"/>
      <c r="AB48" s="1296"/>
      <c r="AC48" s="951"/>
      <c r="AD48" s="950" t="s">
        <v>8023</v>
      </c>
      <c r="AE48" s="951"/>
      <c r="AF48" s="951"/>
      <c r="AG48" s="951"/>
      <c r="AH48" s="951"/>
      <c r="AI48" s="1296"/>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1" t="s">
        <v>7452</v>
      </c>
      <c r="B49" s="760" t="s">
        <v>335</v>
      </c>
      <c r="C49" s="756" t="s">
        <v>548</v>
      </c>
      <c r="D49" s="757" t="s">
        <v>1258</v>
      </c>
      <c r="E49" s="758" t="s">
        <v>1258</v>
      </c>
      <c r="F49" s="759" t="s">
        <v>548</v>
      </c>
      <c r="G49" s="760" t="s">
        <v>548</v>
      </c>
      <c r="H49" s="1375"/>
      <c r="I49" s="1375"/>
      <c r="J49" s="951"/>
      <c r="K49" s="951"/>
      <c r="L49" s="951"/>
      <c r="M49" s="951"/>
      <c r="N49" s="951"/>
      <c r="O49" s="951"/>
      <c r="P49" s="951"/>
      <c r="Q49" s="951"/>
      <c r="R49" s="951"/>
      <c r="S49" s="951"/>
      <c r="T49" s="951"/>
      <c r="U49" s="951"/>
      <c r="V49" s="1296"/>
      <c r="W49" s="951"/>
      <c r="X49" s="951"/>
      <c r="Y49" s="951"/>
      <c r="Z49" s="951"/>
      <c r="AA49" s="951"/>
      <c r="AB49" s="1296"/>
      <c r="AC49" s="951"/>
      <c r="AD49" s="951"/>
      <c r="AE49" s="951"/>
      <c r="AF49" s="951"/>
      <c r="AG49" s="951"/>
      <c r="AH49" s="951"/>
      <c r="AI49" s="1296"/>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8770</v>
      </c>
      <c r="B50" s="760" t="s">
        <v>335</v>
      </c>
      <c r="C50" s="756" t="s">
        <v>1258</v>
      </c>
      <c r="D50" s="757" t="s">
        <v>1258</v>
      </c>
      <c r="E50" s="758" t="s">
        <v>1258</v>
      </c>
      <c r="F50" s="759" t="s">
        <v>548</v>
      </c>
      <c r="G50" s="760" t="s">
        <v>548</v>
      </c>
      <c r="H50" s="1375"/>
      <c r="I50" s="1375"/>
      <c r="J50" s="951"/>
      <c r="K50" s="951"/>
      <c r="L50" s="951"/>
      <c r="M50" s="951"/>
      <c r="N50" s="951"/>
      <c r="O50" s="951"/>
      <c r="P50" s="951"/>
      <c r="Q50" s="951"/>
      <c r="R50" s="951"/>
      <c r="S50" s="951"/>
      <c r="T50" s="951"/>
      <c r="U50" s="951"/>
      <c r="V50" s="1296"/>
      <c r="W50" s="951"/>
      <c r="X50" s="951"/>
      <c r="Y50" s="951"/>
      <c r="Z50" s="951"/>
      <c r="AA50" s="951"/>
      <c r="AB50" s="1296"/>
      <c r="AC50" s="951"/>
      <c r="AD50" s="951"/>
      <c r="AE50" s="1292"/>
      <c r="AF50" s="953" t="s">
        <v>8771</v>
      </c>
      <c r="AG50" s="1292"/>
      <c r="AH50" s="951"/>
      <c r="AI50" s="1296"/>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3"/>
      <c r="BH50" s="1372"/>
      <c r="BI50" s="1372"/>
      <c r="BJ50" s="1372"/>
      <c r="BK50" s="1372"/>
      <c r="BL50" s="1373"/>
      <c r="BM50" s="1372"/>
      <c r="BN50" s="1372"/>
      <c r="BO50" s="1372"/>
      <c r="BP50" s="1372"/>
      <c r="BQ50" s="1296"/>
      <c r="BR50" s="1296"/>
      <c r="BS50" s="1296"/>
      <c r="BT50" s="1296"/>
      <c r="BU50" s="1296"/>
      <c r="BV50" s="951"/>
      <c r="BW50" s="1296"/>
      <c r="BX50" s="951"/>
      <c r="BY50" s="951"/>
      <c r="BZ50" s="951"/>
      <c r="CA50" s="1296"/>
      <c r="CB50" s="1296"/>
      <c r="CC50" s="1296"/>
      <c r="CD50" s="1296"/>
      <c r="CE50" s="1353"/>
      <c r="CF50" s="1353"/>
      <c r="CG50" s="1366"/>
      <c r="CH50" s="1366"/>
      <c r="CI50" s="1353"/>
      <c r="CJ50" s="1353"/>
      <c r="CK50" s="1366"/>
      <c r="CL50" s="1366"/>
      <c r="CM50" s="1353"/>
      <c r="CN50" s="1353"/>
      <c r="CO50" s="1353"/>
      <c r="CP50" s="1366"/>
      <c r="CQ50" s="1366"/>
      <c r="CR50" s="1366"/>
      <c r="CS50" s="1366"/>
      <c r="CT50" s="951"/>
      <c r="CU50" s="951"/>
    </row>
    <row r="51">
      <c r="A51" s="1395" t="s">
        <v>4126</v>
      </c>
      <c r="B51" s="760" t="s">
        <v>3287</v>
      </c>
      <c r="C51" s="756" t="s">
        <v>1258</v>
      </c>
      <c r="D51" s="757" t="s">
        <v>1258</v>
      </c>
      <c r="E51" s="758" t="s">
        <v>1258</v>
      </c>
      <c r="F51" s="759" t="s">
        <v>1258</v>
      </c>
      <c r="G51" s="760" t="s">
        <v>439</v>
      </c>
      <c r="H51" s="1375"/>
      <c r="I51" s="1375"/>
      <c r="J51" s="951"/>
      <c r="K51" s="951"/>
      <c r="L51" s="951"/>
      <c r="M51" s="951"/>
      <c r="N51" s="951"/>
      <c r="O51" s="951"/>
      <c r="P51" s="951"/>
      <c r="Q51" s="951"/>
      <c r="R51" s="950" t="s">
        <v>8772</v>
      </c>
      <c r="S51" s="951"/>
      <c r="T51" s="951"/>
      <c r="U51" s="951"/>
      <c r="V51" s="1296"/>
      <c r="W51" s="951"/>
      <c r="X51" s="951"/>
      <c r="Y51" s="951"/>
      <c r="Z51" s="951"/>
      <c r="AA51" s="951"/>
      <c r="AB51" s="1296"/>
      <c r="AC51" s="951"/>
      <c r="AD51" s="951"/>
      <c r="AE51" s="951"/>
      <c r="AF51" s="951"/>
      <c r="AG51" s="951"/>
      <c r="AH51" s="951"/>
      <c r="AI51" s="1296"/>
      <c r="AJ51" s="1296"/>
      <c r="AK51" s="951"/>
      <c r="AL51" s="951"/>
      <c r="AM51" s="951"/>
      <c r="AN51" s="951"/>
      <c r="AO51" s="951"/>
      <c r="AP51" s="951"/>
      <c r="AQ51" s="951"/>
      <c r="AR51" s="951"/>
      <c r="AS51" s="951"/>
      <c r="AT51" s="950" t="s">
        <v>8773</v>
      </c>
      <c r="AU51" s="951"/>
      <c r="AV51" s="951"/>
      <c r="AW51" s="951"/>
      <c r="AX51" s="951"/>
      <c r="AY51" s="951"/>
      <c r="AZ51" s="951"/>
      <c r="BA51" s="951"/>
      <c r="BB51" s="951"/>
      <c r="BC51" s="951"/>
      <c r="BD51" s="951"/>
      <c r="BE51" s="1296"/>
      <c r="BF51" s="951"/>
      <c r="BG51" s="1373"/>
      <c r="BH51" s="1372"/>
      <c r="BI51" s="1372"/>
      <c r="BJ51" s="1372"/>
      <c r="BK51" s="1372"/>
      <c r="BL51" s="1373"/>
      <c r="BM51" s="1372"/>
      <c r="BN51" s="1372"/>
      <c r="BO51" s="1372"/>
      <c r="BP51" s="1372"/>
      <c r="BQ51" s="1296"/>
      <c r="BR51" s="1296"/>
      <c r="BS51" s="1296"/>
      <c r="BT51" s="1296"/>
      <c r="BU51" s="1296"/>
      <c r="BV51" s="951"/>
      <c r="BW51" s="1296"/>
      <c r="BX51" s="951"/>
      <c r="BY51" s="951"/>
      <c r="BZ51" s="951"/>
      <c r="CA51" s="1296"/>
      <c r="CB51" s="1296"/>
      <c r="CC51" s="1296"/>
      <c r="CD51" s="1296"/>
      <c r="CE51" s="1353"/>
      <c r="CF51" s="1353"/>
      <c r="CG51" s="1366"/>
      <c r="CH51" s="1366"/>
      <c r="CI51" s="1353"/>
      <c r="CJ51" s="1353"/>
      <c r="CK51" s="1366"/>
      <c r="CL51" s="1366"/>
      <c r="CM51" s="1353"/>
      <c r="CN51" s="1353"/>
      <c r="CO51" s="1353"/>
      <c r="CP51" s="1366"/>
      <c r="CQ51" s="1366"/>
      <c r="CR51" s="1366"/>
      <c r="CS51" s="1366"/>
      <c r="CT51" s="951"/>
      <c r="CU51" s="951"/>
    </row>
    <row r="52">
      <c r="A52" s="1401" t="s">
        <v>8774</v>
      </c>
      <c r="B52" s="760" t="s">
        <v>983</v>
      </c>
      <c r="C52" s="756" t="s">
        <v>548</v>
      </c>
      <c r="D52" s="757" t="s">
        <v>1258</v>
      </c>
      <c r="E52" s="758" t="s">
        <v>1258</v>
      </c>
      <c r="F52" s="759" t="s">
        <v>548</v>
      </c>
      <c r="G52" s="760" t="s">
        <v>548</v>
      </c>
      <c r="H52" s="1414"/>
      <c r="I52" s="1414"/>
      <c r="J52" s="951"/>
      <c r="K52" s="951"/>
      <c r="L52" s="951"/>
      <c r="M52" s="951"/>
      <c r="N52" s="951"/>
      <c r="O52" s="951"/>
      <c r="P52" s="951"/>
      <c r="Q52" s="951"/>
      <c r="R52" s="951"/>
      <c r="S52" s="951"/>
      <c r="T52" s="951"/>
      <c r="U52" s="951"/>
      <c r="V52" s="1296"/>
      <c r="W52" s="951"/>
      <c r="X52" s="951"/>
      <c r="Y52" s="951"/>
      <c r="Z52" s="951"/>
      <c r="AA52" s="951"/>
      <c r="AB52" s="1296"/>
      <c r="AC52" s="951"/>
      <c r="AD52" s="951"/>
      <c r="AE52" s="1297" t="s">
        <v>1050</v>
      </c>
      <c r="AF52" s="951"/>
      <c r="AG52" s="951"/>
      <c r="AH52" s="951"/>
      <c r="AI52" s="1296"/>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7" t="s">
        <v>5909</v>
      </c>
      <c r="B53" s="760" t="s">
        <v>648</v>
      </c>
      <c r="C53" s="756" t="s">
        <v>1258</v>
      </c>
      <c r="D53" s="757" t="s">
        <v>1258</v>
      </c>
      <c r="E53" s="758" t="s">
        <v>1258</v>
      </c>
      <c r="F53" s="759" t="s">
        <v>1258</v>
      </c>
      <c r="G53" s="760" t="s">
        <v>439</v>
      </c>
      <c r="H53" s="1375"/>
      <c r="I53" s="1375"/>
      <c r="J53" s="951"/>
      <c r="K53" s="951"/>
      <c r="L53" s="951"/>
      <c r="M53" s="951"/>
      <c r="N53" s="951"/>
      <c r="O53" s="951"/>
      <c r="P53" s="951"/>
      <c r="Q53" s="951"/>
      <c r="R53" s="951"/>
      <c r="S53" s="951"/>
      <c r="T53" s="951"/>
      <c r="U53" s="951"/>
      <c r="V53" s="1296"/>
      <c r="W53" s="950" t="s">
        <v>4324</v>
      </c>
      <c r="X53" s="950"/>
      <c r="Y53" s="950" t="s">
        <v>3209</v>
      </c>
      <c r="Z53" s="951"/>
      <c r="AA53" s="951"/>
      <c r="AB53" s="1296"/>
      <c r="AC53" s="951"/>
      <c r="AD53" s="951"/>
      <c r="AE53" s="951"/>
      <c r="AF53" s="951"/>
      <c r="AG53" s="951"/>
      <c r="AH53" s="951"/>
      <c r="AI53" s="1296"/>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8" t="s">
        <v>6611</v>
      </c>
      <c r="B54" s="760" t="s">
        <v>648</v>
      </c>
      <c r="C54" s="756" t="s">
        <v>1258</v>
      </c>
      <c r="D54" s="757" t="s">
        <v>1258</v>
      </c>
      <c r="E54" s="758" t="s">
        <v>1258</v>
      </c>
      <c r="F54" s="759" t="s">
        <v>334</v>
      </c>
      <c r="G54" s="760" t="s">
        <v>1200</v>
      </c>
      <c r="H54" s="1375"/>
      <c r="I54" s="1375"/>
      <c r="J54" s="951"/>
      <c r="K54" s="951"/>
      <c r="L54" s="951"/>
      <c r="M54" s="951"/>
      <c r="N54" s="951"/>
      <c r="O54" s="951"/>
      <c r="P54" s="951"/>
      <c r="Q54" s="951"/>
      <c r="R54" s="953" t="s">
        <v>8775</v>
      </c>
      <c r="S54" s="951"/>
      <c r="T54" s="951"/>
      <c r="U54" s="953" t="s">
        <v>8776</v>
      </c>
      <c r="V54" s="1296"/>
      <c r="W54" s="950" t="s">
        <v>8777</v>
      </c>
      <c r="X54" s="950" t="s">
        <v>8777</v>
      </c>
      <c r="Y54" s="951"/>
      <c r="Z54" s="951"/>
      <c r="AA54" s="951"/>
      <c r="AB54" s="1296"/>
      <c r="AC54" s="951"/>
      <c r="AD54" s="951"/>
      <c r="AE54" s="951"/>
      <c r="AF54" s="951"/>
      <c r="AG54" s="951"/>
      <c r="AH54" s="951"/>
      <c r="AI54" s="1296"/>
      <c r="AJ54" s="1296"/>
      <c r="AK54" s="951"/>
      <c r="AL54" s="951"/>
      <c r="AM54" s="951"/>
      <c r="AN54" s="951"/>
      <c r="AO54" s="951"/>
      <c r="AP54" s="950" t="s">
        <v>8778</v>
      </c>
      <c r="AQ54" s="953" t="s">
        <v>8779</v>
      </c>
      <c r="AR54" s="953" t="s">
        <v>8780</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8781</v>
      </c>
      <c r="B55" s="760" t="s">
        <v>648</v>
      </c>
      <c r="C55" s="756" t="s">
        <v>548</v>
      </c>
      <c r="D55" s="757" t="s">
        <v>1258</v>
      </c>
      <c r="E55" s="758" t="s">
        <v>1258</v>
      </c>
      <c r="F55" s="759" t="s">
        <v>548</v>
      </c>
      <c r="G55" s="760" t="s">
        <v>548</v>
      </c>
      <c r="H55" s="1375"/>
      <c r="I55" s="1375"/>
      <c r="J55" s="951"/>
      <c r="K55" s="951"/>
      <c r="L55" s="951"/>
      <c r="M55" s="951"/>
      <c r="N55" s="951"/>
      <c r="O55" s="951"/>
      <c r="P55" s="951"/>
      <c r="Q55" s="951"/>
      <c r="R55" s="951"/>
      <c r="S55" s="951"/>
      <c r="T55" s="951"/>
      <c r="U55" s="951"/>
      <c r="V55" s="1296"/>
      <c r="W55" s="951"/>
      <c r="X55" s="951"/>
      <c r="Y55" s="951"/>
      <c r="Z55" s="951"/>
      <c r="AA55" s="951"/>
      <c r="AB55" s="1296"/>
      <c r="AC55" s="951"/>
      <c r="AD55" s="951"/>
      <c r="AE55" s="951"/>
      <c r="AF55" s="951"/>
      <c r="AG55" s="951"/>
      <c r="AH55" s="951"/>
      <c r="AI55" s="1296"/>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3"/>
      <c r="BH55" s="1372"/>
      <c r="BI55" s="1372"/>
      <c r="BJ55" s="1372"/>
      <c r="BK55" s="1372"/>
      <c r="BL55" s="1373"/>
      <c r="BM55" s="1372"/>
      <c r="BN55" s="1372"/>
      <c r="BO55" s="1372"/>
      <c r="BP55" s="1372"/>
      <c r="BQ55" s="1296"/>
      <c r="BR55" s="1296"/>
      <c r="BS55" s="1296"/>
      <c r="BT55" s="1296"/>
      <c r="BU55" s="1296"/>
      <c r="BV55" s="951"/>
      <c r="BW55" s="1296"/>
      <c r="BX55" s="951"/>
      <c r="BY55" s="951"/>
      <c r="BZ55" s="951"/>
      <c r="CA55" s="1296"/>
      <c r="CB55" s="1296"/>
      <c r="CC55" s="1296"/>
      <c r="CD55" s="1296"/>
      <c r="CE55" s="1353"/>
      <c r="CF55" s="1353"/>
      <c r="CG55" s="1366"/>
      <c r="CH55" s="1366"/>
      <c r="CI55" s="1353"/>
      <c r="CJ55" s="1353"/>
      <c r="CK55" s="1366"/>
      <c r="CL55" s="1366"/>
      <c r="CM55" s="1353"/>
      <c r="CN55" s="1353"/>
      <c r="CO55" s="1353"/>
      <c r="CP55" s="1366"/>
      <c r="CQ55" s="1366"/>
      <c r="CR55" s="1366"/>
      <c r="CS55" s="1366"/>
      <c r="CT55" s="1297" t="s">
        <v>4170</v>
      </c>
      <c r="CU55" s="1292"/>
    </row>
    <row r="56">
      <c r="A56" s="1429" t="s">
        <v>8782</v>
      </c>
      <c r="B56" s="760" t="s">
        <v>440</v>
      </c>
      <c r="C56" s="756" t="s">
        <v>1258</v>
      </c>
      <c r="D56" s="757" t="s">
        <v>1258</v>
      </c>
      <c r="E56" s="758" t="s">
        <v>1258</v>
      </c>
      <c r="F56" s="759" t="s">
        <v>1258</v>
      </c>
      <c r="G56" s="760" t="s">
        <v>548</v>
      </c>
      <c r="H56" s="1414"/>
      <c r="I56" s="1414"/>
      <c r="J56" s="951"/>
      <c r="K56" s="951"/>
      <c r="L56" s="951"/>
      <c r="M56" s="951"/>
      <c r="N56" s="951"/>
      <c r="O56" s="951"/>
      <c r="P56" s="951"/>
      <c r="Q56" s="951"/>
      <c r="R56" s="951"/>
      <c r="S56" s="951"/>
      <c r="T56" s="951"/>
      <c r="U56" s="950" t="s">
        <v>3759</v>
      </c>
      <c r="V56" s="1296"/>
      <c r="W56" s="951"/>
      <c r="X56" s="951"/>
      <c r="Y56" s="951"/>
      <c r="Z56" s="951"/>
      <c r="AA56" s="951"/>
      <c r="AB56" s="1296"/>
      <c r="AC56" s="951"/>
      <c r="AD56" s="951"/>
      <c r="AE56" s="951"/>
      <c r="AF56" s="951"/>
      <c r="AG56" s="951"/>
      <c r="AH56" s="951"/>
      <c r="AI56" s="1296"/>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3"/>
      <c r="BH56" s="1372"/>
      <c r="BI56" s="1372"/>
      <c r="BJ56" s="1372"/>
      <c r="BK56" s="1372"/>
      <c r="BL56" s="1373"/>
      <c r="BM56" s="1372"/>
      <c r="BN56" s="1372"/>
      <c r="BO56" s="1372"/>
      <c r="BP56" s="1372"/>
      <c r="BQ56" s="1296"/>
      <c r="BR56" s="1296"/>
      <c r="BS56" s="1296"/>
      <c r="BT56" s="1296"/>
      <c r="BU56" s="1296"/>
      <c r="BV56" s="951"/>
      <c r="BW56" s="1296"/>
      <c r="BX56" s="951"/>
      <c r="BY56" s="951"/>
      <c r="BZ56" s="951"/>
      <c r="CA56" s="1296"/>
      <c r="CB56" s="1296"/>
      <c r="CC56" s="1296"/>
      <c r="CD56" s="1296"/>
      <c r="CE56" s="1353"/>
      <c r="CF56" s="1353"/>
      <c r="CG56" s="1366"/>
      <c r="CH56" s="1366"/>
      <c r="CI56" s="1353"/>
      <c r="CJ56" s="1353"/>
      <c r="CK56" s="1366"/>
      <c r="CL56" s="1366"/>
      <c r="CM56" s="951"/>
      <c r="CN56" s="951"/>
      <c r="CO56" s="951"/>
      <c r="CP56" s="1296"/>
      <c r="CQ56" s="1296"/>
      <c r="CR56" s="1296"/>
      <c r="CS56" s="1296"/>
      <c r="CT56" s="951"/>
      <c r="CU56" s="951"/>
    </row>
    <row r="57">
      <c r="A57" s="1430" t="s">
        <v>3090</v>
      </c>
      <c r="B57" s="760" t="s">
        <v>336</v>
      </c>
      <c r="C57" s="756" t="s">
        <v>1258</v>
      </c>
      <c r="D57" s="757" t="s">
        <v>1258</v>
      </c>
      <c r="E57" s="758" t="s">
        <v>1258</v>
      </c>
      <c r="F57" s="759" t="s">
        <v>1258</v>
      </c>
      <c r="G57" s="760" t="s">
        <v>439</v>
      </c>
      <c r="H57" s="1375"/>
      <c r="I57" s="1375"/>
      <c r="J57" s="951"/>
      <c r="K57" s="951"/>
      <c r="L57" s="951"/>
      <c r="M57" s="951"/>
      <c r="N57" s="951"/>
      <c r="O57" s="951"/>
      <c r="P57" s="951"/>
      <c r="Q57" s="951"/>
      <c r="R57" s="951"/>
      <c r="S57" s="951"/>
      <c r="T57" s="951"/>
      <c r="U57" s="951"/>
      <c r="V57" s="1296"/>
      <c r="W57" s="951"/>
      <c r="X57" s="951"/>
      <c r="Y57" s="951"/>
      <c r="Z57" s="951"/>
      <c r="AA57" s="951"/>
      <c r="AB57" s="1296"/>
      <c r="AC57" s="951"/>
      <c r="AD57" s="951"/>
      <c r="AE57" s="951"/>
      <c r="AF57" s="951"/>
      <c r="AG57" s="951"/>
      <c r="AH57" s="951"/>
      <c r="AI57" s="1296"/>
      <c r="AJ57" s="1296"/>
      <c r="AK57" s="951"/>
      <c r="AL57" s="951"/>
      <c r="AM57" s="951"/>
      <c r="AN57" s="951"/>
      <c r="AO57" s="951"/>
      <c r="AP57" s="951"/>
      <c r="AQ57" s="951"/>
      <c r="AR57" s="951"/>
      <c r="AS57" s="951"/>
      <c r="AT57" s="951"/>
      <c r="AU57" s="951"/>
      <c r="AV57" s="951"/>
      <c r="AW57" s="951"/>
      <c r="AX57" s="951"/>
      <c r="AY57" s="951"/>
      <c r="AZ57" s="951"/>
      <c r="BA57" s="951"/>
      <c r="BB57" s="951"/>
      <c r="BC57" s="1305" t="s">
        <v>8338</v>
      </c>
      <c r="BD57" s="1305" t="s">
        <v>8722</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1" t="s">
        <v>3965</v>
      </c>
      <c r="B58" s="760" t="s">
        <v>439</v>
      </c>
      <c r="C58" s="756" t="s">
        <v>1258</v>
      </c>
      <c r="D58" s="757" t="s">
        <v>1258</v>
      </c>
      <c r="E58" s="758" t="s">
        <v>1258</v>
      </c>
      <c r="F58" s="759" t="s">
        <v>1258</v>
      </c>
      <c r="G58" s="760" t="s">
        <v>548</v>
      </c>
      <c r="H58" s="1375"/>
      <c r="I58" s="1375"/>
      <c r="J58" s="951"/>
      <c r="K58" s="951"/>
      <c r="L58" s="951"/>
      <c r="M58" s="951"/>
      <c r="N58" s="951"/>
      <c r="O58" s="951"/>
      <c r="P58" s="951"/>
      <c r="Q58" s="951"/>
      <c r="R58" s="950"/>
      <c r="S58" s="951"/>
      <c r="T58" s="951"/>
      <c r="U58" s="951"/>
      <c r="V58" s="1296"/>
      <c r="W58" s="951"/>
      <c r="X58" s="951"/>
      <c r="Y58" s="951"/>
      <c r="Z58" s="951"/>
      <c r="AA58" s="951"/>
      <c r="AB58" s="1296"/>
      <c r="AC58" s="951"/>
      <c r="AD58" s="951"/>
      <c r="AE58" s="951"/>
      <c r="AF58" s="951"/>
      <c r="AG58" s="951"/>
      <c r="AH58" s="951"/>
      <c r="AI58" s="1296"/>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8783</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8784</v>
      </c>
      <c r="B59" s="760" t="s">
        <v>439</v>
      </c>
      <c r="C59" s="756" t="s">
        <v>1258</v>
      </c>
      <c r="D59" s="757" t="s">
        <v>1258</v>
      </c>
      <c r="E59" s="758" t="s">
        <v>1258</v>
      </c>
      <c r="F59" s="759" t="s">
        <v>1258</v>
      </c>
      <c r="G59" s="760" t="s">
        <v>548</v>
      </c>
      <c r="H59" s="1375"/>
      <c r="I59" s="1375"/>
      <c r="J59" s="951"/>
      <c r="K59" s="951"/>
      <c r="L59" s="951"/>
      <c r="M59" s="951"/>
      <c r="N59" s="951"/>
      <c r="O59" s="951"/>
      <c r="P59" s="951"/>
      <c r="Q59" s="951"/>
      <c r="R59" s="951"/>
      <c r="S59" s="951"/>
      <c r="T59" s="951"/>
      <c r="U59" s="951"/>
      <c r="V59" s="1305" t="s">
        <v>8495</v>
      </c>
      <c r="W59" s="951"/>
      <c r="X59" s="951"/>
      <c r="Y59" s="951"/>
      <c r="Z59" s="951"/>
      <c r="AA59" s="951"/>
      <c r="AB59" s="1296"/>
      <c r="AC59" s="951"/>
      <c r="AD59" s="951"/>
      <c r="AE59" s="951"/>
      <c r="AF59" s="951"/>
      <c r="AG59" s="951"/>
      <c r="AH59" s="951"/>
      <c r="AI59" s="1296"/>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3"/>
      <c r="BH59" s="1372"/>
      <c r="BI59" s="1372"/>
      <c r="BJ59" s="1372"/>
      <c r="BK59" s="1372"/>
      <c r="BL59" s="1373"/>
      <c r="BM59" s="1372"/>
      <c r="BN59" s="1372"/>
      <c r="BO59" s="1372"/>
      <c r="BP59" s="1372"/>
      <c r="BQ59" s="1296"/>
      <c r="BR59" s="1296"/>
      <c r="BS59" s="1296"/>
      <c r="BT59" s="1296"/>
      <c r="BU59" s="1296"/>
      <c r="BV59" s="951"/>
      <c r="BW59" s="1296"/>
      <c r="BX59" s="951"/>
      <c r="BY59" s="950"/>
      <c r="BZ59" s="951"/>
      <c r="CA59" s="1296"/>
      <c r="CB59" s="1296"/>
      <c r="CC59" s="1296"/>
      <c r="CD59" s="1296"/>
      <c r="CE59" s="1353"/>
      <c r="CF59" s="1353"/>
      <c r="CG59" s="1366"/>
      <c r="CH59" s="1366"/>
      <c r="CI59" s="1353"/>
      <c r="CJ59" s="1353"/>
      <c r="CK59" s="1366"/>
      <c r="CL59" s="1366"/>
      <c r="CM59" s="1353"/>
      <c r="CN59" s="1353"/>
      <c r="CO59" s="1353"/>
      <c r="CP59" s="1366"/>
      <c r="CQ59" s="1366"/>
      <c r="CR59" s="1366"/>
      <c r="CS59" s="1366"/>
      <c r="CT59" s="951"/>
      <c r="CU59" s="951"/>
    </row>
    <row r="60">
      <c r="A60" s="1401" t="s">
        <v>8785</v>
      </c>
      <c r="B60" s="760" t="s">
        <v>548</v>
      </c>
      <c r="C60" s="756" t="s">
        <v>1258</v>
      </c>
      <c r="D60" s="757" t="s">
        <v>1258</v>
      </c>
      <c r="E60" s="758" t="s">
        <v>1258</v>
      </c>
      <c r="F60" s="759" t="s">
        <v>1258</v>
      </c>
      <c r="G60" s="760" t="s">
        <v>548</v>
      </c>
      <c r="H60" s="1414"/>
      <c r="I60" s="1414"/>
      <c r="J60" s="951"/>
      <c r="K60" s="951"/>
      <c r="L60" s="951"/>
      <c r="M60" s="951"/>
      <c r="N60" s="951"/>
      <c r="O60" s="951"/>
      <c r="P60" s="951"/>
      <c r="Q60" s="951"/>
      <c r="R60" s="951"/>
      <c r="S60" s="951"/>
      <c r="T60" s="951"/>
      <c r="U60" s="951"/>
      <c r="V60" s="1296"/>
      <c r="W60" s="951"/>
      <c r="X60" s="951"/>
      <c r="Y60" s="951"/>
      <c r="Z60" s="951"/>
      <c r="AA60" s="950" t="s">
        <v>8786</v>
      </c>
      <c r="AB60" s="1296"/>
      <c r="AC60" s="951"/>
      <c r="AD60" s="951"/>
      <c r="AE60" s="951"/>
      <c r="AF60" s="951"/>
      <c r="AG60" s="951"/>
      <c r="AH60" s="951"/>
      <c r="AI60" s="1296"/>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1" t="s">
        <v>5971</v>
      </c>
      <c r="B61" s="760" t="s">
        <v>1258</v>
      </c>
      <c r="C61" s="756" t="s">
        <v>1258</v>
      </c>
      <c r="D61" s="757" t="s">
        <v>1258</v>
      </c>
      <c r="E61" s="758" t="s">
        <v>1258</v>
      </c>
      <c r="F61" s="759" t="s">
        <v>1258</v>
      </c>
      <c r="G61" s="760" t="s">
        <v>1258</v>
      </c>
      <c r="H61" s="1375"/>
      <c r="I61" s="1375"/>
      <c r="J61" s="951"/>
      <c r="K61" s="951"/>
      <c r="L61" s="951"/>
      <c r="M61" s="951"/>
      <c r="N61" s="951"/>
      <c r="O61" s="951"/>
      <c r="P61" s="951"/>
      <c r="Q61" s="951"/>
      <c r="R61" s="951"/>
      <c r="S61" s="951"/>
      <c r="T61" s="951"/>
      <c r="U61" s="951"/>
      <c r="V61" s="1296"/>
      <c r="W61" s="951"/>
      <c r="X61" s="951"/>
      <c r="Y61" s="951"/>
      <c r="Z61" s="951"/>
      <c r="AA61" s="951"/>
      <c r="AB61" s="1296"/>
      <c r="AC61" s="951"/>
      <c r="AD61" s="951"/>
      <c r="AE61" s="951"/>
      <c r="AF61" s="951"/>
      <c r="AG61" s="951"/>
      <c r="AH61" s="951"/>
      <c r="AI61" s="1296"/>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5"/>
      <c r="I62" s="1375"/>
      <c r="J62" s="951"/>
      <c r="K62" s="951"/>
      <c r="L62" s="951"/>
      <c r="M62" s="951"/>
      <c r="N62" s="951"/>
      <c r="O62" s="951"/>
      <c r="P62" s="951"/>
      <c r="Q62" s="951"/>
      <c r="R62" s="951"/>
      <c r="S62" s="951"/>
      <c r="T62" s="951"/>
      <c r="U62" s="951"/>
      <c r="V62" s="1296"/>
      <c r="W62" s="951"/>
      <c r="X62" s="951"/>
      <c r="Y62" s="951"/>
      <c r="Z62" s="951"/>
      <c r="AA62" s="951"/>
      <c r="AB62" s="1296"/>
      <c r="AC62" s="951"/>
      <c r="AD62" s="951"/>
      <c r="AE62" s="951"/>
      <c r="AF62" s="951"/>
      <c r="AG62" s="951"/>
      <c r="AH62" s="951"/>
      <c r="AI62" s="1296"/>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5"/>
      <c r="I63" s="1375"/>
      <c r="J63" s="951"/>
      <c r="K63" s="951"/>
      <c r="L63" s="951"/>
      <c r="M63" s="951"/>
      <c r="N63" s="951"/>
      <c r="O63" s="951"/>
      <c r="P63" s="951"/>
      <c r="Q63" s="951"/>
      <c r="R63" s="951"/>
      <c r="S63" s="951"/>
      <c r="T63" s="951"/>
      <c r="U63" s="951"/>
      <c r="V63" s="1296"/>
      <c r="W63" s="951"/>
      <c r="X63" s="951"/>
      <c r="Y63" s="951"/>
      <c r="Z63" s="951"/>
      <c r="AA63" s="951"/>
      <c r="AB63" s="1296"/>
      <c r="AC63" s="951"/>
      <c r="AD63" s="951"/>
      <c r="AE63" s="951"/>
      <c r="AF63" s="951"/>
      <c r="AG63" s="951"/>
      <c r="AH63" s="951"/>
      <c r="AI63" s="1296"/>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5"/>
      <c r="I64" s="1375"/>
      <c r="J64" s="951"/>
      <c r="K64" s="951"/>
      <c r="L64" s="951"/>
      <c r="M64" s="951"/>
      <c r="N64" s="951"/>
      <c r="O64" s="951"/>
      <c r="P64" s="951"/>
      <c r="Q64" s="951"/>
      <c r="R64" s="951"/>
      <c r="S64" s="951"/>
      <c r="T64" s="951"/>
      <c r="U64" s="951"/>
      <c r="V64" s="1296"/>
      <c r="W64" s="951"/>
      <c r="X64" s="951"/>
      <c r="Y64" s="951"/>
      <c r="Z64" s="951"/>
      <c r="AA64" s="951"/>
      <c r="AB64" s="1296"/>
      <c r="AC64" s="951"/>
      <c r="AD64" s="951"/>
      <c r="AE64" s="951"/>
      <c r="AF64" s="951"/>
      <c r="AG64" s="951"/>
      <c r="AH64" s="951"/>
      <c r="AI64" s="1296"/>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5"/>
      <c r="I65" s="1375"/>
      <c r="J65" s="951"/>
      <c r="K65" s="951"/>
      <c r="L65" s="951"/>
      <c r="M65" s="951"/>
      <c r="N65" s="951"/>
      <c r="O65" s="951"/>
      <c r="P65" s="951"/>
      <c r="Q65" s="951"/>
      <c r="R65" s="951"/>
      <c r="S65" s="951"/>
      <c r="T65" s="951"/>
      <c r="U65" s="951"/>
      <c r="V65" s="1296"/>
      <c r="W65" s="951"/>
      <c r="X65" s="951"/>
      <c r="Y65" s="951"/>
      <c r="Z65" s="951"/>
      <c r="AA65" s="951"/>
      <c r="AB65" s="1296"/>
      <c r="AC65" s="951"/>
      <c r="AD65" s="951"/>
      <c r="AE65" s="951"/>
      <c r="AF65" s="951"/>
      <c r="AG65" s="951"/>
      <c r="AH65" s="951"/>
      <c r="AI65" s="1296"/>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5"/>
      <c r="I66" s="1375"/>
      <c r="J66" s="951"/>
      <c r="K66" s="951"/>
      <c r="L66" s="951"/>
      <c r="M66" s="951"/>
      <c r="N66" s="951"/>
      <c r="O66" s="951"/>
      <c r="P66" s="951"/>
      <c r="Q66" s="951"/>
      <c r="R66" s="951"/>
      <c r="S66" s="951"/>
      <c r="T66" s="951"/>
      <c r="U66" s="951"/>
      <c r="V66" s="1296"/>
      <c r="W66" s="951"/>
      <c r="X66" s="951"/>
      <c r="Y66" s="951"/>
      <c r="Z66" s="951"/>
      <c r="AA66" s="951"/>
      <c r="AB66" s="1296"/>
      <c r="AC66" s="951"/>
      <c r="AD66" s="951"/>
      <c r="AE66" s="951"/>
      <c r="AF66" s="951"/>
      <c r="AG66" s="951"/>
      <c r="AH66" s="951"/>
      <c r="AI66" s="1296"/>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5"/>
      <c r="I67" s="1375"/>
      <c r="J67" s="951"/>
      <c r="K67" s="951"/>
      <c r="L67" s="951"/>
      <c r="M67" s="951"/>
      <c r="N67" s="951"/>
      <c r="O67" s="951"/>
      <c r="P67" s="951"/>
      <c r="Q67" s="951"/>
      <c r="R67" s="951"/>
      <c r="S67" s="951"/>
      <c r="T67" s="951"/>
      <c r="U67" s="951"/>
      <c r="V67" s="1296"/>
      <c r="W67" s="951"/>
      <c r="X67" s="951"/>
      <c r="Y67" s="951"/>
      <c r="Z67" s="951"/>
      <c r="AA67" s="951"/>
      <c r="AB67" s="1296"/>
      <c r="AC67" s="951"/>
      <c r="AD67" s="951"/>
      <c r="AE67" s="951"/>
      <c r="AF67" s="951"/>
      <c r="AG67" s="951"/>
      <c r="AH67" s="951"/>
      <c r="AI67" s="1296"/>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5"/>
      <c r="I68" s="1375"/>
      <c r="J68" s="951"/>
      <c r="K68" s="951"/>
      <c r="L68" s="951"/>
      <c r="M68" s="951"/>
      <c r="N68" s="951"/>
      <c r="O68" s="951"/>
      <c r="P68" s="951"/>
      <c r="Q68" s="951"/>
      <c r="R68" s="951"/>
      <c r="S68" s="951"/>
      <c r="T68" s="951"/>
      <c r="U68" s="951"/>
      <c r="V68" s="1296"/>
      <c r="W68" s="951"/>
      <c r="X68" s="951"/>
      <c r="Y68" s="951"/>
      <c r="Z68" s="951"/>
      <c r="AA68" s="951"/>
      <c r="AB68" s="1296"/>
      <c r="AC68" s="951"/>
      <c r="AD68" s="951"/>
      <c r="AE68" s="951"/>
      <c r="AF68" s="951"/>
      <c r="AG68" s="951"/>
      <c r="AH68" s="951"/>
      <c r="AI68" s="1296"/>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5"/>
      <c r="I69" s="1375"/>
      <c r="J69" s="951"/>
      <c r="K69" s="951"/>
      <c r="L69" s="951"/>
      <c r="M69" s="951"/>
      <c r="N69" s="951"/>
      <c r="O69" s="951"/>
      <c r="P69" s="951"/>
      <c r="Q69" s="951"/>
      <c r="R69" s="951"/>
      <c r="S69" s="951"/>
      <c r="T69" s="951"/>
      <c r="U69" s="951"/>
      <c r="V69" s="1296"/>
      <c r="W69" s="951"/>
      <c r="X69" s="951"/>
      <c r="Y69" s="951"/>
      <c r="Z69" s="951"/>
      <c r="AA69" s="951"/>
      <c r="AB69" s="1296"/>
      <c r="AC69" s="951"/>
      <c r="AD69" s="951"/>
      <c r="AE69" s="951"/>
      <c r="AF69" s="951"/>
      <c r="AG69" s="951"/>
      <c r="AH69" s="951"/>
      <c r="AI69" s="1296"/>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5"/>
      <c r="I70" s="1375"/>
      <c r="J70" s="951"/>
      <c r="K70" s="951"/>
      <c r="L70" s="951"/>
      <c r="M70" s="951"/>
      <c r="N70" s="951"/>
      <c r="O70" s="951"/>
      <c r="P70" s="951"/>
      <c r="Q70" s="951"/>
      <c r="R70" s="951"/>
      <c r="S70" s="951"/>
      <c r="T70" s="951"/>
      <c r="U70" s="951"/>
      <c r="V70" s="1296"/>
      <c r="W70" s="951"/>
      <c r="X70" s="951"/>
      <c r="Y70" s="951"/>
      <c r="Z70" s="951"/>
      <c r="AA70" s="951"/>
      <c r="AB70" s="1296"/>
      <c r="AC70" s="951"/>
      <c r="AD70" s="951"/>
      <c r="AE70" s="951"/>
      <c r="AF70" s="951"/>
      <c r="AG70" s="951"/>
      <c r="AH70" s="951"/>
      <c r="AI70" s="1296"/>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5"/>
      <c r="I71" s="1375"/>
      <c r="J71" s="951"/>
      <c r="K71" s="951"/>
      <c r="L71" s="951"/>
      <c r="M71" s="951"/>
      <c r="N71" s="951"/>
      <c r="O71" s="951"/>
      <c r="P71" s="951"/>
      <c r="Q71" s="951"/>
      <c r="R71" s="951"/>
      <c r="S71" s="951"/>
      <c r="T71" s="951"/>
      <c r="U71" s="951"/>
      <c r="V71" s="1296"/>
      <c r="W71" s="951"/>
      <c r="X71" s="951"/>
      <c r="Y71" s="951"/>
      <c r="Z71" s="951"/>
      <c r="AA71" s="951"/>
      <c r="AB71" s="1296"/>
      <c r="AC71" s="951"/>
      <c r="AD71" s="951"/>
      <c r="AE71" s="951"/>
      <c r="AF71" s="951"/>
      <c r="AG71" s="951"/>
      <c r="AH71" s="951"/>
      <c r="AI71" s="1296"/>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5"/>
      <c r="I72" s="1375"/>
      <c r="J72" s="951"/>
      <c r="K72" s="951"/>
      <c r="L72" s="951"/>
      <c r="M72" s="951"/>
      <c r="N72" s="951"/>
      <c r="O72" s="951"/>
      <c r="P72" s="951"/>
      <c r="Q72" s="951"/>
      <c r="R72" s="951"/>
      <c r="S72" s="951"/>
      <c r="T72" s="951"/>
      <c r="U72" s="951"/>
      <c r="V72" s="1296"/>
      <c r="W72" s="951"/>
      <c r="X72" s="951"/>
      <c r="Y72" s="951"/>
      <c r="Z72" s="951"/>
      <c r="AA72" s="951"/>
      <c r="AB72" s="1296"/>
      <c r="AC72" s="951"/>
      <c r="AD72" s="951"/>
      <c r="AE72" s="951"/>
      <c r="AF72" s="951"/>
      <c r="AG72" s="951"/>
      <c r="AH72" s="951"/>
      <c r="AI72" s="1296"/>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5"/>
      <c r="I73" s="1375"/>
      <c r="J73" s="951"/>
      <c r="K73" s="951"/>
      <c r="L73" s="951"/>
      <c r="M73" s="951"/>
      <c r="N73" s="951"/>
      <c r="O73" s="951"/>
      <c r="P73" s="951"/>
      <c r="Q73" s="951"/>
      <c r="R73" s="951"/>
      <c r="S73" s="951"/>
      <c r="T73" s="951"/>
      <c r="U73" s="951"/>
      <c r="V73" s="1296"/>
      <c r="W73" s="951"/>
      <c r="X73" s="951"/>
      <c r="Y73" s="951"/>
      <c r="Z73" s="951"/>
      <c r="AA73" s="951"/>
      <c r="AB73" s="1296"/>
      <c r="AC73" s="951"/>
      <c r="AD73" s="951"/>
      <c r="AE73" s="951"/>
      <c r="AF73" s="951"/>
      <c r="AG73" s="951"/>
      <c r="AH73" s="951"/>
      <c r="AI73" s="1296"/>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5"/>
      <c r="I74" s="1375"/>
      <c r="J74" s="951"/>
      <c r="K74" s="951"/>
      <c r="L74" s="951"/>
      <c r="M74" s="951"/>
      <c r="N74" s="951"/>
      <c r="O74" s="951"/>
      <c r="P74" s="951"/>
      <c r="Q74" s="951"/>
      <c r="R74" s="951"/>
      <c r="S74" s="951"/>
      <c r="T74" s="951"/>
      <c r="U74" s="951"/>
      <c r="V74" s="1296"/>
      <c r="W74" s="951"/>
      <c r="X74" s="951"/>
      <c r="Y74" s="951"/>
      <c r="Z74" s="951"/>
      <c r="AA74" s="951"/>
      <c r="AB74" s="1296"/>
      <c r="AC74" s="951"/>
      <c r="AD74" s="951"/>
      <c r="AE74" s="951"/>
      <c r="AF74" s="951"/>
      <c r="AG74" s="951"/>
      <c r="AH74" s="951"/>
      <c r="AI74" s="1296"/>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5"/>
      <c r="I75" s="1375"/>
      <c r="J75" s="951"/>
      <c r="K75" s="951"/>
      <c r="L75" s="951"/>
      <c r="M75" s="951"/>
      <c r="N75" s="951"/>
      <c r="O75" s="951"/>
      <c r="P75" s="951"/>
      <c r="Q75" s="951"/>
      <c r="R75" s="951"/>
      <c r="S75" s="951"/>
      <c r="T75" s="951"/>
      <c r="U75" s="951"/>
      <c r="V75" s="1296"/>
      <c r="W75" s="951"/>
      <c r="X75" s="951"/>
      <c r="Y75" s="951"/>
      <c r="Z75" s="951"/>
      <c r="AA75" s="951"/>
      <c r="AB75" s="1296"/>
      <c r="AC75" s="951"/>
      <c r="AD75" s="951"/>
      <c r="AE75" s="951"/>
      <c r="AF75" s="951"/>
      <c r="AG75" s="951"/>
      <c r="AH75" s="951"/>
      <c r="AI75" s="1296"/>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5"/>
      <c r="I76" s="1375"/>
      <c r="J76" s="951"/>
      <c r="K76" s="951"/>
      <c r="L76" s="951"/>
      <c r="M76" s="951"/>
      <c r="N76" s="951"/>
      <c r="O76" s="951"/>
      <c r="P76" s="951"/>
      <c r="Q76" s="951"/>
      <c r="R76" s="951"/>
      <c r="S76" s="951"/>
      <c r="T76" s="951"/>
      <c r="U76" s="951"/>
      <c r="V76" s="1296"/>
      <c r="W76" s="951"/>
      <c r="X76" s="951"/>
      <c r="Y76" s="951"/>
      <c r="Z76" s="951"/>
      <c r="AA76" s="951"/>
      <c r="AB76" s="1296"/>
      <c r="AC76" s="951"/>
      <c r="AD76" s="951"/>
      <c r="AE76" s="951"/>
      <c r="AF76" s="951"/>
      <c r="AG76" s="951"/>
      <c r="AH76" s="951"/>
      <c r="AI76" s="1296"/>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5"/>
      <c r="I77" s="1375"/>
      <c r="J77" s="951"/>
      <c r="K77" s="951"/>
      <c r="L77" s="951"/>
      <c r="M77" s="951"/>
      <c r="N77" s="951"/>
      <c r="O77" s="951"/>
      <c r="P77" s="951"/>
      <c r="Q77" s="951"/>
      <c r="R77" s="951"/>
      <c r="S77" s="951"/>
      <c r="T77" s="951"/>
      <c r="U77" s="951"/>
      <c r="V77" s="1296"/>
      <c r="W77" s="951"/>
      <c r="X77" s="951"/>
      <c r="Y77" s="951"/>
      <c r="Z77" s="951"/>
      <c r="AA77" s="951"/>
      <c r="AB77" s="1296"/>
      <c r="AC77" s="951"/>
      <c r="AD77" s="951"/>
      <c r="AE77" s="951"/>
      <c r="AF77" s="951"/>
      <c r="AG77" s="951"/>
      <c r="AH77" s="951"/>
      <c r="AI77" s="1296"/>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5"/>
      <c r="I78" s="1375"/>
      <c r="J78" s="951"/>
      <c r="K78" s="951"/>
      <c r="L78" s="951"/>
      <c r="M78" s="951"/>
      <c r="N78" s="951"/>
      <c r="O78" s="951"/>
      <c r="P78" s="951"/>
      <c r="Q78" s="951"/>
      <c r="R78" s="951"/>
      <c r="S78" s="951"/>
      <c r="T78" s="951"/>
      <c r="U78" s="951"/>
      <c r="V78" s="1296"/>
      <c r="W78" s="951"/>
      <c r="X78" s="951"/>
      <c r="Y78" s="951"/>
      <c r="Z78" s="951"/>
      <c r="AA78" s="951"/>
      <c r="AB78" s="1296"/>
      <c r="AC78" s="951"/>
      <c r="AD78" s="951"/>
      <c r="AE78" s="951"/>
      <c r="AF78" s="951"/>
      <c r="AG78" s="951"/>
      <c r="AH78" s="951"/>
      <c r="AI78" s="1296"/>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5"/>
      <c r="I79" s="1375"/>
      <c r="J79" s="951"/>
      <c r="K79" s="951"/>
      <c r="L79" s="951"/>
      <c r="M79" s="951"/>
      <c r="N79" s="951"/>
      <c r="O79" s="951"/>
      <c r="P79" s="951"/>
      <c r="Q79" s="951"/>
      <c r="R79" s="951"/>
      <c r="S79" s="951"/>
      <c r="T79" s="951"/>
      <c r="U79" s="951"/>
      <c r="V79" s="1296"/>
      <c r="W79" s="951"/>
      <c r="X79" s="951"/>
      <c r="Y79" s="951"/>
      <c r="Z79" s="951"/>
      <c r="AA79" s="951"/>
      <c r="AB79" s="1296"/>
      <c r="AC79" s="951"/>
      <c r="AD79" s="951"/>
      <c r="AE79" s="951"/>
      <c r="AF79" s="951"/>
      <c r="AG79" s="951"/>
      <c r="AH79" s="951"/>
      <c r="AI79" s="1296"/>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5"/>
      <c r="I80" s="1375"/>
      <c r="J80" s="951"/>
      <c r="K80" s="951"/>
      <c r="L80" s="951"/>
      <c r="M80" s="951"/>
      <c r="N80" s="951"/>
      <c r="O80" s="951"/>
      <c r="P80" s="951"/>
      <c r="Q80" s="951"/>
      <c r="R80" s="951"/>
      <c r="S80" s="951"/>
      <c r="T80" s="951"/>
      <c r="U80" s="951"/>
      <c r="V80" s="1296"/>
      <c r="W80" s="951"/>
      <c r="X80" s="951"/>
      <c r="Y80" s="951"/>
      <c r="Z80" s="951"/>
      <c r="AA80" s="951"/>
      <c r="AB80" s="1296"/>
      <c r="AC80" s="951"/>
      <c r="AD80" s="951"/>
      <c r="AE80" s="951"/>
      <c r="AF80" s="951"/>
      <c r="AG80" s="951"/>
      <c r="AH80" s="951"/>
      <c r="AI80" s="1296"/>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5"/>
      <c r="I81" s="1375"/>
      <c r="J81" s="951"/>
      <c r="K81" s="951"/>
      <c r="L81" s="951"/>
      <c r="M81" s="951"/>
      <c r="N81" s="951"/>
      <c r="O81" s="951"/>
      <c r="P81" s="951"/>
      <c r="Q81" s="951"/>
      <c r="R81" s="951"/>
      <c r="S81" s="951"/>
      <c r="T81" s="951"/>
      <c r="U81" s="951"/>
      <c r="V81" s="1296"/>
      <c r="W81" s="951"/>
      <c r="X81" s="951"/>
      <c r="Y81" s="951"/>
      <c r="Z81" s="951"/>
      <c r="AA81" s="951"/>
      <c r="AB81" s="1296"/>
      <c r="AC81" s="951"/>
      <c r="AD81" s="951"/>
      <c r="AE81" s="951"/>
      <c r="AF81" s="951"/>
      <c r="AG81" s="951"/>
      <c r="AH81" s="951"/>
      <c r="AI81" s="1296"/>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5"/>
      <c r="I82" s="1375"/>
      <c r="J82" s="951"/>
      <c r="K82" s="951"/>
      <c r="L82" s="951"/>
      <c r="M82" s="951"/>
      <c r="N82" s="951"/>
      <c r="O82" s="951"/>
      <c r="P82" s="951"/>
      <c r="Q82" s="951"/>
      <c r="R82" s="951"/>
      <c r="S82" s="951"/>
      <c r="T82" s="951"/>
      <c r="U82" s="951"/>
      <c r="V82" s="1296"/>
      <c r="W82" s="951"/>
      <c r="X82" s="951"/>
      <c r="Y82" s="951"/>
      <c r="Z82" s="951"/>
      <c r="AA82" s="951"/>
      <c r="AB82" s="1296"/>
      <c r="AC82" s="951"/>
      <c r="AD82" s="951"/>
      <c r="AE82" s="951"/>
      <c r="AF82" s="951"/>
      <c r="AG82" s="951"/>
      <c r="AH82" s="951"/>
      <c r="AI82" s="1296"/>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5"/>
      <c r="I83" s="1375"/>
      <c r="J83" s="951"/>
      <c r="K83" s="951"/>
      <c r="L83" s="951"/>
      <c r="M83" s="951"/>
      <c r="N83" s="951"/>
      <c r="O83" s="951"/>
      <c r="P83" s="951"/>
      <c r="Q83" s="951"/>
      <c r="R83" s="951"/>
      <c r="S83" s="951"/>
      <c r="T83" s="951"/>
      <c r="U83" s="951"/>
      <c r="V83" s="1296"/>
      <c r="W83" s="951"/>
      <c r="X83" s="951"/>
      <c r="Y83" s="951"/>
      <c r="Z83" s="951"/>
      <c r="AA83" s="951"/>
      <c r="AB83" s="1296"/>
      <c r="AC83" s="951"/>
      <c r="AD83" s="951"/>
      <c r="AE83" s="951"/>
      <c r="AF83" s="951"/>
      <c r="AG83" s="951"/>
      <c r="AH83" s="951"/>
      <c r="AI83" s="1296"/>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5"/>
      <c r="I84" s="1375"/>
      <c r="J84" s="951"/>
      <c r="K84" s="951"/>
      <c r="L84" s="951"/>
      <c r="M84" s="951"/>
      <c r="N84" s="951"/>
      <c r="O84" s="951"/>
      <c r="P84" s="951"/>
      <c r="Q84" s="951"/>
      <c r="R84" s="951"/>
      <c r="S84" s="951"/>
      <c r="T84" s="951"/>
      <c r="U84" s="951"/>
      <c r="V84" s="1296"/>
      <c r="W84" s="951"/>
      <c r="X84" s="951"/>
      <c r="Y84" s="951"/>
      <c r="Z84" s="951"/>
      <c r="AA84" s="951"/>
      <c r="AB84" s="1296"/>
      <c r="AC84" s="951"/>
      <c r="AD84" s="951"/>
      <c r="AE84" s="951"/>
      <c r="AF84" s="951"/>
      <c r="AG84" s="951"/>
      <c r="AH84" s="951"/>
      <c r="AI84" s="1296"/>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5"/>
      <c r="I85" s="1375"/>
      <c r="J85" s="951"/>
      <c r="K85" s="951"/>
      <c r="L85" s="951"/>
      <c r="M85" s="951"/>
      <c r="N85" s="951"/>
      <c r="O85" s="951"/>
      <c r="P85" s="951"/>
      <c r="Q85" s="951"/>
      <c r="R85" s="951"/>
      <c r="S85" s="951"/>
      <c r="T85" s="951"/>
      <c r="U85" s="951"/>
      <c r="V85" s="1296"/>
      <c r="W85" s="951"/>
      <c r="X85" s="951"/>
      <c r="Y85" s="951"/>
      <c r="Z85" s="951"/>
      <c r="AA85" s="951"/>
      <c r="AB85" s="1296"/>
      <c r="AC85" s="951"/>
      <c r="AD85" s="951"/>
      <c r="AE85" s="951"/>
      <c r="AF85" s="951"/>
      <c r="AG85" s="951"/>
      <c r="AH85" s="951"/>
      <c r="AI85" s="1296"/>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5"/>
      <c r="I86" s="1375"/>
      <c r="J86" s="951"/>
      <c r="K86" s="951"/>
      <c r="L86" s="951"/>
      <c r="M86" s="951"/>
      <c r="N86" s="951"/>
      <c r="O86" s="951"/>
      <c r="P86" s="951"/>
      <c r="Q86" s="951"/>
      <c r="R86" s="951"/>
      <c r="S86" s="951"/>
      <c r="T86" s="951"/>
      <c r="U86" s="951"/>
      <c r="V86" s="1296"/>
      <c r="W86" s="951"/>
      <c r="X86" s="951"/>
      <c r="Y86" s="951"/>
      <c r="Z86" s="951"/>
      <c r="AA86" s="951"/>
      <c r="AB86" s="1296"/>
      <c r="AC86" s="951"/>
      <c r="AD86" s="951"/>
      <c r="AE86" s="951"/>
      <c r="AF86" s="951"/>
      <c r="AG86" s="951"/>
      <c r="AH86" s="951"/>
      <c r="AI86" s="1296"/>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5"/>
      <c r="I87" s="1375"/>
      <c r="J87" s="951"/>
      <c r="K87" s="951"/>
      <c r="L87" s="951"/>
      <c r="M87" s="951"/>
      <c r="N87" s="951"/>
      <c r="O87" s="951"/>
      <c r="P87" s="951"/>
      <c r="Q87" s="951"/>
      <c r="R87" s="951"/>
      <c r="S87" s="951"/>
      <c r="T87" s="951"/>
      <c r="U87" s="951"/>
      <c r="V87" s="1296"/>
      <c r="W87" s="951"/>
      <c r="X87" s="951"/>
      <c r="Y87" s="951"/>
      <c r="Z87" s="951"/>
      <c r="AA87" s="951"/>
      <c r="AB87" s="1296"/>
      <c r="AC87" s="951"/>
      <c r="AD87" s="951"/>
      <c r="AE87" s="951"/>
      <c r="AF87" s="951"/>
      <c r="AG87" s="951"/>
      <c r="AH87" s="951"/>
      <c r="AI87" s="1296"/>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5"/>
      <c r="I88" s="1375"/>
      <c r="J88" s="951"/>
      <c r="K88" s="951"/>
      <c r="L88" s="951"/>
      <c r="M88" s="951"/>
      <c r="N88" s="951"/>
      <c r="O88" s="951"/>
      <c r="P88" s="951"/>
      <c r="Q88" s="951"/>
      <c r="R88" s="951"/>
      <c r="S88" s="951"/>
      <c r="T88" s="951"/>
      <c r="U88" s="951"/>
      <c r="V88" s="1296"/>
      <c r="W88" s="951"/>
      <c r="X88" s="951"/>
      <c r="Y88" s="951"/>
      <c r="Z88" s="951"/>
      <c r="AA88" s="951"/>
      <c r="AB88" s="1296"/>
      <c r="AC88" s="951"/>
      <c r="AD88" s="951"/>
      <c r="AE88" s="951"/>
      <c r="AF88" s="951"/>
      <c r="AG88" s="951"/>
      <c r="AH88" s="951"/>
      <c r="AI88" s="1296"/>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5"/>
      <c r="I89" s="1375"/>
      <c r="J89" s="951"/>
      <c r="K89" s="951"/>
      <c r="L89" s="951"/>
      <c r="M89" s="951"/>
      <c r="N89" s="951"/>
      <c r="O89" s="951"/>
      <c r="P89" s="951"/>
      <c r="Q89" s="951"/>
      <c r="R89" s="951"/>
      <c r="S89" s="951"/>
      <c r="T89" s="951"/>
      <c r="U89" s="951"/>
      <c r="V89" s="1296"/>
      <c r="W89" s="951"/>
      <c r="X89" s="951"/>
      <c r="Y89" s="951"/>
      <c r="Z89" s="951"/>
      <c r="AA89" s="951"/>
      <c r="AB89" s="1296"/>
      <c r="AC89" s="951"/>
      <c r="AD89" s="951"/>
      <c r="AE89" s="951"/>
      <c r="AF89" s="951"/>
      <c r="AG89" s="951"/>
      <c r="AH89" s="951"/>
      <c r="AI89" s="1296"/>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5"/>
      <c r="I90" s="1375"/>
      <c r="J90" s="951"/>
      <c r="K90" s="951"/>
      <c r="L90" s="951"/>
      <c r="M90" s="951"/>
      <c r="N90" s="951"/>
      <c r="O90" s="951"/>
      <c r="P90" s="951"/>
      <c r="Q90" s="951"/>
      <c r="R90" s="951"/>
      <c r="S90" s="951"/>
      <c r="T90" s="951"/>
      <c r="U90" s="951"/>
      <c r="V90" s="1296"/>
      <c r="W90" s="951"/>
      <c r="X90" s="951"/>
      <c r="Y90" s="951"/>
      <c r="Z90" s="951"/>
      <c r="AA90" s="951"/>
      <c r="AB90" s="1296"/>
      <c r="AC90" s="951"/>
      <c r="AD90" s="951"/>
      <c r="AE90" s="951"/>
      <c r="AF90" s="951"/>
      <c r="AG90" s="951"/>
      <c r="AH90" s="951"/>
      <c r="AI90" s="1296"/>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5"/>
      <c r="I91" s="1375"/>
      <c r="J91" s="951"/>
      <c r="K91" s="951"/>
      <c r="L91" s="951"/>
      <c r="M91" s="951"/>
      <c r="N91" s="951"/>
      <c r="O91" s="951"/>
      <c r="P91" s="951"/>
      <c r="Q91" s="951"/>
      <c r="R91" s="951"/>
      <c r="S91" s="951"/>
      <c r="T91" s="951"/>
      <c r="U91" s="951"/>
      <c r="V91" s="1296"/>
      <c r="W91" s="951"/>
      <c r="X91" s="951"/>
      <c r="Y91" s="951"/>
      <c r="Z91" s="951"/>
      <c r="AA91" s="951"/>
      <c r="AB91" s="1296"/>
      <c r="AC91" s="951"/>
      <c r="AD91" s="951"/>
      <c r="AE91" s="951"/>
      <c r="AF91" s="951"/>
      <c r="AG91" s="951"/>
      <c r="AH91" s="951"/>
      <c r="AI91" s="1296"/>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5"/>
      <c r="I92" s="1375"/>
      <c r="J92" s="951"/>
      <c r="K92" s="951"/>
      <c r="L92" s="951"/>
      <c r="M92" s="951"/>
      <c r="N92" s="951"/>
      <c r="O92" s="951"/>
      <c r="P92" s="951"/>
      <c r="Q92" s="951"/>
      <c r="R92" s="951"/>
      <c r="S92" s="951"/>
      <c r="T92" s="951"/>
      <c r="U92" s="951"/>
      <c r="V92" s="1296"/>
      <c r="W92" s="951"/>
      <c r="X92" s="951"/>
      <c r="Y92" s="951"/>
      <c r="Z92" s="951"/>
      <c r="AA92" s="951"/>
      <c r="AB92" s="1296"/>
      <c r="AC92" s="951"/>
      <c r="AD92" s="951"/>
      <c r="AE92" s="951"/>
      <c r="AF92" s="951"/>
      <c r="AG92" s="951"/>
      <c r="AH92" s="951"/>
      <c r="AI92" s="1296"/>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5"/>
      <c r="I93" s="1375"/>
      <c r="J93" s="951"/>
      <c r="K93" s="951"/>
      <c r="L93" s="951"/>
      <c r="M93" s="951"/>
      <c r="N93" s="951"/>
      <c r="O93" s="951"/>
      <c r="P93" s="951"/>
      <c r="Q93" s="951"/>
      <c r="R93" s="951"/>
      <c r="S93" s="951"/>
      <c r="T93" s="951"/>
      <c r="U93" s="951"/>
      <c r="V93" s="1296"/>
      <c r="W93" s="951"/>
      <c r="X93" s="951"/>
      <c r="Y93" s="951"/>
      <c r="Z93" s="951"/>
      <c r="AA93" s="951"/>
      <c r="AB93" s="1296"/>
      <c r="AC93" s="951"/>
      <c r="AD93" s="951"/>
      <c r="AE93" s="951"/>
      <c r="AF93" s="951"/>
      <c r="AG93" s="951"/>
      <c r="AH93" s="951"/>
      <c r="AI93" s="1296"/>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5"/>
      <c r="I94" s="1375"/>
      <c r="J94" s="951"/>
      <c r="K94" s="951"/>
      <c r="L94" s="951"/>
      <c r="M94" s="951"/>
      <c r="N94" s="951"/>
      <c r="O94" s="951"/>
      <c r="P94" s="951"/>
      <c r="Q94" s="951"/>
      <c r="R94" s="951"/>
      <c r="S94" s="951"/>
      <c r="T94" s="951"/>
      <c r="U94" s="951"/>
      <c r="V94" s="1296"/>
      <c r="W94" s="951"/>
      <c r="X94" s="951"/>
      <c r="Y94" s="951"/>
      <c r="Z94" s="951"/>
      <c r="AA94" s="951"/>
      <c r="AB94" s="1296"/>
      <c r="AC94" s="951"/>
      <c r="AD94" s="951"/>
      <c r="AE94" s="951"/>
      <c r="AF94" s="951"/>
      <c r="AG94" s="951"/>
      <c r="AH94" s="951"/>
      <c r="AI94" s="1296"/>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5"/>
      <c r="I95" s="1375"/>
      <c r="J95" s="951"/>
      <c r="K95" s="951"/>
      <c r="L95" s="951"/>
      <c r="M95" s="951"/>
      <c r="N95" s="951"/>
      <c r="O95" s="951"/>
      <c r="P95" s="951"/>
      <c r="Q95" s="951"/>
      <c r="R95" s="951"/>
      <c r="S95" s="951"/>
      <c r="T95" s="951"/>
      <c r="U95" s="951"/>
      <c r="V95" s="1296"/>
      <c r="W95" s="951"/>
      <c r="X95" s="951"/>
      <c r="Y95" s="951"/>
      <c r="Z95" s="951"/>
      <c r="AA95" s="951"/>
      <c r="AB95" s="1296"/>
      <c r="AC95" s="951"/>
      <c r="AD95" s="951"/>
      <c r="AE95" s="951"/>
      <c r="AF95" s="951"/>
      <c r="AG95" s="951"/>
      <c r="AH95" s="951"/>
      <c r="AI95" s="1296"/>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5"/>
      <c r="I96" s="1375"/>
      <c r="J96" s="951"/>
      <c r="K96" s="951"/>
      <c r="L96" s="951"/>
      <c r="M96" s="951"/>
      <c r="N96" s="951"/>
      <c r="O96" s="951"/>
      <c r="P96" s="951"/>
      <c r="Q96" s="951"/>
      <c r="R96" s="951"/>
      <c r="S96" s="951"/>
      <c r="T96" s="951"/>
      <c r="U96" s="951"/>
      <c r="V96" s="1296"/>
      <c r="W96" s="951"/>
      <c r="X96" s="951"/>
      <c r="Y96" s="951"/>
      <c r="Z96" s="951"/>
      <c r="AA96" s="951"/>
      <c r="AB96" s="1296"/>
      <c r="AC96" s="951"/>
      <c r="AD96" s="951"/>
      <c r="AE96" s="951"/>
      <c r="AF96" s="951"/>
      <c r="AG96" s="951"/>
      <c r="AH96" s="951"/>
      <c r="AI96" s="1296"/>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5"/>
      <c r="I97" s="1375"/>
      <c r="J97" s="951"/>
      <c r="K97" s="951"/>
      <c r="L97" s="951"/>
      <c r="M97" s="951"/>
      <c r="N97" s="951"/>
      <c r="O97" s="951"/>
      <c r="P97" s="951"/>
      <c r="Q97" s="951"/>
      <c r="R97" s="951"/>
      <c r="S97" s="951"/>
      <c r="T97" s="951"/>
      <c r="U97" s="951"/>
      <c r="V97" s="1296"/>
      <c r="W97" s="951"/>
      <c r="X97" s="951"/>
      <c r="Y97" s="951"/>
      <c r="Z97" s="951"/>
      <c r="AA97" s="951"/>
      <c r="AB97" s="1296"/>
      <c r="AC97" s="951"/>
      <c r="AD97" s="951"/>
      <c r="AE97" s="951"/>
      <c r="AF97" s="951"/>
      <c r="AG97" s="951"/>
      <c r="AH97" s="951"/>
      <c r="AI97" s="1296"/>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5"/>
      <c r="I98" s="1375"/>
      <c r="J98" s="951"/>
      <c r="K98" s="951"/>
      <c r="L98" s="951"/>
      <c r="M98" s="951"/>
      <c r="N98" s="951"/>
      <c r="O98" s="951"/>
      <c r="P98" s="951"/>
      <c r="Q98" s="951"/>
      <c r="R98" s="951"/>
      <c r="S98" s="951"/>
      <c r="T98" s="951"/>
      <c r="U98" s="951"/>
      <c r="V98" s="1296"/>
      <c r="W98" s="951"/>
      <c r="X98" s="951"/>
      <c r="Y98" s="951"/>
      <c r="Z98" s="951"/>
      <c r="AA98" s="951"/>
      <c r="AB98" s="1296"/>
      <c r="AC98" s="951"/>
      <c r="AD98" s="951"/>
      <c r="AE98" s="951"/>
      <c r="AF98" s="951"/>
      <c r="AG98" s="951"/>
      <c r="AH98" s="951"/>
      <c r="AI98" s="1296"/>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5"/>
      <c r="I99" s="1375"/>
      <c r="J99" s="951"/>
      <c r="K99" s="951"/>
      <c r="L99" s="951"/>
      <c r="M99" s="951"/>
      <c r="N99" s="951"/>
      <c r="O99" s="951"/>
      <c r="P99" s="951"/>
      <c r="Q99" s="951"/>
      <c r="R99" s="951"/>
      <c r="S99" s="951"/>
      <c r="T99" s="951"/>
      <c r="U99" s="951"/>
      <c r="V99" s="1296"/>
      <c r="W99" s="951"/>
      <c r="X99" s="951"/>
      <c r="Y99" s="951"/>
      <c r="Z99" s="951"/>
      <c r="AA99" s="951"/>
      <c r="AB99" s="1296"/>
      <c r="AC99" s="951"/>
      <c r="AD99" s="951"/>
      <c r="AE99" s="951"/>
      <c r="AF99" s="951"/>
      <c r="AG99" s="951"/>
      <c r="AH99" s="951"/>
      <c r="AI99" s="1296"/>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5"/>
      <c r="I100" s="1375"/>
      <c r="J100" s="951"/>
      <c r="K100" s="951"/>
      <c r="L100" s="951"/>
      <c r="M100" s="951"/>
      <c r="N100" s="951"/>
      <c r="O100" s="951"/>
      <c r="P100" s="951"/>
      <c r="Q100" s="951"/>
      <c r="R100" s="951"/>
      <c r="S100" s="951"/>
      <c r="T100" s="951"/>
      <c r="U100" s="951"/>
      <c r="V100" s="1296"/>
      <c r="W100" s="951"/>
      <c r="X100" s="951"/>
      <c r="Y100" s="951"/>
      <c r="Z100" s="951"/>
      <c r="AA100" s="951"/>
      <c r="AB100" s="1296"/>
      <c r="AC100" s="951"/>
      <c r="AD100" s="951"/>
      <c r="AE100" s="951"/>
      <c r="AF100" s="951"/>
      <c r="AG100" s="951"/>
      <c r="AH100" s="951"/>
      <c r="AI100" s="1296"/>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5"/>
      <c r="I101" s="1375"/>
      <c r="J101" s="951"/>
      <c r="K101" s="951"/>
      <c r="L101" s="951"/>
      <c r="M101" s="951"/>
      <c r="N101" s="951"/>
      <c r="O101" s="951"/>
      <c r="P101" s="951"/>
      <c r="Q101" s="951"/>
      <c r="R101" s="951"/>
      <c r="S101" s="951"/>
      <c r="T101" s="951"/>
      <c r="U101" s="951"/>
      <c r="V101" s="1296"/>
      <c r="W101" s="951"/>
      <c r="X101" s="951"/>
      <c r="Y101" s="951"/>
      <c r="Z101" s="951"/>
      <c r="AA101" s="951"/>
      <c r="AB101" s="1296"/>
      <c r="AC101" s="951"/>
      <c r="AD101" s="951"/>
      <c r="AE101" s="951"/>
      <c r="AF101" s="951"/>
      <c r="AG101" s="951"/>
      <c r="AH101" s="951"/>
      <c r="AI101" s="1296"/>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5"/>
      <c r="I102" s="1375"/>
      <c r="J102" s="951"/>
      <c r="K102" s="951"/>
      <c r="L102" s="951"/>
      <c r="M102" s="951"/>
      <c r="N102" s="951"/>
      <c r="O102" s="951"/>
      <c r="P102" s="951"/>
      <c r="Q102" s="951"/>
      <c r="R102" s="951"/>
      <c r="S102" s="951"/>
      <c r="T102" s="951"/>
      <c r="U102" s="951"/>
      <c r="V102" s="1296"/>
      <c r="W102" s="951"/>
      <c r="X102" s="951"/>
      <c r="Y102" s="951"/>
      <c r="Z102" s="951"/>
      <c r="AA102" s="951"/>
      <c r="AB102" s="1296"/>
      <c r="AC102" s="951"/>
      <c r="AD102" s="951"/>
      <c r="AE102" s="951"/>
      <c r="AF102" s="951"/>
      <c r="AG102" s="951"/>
      <c r="AH102" s="951"/>
      <c r="AI102" s="1296"/>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5"/>
      <c r="I103" s="1375"/>
      <c r="J103" s="951"/>
      <c r="K103" s="951"/>
      <c r="L103" s="951"/>
      <c r="M103" s="951"/>
      <c r="N103" s="951"/>
      <c r="O103" s="951"/>
      <c r="P103" s="951"/>
      <c r="Q103" s="951"/>
      <c r="R103" s="951"/>
      <c r="S103" s="951"/>
      <c r="T103" s="951"/>
      <c r="U103" s="951"/>
      <c r="V103" s="1296"/>
      <c r="W103" s="951"/>
      <c r="X103" s="951"/>
      <c r="Y103" s="951"/>
      <c r="Z103" s="951"/>
      <c r="AA103" s="951"/>
      <c r="AB103" s="1296"/>
      <c r="AC103" s="951"/>
      <c r="AD103" s="951"/>
      <c r="AE103" s="951"/>
      <c r="AF103" s="951"/>
      <c r="AG103" s="951"/>
      <c r="AH103" s="951"/>
      <c r="AI103" s="1296"/>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5"/>
      <c r="I104" s="1375"/>
      <c r="J104" s="951"/>
      <c r="K104" s="951"/>
      <c r="L104" s="951"/>
      <c r="M104" s="951"/>
      <c r="N104" s="951"/>
      <c r="O104" s="951"/>
      <c r="P104" s="951"/>
      <c r="Q104" s="951"/>
      <c r="R104" s="951"/>
      <c r="S104" s="951"/>
      <c r="T104" s="951"/>
      <c r="U104" s="951"/>
      <c r="V104" s="1296"/>
      <c r="W104" s="951"/>
      <c r="X104" s="951"/>
      <c r="Y104" s="951"/>
      <c r="Z104" s="951"/>
      <c r="AA104" s="951"/>
      <c r="AB104" s="1296"/>
      <c r="AC104" s="951"/>
      <c r="AD104" s="951"/>
      <c r="AE104" s="951"/>
      <c r="AF104" s="951"/>
      <c r="AG104" s="951"/>
      <c r="AH104" s="951"/>
      <c r="AI104" s="1296"/>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5"/>
      <c r="I105" s="1375"/>
      <c r="J105" s="951"/>
      <c r="K105" s="951"/>
      <c r="L105" s="951"/>
      <c r="M105" s="951"/>
      <c r="N105" s="951"/>
      <c r="O105" s="951"/>
      <c r="P105" s="951"/>
      <c r="Q105" s="951"/>
      <c r="R105" s="951"/>
      <c r="S105" s="951"/>
      <c r="T105" s="951"/>
      <c r="U105" s="951"/>
      <c r="V105" s="1296"/>
      <c r="W105" s="951"/>
      <c r="X105" s="951"/>
      <c r="Y105" s="951"/>
      <c r="Z105" s="951"/>
      <c r="AA105" s="951"/>
      <c r="AB105" s="1296"/>
      <c r="AC105" s="951"/>
      <c r="AD105" s="951"/>
      <c r="AE105" s="951"/>
      <c r="AF105" s="951"/>
      <c r="AG105" s="951"/>
      <c r="AH105" s="951"/>
      <c r="AI105" s="1296"/>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5"/>
      <c r="I106" s="1375"/>
      <c r="J106" s="951"/>
      <c r="K106" s="951"/>
      <c r="L106" s="951"/>
      <c r="M106" s="951"/>
      <c r="N106" s="951"/>
      <c r="O106" s="951"/>
      <c r="P106" s="951"/>
      <c r="Q106" s="951"/>
      <c r="R106" s="951"/>
      <c r="S106" s="951"/>
      <c r="T106" s="951"/>
      <c r="U106" s="951"/>
      <c r="V106" s="1296"/>
      <c r="W106" s="951"/>
      <c r="X106" s="951"/>
      <c r="Y106" s="951"/>
      <c r="Z106" s="951"/>
      <c r="AA106" s="951"/>
      <c r="AB106" s="1296"/>
      <c r="AC106" s="951"/>
      <c r="AD106" s="951"/>
      <c r="AE106" s="951"/>
      <c r="AF106" s="951"/>
      <c r="AG106" s="951"/>
      <c r="AH106" s="951"/>
      <c r="AI106" s="1296"/>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5"/>
      <c r="I107" s="1375"/>
      <c r="J107" s="951"/>
      <c r="K107" s="951"/>
      <c r="L107" s="951"/>
      <c r="M107" s="951"/>
      <c r="N107" s="951"/>
      <c r="O107" s="951"/>
      <c r="P107" s="951"/>
      <c r="Q107" s="951"/>
      <c r="R107" s="951"/>
      <c r="S107" s="951"/>
      <c r="T107" s="951"/>
      <c r="U107" s="951"/>
      <c r="V107" s="1296"/>
      <c r="W107" s="951"/>
      <c r="X107" s="951"/>
      <c r="Y107" s="951"/>
      <c r="Z107" s="951"/>
      <c r="AA107" s="951"/>
      <c r="AB107" s="1296"/>
      <c r="AC107" s="951"/>
      <c r="AD107" s="951"/>
      <c r="AE107" s="951"/>
      <c r="AF107" s="951"/>
      <c r="AG107" s="951"/>
      <c r="AH107" s="951"/>
      <c r="AI107" s="1296"/>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5"/>
      <c r="I108" s="1375"/>
      <c r="J108" s="951"/>
      <c r="K108" s="951"/>
      <c r="L108" s="951"/>
      <c r="M108" s="951"/>
      <c r="N108" s="951"/>
      <c r="O108" s="951"/>
      <c r="P108" s="951"/>
      <c r="Q108" s="951"/>
      <c r="R108" s="951"/>
      <c r="S108" s="951"/>
      <c r="T108" s="951"/>
      <c r="U108" s="951"/>
      <c r="V108" s="1296"/>
      <c r="W108" s="951"/>
      <c r="X108" s="951"/>
      <c r="Y108" s="951"/>
      <c r="Z108" s="951"/>
      <c r="AA108" s="951"/>
      <c r="AB108" s="1296"/>
      <c r="AC108" s="951"/>
      <c r="AD108" s="951"/>
      <c r="AE108" s="951"/>
      <c r="AF108" s="951"/>
      <c r="AG108" s="951"/>
      <c r="AH108" s="951"/>
      <c r="AI108" s="1296"/>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5"/>
      <c r="I109" s="1375"/>
      <c r="J109" s="951"/>
      <c r="K109" s="951"/>
      <c r="L109" s="951"/>
      <c r="M109" s="951"/>
      <c r="N109" s="951"/>
      <c r="O109" s="951"/>
      <c r="P109" s="951"/>
      <c r="Q109" s="951"/>
      <c r="R109" s="951"/>
      <c r="S109" s="951"/>
      <c r="T109" s="951"/>
      <c r="U109" s="951"/>
      <c r="V109" s="1296"/>
      <c r="W109" s="951"/>
      <c r="X109" s="951"/>
      <c r="Y109" s="951"/>
      <c r="Z109" s="951"/>
      <c r="AA109" s="951"/>
      <c r="AB109" s="1296"/>
      <c r="AC109" s="951"/>
      <c r="AD109" s="951"/>
      <c r="AE109" s="951"/>
      <c r="AF109" s="951"/>
      <c r="AG109" s="951"/>
      <c r="AH109" s="951"/>
      <c r="AI109" s="1296"/>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5"/>
      <c r="I110" s="1375"/>
      <c r="J110" s="951"/>
      <c r="K110" s="951"/>
      <c r="L110" s="951"/>
      <c r="M110" s="951"/>
      <c r="N110" s="951"/>
      <c r="O110" s="951"/>
      <c r="P110" s="951"/>
      <c r="Q110" s="951"/>
      <c r="R110" s="951"/>
      <c r="S110" s="951"/>
      <c r="T110" s="951"/>
      <c r="U110" s="951"/>
      <c r="V110" s="1296"/>
      <c r="W110" s="951"/>
      <c r="X110" s="951"/>
      <c r="Y110" s="951"/>
      <c r="Z110" s="951"/>
      <c r="AA110" s="951"/>
      <c r="AB110" s="1296"/>
      <c r="AC110" s="951"/>
      <c r="AD110" s="951"/>
      <c r="AE110" s="951"/>
      <c r="AF110" s="951"/>
      <c r="AG110" s="951"/>
      <c r="AH110" s="951"/>
      <c r="AI110" s="1296"/>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5"/>
      <c r="I111" s="1375"/>
      <c r="J111" s="951"/>
      <c r="K111" s="951"/>
      <c r="L111" s="951"/>
      <c r="M111" s="951"/>
      <c r="N111" s="951"/>
      <c r="O111" s="951"/>
      <c r="P111" s="951"/>
      <c r="Q111" s="951"/>
      <c r="R111" s="951"/>
      <c r="S111" s="951"/>
      <c r="T111" s="951"/>
      <c r="U111" s="951"/>
      <c r="V111" s="1296"/>
      <c r="W111" s="951"/>
      <c r="X111" s="951"/>
      <c r="Y111" s="951"/>
      <c r="Z111" s="951"/>
      <c r="AA111" s="951"/>
      <c r="AB111" s="1296"/>
      <c r="AC111" s="951"/>
      <c r="AD111" s="951"/>
      <c r="AE111" s="951"/>
      <c r="AF111" s="951"/>
      <c r="AG111" s="951"/>
      <c r="AH111" s="951"/>
      <c r="AI111" s="1296"/>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5"/>
      <c r="I112" s="1375"/>
      <c r="J112" s="951"/>
      <c r="K112" s="951"/>
      <c r="L112" s="951"/>
      <c r="M112" s="951"/>
      <c r="N112" s="951"/>
      <c r="O112" s="951"/>
      <c r="P112" s="951"/>
      <c r="Q112" s="951"/>
      <c r="R112" s="951"/>
      <c r="S112" s="951"/>
      <c r="T112" s="951"/>
      <c r="U112" s="951"/>
      <c r="V112" s="1296"/>
      <c r="W112" s="951"/>
      <c r="X112" s="951"/>
      <c r="Y112" s="951"/>
      <c r="Z112" s="951"/>
      <c r="AA112" s="951"/>
      <c r="AB112" s="1296"/>
      <c r="AC112" s="951"/>
      <c r="AD112" s="951"/>
      <c r="AE112" s="951"/>
      <c r="AF112" s="951"/>
      <c r="AG112" s="951"/>
      <c r="AH112" s="951"/>
      <c r="AI112" s="1296"/>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5"/>
      <c r="I113" s="1375"/>
      <c r="J113" s="951"/>
      <c r="K113" s="951"/>
      <c r="L113" s="951"/>
      <c r="M113" s="951"/>
      <c r="N113" s="951"/>
      <c r="O113" s="951"/>
      <c r="P113" s="951"/>
      <c r="Q113" s="951"/>
      <c r="R113" s="951"/>
      <c r="S113" s="951"/>
      <c r="T113" s="951"/>
      <c r="U113" s="951"/>
      <c r="V113" s="1296"/>
      <c r="W113" s="951"/>
      <c r="X113" s="951"/>
      <c r="Y113" s="951"/>
      <c r="Z113" s="951"/>
      <c r="AA113" s="951"/>
      <c r="AB113" s="1296"/>
      <c r="AC113" s="951"/>
      <c r="AD113" s="951"/>
      <c r="AE113" s="951"/>
      <c r="AF113" s="951"/>
      <c r="AG113" s="951"/>
      <c r="AH113" s="951"/>
      <c r="AI113" s="1296"/>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5"/>
      <c r="I114" s="1375"/>
      <c r="J114" s="951"/>
      <c r="K114" s="951"/>
      <c r="L114" s="951"/>
      <c r="M114" s="951"/>
      <c r="N114" s="951"/>
      <c r="O114" s="951"/>
      <c r="P114" s="951"/>
      <c r="Q114" s="951"/>
      <c r="R114" s="951"/>
      <c r="S114" s="951"/>
      <c r="T114" s="951"/>
      <c r="U114" s="951"/>
      <c r="V114" s="1296"/>
      <c r="W114" s="951"/>
      <c r="X114" s="951"/>
      <c r="Y114" s="951"/>
      <c r="Z114" s="951"/>
      <c r="AA114" s="951"/>
      <c r="AB114" s="1296"/>
      <c r="AC114" s="951"/>
      <c r="AD114" s="951"/>
      <c r="AE114" s="951"/>
      <c r="AF114" s="951"/>
      <c r="AG114" s="951"/>
      <c r="AH114" s="951"/>
      <c r="AI114" s="1296"/>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5"/>
      <c r="I115" s="1375"/>
      <c r="J115" s="951"/>
      <c r="K115" s="951"/>
      <c r="L115" s="951"/>
      <c r="M115" s="951"/>
      <c r="N115" s="951"/>
      <c r="O115" s="951"/>
      <c r="P115" s="951"/>
      <c r="Q115" s="951"/>
      <c r="R115" s="951"/>
      <c r="S115" s="951"/>
      <c r="T115" s="951"/>
      <c r="U115" s="951"/>
      <c r="V115" s="1296"/>
      <c r="W115" s="951"/>
      <c r="X115" s="951"/>
      <c r="Y115" s="951"/>
      <c r="Z115" s="951"/>
      <c r="AA115" s="951"/>
      <c r="AB115" s="1296"/>
      <c r="AC115" s="951"/>
      <c r="AD115" s="951"/>
      <c r="AE115" s="951"/>
      <c r="AF115" s="951"/>
      <c r="AG115" s="951"/>
      <c r="AH115" s="951"/>
      <c r="AI115" s="1296"/>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5"/>
      <c r="I116" s="1375"/>
      <c r="J116" s="951"/>
      <c r="K116" s="951"/>
      <c r="L116" s="951"/>
      <c r="M116" s="951"/>
      <c r="N116" s="951"/>
      <c r="O116" s="951"/>
      <c r="P116" s="951"/>
      <c r="Q116" s="951"/>
      <c r="R116" s="951"/>
      <c r="S116" s="951"/>
      <c r="T116" s="951"/>
      <c r="U116" s="951"/>
      <c r="V116" s="1296"/>
      <c r="W116" s="951"/>
      <c r="X116" s="951"/>
      <c r="Y116" s="951"/>
      <c r="Z116" s="951"/>
      <c r="AA116" s="951"/>
      <c r="AB116" s="1296"/>
      <c r="AC116" s="951"/>
      <c r="AD116" s="951"/>
      <c r="AE116" s="951"/>
      <c r="AF116" s="951"/>
      <c r="AG116" s="951"/>
      <c r="AH116" s="951"/>
      <c r="AI116" s="1296"/>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5"/>
      <c r="I117" s="1375"/>
      <c r="J117" s="951"/>
      <c r="K117" s="951"/>
      <c r="L117" s="951"/>
      <c r="M117" s="951"/>
      <c r="N117" s="951"/>
      <c r="O117" s="951"/>
      <c r="P117" s="951"/>
      <c r="Q117" s="951"/>
      <c r="R117" s="951"/>
      <c r="S117" s="951"/>
      <c r="T117" s="951"/>
      <c r="U117" s="951"/>
      <c r="V117" s="1296"/>
      <c r="W117" s="951"/>
      <c r="X117" s="951"/>
      <c r="Y117" s="951"/>
      <c r="Z117" s="951"/>
      <c r="AA117" s="951"/>
      <c r="AB117" s="1296"/>
      <c r="AC117" s="951"/>
      <c r="AD117" s="951"/>
      <c r="AE117" s="951"/>
      <c r="AF117" s="951"/>
      <c r="AG117" s="951"/>
      <c r="AH117" s="951"/>
      <c r="AI117" s="1296"/>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5"/>
      <c r="I118" s="1375"/>
      <c r="J118" s="951"/>
      <c r="K118" s="951"/>
      <c r="L118" s="951"/>
      <c r="M118" s="951"/>
      <c r="N118" s="951"/>
      <c r="O118" s="951"/>
      <c r="P118" s="951"/>
      <c r="Q118" s="951"/>
      <c r="R118" s="951"/>
      <c r="S118" s="951"/>
      <c r="T118" s="951"/>
      <c r="U118" s="951"/>
      <c r="V118" s="1296"/>
      <c r="W118" s="951"/>
      <c r="X118" s="951"/>
      <c r="Y118" s="951"/>
      <c r="Z118" s="951"/>
      <c r="AA118" s="951"/>
      <c r="AB118" s="1296"/>
      <c r="AC118" s="951"/>
      <c r="AD118" s="951"/>
      <c r="AE118" s="951"/>
      <c r="AF118" s="951"/>
      <c r="AG118" s="951"/>
      <c r="AH118" s="951"/>
      <c r="AI118" s="1296"/>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5"/>
      <c r="I119" s="1375"/>
      <c r="J119" s="951"/>
      <c r="K119" s="951"/>
      <c r="L119" s="951"/>
      <c r="M119" s="951"/>
      <c r="N119" s="951"/>
      <c r="O119" s="951"/>
      <c r="P119" s="951"/>
      <c r="Q119" s="951"/>
      <c r="R119" s="951"/>
      <c r="S119" s="951"/>
      <c r="T119" s="951"/>
      <c r="U119" s="951"/>
      <c r="V119" s="1296"/>
      <c r="W119" s="951"/>
      <c r="X119" s="951"/>
      <c r="Y119" s="951"/>
      <c r="Z119" s="951"/>
      <c r="AA119" s="951"/>
      <c r="AB119" s="1296"/>
      <c r="AC119" s="951"/>
      <c r="AD119" s="951"/>
      <c r="AE119" s="951"/>
      <c r="AF119" s="951"/>
      <c r="AG119" s="951"/>
      <c r="AH119" s="951"/>
      <c r="AI119" s="1296"/>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5"/>
      <c r="I120" s="1375"/>
      <c r="J120" s="951"/>
      <c r="K120" s="951"/>
      <c r="L120" s="951"/>
      <c r="M120" s="951"/>
      <c r="N120" s="951"/>
      <c r="O120" s="951"/>
      <c r="P120" s="951"/>
      <c r="Q120" s="951"/>
      <c r="R120" s="951"/>
      <c r="S120" s="951"/>
      <c r="T120" s="951"/>
      <c r="U120" s="951"/>
      <c r="V120" s="1296"/>
      <c r="W120" s="951"/>
      <c r="X120" s="951"/>
      <c r="Y120" s="951"/>
      <c r="Z120" s="951"/>
      <c r="AA120" s="951"/>
      <c r="AB120" s="1296"/>
      <c r="AC120" s="951"/>
      <c r="AD120" s="951"/>
      <c r="AE120" s="951"/>
      <c r="AF120" s="951"/>
      <c r="AG120" s="951"/>
      <c r="AH120" s="951"/>
      <c r="AI120" s="1296"/>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5"/>
      <c r="I121" s="1375"/>
      <c r="J121" s="951"/>
      <c r="K121" s="951"/>
      <c r="L121" s="951"/>
      <c r="M121" s="951"/>
      <c r="N121" s="951"/>
      <c r="O121" s="951"/>
      <c r="P121" s="951"/>
      <c r="Q121" s="951"/>
      <c r="R121" s="951"/>
      <c r="S121" s="951"/>
      <c r="T121" s="951"/>
      <c r="U121" s="951"/>
      <c r="V121" s="1296"/>
      <c r="W121" s="951"/>
      <c r="X121" s="951"/>
      <c r="Y121" s="951"/>
      <c r="Z121" s="951"/>
      <c r="AA121" s="951"/>
      <c r="AB121" s="1296"/>
      <c r="AC121" s="951"/>
      <c r="AD121" s="951"/>
      <c r="AE121" s="951"/>
      <c r="AF121" s="951"/>
      <c r="AG121" s="951"/>
      <c r="AH121" s="951"/>
      <c r="AI121" s="1296"/>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5"/>
      <c r="I122" s="1375"/>
      <c r="J122" s="951"/>
      <c r="K122" s="951"/>
      <c r="L122" s="951"/>
      <c r="M122" s="951"/>
      <c r="N122" s="951"/>
      <c r="O122" s="951"/>
      <c r="P122" s="951"/>
      <c r="Q122" s="951"/>
      <c r="R122" s="951"/>
      <c r="S122" s="951"/>
      <c r="T122" s="951"/>
      <c r="U122" s="951"/>
      <c r="V122" s="1296"/>
      <c r="W122" s="951"/>
      <c r="X122" s="951"/>
      <c r="Y122" s="951"/>
      <c r="Z122" s="951"/>
      <c r="AA122" s="951"/>
      <c r="AB122" s="1296"/>
      <c r="AC122" s="951"/>
      <c r="AD122" s="951"/>
      <c r="AE122" s="951"/>
      <c r="AF122" s="951"/>
      <c r="AG122" s="951"/>
      <c r="AH122" s="951"/>
      <c r="AI122" s="1296"/>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5"/>
      <c r="I123" s="1375"/>
      <c r="J123" s="951"/>
      <c r="K123" s="951"/>
      <c r="L123" s="951"/>
      <c r="M123" s="951"/>
      <c r="N123" s="951"/>
      <c r="O123" s="951"/>
      <c r="P123" s="951"/>
      <c r="Q123" s="951"/>
      <c r="R123" s="951"/>
      <c r="S123" s="951"/>
      <c r="T123" s="951"/>
      <c r="U123" s="951"/>
      <c r="V123" s="1296"/>
      <c r="W123" s="951"/>
      <c r="X123" s="951"/>
      <c r="Y123" s="951"/>
      <c r="Z123" s="951"/>
      <c r="AA123" s="951"/>
      <c r="AB123" s="1296"/>
      <c r="AC123" s="951"/>
      <c r="AD123" s="951"/>
      <c r="AE123" s="951"/>
      <c r="AF123" s="951"/>
      <c r="AG123" s="951"/>
      <c r="AH123" s="951"/>
      <c r="AI123" s="1296"/>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5"/>
      <c r="I124" s="1375"/>
      <c r="J124" s="951"/>
      <c r="K124" s="951"/>
      <c r="L124" s="951"/>
      <c r="M124" s="951"/>
      <c r="N124" s="951"/>
      <c r="O124" s="951"/>
      <c r="P124" s="951"/>
      <c r="Q124" s="951"/>
      <c r="R124" s="951"/>
      <c r="S124" s="951"/>
      <c r="T124" s="951"/>
      <c r="U124" s="951"/>
      <c r="V124" s="1296"/>
      <c r="W124" s="951"/>
      <c r="X124" s="951"/>
      <c r="Y124" s="951"/>
      <c r="Z124" s="951"/>
      <c r="AA124" s="951"/>
      <c r="AB124" s="1296"/>
      <c r="AC124" s="951"/>
      <c r="AD124" s="951"/>
      <c r="AE124" s="951"/>
      <c r="AF124" s="951"/>
      <c r="AG124" s="951"/>
      <c r="AH124" s="951"/>
      <c r="AI124" s="1296"/>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5"/>
      <c r="I125" s="1375"/>
      <c r="J125" s="951"/>
      <c r="K125" s="951"/>
      <c r="L125" s="951"/>
      <c r="M125" s="951"/>
      <c r="N125" s="951"/>
      <c r="O125" s="951"/>
      <c r="P125" s="951"/>
      <c r="Q125" s="951"/>
      <c r="R125" s="951"/>
      <c r="S125" s="951"/>
      <c r="T125" s="951"/>
      <c r="U125" s="951"/>
      <c r="V125" s="1296"/>
      <c r="W125" s="951"/>
      <c r="X125" s="951"/>
      <c r="Y125" s="951"/>
      <c r="Z125" s="951"/>
      <c r="AA125" s="951"/>
      <c r="AB125" s="1296"/>
      <c r="AC125" s="951"/>
      <c r="AD125" s="951"/>
      <c r="AE125" s="951"/>
      <c r="AF125" s="951"/>
      <c r="AG125" s="951"/>
      <c r="AH125" s="951"/>
      <c r="AI125" s="1296"/>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5"/>
      <c r="I126" s="1375"/>
      <c r="J126" s="951"/>
      <c r="K126" s="951"/>
      <c r="L126" s="951"/>
      <c r="M126" s="951"/>
      <c r="N126" s="951"/>
      <c r="O126" s="951"/>
      <c r="P126" s="951"/>
      <c r="Q126" s="951"/>
      <c r="R126" s="951"/>
      <c r="S126" s="951"/>
      <c r="T126" s="951"/>
      <c r="U126" s="951"/>
      <c r="V126" s="1296"/>
      <c r="W126" s="951"/>
      <c r="X126" s="951"/>
      <c r="Y126" s="951"/>
      <c r="Z126" s="951"/>
      <c r="AA126" s="951"/>
      <c r="AB126" s="1296"/>
      <c r="AC126" s="951"/>
      <c r="AD126" s="951"/>
      <c r="AE126" s="951"/>
      <c r="AF126" s="951"/>
      <c r="AG126" s="951"/>
      <c r="AH126" s="951"/>
      <c r="AI126" s="1296"/>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5"/>
      <c r="I127" s="1375"/>
      <c r="J127" s="951"/>
      <c r="K127" s="951"/>
      <c r="L127" s="951"/>
      <c r="M127" s="951"/>
      <c r="N127" s="951"/>
      <c r="O127" s="951"/>
      <c r="P127" s="951"/>
      <c r="Q127" s="951"/>
      <c r="R127" s="951"/>
      <c r="S127" s="951"/>
      <c r="T127" s="951"/>
      <c r="U127" s="951"/>
      <c r="V127" s="1296"/>
      <c r="W127" s="951"/>
      <c r="X127" s="951"/>
      <c r="Y127" s="951"/>
      <c r="Z127" s="951"/>
      <c r="AA127" s="951"/>
      <c r="AB127" s="1296"/>
      <c r="AC127" s="951"/>
      <c r="AD127" s="951"/>
      <c r="AE127" s="951"/>
      <c r="AF127" s="951"/>
      <c r="AG127" s="951"/>
      <c r="AH127" s="951"/>
      <c r="AI127" s="1296"/>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5"/>
      <c r="I128" s="1375"/>
      <c r="J128" s="951"/>
      <c r="K128" s="951"/>
      <c r="L128" s="951"/>
      <c r="M128" s="951"/>
      <c r="N128" s="951"/>
      <c r="O128" s="951"/>
      <c r="P128" s="951"/>
      <c r="Q128" s="951"/>
      <c r="R128" s="951"/>
      <c r="S128" s="951"/>
      <c r="T128" s="951"/>
      <c r="U128" s="951"/>
      <c r="V128" s="1296"/>
      <c r="W128" s="951"/>
      <c r="X128" s="951"/>
      <c r="Y128" s="951"/>
      <c r="Z128" s="951"/>
      <c r="AA128" s="951"/>
      <c r="AB128" s="1296"/>
      <c r="AC128" s="951"/>
      <c r="AD128" s="951"/>
      <c r="AE128" s="951"/>
      <c r="AF128" s="951"/>
      <c r="AG128" s="951"/>
      <c r="AH128" s="951"/>
      <c r="AI128" s="1296"/>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5"/>
      <c r="I129" s="1375"/>
      <c r="J129" s="951"/>
      <c r="K129" s="951"/>
      <c r="L129" s="951"/>
      <c r="M129" s="951"/>
      <c r="N129" s="951"/>
      <c r="O129" s="951"/>
      <c r="P129" s="951"/>
      <c r="Q129" s="951"/>
      <c r="R129" s="951"/>
      <c r="S129" s="951"/>
      <c r="T129" s="951"/>
      <c r="U129" s="951"/>
      <c r="V129" s="1296"/>
      <c r="W129" s="951"/>
      <c r="X129" s="951"/>
      <c r="Y129" s="951"/>
      <c r="Z129" s="951"/>
      <c r="AA129" s="951"/>
      <c r="AB129" s="1296"/>
      <c r="AC129" s="951"/>
      <c r="AD129" s="951"/>
      <c r="AE129" s="951"/>
      <c r="AF129" s="951"/>
      <c r="AG129" s="951"/>
      <c r="AH129" s="951"/>
      <c r="AI129" s="1296"/>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5"/>
      <c r="I130" s="1375"/>
      <c r="J130" s="951"/>
      <c r="K130" s="951"/>
      <c r="L130" s="951"/>
      <c r="M130" s="951"/>
      <c r="N130" s="951"/>
      <c r="O130" s="951"/>
      <c r="P130" s="951"/>
      <c r="Q130" s="951"/>
      <c r="R130" s="951"/>
      <c r="S130" s="951"/>
      <c r="T130" s="951"/>
      <c r="U130" s="951"/>
      <c r="V130" s="1296"/>
      <c r="W130" s="951"/>
      <c r="X130" s="951"/>
      <c r="Y130" s="951"/>
      <c r="Z130" s="951"/>
      <c r="AA130" s="951"/>
      <c r="AB130" s="1296"/>
      <c r="AC130" s="951"/>
      <c r="AD130" s="951"/>
      <c r="AE130" s="951"/>
      <c r="AF130" s="951"/>
      <c r="AG130" s="951"/>
      <c r="AH130" s="951"/>
      <c r="AI130" s="1296"/>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5"/>
      <c r="I131" s="1375"/>
      <c r="J131" s="951"/>
      <c r="K131" s="951"/>
      <c r="L131" s="951"/>
      <c r="M131" s="951"/>
      <c r="N131" s="951"/>
      <c r="O131" s="951"/>
      <c r="P131" s="951"/>
      <c r="Q131" s="951"/>
      <c r="R131" s="951"/>
      <c r="S131" s="951"/>
      <c r="T131" s="951"/>
      <c r="U131" s="951"/>
      <c r="V131" s="1296"/>
      <c r="W131" s="951"/>
      <c r="X131" s="951"/>
      <c r="Y131" s="951"/>
      <c r="Z131" s="951"/>
      <c r="AA131" s="951"/>
      <c r="AB131" s="1296"/>
      <c r="AC131" s="951"/>
      <c r="AD131" s="951"/>
      <c r="AE131" s="951"/>
      <c r="AF131" s="951"/>
      <c r="AG131" s="951"/>
      <c r="AH131" s="951"/>
      <c r="AI131" s="1296"/>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5"/>
      <c r="I132" s="1375"/>
      <c r="J132" s="951"/>
      <c r="K132" s="951"/>
      <c r="L132" s="951"/>
      <c r="M132" s="951"/>
      <c r="N132" s="951"/>
      <c r="O132" s="951"/>
      <c r="P132" s="951"/>
      <c r="Q132" s="951"/>
      <c r="R132" s="951"/>
      <c r="S132" s="951"/>
      <c r="T132" s="951"/>
      <c r="U132" s="951"/>
      <c r="V132" s="1296"/>
      <c r="W132" s="951"/>
      <c r="X132" s="951"/>
      <c r="Y132" s="951"/>
      <c r="Z132" s="951"/>
      <c r="AA132" s="951"/>
      <c r="AB132" s="1296"/>
      <c r="AC132" s="951"/>
      <c r="AD132" s="951"/>
      <c r="AE132" s="951"/>
      <c r="AF132" s="951"/>
      <c r="AG132" s="951"/>
      <c r="AH132" s="951"/>
      <c r="AI132" s="1296"/>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5"/>
      <c r="I133" s="1375"/>
      <c r="J133" s="951"/>
      <c r="K133" s="951"/>
      <c r="L133" s="951"/>
      <c r="M133" s="951"/>
      <c r="N133" s="951"/>
      <c r="O133" s="951"/>
      <c r="P133" s="951"/>
      <c r="Q133" s="951"/>
      <c r="R133" s="951"/>
      <c r="S133" s="951"/>
      <c r="T133" s="951"/>
      <c r="U133" s="951"/>
      <c r="V133" s="1296"/>
      <c r="W133" s="951"/>
      <c r="X133" s="951"/>
      <c r="Y133" s="951"/>
      <c r="Z133" s="951"/>
      <c r="AA133" s="951"/>
      <c r="AB133" s="1296"/>
      <c r="AC133" s="951"/>
      <c r="AD133" s="951"/>
      <c r="AE133" s="951"/>
      <c r="AF133" s="951"/>
      <c r="AG133" s="951"/>
      <c r="AH133" s="951"/>
      <c r="AI133" s="1296"/>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5"/>
      <c r="I134" s="1375"/>
      <c r="J134" s="951"/>
      <c r="K134" s="951"/>
      <c r="L134" s="951"/>
      <c r="M134" s="951"/>
      <c r="N134" s="951"/>
      <c r="O134" s="951"/>
      <c r="P134" s="951"/>
      <c r="Q134" s="951"/>
      <c r="R134" s="951"/>
      <c r="S134" s="951"/>
      <c r="T134" s="951"/>
      <c r="U134" s="951"/>
      <c r="V134" s="1296"/>
      <c r="W134" s="951"/>
      <c r="X134" s="951"/>
      <c r="Y134" s="951"/>
      <c r="Z134" s="951"/>
      <c r="AA134" s="951"/>
      <c r="AB134" s="1296"/>
      <c r="AC134" s="951"/>
      <c r="AD134" s="951"/>
      <c r="AE134" s="951"/>
      <c r="AF134" s="951"/>
      <c r="AG134" s="951"/>
      <c r="AH134" s="951"/>
      <c r="AI134" s="1296"/>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5"/>
      <c r="I135" s="1375"/>
      <c r="J135" s="951"/>
      <c r="K135" s="951"/>
      <c r="L135" s="951"/>
      <c r="M135" s="951"/>
      <c r="N135" s="951"/>
      <c r="O135" s="951"/>
      <c r="P135" s="951"/>
      <c r="Q135" s="951"/>
      <c r="R135" s="951"/>
      <c r="S135" s="951"/>
      <c r="T135" s="951"/>
      <c r="U135" s="951"/>
      <c r="V135" s="1296"/>
      <c r="W135" s="951"/>
      <c r="X135" s="951"/>
      <c r="Y135" s="951"/>
      <c r="Z135" s="951"/>
      <c r="AA135" s="951"/>
      <c r="AB135" s="1296"/>
      <c r="AC135" s="951"/>
      <c r="AD135" s="951"/>
      <c r="AE135" s="951"/>
      <c r="AF135" s="951"/>
      <c r="AG135" s="951"/>
      <c r="AH135" s="951"/>
      <c r="AI135" s="1296"/>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5"/>
      <c r="I136" s="1375"/>
      <c r="J136" s="951"/>
      <c r="K136" s="951"/>
      <c r="L136" s="951"/>
      <c r="M136" s="951"/>
      <c r="N136" s="951"/>
      <c r="O136" s="951"/>
      <c r="P136" s="951"/>
      <c r="Q136" s="951"/>
      <c r="R136" s="951"/>
      <c r="S136" s="951"/>
      <c r="T136" s="951"/>
      <c r="U136" s="951"/>
      <c r="V136" s="1296"/>
      <c r="W136" s="951"/>
      <c r="X136" s="951"/>
      <c r="Y136" s="951"/>
      <c r="Z136" s="951"/>
      <c r="AA136" s="951"/>
      <c r="AB136" s="1296"/>
      <c r="AC136" s="951"/>
      <c r="AD136" s="951"/>
      <c r="AE136" s="951"/>
      <c r="AF136" s="951"/>
      <c r="AG136" s="951"/>
      <c r="AH136" s="951"/>
      <c r="AI136" s="1296"/>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5"/>
      <c r="I137" s="1375"/>
      <c r="J137" s="951"/>
      <c r="K137" s="951"/>
      <c r="L137" s="951"/>
      <c r="M137" s="951"/>
      <c r="N137" s="951"/>
      <c r="O137" s="951"/>
      <c r="P137" s="951"/>
      <c r="Q137" s="951"/>
      <c r="R137" s="951"/>
      <c r="S137" s="951"/>
      <c r="T137" s="951"/>
      <c r="U137" s="951"/>
      <c r="V137" s="1296"/>
      <c r="W137" s="951"/>
      <c r="X137" s="951"/>
      <c r="Y137" s="951"/>
      <c r="Z137" s="951"/>
      <c r="AA137" s="951"/>
      <c r="AB137" s="1296"/>
      <c r="AC137" s="951"/>
      <c r="AD137" s="951"/>
      <c r="AE137" s="951"/>
      <c r="AF137" s="951"/>
      <c r="AG137" s="951"/>
      <c r="AH137" s="951"/>
      <c r="AI137" s="1296"/>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5"/>
      <c r="I138" s="1375"/>
      <c r="J138" s="951"/>
      <c r="K138" s="951"/>
      <c r="L138" s="951"/>
      <c r="M138" s="951"/>
      <c r="N138" s="951"/>
      <c r="O138" s="951"/>
      <c r="P138" s="951"/>
      <c r="Q138" s="951"/>
      <c r="R138" s="951"/>
      <c r="S138" s="951"/>
      <c r="T138" s="951"/>
      <c r="U138" s="951"/>
      <c r="V138" s="1296"/>
      <c r="W138" s="951"/>
      <c r="X138" s="951"/>
      <c r="Y138" s="951"/>
      <c r="Z138" s="951"/>
      <c r="AA138" s="951"/>
      <c r="AB138" s="1296"/>
      <c r="AC138" s="951"/>
      <c r="AD138" s="951"/>
      <c r="AE138" s="951"/>
      <c r="AF138" s="951"/>
      <c r="AG138" s="951"/>
      <c r="AH138" s="951"/>
      <c r="AI138" s="1296"/>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5"/>
      <c r="I139" s="1375"/>
      <c r="J139" s="951"/>
      <c r="K139" s="951"/>
      <c r="L139" s="951"/>
      <c r="M139" s="951"/>
      <c r="N139" s="951"/>
      <c r="O139" s="951"/>
      <c r="P139" s="951"/>
      <c r="Q139" s="951"/>
      <c r="R139" s="951"/>
      <c r="S139" s="951"/>
      <c r="T139" s="951"/>
      <c r="U139" s="951"/>
      <c r="V139" s="1296"/>
      <c r="W139" s="951"/>
      <c r="X139" s="951"/>
      <c r="Y139" s="951"/>
      <c r="Z139" s="951"/>
      <c r="AA139" s="951"/>
      <c r="AB139" s="1296"/>
      <c r="AC139" s="951"/>
      <c r="AD139" s="951"/>
      <c r="AE139" s="951"/>
      <c r="AF139" s="951"/>
      <c r="AG139" s="951"/>
      <c r="AH139" s="951"/>
      <c r="AI139" s="1296"/>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5"/>
      <c r="I140" s="1375"/>
      <c r="J140" s="1296"/>
      <c r="K140" s="951"/>
      <c r="L140" s="951"/>
      <c r="M140" s="951"/>
      <c r="N140" s="951"/>
      <c r="O140" s="951"/>
      <c r="P140" s="951"/>
      <c r="Q140" s="951"/>
      <c r="R140" s="951"/>
      <c r="S140" s="951"/>
      <c r="T140" s="951"/>
      <c r="U140" s="951"/>
      <c r="V140" s="1296"/>
      <c r="W140" s="951"/>
      <c r="X140" s="951"/>
      <c r="Y140" s="951"/>
      <c r="Z140" s="951"/>
      <c r="AA140" s="951"/>
      <c r="AB140" s="1296"/>
      <c r="AC140" s="951"/>
      <c r="AD140" s="951"/>
      <c r="AE140" s="951"/>
      <c r="AF140" s="951"/>
      <c r="AG140" s="951"/>
      <c r="AH140" s="951"/>
      <c r="AI140" s="1296"/>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5"/>
      <c r="I141" s="1375"/>
      <c r="J141" s="1296"/>
      <c r="K141" s="951"/>
      <c r="L141" s="951"/>
      <c r="M141" s="951"/>
      <c r="N141" s="951"/>
      <c r="O141" s="951"/>
      <c r="P141" s="951"/>
      <c r="Q141" s="951"/>
      <c r="R141" s="951"/>
      <c r="S141" s="951"/>
      <c r="T141" s="951"/>
      <c r="U141" s="951"/>
      <c r="V141" s="1296"/>
      <c r="W141" s="951"/>
      <c r="X141" s="951"/>
      <c r="Y141" s="951"/>
      <c r="Z141" s="951"/>
      <c r="AA141" s="951"/>
      <c r="AB141" s="1296"/>
      <c r="AC141" s="951"/>
      <c r="AD141" s="951"/>
      <c r="AE141" s="951"/>
      <c r="AF141" s="951"/>
      <c r="AG141" s="951"/>
      <c r="AH141" s="951"/>
      <c r="AI141" s="1296"/>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5"/>
      <c r="I142" s="1375"/>
      <c r="J142" s="1296"/>
      <c r="K142" s="951"/>
      <c r="L142" s="951"/>
      <c r="M142" s="951"/>
      <c r="N142" s="951"/>
      <c r="O142" s="951"/>
      <c r="P142" s="951"/>
      <c r="Q142" s="951"/>
      <c r="R142" s="951"/>
      <c r="S142" s="951"/>
      <c r="T142" s="951"/>
      <c r="U142" s="951"/>
      <c r="V142" s="1296"/>
      <c r="W142" s="951"/>
      <c r="X142" s="951"/>
      <c r="Y142" s="951"/>
      <c r="Z142" s="951"/>
      <c r="AA142" s="951"/>
      <c r="AB142" s="1296"/>
      <c r="AC142" s="951"/>
      <c r="AD142" s="951"/>
      <c r="AE142" s="951"/>
      <c r="AF142" s="951"/>
      <c r="AG142" s="951"/>
      <c r="AH142" s="951"/>
      <c r="AI142" s="1296"/>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5"/>
      <c r="I143" s="1375"/>
      <c r="J143" s="1296"/>
      <c r="K143" s="951"/>
      <c r="L143" s="951"/>
      <c r="M143" s="951"/>
      <c r="N143" s="951"/>
      <c r="O143" s="951"/>
      <c r="P143" s="951"/>
      <c r="Q143" s="951"/>
      <c r="R143" s="951"/>
      <c r="S143" s="951"/>
      <c r="T143" s="951"/>
      <c r="U143" s="951"/>
      <c r="V143" s="1296"/>
      <c r="W143" s="951"/>
      <c r="X143" s="951"/>
      <c r="Y143" s="951"/>
      <c r="Z143" s="951"/>
      <c r="AA143" s="951"/>
      <c r="AB143" s="1296"/>
      <c r="AC143" s="951"/>
      <c r="AD143" s="951"/>
      <c r="AE143" s="951"/>
      <c r="AF143" s="951"/>
      <c r="AG143" s="951"/>
      <c r="AH143" s="951"/>
      <c r="AI143" s="1296"/>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5"/>
      <c r="I144" s="1375"/>
      <c r="J144" s="1296"/>
      <c r="K144" s="951"/>
      <c r="L144" s="951"/>
      <c r="M144" s="951"/>
      <c r="N144" s="951"/>
      <c r="O144" s="951"/>
      <c r="P144" s="951"/>
      <c r="Q144" s="951"/>
      <c r="R144" s="951"/>
      <c r="S144" s="951"/>
      <c r="T144" s="951"/>
      <c r="U144" s="951"/>
      <c r="V144" s="1296"/>
      <c r="W144" s="951"/>
      <c r="X144" s="951"/>
      <c r="Y144" s="951"/>
      <c r="Z144" s="951"/>
      <c r="AA144" s="951"/>
      <c r="AB144" s="1296"/>
      <c r="AC144" s="951"/>
      <c r="AD144" s="951"/>
      <c r="AE144" s="951"/>
      <c r="AF144" s="951"/>
      <c r="AG144" s="951"/>
      <c r="AH144" s="951"/>
      <c r="AI144" s="1296"/>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5"/>
      <c r="I145" s="1375"/>
      <c r="J145" s="1296"/>
      <c r="K145" s="951"/>
      <c r="L145" s="951"/>
      <c r="M145" s="951"/>
      <c r="N145" s="951"/>
      <c r="O145" s="951"/>
      <c r="P145" s="951"/>
      <c r="Q145" s="951"/>
      <c r="R145" s="951"/>
      <c r="S145" s="951"/>
      <c r="T145" s="951"/>
      <c r="U145" s="951"/>
      <c r="V145" s="1296"/>
      <c r="W145" s="951"/>
      <c r="X145" s="951"/>
      <c r="Y145" s="951"/>
      <c r="Z145" s="951"/>
      <c r="AA145" s="951"/>
      <c r="AB145" s="1296"/>
      <c r="AC145" s="951"/>
      <c r="AD145" s="951"/>
      <c r="AE145" s="951"/>
      <c r="AF145" s="951"/>
      <c r="AG145" s="951"/>
      <c r="AH145" s="951"/>
      <c r="AI145" s="1296"/>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5"/>
      <c r="I146" s="1375"/>
      <c r="J146" s="1296"/>
      <c r="K146" s="951"/>
      <c r="L146" s="951"/>
      <c r="M146" s="951"/>
      <c r="N146" s="951"/>
      <c r="O146" s="951"/>
      <c r="P146" s="951"/>
      <c r="Q146" s="951"/>
      <c r="R146" s="951"/>
      <c r="S146" s="951"/>
      <c r="T146" s="951"/>
      <c r="U146" s="951"/>
      <c r="V146" s="1296"/>
      <c r="W146" s="951"/>
      <c r="X146" s="951"/>
      <c r="Y146" s="951"/>
      <c r="Z146" s="951"/>
      <c r="AA146" s="951"/>
      <c r="AB146" s="1296"/>
      <c r="AC146" s="951"/>
      <c r="AD146" s="951"/>
      <c r="AE146" s="951"/>
      <c r="AF146" s="951"/>
      <c r="AG146" s="951"/>
      <c r="AH146" s="951"/>
      <c r="AI146" s="1296"/>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5"/>
      <c r="I147" s="1375"/>
      <c r="J147" s="1296"/>
      <c r="K147" s="951"/>
      <c r="L147" s="951"/>
      <c r="M147" s="951"/>
      <c r="N147" s="951"/>
      <c r="O147" s="951"/>
      <c r="P147" s="951"/>
      <c r="Q147" s="951"/>
      <c r="R147" s="951"/>
      <c r="S147" s="951"/>
      <c r="T147" s="951"/>
      <c r="U147" s="951"/>
      <c r="V147" s="1296"/>
      <c r="W147" s="951"/>
      <c r="X147" s="951"/>
      <c r="Y147" s="951"/>
      <c r="Z147" s="951"/>
      <c r="AA147" s="951"/>
      <c r="AB147" s="1296"/>
      <c r="AC147" s="951"/>
      <c r="AD147" s="951"/>
      <c r="AE147" s="951"/>
      <c r="AF147" s="951"/>
      <c r="AG147" s="951"/>
      <c r="AH147" s="951"/>
      <c r="AI147" s="1296"/>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5"/>
      <c r="I148" s="1375"/>
      <c r="J148" s="1296"/>
      <c r="K148" s="951"/>
      <c r="L148" s="951"/>
      <c r="M148" s="951"/>
      <c r="N148" s="951"/>
      <c r="O148" s="951"/>
      <c r="P148" s="951"/>
      <c r="Q148" s="951"/>
      <c r="R148" s="951"/>
      <c r="S148" s="951"/>
      <c r="T148" s="951"/>
      <c r="U148" s="951"/>
      <c r="V148" s="1296"/>
      <c r="W148" s="951"/>
      <c r="X148" s="951"/>
      <c r="Y148" s="951"/>
      <c r="Z148" s="951"/>
      <c r="AA148" s="951"/>
      <c r="AB148" s="1296"/>
      <c r="AC148" s="951"/>
      <c r="AD148" s="951"/>
      <c r="AE148" s="951"/>
      <c r="AF148" s="951"/>
      <c r="AG148" s="951"/>
      <c r="AH148" s="951"/>
      <c r="AI148" s="1296"/>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5"/>
      <c r="I149" s="1375"/>
      <c r="J149" s="1296"/>
      <c r="K149" s="951"/>
      <c r="L149" s="951"/>
      <c r="M149" s="951"/>
      <c r="N149" s="951"/>
      <c r="O149" s="951"/>
      <c r="P149" s="951"/>
      <c r="Q149" s="951"/>
      <c r="R149" s="951"/>
      <c r="S149" s="951"/>
      <c r="T149" s="951"/>
      <c r="U149" s="951"/>
      <c r="V149" s="1296"/>
      <c r="W149" s="951"/>
      <c r="X149" s="951"/>
      <c r="Y149" s="951"/>
      <c r="Z149" s="951"/>
      <c r="AA149" s="951"/>
      <c r="AB149" s="1296"/>
      <c r="AC149" s="951"/>
      <c r="AD149" s="951"/>
      <c r="AE149" s="951"/>
      <c r="AF149" s="951"/>
      <c r="AG149" s="951"/>
      <c r="AH149" s="951"/>
      <c r="AI149" s="1296"/>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5"/>
      <c r="I150" s="1375"/>
      <c r="J150" s="1296"/>
      <c r="K150" s="951"/>
      <c r="L150" s="951"/>
      <c r="M150" s="951"/>
      <c r="N150" s="951"/>
      <c r="O150" s="951"/>
      <c r="P150" s="951"/>
      <c r="Q150" s="951"/>
      <c r="R150" s="951"/>
      <c r="S150" s="951"/>
      <c r="T150" s="951"/>
      <c r="U150" s="951"/>
      <c r="V150" s="1296"/>
      <c r="W150" s="951"/>
      <c r="X150" s="951"/>
      <c r="Y150" s="951"/>
      <c r="Z150" s="951"/>
      <c r="AA150" s="951"/>
      <c r="AB150" s="1296"/>
      <c r="AC150" s="951"/>
      <c r="AD150" s="951"/>
      <c r="AE150" s="951"/>
      <c r="AF150" s="951"/>
      <c r="AG150" s="951"/>
      <c r="AH150" s="951"/>
      <c r="AI150" s="1296"/>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5"/>
      <c r="I151" s="1375"/>
      <c r="J151" s="1296"/>
      <c r="K151" s="951"/>
      <c r="L151" s="951"/>
      <c r="M151" s="951"/>
      <c r="N151" s="951"/>
      <c r="O151" s="951"/>
      <c r="P151" s="951"/>
      <c r="Q151" s="951"/>
      <c r="R151" s="951"/>
      <c r="S151" s="951"/>
      <c r="T151" s="951"/>
      <c r="U151" s="951"/>
      <c r="V151" s="1296"/>
      <c r="W151" s="951"/>
      <c r="X151" s="951"/>
      <c r="Y151" s="951"/>
      <c r="Z151" s="951"/>
      <c r="AA151" s="951"/>
      <c r="AB151" s="1296"/>
      <c r="AC151" s="951"/>
      <c r="AD151" s="951"/>
      <c r="AE151" s="951"/>
      <c r="AF151" s="951"/>
      <c r="AG151" s="951"/>
      <c r="AH151" s="951"/>
      <c r="AI151" s="1296"/>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5"/>
      <c r="I152" s="1375"/>
      <c r="J152" s="1296"/>
      <c r="K152" s="951"/>
      <c r="L152" s="951"/>
      <c r="M152" s="951"/>
      <c r="N152" s="951"/>
      <c r="O152" s="951"/>
      <c r="P152" s="951"/>
      <c r="Q152" s="951"/>
      <c r="R152" s="951"/>
      <c r="S152" s="951"/>
      <c r="T152" s="951"/>
      <c r="U152" s="951"/>
      <c r="V152" s="1296"/>
      <c r="W152" s="951"/>
      <c r="X152" s="951"/>
      <c r="Y152" s="951"/>
      <c r="Z152" s="951"/>
      <c r="AA152" s="951"/>
      <c r="AB152" s="1296"/>
      <c r="AC152" s="951"/>
      <c r="AD152" s="951"/>
      <c r="AE152" s="951"/>
      <c r="AF152" s="951"/>
      <c r="AG152" s="951"/>
      <c r="AH152" s="951"/>
      <c r="AI152" s="1296"/>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5"/>
      <c r="I153" s="1375"/>
      <c r="J153" s="1296"/>
      <c r="K153" s="951"/>
      <c r="L153" s="951"/>
      <c r="M153" s="951"/>
      <c r="N153" s="951"/>
      <c r="O153" s="951"/>
      <c r="P153" s="951"/>
      <c r="Q153" s="951"/>
      <c r="R153" s="951"/>
      <c r="S153" s="951"/>
      <c r="T153" s="951"/>
      <c r="U153" s="951"/>
      <c r="V153" s="1296"/>
      <c r="W153" s="951"/>
      <c r="X153" s="951"/>
      <c r="Y153" s="951"/>
      <c r="Z153" s="951"/>
      <c r="AA153" s="951"/>
      <c r="AB153" s="1296"/>
      <c r="AC153" s="951"/>
      <c r="AD153" s="951"/>
      <c r="AE153" s="951"/>
      <c r="AF153" s="951"/>
      <c r="AG153" s="951"/>
      <c r="AH153" s="951"/>
      <c r="AI153" s="1296"/>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5"/>
      <c r="I154" s="1375"/>
      <c r="J154" s="1296"/>
      <c r="K154" s="951"/>
      <c r="L154" s="951"/>
      <c r="M154" s="951"/>
      <c r="N154" s="951"/>
      <c r="O154" s="951"/>
      <c r="P154" s="951"/>
      <c r="Q154" s="951"/>
      <c r="R154" s="951"/>
      <c r="S154" s="951"/>
      <c r="T154" s="951"/>
      <c r="U154" s="951"/>
      <c r="V154" s="1296"/>
      <c r="W154" s="951"/>
      <c r="X154" s="951"/>
      <c r="Y154" s="951"/>
      <c r="Z154" s="951"/>
      <c r="AA154" s="951"/>
      <c r="AB154" s="1296"/>
      <c r="AC154" s="951"/>
      <c r="AD154" s="951"/>
      <c r="AE154" s="951"/>
      <c r="AF154" s="951"/>
      <c r="AG154" s="951"/>
      <c r="AH154" s="951"/>
      <c r="AI154" s="1296"/>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5"/>
      <c r="I155" s="1375"/>
      <c r="J155" s="1296"/>
      <c r="K155" s="951"/>
      <c r="L155" s="951"/>
      <c r="M155" s="951"/>
      <c r="N155" s="951"/>
      <c r="O155" s="951"/>
      <c r="P155" s="951"/>
      <c r="Q155" s="951"/>
      <c r="R155" s="951"/>
      <c r="S155" s="951"/>
      <c r="T155" s="951"/>
      <c r="U155" s="951"/>
      <c r="V155" s="1296"/>
      <c r="W155" s="951"/>
      <c r="X155" s="951"/>
      <c r="Y155" s="951"/>
      <c r="Z155" s="951"/>
      <c r="AA155" s="951"/>
      <c r="AB155" s="1296"/>
      <c r="AC155" s="951"/>
      <c r="AD155" s="951"/>
      <c r="AE155" s="951"/>
      <c r="AF155" s="951"/>
      <c r="AG155" s="951"/>
      <c r="AH155" s="951"/>
      <c r="AI155" s="1296"/>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5"/>
      <c r="I156" s="1375"/>
      <c r="J156" s="1296"/>
      <c r="K156" s="951"/>
      <c r="L156" s="951"/>
      <c r="M156" s="951"/>
      <c r="N156" s="951"/>
      <c r="O156" s="951"/>
      <c r="P156" s="951"/>
      <c r="Q156" s="951"/>
      <c r="R156" s="951"/>
      <c r="S156" s="951"/>
      <c r="T156" s="951"/>
      <c r="U156" s="951"/>
      <c r="V156" s="1296"/>
      <c r="W156" s="951"/>
      <c r="X156" s="951"/>
      <c r="Y156" s="951"/>
      <c r="Z156" s="951"/>
      <c r="AA156" s="951"/>
      <c r="AB156" s="1296"/>
      <c r="AC156" s="951"/>
      <c r="AD156" s="951"/>
      <c r="AE156" s="951"/>
      <c r="AF156" s="951"/>
      <c r="AG156" s="951"/>
      <c r="AH156" s="951"/>
      <c r="AI156" s="1296"/>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5"/>
      <c r="I157" s="1375"/>
      <c r="J157" s="1296"/>
      <c r="K157" s="951"/>
      <c r="L157" s="951"/>
      <c r="M157" s="951"/>
      <c r="N157" s="951"/>
      <c r="O157" s="951"/>
      <c r="P157" s="951"/>
      <c r="Q157" s="951"/>
      <c r="R157" s="951"/>
      <c r="S157" s="951"/>
      <c r="T157" s="951"/>
      <c r="U157" s="951"/>
      <c r="V157" s="1296"/>
      <c r="W157" s="951"/>
      <c r="X157" s="951"/>
      <c r="Y157" s="951"/>
      <c r="Z157" s="951"/>
      <c r="AA157" s="951"/>
      <c r="AB157" s="1296"/>
      <c r="AC157" s="951"/>
      <c r="AD157" s="951"/>
      <c r="AE157" s="951"/>
      <c r="AF157" s="951"/>
      <c r="AG157" s="951"/>
      <c r="AH157" s="951"/>
      <c r="AI157" s="1296"/>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5"/>
      <c r="I158" s="1375"/>
      <c r="J158" s="1296"/>
      <c r="K158" s="951"/>
      <c r="L158" s="951"/>
      <c r="M158" s="951"/>
      <c r="N158" s="951"/>
      <c r="O158" s="951"/>
      <c r="P158" s="951"/>
      <c r="Q158" s="951"/>
      <c r="R158" s="951"/>
      <c r="S158" s="951"/>
      <c r="T158" s="951"/>
      <c r="U158" s="951"/>
      <c r="V158" s="1296"/>
      <c r="W158" s="951"/>
      <c r="X158" s="951"/>
      <c r="Y158" s="951"/>
      <c r="Z158" s="951"/>
      <c r="AA158" s="951"/>
      <c r="AB158" s="1296"/>
      <c r="AC158" s="951"/>
      <c r="AD158" s="951"/>
      <c r="AE158" s="951"/>
      <c r="AF158" s="951"/>
      <c r="AG158" s="951"/>
      <c r="AH158" s="951"/>
      <c r="AI158" s="1296"/>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5"/>
      <c r="I159" s="1375"/>
      <c r="J159" s="1296"/>
      <c r="K159" s="951"/>
      <c r="L159" s="951"/>
      <c r="M159" s="951"/>
      <c r="N159" s="951"/>
      <c r="O159" s="951"/>
      <c r="P159" s="951"/>
      <c r="Q159" s="951"/>
      <c r="R159" s="951"/>
      <c r="S159" s="951"/>
      <c r="T159" s="951"/>
      <c r="U159" s="951"/>
      <c r="V159" s="1296"/>
      <c r="W159" s="951"/>
      <c r="X159" s="951"/>
      <c r="Y159" s="951"/>
      <c r="Z159" s="951"/>
      <c r="AA159" s="951"/>
      <c r="AB159" s="1296"/>
      <c r="AC159" s="951"/>
      <c r="AD159" s="951"/>
      <c r="AE159" s="951"/>
      <c r="AF159" s="951"/>
      <c r="AG159" s="951"/>
      <c r="AH159" s="951"/>
      <c r="AI159" s="1296"/>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5"/>
      <c r="I160" s="1375"/>
      <c r="J160" s="1296"/>
      <c r="K160" s="951"/>
      <c r="L160" s="951"/>
      <c r="M160" s="951"/>
      <c r="N160" s="951"/>
      <c r="O160" s="951"/>
      <c r="P160" s="951"/>
      <c r="Q160" s="951"/>
      <c r="R160" s="951"/>
      <c r="S160" s="951"/>
      <c r="T160" s="951"/>
      <c r="U160" s="951"/>
      <c r="V160" s="1296"/>
      <c r="W160" s="951"/>
      <c r="X160" s="951"/>
      <c r="Y160" s="951"/>
      <c r="Z160" s="951"/>
      <c r="AA160" s="951"/>
      <c r="AB160" s="1296"/>
      <c r="AC160" s="951"/>
      <c r="AD160" s="951"/>
      <c r="AE160" s="951"/>
      <c r="AF160" s="951"/>
      <c r="AG160" s="951"/>
      <c r="AH160" s="951"/>
      <c r="AI160" s="1296"/>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5"/>
      <c r="I161" s="1375"/>
      <c r="J161" s="1296"/>
      <c r="K161" s="951"/>
      <c r="L161" s="951"/>
      <c r="M161" s="951"/>
      <c r="N161" s="951"/>
      <c r="O161" s="951"/>
      <c r="P161" s="951"/>
      <c r="Q161" s="951"/>
      <c r="R161" s="951"/>
      <c r="S161" s="951"/>
      <c r="T161" s="951"/>
      <c r="U161" s="951"/>
      <c r="V161" s="1296"/>
      <c r="W161" s="951"/>
      <c r="X161" s="951"/>
      <c r="Y161" s="951"/>
      <c r="Z161" s="951"/>
      <c r="AA161" s="951"/>
      <c r="AB161" s="1296"/>
      <c r="AC161" s="951"/>
      <c r="AD161" s="951"/>
      <c r="AE161" s="951"/>
      <c r="AF161" s="951"/>
      <c r="AG161" s="951"/>
      <c r="AH161" s="951"/>
      <c r="AI161" s="1296"/>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5"/>
      <c r="I162" s="1375"/>
      <c r="J162" s="1296"/>
      <c r="K162" s="951"/>
      <c r="L162" s="951"/>
      <c r="M162" s="951"/>
      <c r="N162" s="951"/>
      <c r="O162" s="951"/>
      <c r="P162" s="951"/>
      <c r="Q162" s="951"/>
      <c r="R162" s="951"/>
      <c r="S162" s="951"/>
      <c r="T162" s="951"/>
      <c r="U162" s="951"/>
      <c r="V162" s="1296"/>
      <c r="W162" s="951"/>
      <c r="X162" s="951"/>
      <c r="Y162" s="951"/>
      <c r="Z162" s="951"/>
      <c r="AA162" s="951"/>
      <c r="AB162" s="1296"/>
      <c r="AC162" s="951"/>
      <c r="AD162" s="951"/>
      <c r="AE162" s="951"/>
      <c r="AF162" s="951"/>
      <c r="AG162" s="951"/>
      <c r="AH162" s="951"/>
      <c r="AI162" s="1296"/>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5"/>
      <c r="I163" s="1375"/>
      <c r="J163" s="1296"/>
      <c r="K163" s="951"/>
      <c r="L163" s="951"/>
      <c r="M163" s="951"/>
      <c r="N163" s="951"/>
      <c r="O163" s="951"/>
      <c r="P163" s="951"/>
      <c r="Q163" s="951"/>
      <c r="R163" s="951"/>
      <c r="S163" s="951"/>
      <c r="T163" s="951"/>
      <c r="U163" s="951"/>
      <c r="V163" s="1296"/>
      <c r="W163" s="951"/>
      <c r="X163" s="951"/>
      <c r="Y163" s="951"/>
      <c r="Z163" s="951"/>
      <c r="AA163" s="951"/>
      <c r="AB163" s="1296"/>
      <c r="AC163" s="951"/>
      <c r="AD163" s="951"/>
      <c r="AE163" s="951"/>
      <c r="AF163" s="951"/>
      <c r="AG163" s="951"/>
      <c r="AH163" s="951"/>
      <c r="AI163" s="1296"/>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5"/>
      <c r="I164" s="1375"/>
      <c r="J164" s="1296"/>
      <c r="K164" s="951"/>
      <c r="L164" s="951"/>
      <c r="M164" s="951"/>
      <c r="N164" s="951"/>
      <c r="O164" s="951"/>
      <c r="P164" s="951"/>
      <c r="Q164" s="951"/>
      <c r="R164" s="951"/>
      <c r="S164" s="951"/>
      <c r="T164" s="951"/>
      <c r="U164" s="951"/>
      <c r="V164" s="1296"/>
      <c r="W164" s="951"/>
      <c r="X164" s="951"/>
      <c r="Y164" s="951"/>
      <c r="Z164" s="951"/>
      <c r="AA164" s="951"/>
      <c r="AB164" s="1296"/>
      <c r="AC164" s="951"/>
      <c r="AD164" s="951"/>
      <c r="AE164" s="951"/>
      <c r="AF164" s="951"/>
      <c r="AG164" s="951"/>
      <c r="AH164" s="951"/>
      <c r="AI164" s="1296"/>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5"/>
      <c r="I165" s="1375"/>
      <c r="J165" s="1296"/>
      <c r="K165" s="951"/>
      <c r="L165" s="951"/>
      <c r="M165" s="951"/>
      <c r="N165" s="951"/>
      <c r="O165" s="951"/>
      <c r="P165" s="951"/>
      <c r="Q165" s="951"/>
      <c r="R165" s="951"/>
      <c r="S165" s="951"/>
      <c r="T165" s="951"/>
      <c r="U165" s="951"/>
      <c r="V165" s="1296"/>
      <c r="W165" s="951"/>
      <c r="X165" s="951"/>
      <c r="Y165" s="951"/>
      <c r="Z165" s="951"/>
      <c r="AA165" s="951"/>
      <c r="AB165" s="1296"/>
      <c r="AC165" s="951"/>
      <c r="AD165" s="951"/>
      <c r="AE165" s="951"/>
      <c r="AF165" s="951"/>
      <c r="AG165" s="951"/>
      <c r="AH165" s="951"/>
      <c r="AI165" s="1296"/>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5"/>
      <c r="I166" s="1375"/>
      <c r="J166" s="1296"/>
      <c r="K166" s="951"/>
      <c r="L166" s="951"/>
      <c r="M166" s="951"/>
      <c r="N166" s="951"/>
      <c r="O166" s="951"/>
      <c r="P166" s="951"/>
      <c r="Q166" s="951"/>
      <c r="R166" s="951"/>
      <c r="S166" s="951"/>
      <c r="T166" s="951"/>
      <c r="U166" s="951"/>
      <c r="V166" s="1296"/>
      <c r="W166" s="951"/>
      <c r="X166" s="951"/>
      <c r="Y166" s="951"/>
      <c r="Z166" s="951"/>
      <c r="AA166" s="951"/>
      <c r="AB166" s="1296"/>
      <c r="AC166" s="951"/>
      <c r="AD166" s="951"/>
      <c r="AE166" s="951"/>
      <c r="AF166" s="951"/>
      <c r="AG166" s="951"/>
      <c r="AH166" s="951"/>
      <c r="AI166" s="1296"/>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5"/>
      <c r="I167" s="1375"/>
      <c r="J167" s="1296"/>
      <c r="K167" s="951"/>
      <c r="L167" s="951"/>
      <c r="M167" s="951"/>
      <c r="N167" s="951"/>
      <c r="O167" s="951"/>
      <c r="P167" s="951"/>
      <c r="Q167" s="951"/>
      <c r="R167" s="951"/>
      <c r="S167" s="951"/>
      <c r="T167" s="951"/>
      <c r="U167" s="951"/>
      <c r="V167" s="1296"/>
      <c r="W167" s="951"/>
      <c r="X167" s="951"/>
      <c r="Y167" s="951"/>
      <c r="Z167" s="951"/>
      <c r="AA167" s="951"/>
      <c r="AB167" s="1296"/>
      <c r="AC167" s="951"/>
      <c r="AD167" s="951"/>
      <c r="AE167" s="951"/>
      <c r="AF167" s="951"/>
      <c r="AG167" s="951"/>
      <c r="AH167" s="951"/>
      <c r="AI167" s="1296"/>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5"/>
      <c r="I168" s="1375"/>
      <c r="J168" s="1296"/>
      <c r="K168" s="951"/>
      <c r="L168" s="951"/>
      <c r="M168" s="951"/>
      <c r="N168" s="951"/>
      <c r="O168" s="951"/>
      <c r="P168" s="951"/>
      <c r="Q168" s="951"/>
      <c r="R168" s="951"/>
      <c r="S168" s="951"/>
      <c r="T168" s="951"/>
      <c r="U168" s="951"/>
      <c r="V168" s="1296"/>
      <c r="W168" s="951"/>
      <c r="X168" s="951"/>
      <c r="Y168" s="951"/>
      <c r="Z168" s="951"/>
      <c r="AA168" s="951"/>
      <c r="AB168" s="1296"/>
      <c r="AC168" s="951"/>
      <c r="AD168" s="951"/>
      <c r="AE168" s="951"/>
      <c r="AF168" s="951"/>
      <c r="AG168" s="951"/>
      <c r="AH168" s="951"/>
      <c r="AI168" s="1296"/>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5"/>
      <c r="I169" s="1375"/>
      <c r="J169" s="1296"/>
      <c r="K169" s="951"/>
      <c r="L169" s="951"/>
      <c r="M169" s="951"/>
      <c r="N169" s="951"/>
      <c r="O169" s="951"/>
      <c r="P169" s="951"/>
      <c r="Q169" s="951"/>
      <c r="R169" s="951"/>
      <c r="S169" s="951"/>
      <c r="T169" s="951"/>
      <c r="U169" s="951"/>
      <c r="V169" s="1296"/>
      <c r="W169" s="951"/>
      <c r="X169" s="951"/>
      <c r="Y169" s="951"/>
      <c r="Z169" s="951"/>
      <c r="AA169" s="951"/>
      <c r="AB169" s="1296"/>
      <c r="AC169" s="951"/>
      <c r="AD169" s="951"/>
      <c r="AE169" s="951"/>
      <c r="AF169" s="951"/>
      <c r="AG169" s="951"/>
      <c r="AH169" s="951"/>
      <c r="AI169" s="1296"/>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5"/>
      <c r="I170" s="1375"/>
      <c r="J170" s="1296"/>
      <c r="K170" s="951"/>
      <c r="L170" s="951"/>
      <c r="M170" s="951"/>
      <c r="N170" s="951"/>
      <c r="O170" s="951"/>
      <c r="P170" s="951"/>
      <c r="Q170" s="951"/>
      <c r="R170" s="951"/>
      <c r="S170" s="951"/>
      <c r="T170" s="951"/>
      <c r="U170" s="951"/>
      <c r="V170" s="1296"/>
      <c r="W170" s="951"/>
      <c r="X170" s="951"/>
      <c r="Y170" s="951"/>
      <c r="Z170" s="951"/>
      <c r="AA170" s="951"/>
      <c r="AB170" s="1296"/>
      <c r="AC170" s="951"/>
      <c r="AD170" s="951"/>
      <c r="AE170" s="951"/>
      <c r="AF170" s="951"/>
      <c r="AG170" s="951"/>
      <c r="AH170" s="951"/>
      <c r="AI170" s="1296"/>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5"/>
      <c r="I171" s="1375"/>
      <c r="J171" s="1296"/>
      <c r="K171" s="951"/>
      <c r="L171" s="951"/>
      <c r="M171" s="951"/>
      <c r="N171" s="951"/>
      <c r="O171" s="951"/>
      <c r="P171" s="951"/>
      <c r="Q171" s="951"/>
      <c r="R171" s="951"/>
      <c r="S171" s="951"/>
      <c r="T171" s="951"/>
      <c r="U171" s="951"/>
      <c r="V171" s="1296"/>
      <c r="W171" s="951"/>
      <c r="X171" s="951"/>
      <c r="Y171" s="951"/>
      <c r="Z171" s="951"/>
      <c r="AA171" s="951"/>
      <c r="AB171" s="1296"/>
      <c r="AC171" s="951"/>
      <c r="AD171" s="951"/>
      <c r="AE171" s="951"/>
      <c r="AF171" s="951"/>
      <c r="AG171" s="951"/>
      <c r="AH171" s="951"/>
      <c r="AI171" s="1296"/>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5"/>
      <c r="I172" s="1375"/>
      <c r="J172" s="1296"/>
      <c r="K172" s="951"/>
      <c r="L172" s="951"/>
      <c r="M172" s="951"/>
      <c r="N172" s="951"/>
      <c r="O172" s="951"/>
      <c r="P172" s="951"/>
      <c r="Q172" s="951"/>
      <c r="R172" s="951"/>
      <c r="S172" s="951"/>
      <c r="T172" s="951"/>
      <c r="U172" s="951"/>
      <c r="V172" s="1296"/>
      <c r="W172" s="951"/>
      <c r="X172" s="951"/>
      <c r="Y172" s="951"/>
      <c r="Z172" s="951"/>
      <c r="AA172" s="951"/>
      <c r="AB172" s="1296"/>
      <c r="AC172" s="951"/>
      <c r="AD172" s="951"/>
      <c r="AE172" s="951"/>
      <c r="AF172" s="951"/>
      <c r="AG172" s="951"/>
      <c r="AH172" s="951"/>
      <c r="AI172" s="1296"/>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5"/>
      <c r="I173" s="1375"/>
      <c r="J173" s="1296"/>
      <c r="K173" s="951"/>
      <c r="L173" s="951"/>
      <c r="M173" s="951"/>
      <c r="N173" s="951"/>
      <c r="O173" s="951"/>
      <c r="P173" s="951"/>
      <c r="Q173" s="951"/>
      <c r="R173" s="951"/>
      <c r="S173" s="951"/>
      <c r="T173" s="951"/>
      <c r="U173" s="951"/>
      <c r="V173" s="1296"/>
      <c r="W173" s="951"/>
      <c r="X173" s="951"/>
      <c r="Y173" s="951"/>
      <c r="Z173" s="951"/>
      <c r="AA173" s="951"/>
      <c r="AB173" s="1296"/>
      <c r="AC173" s="951"/>
      <c r="AD173" s="951"/>
      <c r="AE173" s="951"/>
      <c r="AF173" s="951"/>
      <c r="AG173" s="951"/>
      <c r="AH173" s="951"/>
      <c r="AI173" s="1296"/>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5"/>
      <c r="I174" s="1375"/>
      <c r="J174" s="1296"/>
      <c r="K174" s="951"/>
      <c r="L174" s="951"/>
      <c r="M174" s="951"/>
      <c r="N174" s="951"/>
      <c r="O174" s="951"/>
      <c r="P174" s="951"/>
      <c r="Q174" s="951"/>
      <c r="R174" s="951"/>
      <c r="S174" s="951"/>
      <c r="T174" s="951"/>
      <c r="U174" s="951"/>
      <c r="V174" s="1296"/>
      <c r="W174" s="951"/>
      <c r="X174" s="951"/>
      <c r="Y174" s="951"/>
      <c r="Z174" s="951"/>
      <c r="AA174" s="951"/>
      <c r="AB174" s="1296"/>
      <c r="AC174" s="951"/>
      <c r="AD174" s="951"/>
      <c r="AE174" s="951"/>
      <c r="AF174" s="951"/>
      <c r="AG174" s="951"/>
      <c r="AH174" s="951"/>
      <c r="AI174" s="1296"/>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5"/>
      <c r="I175" s="1375"/>
      <c r="J175" s="1296"/>
      <c r="K175" s="951"/>
      <c r="L175" s="951"/>
      <c r="M175" s="951"/>
      <c r="N175" s="951"/>
      <c r="O175" s="951"/>
      <c r="P175" s="951"/>
      <c r="Q175" s="951"/>
      <c r="R175" s="951"/>
      <c r="S175" s="951"/>
      <c r="T175" s="951"/>
      <c r="U175" s="951"/>
      <c r="V175" s="1296"/>
      <c r="W175" s="951"/>
      <c r="X175" s="951"/>
      <c r="Y175" s="951"/>
      <c r="Z175" s="951"/>
      <c r="AA175" s="951"/>
      <c r="AB175" s="1296"/>
      <c r="AC175" s="951"/>
      <c r="AD175" s="951"/>
      <c r="AE175" s="951"/>
      <c r="AF175" s="951"/>
      <c r="AG175" s="951"/>
      <c r="AH175" s="951"/>
      <c r="AI175" s="1296"/>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5"/>
      <c r="I176" s="1375"/>
      <c r="J176" s="1296"/>
      <c r="K176" s="951"/>
      <c r="L176" s="951"/>
      <c r="M176" s="951"/>
      <c r="N176" s="951"/>
      <c r="O176" s="951"/>
      <c r="P176" s="951"/>
      <c r="Q176" s="951"/>
      <c r="R176" s="951"/>
      <c r="S176" s="951"/>
      <c r="T176" s="951"/>
      <c r="U176" s="951"/>
      <c r="V176" s="1296"/>
      <c r="W176" s="951"/>
      <c r="X176" s="951"/>
      <c r="Y176" s="951"/>
      <c r="Z176" s="951"/>
      <c r="AA176" s="951"/>
      <c r="AB176" s="1296"/>
      <c r="AC176" s="951"/>
      <c r="AD176" s="951"/>
      <c r="AE176" s="951"/>
      <c r="AF176" s="951"/>
      <c r="AG176" s="951"/>
      <c r="AH176" s="951"/>
      <c r="AI176" s="1296"/>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5"/>
      <c r="I177" s="1375"/>
      <c r="J177" s="1296"/>
      <c r="K177" s="951"/>
      <c r="L177" s="951"/>
      <c r="M177" s="951"/>
      <c r="N177" s="951"/>
      <c r="O177" s="951"/>
      <c r="P177" s="951"/>
      <c r="Q177" s="951"/>
      <c r="R177" s="951"/>
      <c r="S177" s="951"/>
      <c r="T177" s="951"/>
      <c r="U177" s="951"/>
      <c r="V177" s="1296"/>
      <c r="W177" s="951"/>
      <c r="X177" s="951"/>
      <c r="Y177" s="951"/>
      <c r="Z177" s="951"/>
      <c r="AA177" s="951"/>
      <c r="AB177" s="1296"/>
      <c r="AC177" s="951"/>
      <c r="AD177" s="951"/>
      <c r="AE177" s="951"/>
      <c r="AF177" s="951"/>
      <c r="AG177" s="951"/>
      <c r="AH177" s="951"/>
      <c r="AI177" s="1296"/>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5"/>
      <c r="I178" s="1375"/>
      <c r="J178" s="1296"/>
      <c r="K178" s="951"/>
      <c r="L178" s="951"/>
      <c r="M178" s="951"/>
      <c r="N178" s="951"/>
      <c r="O178" s="951"/>
      <c r="P178" s="951"/>
      <c r="Q178" s="951"/>
      <c r="R178" s="951"/>
      <c r="S178" s="951"/>
      <c r="T178" s="951"/>
      <c r="U178" s="951"/>
      <c r="V178" s="1296"/>
      <c r="W178" s="951"/>
      <c r="X178" s="951"/>
      <c r="Y178" s="951"/>
      <c r="Z178" s="951"/>
      <c r="AA178" s="951"/>
      <c r="AB178" s="1296"/>
      <c r="AC178" s="951"/>
      <c r="AD178" s="951"/>
      <c r="AE178" s="951"/>
      <c r="AF178" s="951"/>
      <c r="AG178" s="951"/>
      <c r="AH178" s="951"/>
      <c r="AI178" s="1296"/>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5"/>
      <c r="I179" s="1375"/>
      <c r="J179" s="1296"/>
      <c r="K179" s="951"/>
      <c r="L179" s="951"/>
      <c r="M179" s="951"/>
      <c r="N179" s="951"/>
      <c r="O179" s="951"/>
      <c r="P179" s="951"/>
      <c r="Q179" s="951"/>
      <c r="R179" s="951"/>
      <c r="S179" s="951"/>
      <c r="T179" s="951"/>
      <c r="U179" s="951"/>
      <c r="V179" s="1296"/>
      <c r="W179" s="951"/>
      <c r="X179" s="951"/>
      <c r="Y179" s="951"/>
      <c r="Z179" s="951"/>
      <c r="AA179" s="951"/>
      <c r="AB179" s="1296"/>
      <c r="AC179" s="951"/>
      <c r="AD179" s="951"/>
      <c r="AE179" s="951"/>
      <c r="AF179" s="951"/>
      <c r="AG179" s="951"/>
      <c r="AH179" s="951"/>
      <c r="AI179" s="1296"/>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5"/>
      <c r="I180" s="1375"/>
      <c r="J180" s="1296"/>
      <c r="K180" s="951"/>
      <c r="L180" s="951"/>
      <c r="M180" s="951"/>
      <c r="N180" s="951"/>
      <c r="O180" s="951"/>
      <c r="P180" s="951"/>
      <c r="Q180" s="951"/>
      <c r="R180" s="951"/>
      <c r="S180" s="951"/>
      <c r="T180" s="951"/>
      <c r="U180" s="951"/>
      <c r="V180" s="1296"/>
      <c r="W180" s="951"/>
      <c r="X180" s="951"/>
      <c r="Y180" s="951"/>
      <c r="Z180" s="951"/>
      <c r="AA180" s="951"/>
      <c r="AB180" s="1296"/>
      <c r="AC180" s="951"/>
      <c r="AD180" s="951"/>
      <c r="AE180" s="951"/>
      <c r="AF180" s="951"/>
      <c r="AG180" s="951"/>
      <c r="AH180" s="951"/>
      <c r="AI180" s="1296"/>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5"/>
      <c r="I181" s="1375"/>
      <c r="J181" s="1296"/>
      <c r="K181" s="951"/>
      <c r="L181" s="951"/>
      <c r="M181" s="951"/>
      <c r="N181" s="951"/>
      <c r="O181" s="951"/>
      <c r="P181" s="951"/>
      <c r="Q181" s="951"/>
      <c r="R181" s="951"/>
      <c r="S181" s="951"/>
      <c r="T181" s="951"/>
      <c r="U181" s="951"/>
      <c r="V181" s="1296"/>
      <c r="W181" s="951"/>
      <c r="X181" s="951"/>
      <c r="Y181" s="951"/>
      <c r="Z181" s="951"/>
      <c r="AA181" s="951"/>
      <c r="AB181" s="1296"/>
      <c r="AC181" s="951"/>
      <c r="AD181" s="951"/>
      <c r="AE181" s="951"/>
      <c r="AF181" s="951"/>
      <c r="AG181" s="951"/>
      <c r="AH181" s="951"/>
      <c r="AI181" s="1296"/>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5"/>
      <c r="I182" s="1375"/>
      <c r="J182" s="1296"/>
      <c r="K182" s="951"/>
      <c r="L182" s="951"/>
      <c r="M182" s="951"/>
      <c r="N182" s="951"/>
      <c r="O182" s="951"/>
      <c r="P182" s="951"/>
      <c r="Q182" s="951"/>
      <c r="R182" s="951"/>
      <c r="S182" s="951"/>
      <c r="T182" s="951"/>
      <c r="U182" s="951"/>
      <c r="V182" s="1296"/>
      <c r="W182" s="951"/>
      <c r="X182" s="951"/>
      <c r="Y182" s="951"/>
      <c r="Z182" s="951"/>
      <c r="AA182" s="951"/>
      <c r="AB182" s="1296"/>
      <c r="AC182" s="951"/>
      <c r="AD182" s="951"/>
      <c r="AE182" s="951"/>
      <c r="AF182" s="951"/>
      <c r="AG182" s="951"/>
      <c r="AH182" s="951"/>
      <c r="AI182" s="1296"/>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5"/>
      <c r="I183" s="1375"/>
      <c r="J183" s="1296"/>
      <c r="K183" s="951"/>
      <c r="L183" s="951"/>
      <c r="M183" s="951"/>
      <c r="N183" s="951"/>
      <c r="O183" s="951"/>
      <c r="P183" s="951"/>
      <c r="Q183" s="951"/>
      <c r="R183" s="951"/>
      <c r="S183" s="951"/>
      <c r="T183" s="951"/>
      <c r="U183" s="951"/>
      <c r="V183" s="1296"/>
      <c r="W183" s="951"/>
      <c r="X183" s="951"/>
      <c r="Y183" s="951"/>
      <c r="Z183" s="951"/>
      <c r="AA183" s="951"/>
      <c r="AB183" s="1296"/>
      <c r="AC183" s="951"/>
      <c r="AD183" s="951"/>
      <c r="AE183" s="951"/>
      <c r="AF183" s="951"/>
      <c r="AG183" s="951"/>
      <c r="AH183" s="951"/>
      <c r="AI183" s="1296"/>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5"/>
      <c r="I184" s="1375"/>
      <c r="J184" s="1296"/>
      <c r="K184" s="951"/>
      <c r="L184" s="951"/>
      <c r="M184" s="951"/>
      <c r="N184" s="951"/>
      <c r="O184" s="951"/>
      <c r="P184" s="951"/>
      <c r="Q184" s="951"/>
      <c r="R184" s="951"/>
      <c r="S184" s="951"/>
      <c r="T184" s="951"/>
      <c r="U184" s="951"/>
      <c r="V184" s="1296"/>
      <c r="W184" s="951"/>
      <c r="X184" s="951"/>
      <c r="Y184" s="951"/>
      <c r="Z184" s="951"/>
      <c r="AA184" s="951"/>
      <c r="AB184" s="1296"/>
      <c r="AC184" s="951"/>
      <c r="AD184" s="951"/>
      <c r="AE184" s="951"/>
      <c r="AF184" s="951"/>
      <c r="AG184" s="951"/>
      <c r="AH184" s="951"/>
      <c r="AI184" s="1296"/>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5"/>
      <c r="I185" s="1375"/>
      <c r="J185" s="1296"/>
      <c r="K185" s="951"/>
      <c r="L185" s="951"/>
      <c r="M185" s="951"/>
      <c r="N185" s="951"/>
      <c r="O185" s="951"/>
      <c r="P185" s="951"/>
      <c r="Q185" s="951"/>
      <c r="R185" s="951"/>
      <c r="S185" s="951"/>
      <c r="T185" s="951"/>
      <c r="U185" s="951"/>
      <c r="V185" s="1296"/>
      <c r="W185" s="951"/>
      <c r="X185" s="951"/>
      <c r="Y185" s="951"/>
      <c r="Z185" s="951"/>
      <c r="AA185" s="951"/>
      <c r="AB185" s="1296"/>
      <c r="AC185" s="951"/>
      <c r="AD185" s="951"/>
      <c r="AE185" s="951"/>
      <c r="AF185" s="951"/>
      <c r="AG185" s="951"/>
      <c r="AH185" s="951"/>
      <c r="AI185" s="1296"/>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5"/>
      <c r="I186" s="1375"/>
      <c r="J186" s="1296"/>
      <c r="K186" s="951"/>
      <c r="L186" s="951"/>
      <c r="M186" s="951"/>
      <c r="N186" s="951"/>
      <c r="O186" s="951"/>
      <c r="P186" s="951"/>
      <c r="Q186" s="951"/>
      <c r="R186" s="951"/>
      <c r="S186" s="951"/>
      <c r="T186" s="951"/>
      <c r="U186" s="951"/>
      <c r="V186" s="1296"/>
      <c r="W186" s="951"/>
      <c r="X186" s="951"/>
      <c r="Y186" s="951"/>
      <c r="Z186" s="951"/>
      <c r="AA186" s="951"/>
      <c r="AB186" s="1296"/>
      <c r="AC186" s="951"/>
      <c r="AD186" s="951"/>
      <c r="AE186" s="951"/>
      <c r="AF186" s="951"/>
      <c r="AG186" s="951"/>
      <c r="AH186" s="951"/>
      <c r="AI186" s="1296"/>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5"/>
      <c r="I187" s="1375"/>
      <c r="J187" s="1296"/>
      <c r="K187" s="951"/>
      <c r="L187" s="951"/>
      <c r="M187" s="951"/>
      <c r="N187" s="951"/>
      <c r="O187" s="951"/>
      <c r="P187" s="951"/>
      <c r="Q187" s="951"/>
      <c r="R187" s="951"/>
      <c r="S187" s="951"/>
      <c r="T187" s="951"/>
      <c r="U187" s="951"/>
      <c r="V187" s="1296"/>
      <c r="W187" s="951"/>
      <c r="X187" s="951"/>
      <c r="Y187" s="951"/>
      <c r="Z187" s="951"/>
      <c r="AA187" s="951"/>
      <c r="AB187" s="1296"/>
      <c r="AC187" s="951"/>
      <c r="AD187" s="951"/>
      <c r="AE187" s="951"/>
      <c r="AF187" s="951"/>
      <c r="AG187" s="951"/>
      <c r="AH187" s="951"/>
      <c r="AI187" s="1296"/>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5"/>
      <c r="I188" s="1375"/>
      <c r="J188" s="1296"/>
      <c r="K188" s="951"/>
      <c r="L188" s="951"/>
      <c r="M188" s="951"/>
      <c r="N188" s="951"/>
      <c r="O188" s="951"/>
      <c r="P188" s="951"/>
      <c r="Q188" s="951"/>
      <c r="R188" s="951"/>
      <c r="S188" s="951"/>
      <c r="T188" s="951"/>
      <c r="U188" s="951"/>
      <c r="V188" s="1296"/>
      <c r="W188" s="951"/>
      <c r="X188" s="951"/>
      <c r="Y188" s="951"/>
      <c r="Z188" s="951"/>
      <c r="AA188" s="951"/>
      <c r="AB188" s="1296"/>
      <c r="AC188" s="951"/>
      <c r="AD188" s="951"/>
      <c r="AE188" s="951"/>
      <c r="AF188" s="951"/>
      <c r="AG188" s="951"/>
      <c r="AH188" s="951"/>
      <c r="AI188" s="1296"/>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5"/>
      <c r="I189" s="1375"/>
      <c r="J189" s="1296"/>
      <c r="K189" s="951"/>
      <c r="L189" s="951"/>
      <c r="M189" s="951"/>
      <c r="N189" s="951"/>
      <c r="O189" s="951"/>
      <c r="P189" s="951"/>
      <c r="Q189" s="951"/>
      <c r="R189" s="951"/>
      <c r="S189" s="951"/>
      <c r="T189" s="951"/>
      <c r="U189" s="951"/>
      <c r="V189" s="1296"/>
      <c r="W189" s="951"/>
      <c r="X189" s="951"/>
      <c r="Y189" s="951"/>
      <c r="Z189" s="951"/>
      <c r="AA189" s="951"/>
      <c r="AB189" s="1296"/>
      <c r="AC189" s="951"/>
      <c r="AD189" s="951"/>
      <c r="AE189" s="951"/>
      <c r="AF189" s="951"/>
      <c r="AG189" s="951"/>
      <c r="AH189" s="951"/>
      <c r="AI189" s="1296"/>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5"/>
      <c r="I190" s="1375"/>
      <c r="J190" s="1296"/>
      <c r="K190" s="951"/>
      <c r="L190" s="951"/>
      <c r="M190" s="951"/>
      <c r="N190" s="951"/>
      <c r="O190" s="951"/>
      <c r="P190" s="951"/>
      <c r="Q190" s="951"/>
      <c r="R190" s="951"/>
      <c r="S190" s="951"/>
      <c r="T190" s="951"/>
      <c r="U190" s="951"/>
      <c r="V190" s="1296"/>
      <c r="W190" s="951"/>
      <c r="X190" s="951"/>
      <c r="Y190" s="951"/>
      <c r="Z190" s="951"/>
      <c r="AA190" s="951"/>
      <c r="AB190" s="1296"/>
      <c r="AC190" s="951"/>
      <c r="AD190" s="951"/>
      <c r="AE190" s="951"/>
      <c r="AF190" s="951"/>
      <c r="AG190" s="951"/>
      <c r="AH190" s="951"/>
      <c r="AI190" s="1296"/>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5"/>
      <c r="I191" s="1375"/>
      <c r="J191" s="1296"/>
      <c r="K191" s="951"/>
      <c r="L191" s="951"/>
      <c r="M191" s="951"/>
      <c r="N191" s="951"/>
      <c r="O191" s="951"/>
      <c r="P191" s="951"/>
      <c r="Q191" s="951"/>
      <c r="R191" s="951"/>
      <c r="S191" s="951"/>
      <c r="T191" s="951"/>
      <c r="U191" s="951"/>
      <c r="V191" s="1296"/>
      <c r="W191" s="951"/>
      <c r="X191" s="951"/>
      <c r="Y191" s="951"/>
      <c r="Z191" s="951"/>
      <c r="AA191" s="951"/>
      <c r="AB191" s="1296"/>
      <c r="AC191" s="951"/>
      <c r="AD191" s="951"/>
      <c r="AE191" s="951"/>
      <c r="AF191" s="951"/>
      <c r="AG191" s="951"/>
      <c r="AH191" s="951"/>
      <c r="AI191" s="1296"/>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5"/>
      <c r="I192" s="1375"/>
      <c r="J192" s="1296"/>
      <c r="K192" s="951"/>
      <c r="L192" s="951"/>
      <c r="M192" s="951"/>
      <c r="N192" s="951"/>
      <c r="O192" s="951"/>
      <c r="P192" s="951"/>
      <c r="Q192" s="951"/>
      <c r="R192" s="951"/>
      <c r="S192" s="951"/>
      <c r="T192" s="951"/>
      <c r="U192" s="951"/>
      <c r="V192" s="1296"/>
      <c r="W192" s="951"/>
      <c r="X192" s="951"/>
      <c r="Y192" s="951"/>
      <c r="Z192" s="951"/>
      <c r="AA192" s="951"/>
      <c r="AB192" s="1296"/>
      <c r="AC192" s="951"/>
      <c r="AD192" s="951"/>
      <c r="AE192" s="951"/>
      <c r="AF192" s="951"/>
      <c r="AG192" s="951"/>
      <c r="AH192" s="951"/>
      <c r="AI192" s="1296"/>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5"/>
      <c r="I193" s="1375"/>
      <c r="J193" s="1296"/>
      <c r="K193" s="951"/>
      <c r="L193" s="951"/>
      <c r="M193" s="951"/>
      <c r="N193" s="951"/>
      <c r="O193" s="951"/>
      <c r="P193" s="951"/>
      <c r="Q193" s="951"/>
      <c r="R193" s="951"/>
      <c r="S193" s="951"/>
      <c r="T193" s="951"/>
      <c r="U193" s="951"/>
      <c r="V193" s="1296"/>
      <c r="W193" s="951"/>
      <c r="X193" s="951"/>
      <c r="Y193" s="951"/>
      <c r="Z193" s="951"/>
      <c r="AA193" s="951"/>
      <c r="AB193" s="1296"/>
      <c r="AC193" s="951"/>
      <c r="AD193" s="951"/>
      <c r="AE193" s="951"/>
      <c r="AF193" s="951"/>
      <c r="AG193" s="951"/>
      <c r="AH193" s="951"/>
      <c r="AI193" s="1296"/>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5"/>
      <c r="I194" s="1375"/>
      <c r="J194" s="1296"/>
      <c r="K194" s="951"/>
      <c r="L194" s="951"/>
      <c r="M194" s="951"/>
      <c r="N194" s="951"/>
      <c r="O194" s="951"/>
      <c r="P194" s="951"/>
      <c r="Q194" s="951"/>
      <c r="R194" s="951"/>
      <c r="S194" s="951"/>
      <c r="T194" s="951"/>
      <c r="U194" s="951"/>
      <c r="V194" s="1296"/>
      <c r="W194" s="951"/>
      <c r="X194" s="951"/>
      <c r="Y194" s="951"/>
      <c r="Z194" s="951"/>
      <c r="AA194" s="951"/>
      <c r="AB194" s="1296"/>
      <c r="AC194" s="951"/>
      <c r="AD194" s="951"/>
      <c r="AE194" s="951"/>
      <c r="AF194" s="951"/>
      <c r="AG194" s="951"/>
      <c r="AH194" s="951"/>
      <c r="AI194" s="1296"/>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5"/>
      <c r="I195" s="1375"/>
      <c r="J195" s="1296"/>
      <c r="K195" s="951"/>
      <c r="L195" s="951"/>
      <c r="M195" s="951"/>
      <c r="N195" s="951"/>
      <c r="O195" s="951"/>
      <c r="P195" s="951"/>
      <c r="Q195" s="951"/>
      <c r="R195" s="951"/>
      <c r="S195" s="951"/>
      <c r="T195" s="951"/>
      <c r="U195" s="951"/>
      <c r="V195" s="1296"/>
      <c r="W195" s="951"/>
      <c r="X195" s="951"/>
      <c r="Y195" s="951"/>
      <c r="Z195" s="951"/>
      <c r="AA195" s="951"/>
      <c r="AB195" s="1296"/>
      <c r="AC195" s="951"/>
      <c r="AD195" s="951"/>
      <c r="AE195" s="951"/>
      <c r="AF195" s="951"/>
      <c r="AG195" s="951"/>
      <c r="AH195" s="951"/>
      <c r="AI195" s="1296"/>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5"/>
      <c r="I196" s="1375"/>
      <c r="J196" s="1296"/>
      <c r="K196" s="951"/>
      <c r="L196" s="951"/>
      <c r="M196" s="951"/>
      <c r="N196" s="951"/>
      <c r="O196" s="951"/>
      <c r="P196" s="951"/>
      <c r="Q196" s="951"/>
      <c r="R196" s="951"/>
      <c r="S196" s="951"/>
      <c r="T196" s="951"/>
      <c r="U196" s="951"/>
      <c r="V196" s="1296"/>
      <c r="W196" s="951"/>
      <c r="X196" s="951"/>
      <c r="Y196" s="951"/>
      <c r="Z196" s="951"/>
      <c r="AA196" s="951"/>
      <c r="AB196" s="1296"/>
      <c r="AC196" s="951"/>
      <c r="AD196" s="951"/>
      <c r="AE196" s="951"/>
      <c r="AF196" s="951"/>
      <c r="AG196" s="951"/>
      <c r="AH196" s="951"/>
      <c r="AI196" s="1296"/>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5"/>
      <c r="I197" s="1375"/>
      <c r="J197" s="1296"/>
      <c r="K197" s="951"/>
      <c r="L197" s="951"/>
      <c r="M197" s="951"/>
      <c r="N197" s="951"/>
      <c r="O197" s="951"/>
      <c r="P197" s="951"/>
      <c r="Q197" s="951"/>
      <c r="R197" s="951"/>
      <c r="S197" s="951"/>
      <c r="T197" s="951"/>
      <c r="U197" s="951"/>
      <c r="V197" s="1296"/>
      <c r="W197" s="951"/>
      <c r="X197" s="951"/>
      <c r="Y197" s="951"/>
      <c r="Z197" s="951"/>
      <c r="AA197" s="951"/>
      <c r="AB197" s="1296"/>
      <c r="AC197" s="951"/>
      <c r="AD197" s="951"/>
      <c r="AE197" s="951"/>
      <c r="AF197" s="951"/>
      <c r="AG197" s="951"/>
      <c r="AH197" s="951"/>
      <c r="AI197" s="1296"/>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5"/>
      <c r="I198" s="1375"/>
      <c r="J198" s="1296"/>
      <c r="K198" s="951"/>
      <c r="L198" s="951"/>
      <c r="M198" s="951"/>
      <c r="N198" s="951"/>
      <c r="O198" s="951"/>
      <c r="P198" s="951"/>
      <c r="Q198" s="951"/>
      <c r="R198" s="951"/>
      <c r="S198" s="951"/>
      <c r="T198" s="951"/>
      <c r="U198" s="951"/>
      <c r="V198" s="1296"/>
      <c r="W198" s="951"/>
      <c r="X198" s="951"/>
      <c r="Y198" s="951"/>
      <c r="Z198" s="951"/>
      <c r="AA198" s="951"/>
      <c r="AB198" s="1296"/>
      <c r="AC198" s="951"/>
      <c r="AD198" s="951"/>
      <c r="AE198" s="951"/>
      <c r="AF198" s="951"/>
      <c r="AG198" s="951"/>
      <c r="AH198" s="951"/>
      <c r="AI198" s="1296"/>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5"/>
      <c r="I199" s="1375"/>
      <c r="J199" s="1296"/>
      <c r="K199" s="951"/>
      <c r="L199" s="951"/>
      <c r="M199" s="951"/>
      <c r="N199" s="951"/>
      <c r="O199" s="951"/>
      <c r="P199" s="951"/>
      <c r="Q199" s="951"/>
      <c r="R199" s="951"/>
      <c r="S199" s="951"/>
      <c r="T199" s="951"/>
      <c r="U199" s="951"/>
      <c r="V199" s="1296"/>
      <c r="W199" s="951"/>
      <c r="X199" s="951"/>
      <c r="Y199" s="951"/>
      <c r="Z199" s="951"/>
      <c r="AA199" s="951"/>
      <c r="AB199" s="1296"/>
      <c r="AC199" s="951"/>
      <c r="AD199" s="951"/>
      <c r="AE199" s="951"/>
      <c r="AF199" s="951"/>
      <c r="AG199" s="951"/>
      <c r="AH199" s="951"/>
      <c r="AI199" s="1296"/>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5"/>
      <c r="I200" s="1375"/>
      <c r="J200" s="1296"/>
      <c r="K200" s="951"/>
      <c r="L200" s="951"/>
      <c r="M200" s="951"/>
      <c r="N200" s="951"/>
      <c r="O200" s="951"/>
      <c r="P200" s="951"/>
      <c r="Q200" s="951"/>
      <c r="R200" s="951"/>
      <c r="S200" s="951"/>
      <c r="T200" s="951"/>
      <c r="U200" s="951"/>
      <c r="V200" s="1296"/>
      <c r="W200" s="951"/>
      <c r="X200" s="951"/>
      <c r="Y200" s="951"/>
      <c r="Z200" s="951"/>
      <c r="AA200" s="951"/>
      <c r="AB200" s="1296"/>
      <c r="AC200" s="951"/>
      <c r="AD200" s="951"/>
      <c r="AE200" s="951"/>
      <c r="AF200" s="951"/>
      <c r="AG200" s="951"/>
      <c r="AH200" s="951"/>
      <c r="AI200" s="1296"/>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5"/>
      <c r="I201" s="1375"/>
      <c r="J201" s="1296"/>
      <c r="K201" s="951"/>
      <c r="L201" s="951"/>
      <c r="M201" s="951"/>
      <c r="N201" s="951"/>
      <c r="O201" s="951"/>
      <c r="P201" s="951"/>
      <c r="Q201" s="951"/>
      <c r="R201" s="951"/>
      <c r="S201" s="951"/>
      <c r="T201" s="951"/>
      <c r="U201" s="951"/>
      <c r="V201" s="1296"/>
      <c r="W201" s="951"/>
      <c r="X201" s="951"/>
      <c r="Y201" s="951"/>
      <c r="Z201" s="951"/>
      <c r="AA201" s="951"/>
      <c r="AB201" s="1296"/>
      <c r="AC201" s="951"/>
      <c r="AD201" s="951"/>
      <c r="AE201" s="951"/>
      <c r="AF201" s="951"/>
      <c r="AG201" s="951"/>
      <c r="AH201" s="951"/>
      <c r="AI201" s="1296"/>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5"/>
      <c r="I202" s="1375"/>
      <c r="J202" s="1296"/>
      <c r="K202" s="951"/>
      <c r="L202" s="951"/>
      <c r="M202" s="951"/>
      <c r="N202" s="951"/>
      <c r="O202" s="951"/>
      <c r="P202" s="951"/>
      <c r="Q202" s="951"/>
      <c r="R202" s="951"/>
      <c r="S202" s="951"/>
      <c r="T202" s="951"/>
      <c r="U202" s="951"/>
      <c r="V202" s="1296"/>
      <c r="W202" s="951"/>
      <c r="X202" s="951"/>
      <c r="Y202" s="951"/>
      <c r="Z202" s="951"/>
      <c r="AA202" s="951"/>
      <c r="AB202" s="1296"/>
      <c r="AC202" s="951"/>
      <c r="AD202" s="951"/>
      <c r="AE202" s="951"/>
      <c r="AF202" s="951"/>
      <c r="AG202" s="951"/>
      <c r="AH202" s="951"/>
      <c r="AI202" s="1296"/>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5"/>
      <c r="I203" s="1375"/>
      <c r="J203" s="1296"/>
      <c r="K203" s="951"/>
      <c r="L203" s="951"/>
      <c r="M203" s="951"/>
      <c r="N203" s="951"/>
      <c r="O203" s="951"/>
      <c r="P203" s="951"/>
      <c r="Q203" s="951"/>
      <c r="R203" s="951"/>
      <c r="S203" s="951"/>
      <c r="T203" s="951"/>
      <c r="U203" s="951"/>
      <c r="V203" s="1296"/>
      <c r="W203" s="951"/>
      <c r="X203" s="951"/>
      <c r="Y203" s="951"/>
      <c r="Z203" s="951"/>
      <c r="AA203" s="951"/>
      <c r="AB203" s="1296"/>
      <c r="AC203" s="951"/>
      <c r="AD203" s="951"/>
      <c r="AE203" s="951"/>
      <c r="AF203" s="951"/>
      <c r="AG203" s="951"/>
      <c r="AH203" s="951"/>
      <c r="AI203" s="1296"/>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5"/>
      <c r="I204" s="1375"/>
      <c r="J204" s="1296"/>
      <c r="K204" s="951"/>
      <c r="L204" s="951"/>
      <c r="M204" s="951"/>
      <c r="N204" s="951"/>
      <c r="O204" s="951"/>
      <c r="P204" s="951"/>
      <c r="Q204" s="951"/>
      <c r="R204" s="951"/>
      <c r="S204" s="951"/>
      <c r="T204" s="951"/>
      <c r="U204" s="951"/>
      <c r="V204" s="1296"/>
      <c r="W204" s="951"/>
      <c r="X204" s="951"/>
      <c r="Y204" s="951"/>
      <c r="Z204" s="951"/>
      <c r="AA204" s="951"/>
      <c r="AB204" s="1296"/>
      <c r="AC204" s="951"/>
      <c r="AD204" s="951"/>
      <c r="AE204" s="951"/>
      <c r="AF204" s="951"/>
      <c r="AG204" s="951"/>
      <c r="AH204" s="951"/>
      <c r="AI204" s="1296"/>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5"/>
      <c r="I205" s="1375"/>
      <c r="J205" s="1296"/>
      <c r="K205" s="951"/>
      <c r="L205" s="951"/>
      <c r="M205" s="951"/>
      <c r="N205" s="951"/>
      <c r="O205" s="951"/>
      <c r="P205" s="951"/>
      <c r="Q205" s="951"/>
      <c r="R205" s="951"/>
      <c r="S205" s="951"/>
      <c r="T205" s="951"/>
      <c r="U205" s="951"/>
      <c r="V205" s="1296"/>
      <c r="W205" s="951"/>
      <c r="X205" s="951"/>
      <c r="Y205" s="951"/>
      <c r="Z205" s="951"/>
      <c r="AA205" s="951"/>
      <c r="AB205" s="1296"/>
      <c r="AC205" s="951"/>
      <c r="AD205" s="951"/>
      <c r="AE205" s="951"/>
      <c r="AF205" s="951"/>
      <c r="AG205" s="951"/>
      <c r="AH205" s="951"/>
      <c r="AI205" s="1296"/>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5"/>
      <c r="I206" s="1375"/>
      <c r="J206" s="1296"/>
      <c r="K206" s="951"/>
      <c r="L206" s="951"/>
      <c r="M206" s="951"/>
      <c r="N206" s="951"/>
      <c r="O206" s="951"/>
      <c r="P206" s="951"/>
      <c r="Q206" s="951"/>
      <c r="R206" s="951"/>
      <c r="S206" s="951"/>
      <c r="T206" s="951"/>
      <c r="U206" s="951"/>
      <c r="V206" s="1296"/>
      <c r="W206" s="951"/>
      <c r="X206" s="951"/>
      <c r="Y206" s="951"/>
      <c r="Z206" s="951"/>
      <c r="AA206" s="951"/>
      <c r="AB206" s="1296"/>
      <c r="AC206" s="951"/>
      <c r="AD206" s="951"/>
      <c r="AE206" s="951"/>
      <c r="AF206" s="951"/>
      <c r="AG206" s="951"/>
      <c r="AH206" s="951"/>
      <c r="AI206" s="1296"/>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5"/>
      <c r="I207" s="1375"/>
      <c r="J207" s="1296"/>
      <c r="K207" s="951"/>
      <c r="L207" s="951"/>
      <c r="M207" s="951"/>
      <c r="N207" s="951"/>
      <c r="O207" s="951"/>
      <c r="P207" s="951"/>
      <c r="Q207" s="951"/>
      <c r="R207" s="951"/>
      <c r="S207" s="951"/>
      <c r="T207" s="951"/>
      <c r="U207" s="951"/>
      <c r="V207" s="1296"/>
      <c r="W207" s="951"/>
      <c r="X207" s="951"/>
      <c r="Y207" s="951"/>
      <c r="Z207" s="951"/>
      <c r="AA207" s="951"/>
      <c r="AB207" s="1296"/>
      <c r="AC207" s="951"/>
      <c r="AD207" s="951"/>
      <c r="AE207" s="951"/>
      <c r="AF207" s="951"/>
      <c r="AG207" s="951"/>
      <c r="AH207" s="951"/>
      <c r="AI207" s="1296"/>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5"/>
      <c r="I208" s="1375"/>
      <c r="J208" s="1296"/>
      <c r="K208" s="951"/>
      <c r="L208" s="951"/>
      <c r="M208" s="951"/>
      <c r="N208" s="951"/>
      <c r="O208" s="951"/>
      <c r="P208" s="951"/>
      <c r="Q208" s="951"/>
      <c r="R208" s="951"/>
      <c r="S208" s="951"/>
      <c r="T208" s="951"/>
      <c r="U208" s="951"/>
      <c r="V208" s="1296"/>
      <c r="W208" s="951"/>
      <c r="X208" s="951"/>
      <c r="Y208" s="951"/>
      <c r="Z208" s="951"/>
      <c r="AA208" s="951"/>
      <c r="AB208" s="1296"/>
      <c r="AC208" s="951"/>
      <c r="AD208" s="951"/>
      <c r="AE208" s="951"/>
      <c r="AF208" s="951"/>
      <c r="AG208" s="951"/>
      <c r="AH208" s="951"/>
      <c r="AI208" s="1296"/>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5"/>
      <c r="I209" s="1375"/>
      <c r="J209" s="1296"/>
      <c r="K209" s="951"/>
      <c r="L209" s="951"/>
      <c r="M209" s="951"/>
      <c r="N209" s="951"/>
      <c r="O209" s="951"/>
      <c r="P209" s="951"/>
      <c r="Q209" s="951"/>
      <c r="R209" s="951"/>
      <c r="S209" s="951"/>
      <c r="T209" s="951"/>
      <c r="U209" s="951"/>
      <c r="V209" s="1296"/>
      <c r="W209" s="951"/>
      <c r="X209" s="951"/>
      <c r="Y209" s="951"/>
      <c r="Z209" s="951"/>
      <c r="AA209" s="951"/>
      <c r="AB209" s="1296"/>
      <c r="AC209" s="951"/>
      <c r="AD209" s="951"/>
      <c r="AE209" s="951"/>
      <c r="AF209" s="951"/>
      <c r="AG209" s="951"/>
      <c r="AH209" s="951"/>
      <c r="AI209" s="1296"/>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5"/>
      <c r="I210" s="1375"/>
      <c r="J210" s="1296"/>
      <c r="K210" s="951"/>
      <c r="L210" s="951"/>
      <c r="M210" s="951"/>
      <c r="N210" s="951"/>
      <c r="O210" s="951"/>
      <c r="P210" s="951"/>
      <c r="Q210" s="951"/>
      <c r="R210" s="951"/>
      <c r="S210" s="951"/>
      <c r="T210" s="951"/>
      <c r="U210" s="951"/>
      <c r="V210" s="1296"/>
      <c r="W210" s="951"/>
      <c r="X210" s="951"/>
      <c r="Y210" s="951"/>
      <c r="Z210" s="951"/>
      <c r="AA210" s="951"/>
      <c r="AB210" s="1296"/>
      <c r="AC210" s="951"/>
      <c r="AD210" s="951"/>
      <c r="AE210" s="951"/>
      <c r="AF210" s="951"/>
      <c r="AG210" s="951"/>
      <c r="AH210" s="951"/>
      <c r="AI210" s="1296"/>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5"/>
      <c r="I211" s="1375"/>
      <c r="J211" s="1296"/>
      <c r="K211" s="951"/>
      <c r="L211" s="951"/>
      <c r="M211" s="951"/>
      <c r="N211" s="951"/>
      <c r="O211" s="951"/>
      <c r="P211" s="951"/>
      <c r="Q211" s="951"/>
      <c r="R211" s="951"/>
      <c r="S211" s="951"/>
      <c r="T211" s="951"/>
      <c r="U211" s="951"/>
      <c r="V211" s="1296"/>
      <c r="W211" s="951"/>
      <c r="X211" s="951"/>
      <c r="Y211" s="951"/>
      <c r="Z211" s="951"/>
      <c r="AA211" s="951"/>
      <c r="AB211" s="1296"/>
      <c r="AC211" s="951"/>
      <c r="AD211" s="951"/>
      <c r="AE211" s="951"/>
      <c r="AF211" s="951"/>
      <c r="AG211" s="951"/>
      <c r="AH211" s="951"/>
      <c r="AI211" s="1296"/>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5"/>
      <c r="I212" s="1375"/>
      <c r="J212" s="1296"/>
      <c r="K212" s="951"/>
      <c r="L212" s="951"/>
      <c r="M212" s="951"/>
      <c r="N212" s="951"/>
      <c r="O212" s="951"/>
      <c r="P212" s="951"/>
      <c r="Q212" s="951"/>
      <c r="R212" s="951"/>
      <c r="S212" s="951"/>
      <c r="T212" s="951"/>
      <c r="U212" s="951"/>
      <c r="V212" s="1296"/>
      <c r="W212" s="951"/>
      <c r="X212" s="951"/>
      <c r="Y212" s="951"/>
      <c r="Z212" s="951"/>
      <c r="AA212" s="951"/>
      <c r="AB212" s="1296"/>
      <c r="AC212" s="951"/>
      <c r="AD212" s="951"/>
      <c r="AE212" s="951"/>
      <c r="AF212" s="951"/>
      <c r="AG212" s="951"/>
      <c r="AH212" s="951"/>
      <c r="AI212" s="1296"/>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5"/>
      <c r="I213" s="1375"/>
      <c r="J213" s="1296"/>
      <c r="K213" s="951"/>
      <c r="L213" s="951"/>
      <c r="M213" s="951"/>
      <c r="N213" s="951"/>
      <c r="O213" s="951"/>
      <c r="P213" s="951"/>
      <c r="Q213" s="951"/>
      <c r="R213" s="951"/>
      <c r="S213" s="951"/>
      <c r="T213" s="951"/>
      <c r="U213" s="951"/>
      <c r="V213" s="1296"/>
      <c r="W213" s="951"/>
      <c r="X213" s="951"/>
      <c r="Y213" s="951"/>
      <c r="Z213" s="951"/>
      <c r="AA213" s="951"/>
      <c r="AB213" s="1296"/>
      <c r="AC213" s="951"/>
      <c r="AD213" s="951"/>
      <c r="AE213" s="951"/>
      <c r="AF213" s="951"/>
      <c r="AG213" s="951"/>
      <c r="AH213" s="951"/>
      <c r="AI213" s="1296"/>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5"/>
      <c r="I214" s="1375"/>
      <c r="J214" s="1296"/>
      <c r="K214" s="951"/>
      <c r="L214" s="951"/>
      <c r="M214" s="951"/>
      <c r="N214" s="951"/>
      <c r="O214" s="951"/>
      <c r="P214" s="951"/>
      <c r="Q214" s="951"/>
      <c r="R214" s="951"/>
      <c r="S214" s="951"/>
      <c r="T214" s="951"/>
      <c r="U214" s="951"/>
      <c r="V214" s="1296"/>
      <c r="W214" s="951"/>
      <c r="X214" s="951"/>
      <c r="Y214" s="951"/>
      <c r="Z214" s="951"/>
      <c r="AA214" s="951"/>
      <c r="AB214" s="1296"/>
      <c r="AC214" s="951"/>
      <c r="AD214" s="951"/>
      <c r="AE214" s="951"/>
      <c r="AF214" s="951"/>
      <c r="AG214" s="951"/>
      <c r="AH214" s="951"/>
      <c r="AI214" s="1296"/>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5"/>
      <c r="I215" s="1375"/>
      <c r="J215" s="1296"/>
      <c r="K215" s="951"/>
      <c r="L215" s="951"/>
      <c r="M215" s="951"/>
      <c r="N215" s="951"/>
      <c r="O215" s="951"/>
      <c r="P215" s="951"/>
      <c r="Q215" s="951"/>
      <c r="R215" s="951"/>
      <c r="S215" s="951"/>
      <c r="T215" s="951"/>
      <c r="U215" s="951"/>
      <c r="V215" s="1296"/>
      <c r="W215" s="951"/>
      <c r="X215" s="951"/>
      <c r="Y215" s="951"/>
      <c r="Z215" s="951"/>
      <c r="AA215" s="951"/>
      <c r="AB215" s="1296"/>
      <c r="AC215" s="951"/>
      <c r="AD215" s="951"/>
      <c r="AE215" s="951"/>
      <c r="AF215" s="951"/>
      <c r="AG215" s="951"/>
      <c r="AH215" s="951"/>
      <c r="AI215" s="1296"/>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5"/>
      <c r="I216" s="1375"/>
      <c r="J216" s="1296"/>
      <c r="K216" s="951"/>
      <c r="L216" s="951"/>
      <c r="M216" s="951"/>
      <c r="N216" s="951"/>
      <c r="O216" s="951"/>
      <c r="P216" s="951"/>
      <c r="Q216" s="951"/>
      <c r="R216" s="951"/>
      <c r="S216" s="951"/>
      <c r="T216" s="951"/>
      <c r="U216" s="951"/>
      <c r="V216" s="1296"/>
      <c r="W216" s="951"/>
      <c r="X216" s="951"/>
      <c r="Y216" s="951"/>
      <c r="Z216" s="951"/>
      <c r="AA216" s="951"/>
      <c r="AB216" s="1296"/>
      <c r="AC216" s="951"/>
      <c r="AD216" s="951"/>
      <c r="AE216" s="951"/>
      <c r="AF216" s="951"/>
      <c r="AG216" s="951"/>
      <c r="AH216" s="951"/>
      <c r="AI216" s="1296"/>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5"/>
      <c r="I217" s="1375"/>
      <c r="J217" s="1296"/>
      <c r="K217" s="951"/>
      <c r="L217" s="951"/>
      <c r="M217" s="951"/>
      <c r="N217" s="951"/>
      <c r="O217" s="951"/>
      <c r="P217" s="951"/>
      <c r="Q217" s="951"/>
      <c r="R217" s="951"/>
      <c r="S217" s="951"/>
      <c r="T217" s="951"/>
      <c r="U217" s="951"/>
      <c r="V217" s="1296"/>
      <c r="W217" s="951"/>
      <c r="X217" s="951"/>
      <c r="Y217" s="951"/>
      <c r="Z217" s="951"/>
      <c r="AA217" s="951"/>
      <c r="AB217" s="1296"/>
      <c r="AC217" s="951"/>
      <c r="AD217" s="951"/>
      <c r="AE217" s="951"/>
      <c r="AF217" s="951"/>
      <c r="AG217" s="951"/>
      <c r="AH217" s="951"/>
      <c r="AI217" s="1296"/>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5"/>
      <c r="I218" s="1375"/>
      <c r="J218" s="1296"/>
      <c r="K218" s="951"/>
      <c r="L218" s="951"/>
      <c r="M218" s="951"/>
      <c r="N218" s="951"/>
      <c r="O218" s="951"/>
      <c r="P218" s="951"/>
      <c r="Q218" s="951"/>
      <c r="R218" s="951"/>
      <c r="S218" s="951"/>
      <c r="T218" s="951"/>
      <c r="U218" s="951"/>
      <c r="V218" s="1296"/>
      <c r="W218" s="951"/>
      <c r="X218" s="951"/>
      <c r="Y218" s="951"/>
      <c r="Z218" s="951"/>
      <c r="AA218" s="951"/>
      <c r="AB218" s="1296"/>
      <c r="AC218" s="951"/>
      <c r="AD218" s="951"/>
      <c r="AE218" s="951"/>
      <c r="AF218" s="951"/>
      <c r="AG218" s="951"/>
      <c r="AH218" s="951"/>
      <c r="AI218" s="1296"/>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5"/>
      <c r="I219" s="1375"/>
      <c r="J219" s="1296"/>
      <c r="K219" s="951"/>
      <c r="L219" s="951"/>
      <c r="M219" s="951"/>
      <c r="N219" s="951"/>
      <c r="O219" s="951"/>
      <c r="P219" s="951"/>
      <c r="Q219" s="951"/>
      <c r="R219" s="951"/>
      <c r="S219" s="951"/>
      <c r="T219" s="951"/>
      <c r="U219" s="951"/>
      <c r="V219" s="1296"/>
      <c r="W219" s="951"/>
      <c r="X219" s="951"/>
      <c r="Y219" s="951"/>
      <c r="Z219" s="951"/>
      <c r="AA219" s="951"/>
      <c r="AB219" s="1296"/>
      <c r="AC219" s="951"/>
      <c r="AD219" s="951"/>
      <c r="AE219" s="951"/>
      <c r="AF219" s="951"/>
      <c r="AG219" s="951"/>
      <c r="AH219" s="951"/>
      <c r="AI219" s="1296"/>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5"/>
      <c r="I220" s="1375"/>
      <c r="J220" s="1296"/>
      <c r="K220" s="951"/>
      <c r="L220" s="951"/>
      <c r="M220" s="951"/>
      <c r="N220" s="951"/>
      <c r="O220" s="951"/>
      <c r="P220" s="951"/>
      <c r="Q220" s="951"/>
      <c r="R220" s="951"/>
      <c r="S220" s="951"/>
      <c r="T220" s="951"/>
      <c r="U220" s="951"/>
      <c r="V220" s="1296"/>
      <c r="W220" s="951"/>
      <c r="X220" s="951"/>
      <c r="Y220" s="951"/>
      <c r="Z220" s="951"/>
      <c r="AA220" s="951"/>
      <c r="AB220" s="1296"/>
      <c r="AC220" s="951"/>
      <c r="AD220" s="951"/>
      <c r="AE220" s="951"/>
      <c r="AF220" s="951"/>
      <c r="AG220" s="951"/>
      <c r="AH220" s="951"/>
      <c r="AI220" s="1296"/>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5"/>
      <c r="I221" s="1375"/>
      <c r="J221" s="1296"/>
      <c r="K221" s="951"/>
      <c r="L221" s="951"/>
      <c r="M221" s="951"/>
      <c r="N221" s="951"/>
      <c r="O221" s="951"/>
      <c r="P221" s="951"/>
      <c r="Q221" s="951"/>
      <c r="R221" s="951"/>
      <c r="S221" s="951"/>
      <c r="T221" s="951"/>
      <c r="U221" s="951"/>
      <c r="V221" s="1296"/>
      <c r="W221" s="951"/>
      <c r="X221" s="951"/>
      <c r="Y221" s="951"/>
      <c r="Z221" s="951"/>
      <c r="AA221" s="951"/>
      <c r="AB221" s="1296"/>
      <c r="AC221" s="951"/>
      <c r="AD221" s="951"/>
      <c r="AE221" s="951"/>
      <c r="AF221" s="951"/>
      <c r="AG221" s="951"/>
      <c r="AH221" s="951"/>
      <c r="AI221" s="1296"/>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5"/>
      <c r="I222" s="1375"/>
      <c r="J222" s="1296"/>
      <c r="K222" s="951"/>
      <c r="L222" s="951"/>
      <c r="M222" s="951"/>
      <c r="N222" s="951"/>
      <c r="O222" s="951"/>
      <c r="P222" s="951"/>
      <c r="Q222" s="951"/>
      <c r="R222" s="951"/>
      <c r="S222" s="951"/>
      <c r="T222" s="951"/>
      <c r="U222" s="951"/>
      <c r="V222" s="1296"/>
      <c r="W222" s="951"/>
      <c r="X222" s="951"/>
      <c r="Y222" s="951"/>
      <c r="Z222" s="951"/>
      <c r="AA222" s="951"/>
      <c r="AB222" s="1296"/>
      <c r="AC222" s="951"/>
      <c r="AD222" s="951"/>
      <c r="AE222" s="951"/>
      <c r="AF222" s="951"/>
      <c r="AG222" s="951"/>
      <c r="AH222" s="951"/>
      <c r="AI222" s="1296"/>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5"/>
      <c r="I223" s="1375"/>
      <c r="J223" s="1296"/>
      <c r="K223" s="951"/>
      <c r="L223" s="951"/>
      <c r="M223" s="951"/>
      <c r="N223" s="951"/>
      <c r="O223" s="951"/>
      <c r="P223" s="951"/>
      <c r="Q223" s="951"/>
      <c r="R223" s="951"/>
      <c r="S223" s="951"/>
      <c r="T223" s="951"/>
      <c r="U223" s="951"/>
      <c r="V223" s="1296"/>
      <c r="W223" s="951"/>
      <c r="X223" s="951"/>
      <c r="Y223" s="951"/>
      <c r="Z223" s="951"/>
      <c r="AA223" s="951"/>
      <c r="AB223" s="1296"/>
      <c r="AC223" s="951"/>
      <c r="AD223" s="951"/>
      <c r="AE223" s="951"/>
      <c r="AF223" s="951"/>
      <c r="AG223" s="951"/>
      <c r="AH223" s="951"/>
      <c r="AI223" s="1296"/>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5"/>
      <c r="I224" s="1375"/>
      <c r="J224" s="1296"/>
      <c r="K224" s="951"/>
      <c r="L224" s="951"/>
      <c r="M224" s="951"/>
      <c r="N224" s="951"/>
      <c r="O224" s="951"/>
      <c r="P224" s="951"/>
      <c r="Q224" s="951"/>
      <c r="R224" s="951"/>
      <c r="S224" s="951"/>
      <c r="T224" s="951"/>
      <c r="U224" s="951"/>
      <c r="V224" s="1296"/>
      <c r="W224" s="951"/>
      <c r="X224" s="951"/>
      <c r="Y224" s="951"/>
      <c r="Z224" s="951"/>
      <c r="AA224" s="951"/>
      <c r="AB224" s="1296"/>
      <c r="AC224" s="951"/>
      <c r="AD224" s="951"/>
      <c r="AE224" s="951"/>
      <c r="AF224" s="951"/>
      <c r="AG224" s="951"/>
      <c r="AH224" s="951"/>
      <c r="AI224" s="1296"/>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5"/>
      <c r="I225" s="1375"/>
      <c r="J225" s="1296"/>
      <c r="K225" s="951"/>
      <c r="L225" s="951"/>
      <c r="M225" s="951"/>
      <c r="N225" s="951"/>
      <c r="O225" s="951"/>
      <c r="P225" s="951"/>
      <c r="Q225" s="951"/>
      <c r="R225" s="951"/>
      <c r="S225" s="951"/>
      <c r="T225" s="951"/>
      <c r="U225" s="951"/>
      <c r="V225" s="1296"/>
      <c r="W225" s="951"/>
      <c r="X225" s="951"/>
      <c r="Y225" s="951"/>
      <c r="Z225" s="951"/>
      <c r="AA225" s="951"/>
      <c r="AB225" s="1296"/>
      <c r="AC225" s="951"/>
      <c r="AD225" s="951"/>
      <c r="AE225" s="951"/>
      <c r="AF225" s="951"/>
      <c r="AG225" s="951"/>
      <c r="AH225" s="951"/>
      <c r="AI225" s="1296"/>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5"/>
      <c r="I226" s="1375"/>
      <c r="J226" s="1296"/>
      <c r="K226" s="951"/>
      <c r="L226" s="951"/>
      <c r="M226" s="951"/>
      <c r="N226" s="951"/>
      <c r="O226" s="951"/>
      <c r="P226" s="951"/>
      <c r="Q226" s="951"/>
      <c r="R226" s="951"/>
      <c r="S226" s="951"/>
      <c r="T226" s="951"/>
      <c r="U226" s="951"/>
      <c r="V226" s="1296"/>
      <c r="W226" s="951"/>
      <c r="X226" s="951"/>
      <c r="Y226" s="951"/>
      <c r="Z226" s="951"/>
      <c r="AA226" s="951"/>
      <c r="AB226" s="1296"/>
      <c r="AC226" s="951"/>
      <c r="AD226" s="951"/>
      <c r="AE226" s="951"/>
      <c r="AF226" s="951"/>
      <c r="AG226" s="951"/>
      <c r="AH226" s="951"/>
      <c r="AI226" s="1296"/>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5"/>
      <c r="I227" s="1375"/>
      <c r="J227" s="1296"/>
      <c r="K227" s="951"/>
      <c r="L227" s="951"/>
      <c r="M227" s="951"/>
      <c r="N227" s="951"/>
      <c r="O227" s="951"/>
      <c r="P227" s="951"/>
      <c r="Q227" s="951"/>
      <c r="R227" s="951"/>
      <c r="S227" s="951"/>
      <c r="T227" s="951"/>
      <c r="U227" s="951"/>
      <c r="V227" s="1296"/>
      <c r="W227" s="951"/>
      <c r="X227" s="951"/>
      <c r="Y227" s="951"/>
      <c r="Z227" s="951"/>
      <c r="AA227" s="951"/>
      <c r="AB227" s="1296"/>
      <c r="AC227" s="951"/>
      <c r="AD227" s="951"/>
      <c r="AE227" s="951"/>
      <c r="AF227" s="951"/>
      <c r="AG227" s="951"/>
      <c r="AH227" s="951"/>
      <c r="AI227" s="1296"/>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5"/>
      <c r="I228" s="1375"/>
      <c r="J228" s="1296"/>
      <c r="K228" s="951"/>
      <c r="L228" s="951"/>
      <c r="M228" s="951"/>
      <c r="N228" s="951"/>
      <c r="O228" s="951"/>
      <c r="P228" s="951"/>
      <c r="Q228" s="951"/>
      <c r="R228" s="951"/>
      <c r="S228" s="951"/>
      <c r="T228" s="951"/>
      <c r="U228" s="951"/>
      <c r="V228" s="1296"/>
      <c r="W228" s="951"/>
      <c r="X228" s="951"/>
      <c r="Y228" s="951"/>
      <c r="Z228" s="951"/>
      <c r="AA228" s="951"/>
      <c r="AB228" s="1296"/>
      <c r="AC228" s="951"/>
      <c r="AD228" s="951"/>
      <c r="AE228" s="951"/>
      <c r="AF228" s="951"/>
      <c r="AG228" s="951"/>
      <c r="AH228" s="951"/>
      <c r="AI228" s="1296"/>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5"/>
      <c r="I229" s="1375"/>
      <c r="J229" s="1296"/>
      <c r="K229" s="951"/>
      <c r="L229" s="951"/>
      <c r="M229" s="951"/>
      <c r="N229" s="951"/>
      <c r="O229" s="951"/>
      <c r="P229" s="951"/>
      <c r="Q229" s="951"/>
      <c r="R229" s="951"/>
      <c r="S229" s="951"/>
      <c r="T229" s="951"/>
      <c r="U229" s="951"/>
      <c r="V229" s="1296"/>
      <c r="W229" s="951"/>
      <c r="X229" s="951"/>
      <c r="Y229" s="951"/>
      <c r="Z229" s="951"/>
      <c r="AA229" s="951"/>
      <c r="AB229" s="1296"/>
      <c r="AC229" s="951"/>
      <c r="AD229" s="951"/>
      <c r="AE229" s="951"/>
      <c r="AF229" s="951"/>
      <c r="AG229" s="951"/>
      <c r="AH229" s="951"/>
      <c r="AI229" s="1296"/>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5"/>
      <c r="I230" s="1375"/>
      <c r="J230" s="1296"/>
      <c r="K230" s="951"/>
      <c r="L230" s="951"/>
      <c r="M230" s="951"/>
      <c r="N230" s="951"/>
      <c r="O230" s="951"/>
      <c r="P230" s="951"/>
      <c r="Q230" s="951"/>
      <c r="R230" s="951"/>
      <c r="S230" s="951"/>
      <c r="T230" s="951"/>
      <c r="U230" s="951"/>
      <c r="V230" s="1296"/>
      <c r="W230" s="951"/>
      <c r="X230" s="951"/>
      <c r="Y230" s="951"/>
      <c r="Z230" s="951"/>
      <c r="AA230" s="951"/>
      <c r="AB230" s="1296"/>
      <c r="AC230" s="951"/>
      <c r="AD230" s="951"/>
      <c r="AE230" s="951"/>
      <c r="AF230" s="951"/>
      <c r="AG230" s="951"/>
      <c r="AH230" s="951"/>
      <c r="AI230" s="1296"/>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5"/>
      <c r="I231" s="1375"/>
      <c r="J231" s="1296"/>
      <c r="K231" s="951"/>
      <c r="L231" s="951"/>
      <c r="M231" s="951"/>
      <c r="N231" s="951"/>
      <c r="O231" s="951"/>
      <c r="P231" s="951"/>
      <c r="Q231" s="951"/>
      <c r="R231" s="951"/>
      <c r="S231" s="951"/>
      <c r="T231" s="951"/>
      <c r="U231" s="951"/>
      <c r="V231" s="1296"/>
      <c r="W231" s="951"/>
      <c r="X231" s="951"/>
      <c r="Y231" s="951"/>
      <c r="Z231" s="951"/>
      <c r="AA231" s="951"/>
      <c r="AB231" s="1296"/>
      <c r="AC231" s="951"/>
      <c r="AD231" s="951"/>
      <c r="AE231" s="951"/>
      <c r="AF231" s="951"/>
      <c r="AG231" s="951"/>
      <c r="AH231" s="951"/>
      <c r="AI231" s="1296"/>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5"/>
      <c r="I232" s="1375"/>
      <c r="J232" s="1296"/>
      <c r="K232" s="951"/>
      <c r="L232" s="951"/>
      <c r="M232" s="951"/>
      <c r="N232" s="951"/>
      <c r="O232" s="951"/>
      <c r="P232" s="951"/>
      <c r="Q232" s="951"/>
      <c r="R232" s="951"/>
      <c r="S232" s="951"/>
      <c r="T232" s="951"/>
      <c r="U232" s="951"/>
      <c r="V232" s="1296"/>
      <c r="W232" s="951"/>
      <c r="X232" s="951"/>
      <c r="Y232" s="951"/>
      <c r="Z232" s="951"/>
      <c r="AA232" s="951"/>
      <c r="AB232" s="1296"/>
      <c r="AC232" s="951"/>
      <c r="AD232" s="951"/>
      <c r="AE232" s="951"/>
      <c r="AF232" s="951"/>
      <c r="AG232" s="951"/>
      <c r="AH232" s="951"/>
      <c r="AI232" s="1296"/>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5"/>
      <c r="I233" s="1375"/>
      <c r="J233" s="1296"/>
      <c r="K233" s="951"/>
      <c r="L233" s="951"/>
      <c r="M233" s="951"/>
      <c r="N233" s="951"/>
      <c r="O233" s="951"/>
      <c r="P233" s="951"/>
      <c r="Q233" s="951"/>
      <c r="R233" s="951"/>
      <c r="S233" s="951"/>
      <c r="T233" s="951"/>
      <c r="U233" s="951"/>
      <c r="V233" s="1296"/>
      <c r="W233" s="951"/>
      <c r="X233" s="951"/>
      <c r="Y233" s="951"/>
      <c r="Z233" s="951"/>
      <c r="AA233" s="951"/>
      <c r="AB233" s="1296"/>
      <c r="AC233" s="951"/>
      <c r="AD233" s="951"/>
      <c r="AE233" s="951"/>
      <c r="AF233" s="951"/>
      <c r="AG233" s="951"/>
      <c r="AH233" s="951"/>
      <c r="AI233" s="1296"/>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5"/>
      <c r="I234" s="1375"/>
      <c r="J234" s="1296"/>
      <c r="K234" s="951"/>
      <c r="L234" s="951"/>
      <c r="M234" s="951"/>
      <c r="N234" s="951"/>
      <c r="O234" s="951"/>
      <c r="P234" s="951"/>
      <c r="Q234" s="951"/>
      <c r="R234" s="951"/>
      <c r="S234" s="951"/>
      <c r="T234" s="951"/>
      <c r="U234" s="951"/>
      <c r="V234" s="1296"/>
      <c r="W234" s="951"/>
      <c r="X234" s="951"/>
      <c r="Y234" s="951"/>
      <c r="Z234" s="951"/>
      <c r="AA234" s="951"/>
      <c r="AB234" s="1296"/>
      <c r="AC234" s="951"/>
      <c r="AD234" s="951"/>
      <c r="AE234" s="951"/>
      <c r="AF234" s="951"/>
      <c r="AG234" s="951"/>
      <c r="AH234" s="951"/>
      <c r="AI234" s="1296"/>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5"/>
      <c r="I235" s="1375"/>
      <c r="J235" s="1296"/>
      <c r="K235" s="951"/>
      <c r="L235" s="951"/>
      <c r="M235" s="951"/>
      <c r="N235" s="951"/>
      <c r="O235" s="951"/>
      <c r="P235" s="951"/>
      <c r="Q235" s="951"/>
      <c r="R235" s="951"/>
      <c r="S235" s="951"/>
      <c r="T235" s="951"/>
      <c r="U235" s="951"/>
      <c r="V235" s="1296"/>
      <c r="W235" s="951"/>
      <c r="X235" s="951"/>
      <c r="Y235" s="951"/>
      <c r="Z235" s="951"/>
      <c r="AA235" s="951"/>
      <c r="AB235" s="1296"/>
      <c r="AC235" s="951"/>
      <c r="AD235" s="951"/>
      <c r="AE235" s="951"/>
      <c r="AF235" s="951"/>
      <c r="AG235" s="951"/>
      <c r="AH235" s="951"/>
      <c r="AI235" s="1296"/>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5"/>
      <c r="I236" s="1375"/>
      <c r="J236" s="1296"/>
      <c r="K236" s="951"/>
      <c r="L236" s="951"/>
      <c r="M236" s="951"/>
      <c r="N236" s="951"/>
      <c r="O236" s="951"/>
      <c r="P236" s="951"/>
      <c r="Q236" s="951"/>
      <c r="R236" s="951"/>
      <c r="S236" s="951"/>
      <c r="T236" s="951"/>
      <c r="U236" s="951"/>
      <c r="V236" s="1296"/>
      <c r="W236" s="951"/>
      <c r="X236" s="951"/>
      <c r="Y236" s="951"/>
      <c r="Z236" s="951"/>
      <c r="AA236" s="951"/>
      <c r="AB236" s="1296"/>
      <c r="AC236" s="951"/>
      <c r="AD236" s="951"/>
      <c r="AE236" s="951"/>
      <c r="AF236" s="951"/>
      <c r="AG236" s="951"/>
      <c r="AH236" s="951"/>
      <c r="AI236" s="1296"/>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5"/>
      <c r="I237" s="1375"/>
      <c r="J237" s="1296"/>
      <c r="K237" s="951"/>
      <c r="L237" s="951"/>
      <c r="M237" s="951"/>
      <c r="N237" s="951"/>
      <c r="O237" s="951"/>
      <c r="P237" s="951"/>
      <c r="Q237" s="951"/>
      <c r="R237" s="951"/>
      <c r="S237" s="951"/>
      <c r="T237" s="951"/>
      <c r="U237" s="951"/>
      <c r="V237" s="1296"/>
      <c r="W237" s="951"/>
      <c r="X237" s="951"/>
      <c r="Y237" s="951"/>
      <c r="Z237" s="951"/>
      <c r="AA237" s="951"/>
      <c r="AB237" s="1296"/>
      <c r="AC237" s="951"/>
      <c r="AD237" s="951"/>
      <c r="AE237" s="951"/>
      <c r="AF237" s="951"/>
      <c r="AG237" s="951"/>
      <c r="AH237" s="951"/>
      <c r="AI237" s="1296"/>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5"/>
      <c r="I238" s="1375"/>
      <c r="J238" s="1296"/>
      <c r="K238" s="951"/>
      <c r="L238" s="951"/>
      <c r="M238" s="951"/>
      <c r="N238" s="951"/>
      <c r="O238" s="951"/>
      <c r="P238" s="951"/>
      <c r="Q238" s="951"/>
      <c r="R238" s="951"/>
      <c r="S238" s="951"/>
      <c r="T238" s="951"/>
      <c r="U238" s="951"/>
      <c r="V238" s="1296"/>
      <c r="W238" s="951"/>
      <c r="X238" s="951"/>
      <c r="Y238" s="951"/>
      <c r="Z238" s="951"/>
      <c r="AA238" s="951"/>
      <c r="AB238" s="1296"/>
      <c r="AC238" s="951"/>
      <c r="AD238" s="951"/>
      <c r="AE238" s="951"/>
      <c r="AF238" s="951"/>
      <c r="AG238" s="951"/>
      <c r="AH238" s="951"/>
      <c r="AI238" s="1296"/>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5"/>
      <c r="I239" s="1375"/>
      <c r="J239" s="1296"/>
      <c r="K239" s="951"/>
      <c r="L239" s="951"/>
      <c r="M239" s="951"/>
      <c r="N239" s="951"/>
      <c r="O239" s="951"/>
      <c r="P239" s="951"/>
      <c r="Q239" s="951"/>
      <c r="R239" s="951"/>
      <c r="S239" s="951"/>
      <c r="T239" s="951"/>
      <c r="U239" s="951"/>
      <c r="V239" s="1296"/>
      <c r="W239" s="951"/>
      <c r="X239" s="951"/>
      <c r="Y239" s="951"/>
      <c r="Z239" s="951"/>
      <c r="AA239" s="951"/>
      <c r="AB239" s="1296"/>
      <c r="AC239" s="951"/>
      <c r="AD239" s="951"/>
      <c r="AE239" s="951"/>
      <c r="AF239" s="951"/>
      <c r="AG239" s="951"/>
      <c r="AH239" s="951"/>
      <c r="AI239" s="1296"/>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5"/>
      <c r="I240" s="1375"/>
      <c r="J240" s="1296"/>
      <c r="K240" s="951"/>
      <c r="L240" s="951"/>
      <c r="M240" s="951"/>
      <c r="N240" s="951"/>
      <c r="O240" s="951"/>
      <c r="P240" s="951"/>
      <c r="Q240" s="951"/>
      <c r="R240" s="951"/>
      <c r="S240" s="951"/>
      <c r="T240" s="951"/>
      <c r="U240" s="951"/>
      <c r="V240" s="1296"/>
      <c r="W240" s="951"/>
      <c r="X240" s="951"/>
      <c r="Y240" s="951"/>
      <c r="Z240" s="951"/>
      <c r="AA240" s="951"/>
      <c r="AB240" s="1296"/>
      <c r="AC240" s="951"/>
      <c r="AD240" s="951"/>
      <c r="AE240" s="951"/>
      <c r="AF240" s="951"/>
      <c r="AG240" s="951"/>
      <c r="AH240" s="951"/>
      <c r="AI240" s="1296"/>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5"/>
      <c r="I241" s="1375"/>
      <c r="J241" s="1296"/>
      <c r="K241" s="951"/>
      <c r="L241" s="951"/>
      <c r="M241" s="951"/>
      <c r="N241" s="951"/>
      <c r="O241" s="951"/>
      <c r="P241" s="951"/>
      <c r="Q241" s="951"/>
      <c r="R241" s="951"/>
      <c r="S241" s="951"/>
      <c r="T241" s="951"/>
      <c r="U241" s="951"/>
      <c r="V241" s="1296"/>
      <c r="W241" s="951"/>
      <c r="X241" s="951"/>
      <c r="Y241" s="951"/>
      <c r="Z241" s="951"/>
      <c r="AA241" s="951"/>
      <c r="AB241" s="1296"/>
      <c r="AC241" s="951"/>
      <c r="AD241" s="951"/>
      <c r="AE241" s="951"/>
      <c r="AF241" s="951"/>
      <c r="AG241" s="951"/>
      <c r="AH241" s="951"/>
      <c r="AI241" s="1296"/>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5"/>
      <c r="I242" s="1375"/>
      <c r="J242" s="1296"/>
      <c r="K242" s="951"/>
      <c r="L242" s="951"/>
      <c r="M242" s="951"/>
      <c r="N242" s="951"/>
      <c r="O242" s="951"/>
      <c r="P242" s="951"/>
      <c r="Q242" s="951"/>
      <c r="R242" s="951"/>
      <c r="S242" s="951"/>
      <c r="T242" s="951"/>
      <c r="U242" s="951"/>
      <c r="V242" s="1296"/>
      <c r="W242" s="951"/>
      <c r="X242" s="951"/>
      <c r="Y242" s="951"/>
      <c r="Z242" s="951"/>
      <c r="AA242" s="951"/>
      <c r="AB242" s="1296"/>
      <c r="AC242" s="951"/>
      <c r="AD242" s="951"/>
      <c r="AE242" s="951"/>
      <c r="AF242" s="951"/>
      <c r="AG242" s="951"/>
      <c r="AH242" s="951"/>
      <c r="AI242" s="1296"/>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5"/>
      <c r="I243" s="1375"/>
      <c r="J243" s="1296"/>
      <c r="K243" s="951"/>
      <c r="L243" s="951"/>
      <c r="M243" s="951"/>
      <c r="N243" s="951"/>
      <c r="O243" s="951"/>
      <c r="P243" s="951"/>
      <c r="Q243" s="951"/>
      <c r="R243" s="951"/>
      <c r="S243" s="951"/>
      <c r="T243" s="951"/>
      <c r="U243" s="951"/>
      <c r="V243" s="1296"/>
      <c r="W243" s="951"/>
      <c r="X243" s="951"/>
      <c r="Y243" s="951"/>
      <c r="Z243" s="951"/>
      <c r="AA243" s="951"/>
      <c r="AB243" s="1296"/>
      <c r="AC243" s="951"/>
      <c r="AD243" s="951"/>
      <c r="AE243" s="951"/>
      <c r="AF243" s="951"/>
      <c r="AG243" s="951"/>
      <c r="AH243" s="951"/>
      <c r="AI243" s="1296"/>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5"/>
      <c r="I244" s="1375"/>
      <c r="J244" s="1296"/>
      <c r="K244" s="951"/>
      <c r="L244" s="951"/>
      <c r="M244" s="951"/>
      <c r="N244" s="951"/>
      <c r="O244" s="951"/>
      <c r="P244" s="951"/>
      <c r="Q244" s="951"/>
      <c r="R244" s="951"/>
      <c r="S244" s="951"/>
      <c r="T244" s="951"/>
      <c r="U244" s="951"/>
      <c r="V244" s="1296"/>
      <c r="W244" s="951"/>
      <c r="X244" s="951"/>
      <c r="Y244" s="951"/>
      <c r="Z244" s="951"/>
      <c r="AA244" s="951"/>
      <c r="AB244" s="1296"/>
      <c r="AC244" s="951"/>
      <c r="AD244" s="951"/>
      <c r="AE244" s="951"/>
      <c r="AF244" s="951"/>
      <c r="AG244" s="951"/>
      <c r="AH244" s="951"/>
      <c r="AI244" s="1296"/>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5"/>
      <c r="I245" s="1375"/>
      <c r="J245" s="1296"/>
      <c r="K245" s="951"/>
      <c r="L245" s="951"/>
      <c r="M245" s="951"/>
      <c r="N245" s="951"/>
      <c r="O245" s="951"/>
      <c r="P245" s="951"/>
      <c r="Q245" s="951"/>
      <c r="R245" s="951"/>
      <c r="S245" s="951"/>
      <c r="T245" s="951"/>
      <c r="U245" s="951"/>
      <c r="V245" s="1296"/>
      <c r="W245" s="951"/>
      <c r="X245" s="951"/>
      <c r="Y245" s="951"/>
      <c r="Z245" s="951"/>
      <c r="AA245" s="951"/>
      <c r="AB245" s="1296"/>
      <c r="AC245" s="951"/>
      <c r="AD245" s="951"/>
      <c r="AE245" s="951"/>
      <c r="AF245" s="951"/>
      <c r="AG245" s="951"/>
      <c r="AH245" s="951"/>
      <c r="AI245" s="1296"/>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5"/>
      <c r="I246" s="1375"/>
      <c r="J246" s="1296"/>
      <c r="K246" s="951"/>
      <c r="L246" s="951"/>
      <c r="M246" s="951"/>
      <c r="N246" s="951"/>
      <c r="O246" s="951"/>
      <c r="P246" s="951"/>
      <c r="Q246" s="951"/>
      <c r="R246" s="951"/>
      <c r="S246" s="951"/>
      <c r="T246" s="951"/>
      <c r="U246" s="951"/>
      <c r="V246" s="1296"/>
      <c r="W246" s="951"/>
      <c r="X246" s="951"/>
      <c r="Y246" s="951"/>
      <c r="Z246" s="951"/>
      <c r="AA246" s="951"/>
      <c r="AB246" s="1296"/>
      <c r="AC246" s="951"/>
      <c r="AD246" s="951"/>
      <c r="AE246" s="951"/>
      <c r="AF246" s="951"/>
      <c r="AG246" s="951"/>
      <c r="AH246" s="951"/>
      <c r="AI246" s="1296"/>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5"/>
      <c r="I247" s="1375"/>
      <c r="J247" s="1296"/>
      <c r="K247" s="951"/>
      <c r="L247" s="951"/>
      <c r="M247" s="951"/>
      <c r="N247" s="951"/>
      <c r="O247" s="951"/>
      <c r="P247" s="951"/>
      <c r="Q247" s="951"/>
      <c r="R247" s="951"/>
      <c r="S247" s="951"/>
      <c r="T247" s="951"/>
      <c r="U247" s="951"/>
      <c r="V247" s="1296"/>
      <c r="W247" s="951"/>
      <c r="X247" s="951"/>
      <c r="Y247" s="951"/>
      <c r="Z247" s="951"/>
      <c r="AA247" s="951"/>
      <c r="AB247" s="1296"/>
      <c r="AC247" s="951"/>
      <c r="AD247" s="951"/>
      <c r="AE247" s="951"/>
      <c r="AF247" s="951"/>
      <c r="AG247" s="951"/>
      <c r="AH247" s="951"/>
      <c r="AI247" s="1296"/>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5"/>
      <c r="I248" s="1375"/>
      <c r="J248" s="1296"/>
      <c r="K248" s="951"/>
      <c r="L248" s="951"/>
      <c r="M248" s="951"/>
      <c r="N248" s="951"/>
      <c r="O248" s="951"/>
      <c r="P248" s="951"/>
      <c r="Q248" s="951"/>
      <c r="R248" s="951"/>
      <c r="S248" s="951"/>
      <c r="T248" s="951"/>
      <c r="U248" s="951"/>
      <c r="V248" s="1296"/>
      <c r="W248" s="951"/>
      <c r="X248" s="951"/>
      <c r="Y248" s="951"/>
      <c r="Z248" s="951"/>
      <c r="AA248" s="951"/>
      <c r="AB248" s="1296"/>
      <c r="AC248" s="951"/>
      <c r="AD248" s="951"/>
      <c r="AE248" s="951"/>
      <c r="AF248" s="951"/>
      <c r="AG248" s="951"/>
      <c r="AH248" s="951"/>
      <c r="AI248" s="1296"/>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5"/>
      <c r="I249" s="1375"/>
      <c r="J249" s="1296"/>
      <c r="K249" s="951"/>
      <c r="L249" s="951"/>
      <c r="M249" s="951"/>
      <c r="N249" s="951"/>
      <c r="O249" s="951"/>
      <c r="P249" s="951"/>
      <c r="Q249" s="951"/>
      <c r="R249" s="951"/>
      <c r="S249" s="951"/>
      <c r="T249" s="951"/>
      <c r="U249" s="951"/>
      <c r="V249" s="1296"/>
      <c r="W249" s="951"/>
      <c r="X249" s="951"/>
      <c r="Y249" s="951"/>
      <c r="Z249" s="951"/>
      <c r="AA249" s="951"/>
      <c r="AB249" s="1296"/>
      <c r="AC249" s="951"/>
      <c r="AD249" s="951"/>
      <c r="AE249" s="951"/>
      <c r="AF249" s="951"/>
      <c r="AG249" s="951"/>
      <c r="AH249" s="951"/>
      <c r="AI249" s="1296"/>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5"/>
      <c r="I250" s="1375"/>
      <c r="J250" s="1296"/>
      <c r="K250" s="951"/>
      <c r="L250" s="951"/>
      <c r="M250" s="951"/>
      <c r="N250" s="951"/>
      <c r="O250" s="951"/>
      <c r="P250" s="951"/>
      <c r="Q250" s="951"/>
      <c r="R250" s="951"/>
      <c r="S250" s="951"/>
      <c r="T250" s="951"/>
      <c r="U250" s="951"/>
      <c r="V250" s="1296"/>
      <c r="W250" s="951"/>
      <c r="X250" s="951"/>
      <c r="Y250" s="951"/>
      <c r="Z250" s="951"/>
      <c r="AA250" s="951"/>
      <c r="AB250" s="1296"/>
      <c r="AC250" s="951"/>
      <c r="AD250" s="951"/>
      <c r="AE250" s="951"/>
      <c r="AF250" s="951"/>
      <c r="AG250" s="951"/>
      <c r="AH250" s="951"/>
      <c r="AI250" s="1296"/>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5"/>
      <c r="I251" s="1375"/>
      <c r="J251" s="1296"/>
      <c r="K251" s="951"/>
      <c r="L251" s="951"/>
      <c r="M251" s="951"/>
      <c r="N251" s="951"/>
      <c r="O251" s="951"/>
      <c r="P251" s="951"/>
      <c r="Q251" s="951"/>
      <c r="R251" s="951"/>
      <c r="S251" s="951"/>
      <c r="T251" s="951"/>
      <c r="U251" s="951"/>
      <c r="V251" s="1296"/>
      <c r="W251" s="951"/>
      <c r="X251" s="951"/>
      <c r="Y251" s="951"/>
      <c r="Z251" s="951"/>
      <c r="AA251" s="951"/>
      <c r="AB251" s="1296"/>
      <c r="AC251" s="951"/>
      <c r="AD251" s="951"/>
      <c r="AE251" s="951"/>
      <c r="AF251" s="951"/>
      <c r="AG251" s="951"/>
      <c r="AH251" s="951"/>
      <c r="AI251" s="1296"/>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5"/>
      <c r="I252" s="1375"/>
      <c r="J252" s="1296"/>
      <c r="K252" s="951"/>
      <c r="L252" s="951"/>
      <c r="M252" s="951"/>
      <c r="N252" s="951"/>
      <c r="O252" s="951"/>
      <c r="P252" s="951"/>
      <c r="Q252" s="951"/>
      <c r="R252" s="951"/>
      <c r="S252" s="951"/>
      <c r="T252" s="951"/>
      <c r="U252" s="951"/>
      <c r="V252" s="1296"/>
      <c r="W252" s="951"/>
      <c r="X252" s="951"/>
      <c r="Y252" s="951"/>
      <c r="Z252" s="951"/>
      <c r="AA252" s="951"/>
      <c r="AB252" s="1296"/>
      <c r="AC252" s="951"/>
      <c r="AD252" s="951"/>
      <c r="AE252" s="951"/>
      <c r="AF252" s="951"/>
      <c r="AG252" s="951"/>
      <c r="AH252" s="951"/>
      <c r="AI252" s="1296"/>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5"/>
      <c r="I253" s="1375"/>
      <c r="J253" s="1296"/>
      <c r="K253" s="951"/>
      <c r="L253" s="951"/>
      <c r="M253" s="951"/>
      <c r="N253" s="951"/>
      <c r="O253" s="951"/>
      <c r="P253" s="951"/>
      <c r="Q253" s="951"/>
      <c r="R253" s="951"/>
      <c r="S253" s="951"/>
      <c r="T253" s="951"/>
      <c r="U253" s="951"/>
      <c r="V253" s="1296"/>
      <c r="W253" s="951"/>
      <c r="X253" s="951"/>
      <c r="Y253" s="951"/>
      <c r="Z253" s="951"/>
      <c r="AA253" s="951"/>
      <c r="AB253" s="1296"/>
      <c r="AC253" s="951"/>
      <c r="AD253" s="951"/>
      <c r="AE253" s="951"/>
      <c r="AF253" s="951"/>
      <c r="AG253" s="951"/>
      <c r="AH253" s="951"/>
      <c r="AI253" s="1296"/>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5"/>
      <c r="I254" s="1375"/>
      <c r="J254" s="1296"/>
      <c r="K254" s="951"/>
      <c r="L254" s="951"/>
      <c r="M254" s="951"/>
      <c r="N254" s="951"/>
      <c r="O254" s="951"/>
      <c r="P254" s="951"/>
      <c r="Q254" s="951"/>
      <c r="R254" s="951"/>
      <c r="S254" s="951"/>
      <c r="T254" s="951"/>
      <c r="U254" s="951"/>
      <c r="V254" s="1296"/>
      <c r="W254" s="951"/>
      <c r="X254" s="951"/>
      <c r="Y254" s="951"/>
      <c r="Z254" s="951"/>
      <c r="AA254" s="951"/>
      <c r="AB254" s="1296"/>
      <c r="AC254" s="951"/>
      <c r="AD254" s="951"/>
      <c r="AE254" s="951"/>
      <c r="AF254" s="951"/>
      <c r="AG254" s="951"/>
      <c r="AH254" s="951"/>
      <c r="AI254" s="1296"/>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5"/>
      <c r="I255" s="1375"/>
      <c r="J255" s="1296"/>
      <c r="K255" s="951"/>
      <c r="L255" s="951"/>
      <c r="M255" s="951"/>
      <c r="N255" s="951"/>
      <c r="O255" s="951"/>
      <c r="P255" s="951"/>
      <c r="Q255" s="951"/>
      <c r="R255" s="951"/>
      <c r="S255" s="951"/>
      <c r="T255" s="951"/>
      <c r="U255" s="951"/>
      <c r="V255" s="1296"/>
      <c r="W255" s="951"/>
      <c r="X255" s="951"/>
      <c r="Y255" s="951"/>
      <c r="Z255" s="951"/>
      <c r="AA255" s="951"/>
      <c r="AB255" s="1296"/>
      <c r="AC255" s="951"/>
      <c r="AD255" s="951"/>
      <c r="AE255" s="951"/>
      <c r="AF255" s="951"/>
      <c r="AG255" s="951"/>
      <c r="AH255" s="951"/>
      <c r="AI255" s="1296"/>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5"/>
      <c r="I256" s="1375"/>
      <c r="J256" s="1296"/>
      <c r="K256" s="951"/>
      <c r="L256" s="951"/>
      <c r="M256" s="951"/>
      <c r="N256" s="951"/>
      <c r="O256" s="951"/>
      <c r="P256" s="951"/>
      <c r="Q256" s="951"/>
      <c r="R256" s="951"/>
      <c r="S256" s="951"/>
      <c r="T256" s="951"/>
      <c r="U256" s="951"/>
      <c r="V256" s="1296"/>
      <c r="W256" s="951"/>
      <c r="X256" s="951"/>
      <c r="Y256" s="951"/>
      <c r="Z256" s="951"/>
      <c r="AA256" s="951"/>
      <c r="AB256" s="1296"/>
      <c r="AC256" s="951"/>
      <c r="AD256" s="951"/>
      <c r="AE256" s="951"/>
      <c r="AF256" s="951"/>
      <c r="AG256" s="951"/>
      <c r="AH256" s="951"/>
      <c r="AI256" s="1296"/>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5"/>
      <c r="I257" s="1375"/>
      <c r="J257" s="1296"/>
      <c r="K257" s="951"/>
      <c r="L257" s="951"/>
      <c r="M257" s="951"/>
      <c r="N257" s="951"/>
      <c r="O257" s="951"/>
      <c r="P257" s="951"/>
      <c r="Q257" s="951"/>
      <c r="R257" s="951"/>
      <c r="S257" s="951"/>
      <c r="T257" s="951"/>
      <c r="U257" s="951"/>
      <c r="V257" s="1296"/>
      <c r="W257" s="951"/>
      <c r="X257" s="951"/>
      <c r="Y257" s="951"/>
      <c r="Z257" s="951"/>
      <c r="AA257" s="951"/>
      <c r="AB257" s="1296"/>
      <c r="AC257" s="951"/>
      <c r="AD257" s="951"/>
      <c r="AE257" s="951"/>
      <c r="AF257" s="951"/>
      <c r="AG257" s="951"/>
      <c r="AH257" s="951"/>
      <c r="AI257" s="1296"/>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5"/>
      <c r="I258" s="1375"/>
      <c r="J258" s="1296"/>
      <c r="K258" s="951"/>
      <c r="L258" s="951"/>
      <c r="M258" s="951"/>
      <c r="N258" s="951"/>
      <c r="O258" s="951"/>
      <c r="P258" s="951"/>
      <c r="Q258" s="951"/>
      <c r="R258" s="951"/>
      <c r="S258" s="951"/>
      <c r="T258" s="951"/>
      <c r="U258" s="951"/>
      <c r="V258" s="1296"/>
      <c r="W258" s="951"/>
      <c r="X258" s="951"/>
      <c r="Y258" s="951"/>
      <c r="Z258" s="951"/>
      <c r="AA258" s="951"/>
      <c r="AB258" s="1296"/>
      <c r="AC258" s="951"/>
      <c r="AD258" s="951"/>
      <c r="AE258" s="951"/>
      <c r="AF258" s="951"/>
      <c r="AG258" s="951"/>
      <c r="AH258" s="951"/>
      <c r="AI258" s="1296"/>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5"/>
      <c r="I259" s="1375"/>
      <c r="J259" s="1296"/>
      <c r="K259" s="951"/>
      <c r="L259" s="951"/>
      <c r="M259" s="951"/>
      <c r="N259" s="951"/>
      <c r="O259" s="951"/>
      <c r="P259" s="951"/>
      <c r="Q259" s="951"/>
      <c r="R259" s="951"/>
      <c r="S259" s="951"/>
      <c r="T259" s="951"/>
      <c r="U259" s="951"/>
      <c r="V259" s="1296"/>
      <c r="W259" s="951"/>
      <c r="X259" s="951"/>
      <c r="Y259" s="951"/>
      <c r="Z259" s="951"/>
      <c r="AA259" s="951"/>
      <c r="AB259" s="1296"/>
      <c r="AC259" s="951"/>
      <c r="AD259" s="951"/>
      <c r="AE259" s="951"/>
      <c r="AF259" s="951"/>
      <c r="AG259" s="951"/>
      <c r="AH259" s="951"/>
      <c r="AI259" s="1296"/>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5"/>
      <c r="I260" s="1375"/>
      <c r="J260" s="1296"/>
      <c r="K260" s="951"/>
      <c r="L260" s="951"/>
      <c r="M260" s="951"/>
      <c r="N260" s="951"/>
      <c r="O260" s="951"/>
      <c r="P260" s="951"/>
      <c r="Q260" s="951"/>
      <c r="R260" s="951"/>
      <c r="S260" s="951"/>
      <c r="T260" s="951"/>
      <c r="U260" s="951"/>
      <c r="V260" s="1296"/>
      <c r="W260" s="951"/>
      <c r="X260" s="951"/>
      <c r="Y260" s="951"/>
      <c r="Z260" s="951"/>
      <c r="AA260" s="951"/>
      <c r="AB260" s="1296"/>
      <c r="AC260" s="951"/>
      <c r="AD260" s="951"/>
      <c r="AE260" s="951"/>
      <c r="AF260" s="951"/>
      <c r="AG260" s="951"/>
      <c r="AH260" s="951"/>
      <c r="AI260" s="1296"/>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5"/>
      <c r="I261" s="1375"/>
      <c r="J261" s="1296"/>
      <c r="K261" s="951"/>
      <c r="L261" s="951"/>
      <c r="M261" s="951"/>
      <c r="N261" s="951"/>
      <c r="O261" s="951"/>
      <c r="P261" s="951"/>
      <c r="Q261" s="951"/>
      <c r="R261" s="951"/>
      <c r="S261" s="951"/>
      <c r="T261" s="951"/>
      <c r="U261" s="951"/>
      <c r="V261" s="1296"/>
      <c r="W261" s="951"/>
      <c r="X261" s="951"/>
      <c r="Y261" s="951"/>
      <c r="Z261" s="951"/>
      <c r="AA261" s="951"/>
      <c r="AB261" s="1296"/>
      <c r="AC261" s="951"/>
      <c r="AD261" s="951"/>
      <c r="AE261" s="951"/>
      <c r="AF261" s="951"/>
      <c r="AG261" s="951"/>
      <c r="AH261" s="951"/>
      <c r="AI261" s="1296"/>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5"/>
      <c r="I262" s="1375"/>
      <c r="J262" s="1296"/>
      <c r="K262" s="951"/>
      <c r="L262" s="951"/>
      <c r="M262" s="951"/>
      <c r="N262" s="951"/>
      <c r="O262" s="951"/>
      <c r="P262" s="951"/>
      <c r="Q262" s="951"/>
      <c r="R262" s="951"/>
      <c r="S262" s="951"/>
      <c r="T262" s="951"/>
      <c r="U262" s="951"/>
      <c r="V262" s="1296"/>
      <c r="W262" s="951"/>
      <c r="X262" s="951"/>
      <c r="Y262" s="951"/>
      <c r="Z262" s="951"/>
      <c r="AA262" s="951"/>
      <c r="AB262" s="1296"/>
      <c r="AC262" s="951"/>
      <c r="AD262" s="951"/>
      <c r="AE262" s="951"/>
      <c r="AF262" s="951"/>
      <c r="AG262" s="951"/>
      <c r="AH262" s="951"/>
      <c r="AI262" s="1296"/>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5"/>
      <c r="I263" s="1375"/>
      <c r="J263" s="1296"/>
      <c r="K263" s="951"/>
      <c r="L263" s="951"/>
      <c r="M263" s="951"/>
      <c r="N263" s="951"/>
      <c r="O263" s="951"/>
      <c r="P263" s="951"/>
      <c r="Q263" s="951"/>
      <c r="R263" s="951"/>
      <c r="S263" s="951"/>
      <c r="T263" s="951"/>
      <c r="U263" s="951"/>
      <c r="V263" s="1296"/>
      <c r="W263" s="951"/>
      <c r="X263" s="951"/>
      <c r="Y263" s="951"/>
      <c r="Z263" s="951"/>
      <c r="AA263" s="951"/>
      <c r="AB263" s="1296"/>
      <c r="AC263" s="951"/>
      <c r="AD263" s="951"/>
      <c r="AE263" s="951"/>
      <c r="AF263" s="951"/>
      <c r="AG263" s="951"/>
      <c r="AH263" s="951"/>
      <c r="AI263" s="1296"/>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5"/>
      <c r="I264" s="1375"/>
      <c r="J264" s="1296"/>
      <c r="K264" s="951"/>
      <c r="L264" s="951"/>
      <c r="M264" s="951"/>
      <c r="N264" s="951"/>
      <c r="O264" s="951"/>
      <c r="P264" s="951"/>
      <c r="Q264" s="951"/>
      <c r="R264" s="951"/>
      <c r="S264" s="951"/>
      <c r="T264" s="951"/>
      <c r="U264" s="951"/>
      <c r="V264" s="1296"/>
      <c r="W264" s="951"/>
      <c r="X264" s="951"/>
      <c r="Y264" s="951"/>
      <c r="Z264" s="951"/>
      <c r="AA264" s="951"/>
      <c r="AB264" s="1296"/>
      <c r="AC264" s="951"/>
      <c r="AD264" s="951"/>
      <c r="AE264" s="951"/>
      <c r="AF264" s="951"/>
      <c r="AG264" s="951"/>
      <c r="AH264" s="951"/>
      <c r="AI264" s="1296"/>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5"/>
      <c r="I265" s="1375"/>
      <c r="J265" s="1296"/>
      <c r="K265" s="951"/>
      <c r="L265" s="951"/>
      <c r="M265" s="951"/>
      <c r="N265" s="951"/>
      <c r="O265" s="951"/>
      <c r="P265" s="951"/>
      <c r="Q265" s="951"/>
      <c r="R265" s="951"/>
      <c r="S265" s="951"/>
      <c r="T265" s="951"/>
      <c r="U265" s="951"/>
      <c r="V265" s="1296"/>
      <c r="W265" s="951"/>
      <c r="X265" s="951"/>
      <c r="Y265" s="951"/>
      <c r="Z265" s="951"/>
      <c r="AA265" s="951"/>
      <c r="AB265" s="1296"/>
      <c r="AC265" s="951"/>
      <c r="AD265" s="951"/>
      <c r="AE265" s="951"/>
      <c r="AF265" s="951"/>
      <c r="AG265" s="951"/>
      <c r="AH265" s="951"/>
      <c r="AI265" s="1296"/>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5"/>
      <c r="I266" s="1375"/>
      <c r="J266" s="1296"/>
      <c r="K266" s="951"/>
      <c r="L266" s="951"/>
      <c r="M266" s="951"/>
      <c r="N266" s="951"/>
      <c r="O266" s="951"/>
      <c r="P266" s="951"/>
      <c r="Q266" s="951"/>
      <c r="R266" s="951"/>
      <c r="S266" s="951"/>
      <c r="T266" s="951"/>
      <c r="U266" s="951"/>
      <c r="V266" s="1296"/>
      <c r="W266" s="951"/>
      <c r="X266" s="951"/>
      <c r="Y266" s="951"/>
      <c r="Z266" s="951"/>
      <c r="AA266" s="951"/>
      <c r="AB266" s="1296"/>
      <c r="AC266" s="951"/>
      <c r="AD266" s="951"/>
      <c r="AE266" s="951"/>
      <c r="AF266" s="951"/>
      <c r="AG266" s="951"/>
      <c r="AH266" s="951"/>
      <c r="AI266" s="1296"/>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5"/>
      <c r="I267" s="1375"/>
      <c r="J267" s="1296"/>
      <c r="K267" s="951"/>
      <c r="L267" s="951"/>
      <c r="M267" s="951"/>
      <c r="N267" s="951"/>
      <c r="O267" s="951"/>
      <c r="P267" s="951"/>
      <c r="Q267" s="951"/>
      <c r="R267" s="951"/>
      <c r="S267" s="951"/>
      <c r="T267" s="951"/>
      <c r="U267" s="951"/>
      <c r="V267" s="1296"/>
      <c r="W267" s="951"/>
      <c r="X267" s="951"/>
      <c r="Y267" s="951"/>
      <c r="Z267" s="951"/>
      <c r="AA267" s="951"/>
      <c r="AB267" s="1296"/>
      <c r="AC267" s="951"/>
      <c r="AD267" s="951"/>
      <c r="AE267" s="951"/>
      <c r="AF267" s="951"/>
      <c r="AG267" s="951"/>
      <c r="AH267" s="951"/>
      <c r="AI267" s="1296"/>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5"/>
      <c r="I268" s="1375"/>
      <c r="J268" s="1296"/>
      <c r="K268" s="951"/>
      <c r="L268" s="951"/>
      <c r="M268" s="951"/>
      <c r="N268" s="951"/>
      <c r="O268" s="951"/>
      <c r="P268" s="951"/>
      <c r="Q268" s="951"/>
      <c r="R268" s="951"/>
      <c r="S268" s="951"/>
      <c r="T268" s="951"/>
      <c r="U268" s="951"/>
      <c r="V268" s="1296"/>
      <c r="W268" s="951"/>
      <c r="X268" s="951"/>
      <c r="Y268" s="951"/>
      <c r="Z268" s="951"/>
      <c r="AA268" s="951"/>
      <c r="AB268" s="1296"/>
      <c r="AC268" s="951"/>
      <c r="AD268" s="951"/>
      <c r="AE268" s="951"/>
      <c r="AF268" s="951"/>
      <c r="AG268" s="951"/>
      <c r="AH268" s="951"/>
      <c r="AI268" s="1296"/>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5"/>
      <c r="I269" s="1375"/>
      <c r="J269" s="1296"/>
      <c r="K269" s="951"/>
      <c r="L269" s="951"/>
      <c r="M269" s="951"/>
      <c r="N269" s="951"/>
      <c r="O269" s="951"/>
      <c r="P269" s="951"/>
      <c r="Q269" s="951"/>
      <c r="R269" s="951"/>
      <c r="S269" s="951"/>
      <c r="T269" s="951"/>
      <c r="U269" s="951"/>
      <c r="V269" s="1296"/>
      <c r="W269" s="951"/>
      <c r="X269" s="951"/>
      <c r="Y269" s="951"/>
      <c r="Z269" s="951"/>
      <c r="AA269" s="951"/>
      <c r="AB269" s="1296"/>
      <c r="AC269" s="951"/>
      <c r="AD269" s="951"/>
      <c r="AE269" s="951"/>
      <c r="AF269" s="951"/>
      <c r="AG269" s="951"/>
      <c r="AH269" s="951"/>
      <c r="AI269" s="1296"/>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5"/>
      <c r="I270" s="1375"/>
      <c r="J270" s="1296"/>
      <c r="K270" s="951"/>
      <c r="L270" s="951"/>
      <c r="M270" s="951"/>
      <c r="N270" s="951"/>
      <c r="O270" s="951"/>
      <c r="P270" s="951"/>
      <c r="Q270" s="951"/>
      <c r="R270" s="951"/>
      <c r="S270" s="951"/>
      <c r="T270" s="951"/>
      <c r="U270" s="951"/>
      <c r="V270" s="1296"/>
      <c r="W270" s="951"/>
      <c r="X270" s="951"/>
      <c r="Y270" s="951"/>
      <c r="Z270" s="951"/>
      <c r="AA270" s="951"/>
      <c r="AB270" s="1296"/>
      <c r="AC270" s="951"/>
      <c r="AD270" s="951"/>
      <c r="AE270" s="951"/>
      <c r="AF270" s="951"/>
      <c r="AG270" s="951"/>
      <c r="AH270" s="951"/>
      <c r="AI270" s="1296"/>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5"/>
      <c r="I271" s="1375"/>
      <c r="J271" s="1296"/>
      <c r="K271" s="951"/>
      <c r="L271" s="951"/>
      <c r="M271" s="951"/>
      <c r="N271" s="951"/>
      <c r="O271" s="951"/>
      <c r="P271" s="951"/>
      <c r="Q271" s="951"/>
      <c r="R271" s="951"/>
      <c r="S271" s="951"/>
      <c r="T271" s="951"/>
      <c r="U271" s="951"/>
      <c r="V271" s="1296"/>
      <c r="W271" s="951"/>
      <c r="X271" s="951"/>
      <c r="Y271" s="951"/>
      <c r="Z271" s="951"/>
      <c r="AA271" s="951"/>
      <c r="AB271" s="1296"/>
      <c r="AC271" s="951"/>
      <c r="AD271" s="951"/>
      <c r="AE271" s="951"/>
      <c r="AF271" s="951"/>
      <c r="AG271" s="951"/>
      <c r="AH271" s="951"/>
      <c r="AI271" s="1296"/>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5"/>
      <c r="I272" s="1375"/>
      <c r="J272" s="1296"/>
      <c r="K272" s="951"/>
      <c r="L272" s="951"/>
      <c r="M272" s="951"/>
      <c r="N272" s="951"/>
      <c r="O272" s="951"/>
      <c r="P272" s="951"/>
      <c r="Q272" s="951"/>
      <c r="R272" s="951"/>
      <c r="S272" s="951"/>
      <c r="T272" s="951"/>
      <c r="U272" s="951"/>
      <c r="V272" s="1296"/>
      <c r="W272" s="951"/>
      <c r="X272" s="951"/>
      <c r="Y272" s="951"/>
      <c r="Z272" s="951"/>
      <c r="AA272" s="951"/>
      <c r="AB272" s="1296"/>
      <c r="AC272" s="951"/>
      <c r="AD272" s="951"/>
      <c r="AE272" s="951"/>
      <c r="AF272" s="951"/>
      <c r="AG272" s="951"/>
      <c r="AH272" s="951"/>
      <c r="AI272" s="1296"/>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5"/>
      <c r="I273" s="1375"/>
      <c r="J273" s="1296"/>
      <c r="K273" s="951"/>
      <c r="L273" s="951"/>
      <c r="M273" s="951"/>
      <c r="N273" s="951"/>
      <c r="O273" s="951"/>
      <c r="P273" s="951"/>
      <c r="Q273" s="951"/>
      <c r="R273" s="951"/>
      <c r="S273" s="951"/>
      <c r="T273" s="951"/>
      <c r="U273" s="951"/>
      <c r="V273" s="1296"/>
      <c r="W273" s="951"/>
      <c r="X273" s="951"/>
      <c r="Y273" s="951"/>
      <c r="Z273" s="951"/>
      <c r="AA273" s="951"/>
      <c r="AB273" s="1296"/>
      <c r="AC273" s="951"/>
      <c r="AD273" s="951"/>
      <c r="AE273" s="951"/>
      <c r="AF273" s="951"/>
      <c r="AG273" s="951"/>
      <c r="AH273" s="951"/>
      <c r="AI273" s="1296"/>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5"/>
      <c r="I274" s="1375"/>
      <c r="J274" s="1296"/>
      <c r="K274" s="951"/>
      <c r="L274" s="951"/>
      <c r="M274" s="951"/>
      <c r="N274" s="951"/>
      <c r="O274" s="951"/>
      <c r="P274" s="951"/>
      <c r="Q274" s="951"/>
      <c r="R274" s="951"/>
      <c r="S274" s="951"/>
      <c r="T274" s="951"/>
      <c r="U274" s="951"/>
      <c r="V274" s="1296"/>
      <c r="W274" s="951"/>
      <c r="X274" s="951"/>
      <c r="Y274" s="951"/>
      <c r="Z274" s="951"/>
      <c r="AA274" s="951"/>
      <c r="AB274" s="1296"/>
      <c r="AC274" s="951"/>
      <c r="AD274" s="951"/>
      <c r="AE274" s="951"/>
      <c r="AF274" s="951"/>
      <c r="AG274" s="951"/>
      <c r="AH274" s="951"/>
      <c r="AI274" s="1296"/>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5"/>
      <c r="I275" s="1375"/>
      <c r="J275" s="1296"/>
      <c r="K275" s="951"/>
      <c r="L275" s="951"/>
      <c r="M275" s="951"/>
      <c r="N275" s="951"/>
      <c r="O275" s="951"/>
      <c r="P275" s="951"/>
      <c r="Q275" s="951"/>
      <c r="R275" s="951"/>
      <c r="S275" s="951"/>
      <c r="T275" s="951"/>
      <c r="U275" s="951"/>
      <c r="V275" s="1296"/>
      <c r="W275" s="951"/>
      <c r="X275" s="951"/>
      <c r="Y275" s="951"/>
      <c r="Z275" s="951"/>
      <c r="AA275" s="951"/>
      <c r="AB275" s="1296"/>
      <c r="AC275" s="951"/>
      <c r="AD275" s="951"/>
      <c r="AE275" s="951"/>
      <c r="AF275" s="951"/>
      <c r="AG275" s="951"/>
      <c r="AH275" s="951"/>
      <c r="AI275" s="1296"/>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5"/>
      <c r="I276" s="1375"/>
      <c r="J276" s="1296"/>
      <c r="K276" s="951"/>
      <c r="L276" s="951"/>
      <c r="M276" s="951"/>
      <c r="N276" s="951"/>
      <c r="O276" s="951"/>
      <c r="P276" s="951"/>
      <c r="Q276" s="951"/>
      <c r="R276" s="951"/>
      <c r="S276" s="951"/>
      <c r="T276" s="951"/>
      <c r="U276" s="951"/>
      <c r="V276" s="1296"/>
      <c r="W276" s="951"/>
      <c r="X276" s="951"/>
      <c r="Y276" s="951"/>
      <c r="Z276" s="951"/>
      <c r="AA276" s="951"/>
      <c r="AB276" s="1296"/>
      <c r="AC276" s="951"/>
      <c r="AD276" s="951"/>
      <c r="AE276" s="951"/>
      <c r="AF276" s="951"/>
      <c r="AG276" s="951"/>
      <c r="AH276" s="951"/>
      <c r="AI276" s="1296"/>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5"/>
      <c r="I277" s="1375"/>
      <c r="J277" s="1296"/>
      <c r="K277" s="951"/>
      <c r="L277" s="951"/>
      <c r="M277" s="951"/>
      <c r="N277" s="951"/>
      <c r="O277" s="951"/>
      <c r="P277" s="951"/>
      <c r="Q277" s="951"/>
      <c r="R277" s="951"/>
      <c r="S277" s="951"/>
      <c r="T277" s="951"/>
      <c r="U277" s="951"/>
      <c r="V277" s="1296"/>
      <c r="W277" s="951"/>
      <c r="X277" s="951"/>
      <c r="Y277" s="951"/>
      <c r="Z277" s="951"/>
      <c r="AA277" s="951"/>
      <c r="AB277" s="1296"/>
      <c r="AC277" s="951"/>
      <c r="AD277" s="951"/>
      <c r="AE277" s="951"/>
      <c r="AF277" s="951"/>
      <c r="AG277" s="951"/>
      <c r="AH277" s="951"/>
      <c r="AI277" s="1296"/>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5"/>
      <c r="I278" s="1375"/>
      <c r="J278" s="1296"/>
      <c r="K278" s="951"/>
      <c r="L278" s="951"/>
      <c r="M278" s="951"/>
      <c r="N278" s="951"/>
      <c r="O278" s="951"/>
      <c r="P278" s="951"/>
      <c r="Q278" s="951"/>
      <c r="R278" s="951"/>
      <c r="S278" s="951"/>
      <c r="T278" s="951"/>
      <c r="U278" s="951"/>
      <c r="V278" s="1296"/>
      <c r="W278" s="951"/>
      <c r="X278" s="951"/>
      <c r="Y278" s="951"/>
      <c r="Z278" s="951"/>
      <c r="AA278" s="951"/>
      <c r="AB278" s="1296"/>
      <c r="AC278" s="951"/>
      <c r="AD278" s="951"/>
      <c r="AE278" s="951"/>
      <c r="AF278" s="951"/>
      <c r="AG278" s="951"/>
      <c r="AH278" s="951"/>
      <c r="AI278" s="1296"/>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5"/>
      <c r="I279" s="1375"/>
      <c r="J279" s="1296"/>
      <c r="K279" s="951"/>
      <c r="L279" s="951"/>
      <c r="M279" s="951"/>
      <c r="N279" s="951"/>
      <c r="O279" s="951"/>
      <c r="P279" s="951"/>
      <c r="Q279" s="951"/>
      <c r="R279" s="951"/>
      <c r="S279" s="951"/>
      <c r="T279" s="951"/>
      <c r="U279" s="951"/>
      <c r="V279" s="1296"/>
      <c r="W279" s="951"/>
      <c r="X279" s="951"/>
      <c r="Y279" s="951"/>
      <c r="Z279" s="951"/>
      <c r="AA279" s="951"/>
      <c r="AB279" s="1296"/>
      <c r="AC279" s="951"/>
      <c r="AD279" s="951"/>
      <c r="AE279" s="951"/>
      <c r="AF279" s="951"/>
      <c r="AG279" s="951"/>
      <c r="AH279" s="951"/>
      <c r="AI279" s="1296"/>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5"/>
      <c r="I280" s="1375"/>
      <c r="J280" s="1296"/>
      <c r="K280" s="951"/>
      <c r="L280" s="951"/>
      <c r="M280" s="951"/>
      <c r="N280" s="951"/>
      <c r="O280" s="951"/>
      <c r="P280" s="951"/>
      <c r="Q280" s="951"/>
      <c r="R280" s="951"/>
      <c r="S280" s="951"/>
      <c r="T280" s="951"/>
      <c r="U280" s="951"/>
      <c r="V280" s="1296"/>
      <c r="W280" s="951"/>
      <c r="X280" s="951"/>
      <c r="Y280" s="951"/>
      <c r="Z280" s="951"/>
      <c r="AA280" s="951"/>
      <c r="AB280" s="1296"/>
      <c r="AC280" s="951"/>
      <c r="AD280" s="951"/>
      <c r="AE280" s="951"/>
      <c r="AF280" s="951"/>
      <c r="AG280" s="951"/>
      <c r="AH280" s="951"/>
      <c r="AI280" s="1296"/>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5"/>
      <c r="I281" s="1375"/>
      <c r="J281" s="1296"/>
      <c r="K281" s="951"/>
      <c r="L281" s="951"/>
      <c r="M281" s="951"/>
      <c r="N281" s="951"/>
      <c r="O281" s="951"/>
      <c r="P281" s="951"/>
      <c r="Q281" s="951"/>
      <c r="R281" s="951"/>
      <c r="S281" s="951"/>
      <c r="T281" s="951"/>
      <c r="U281" s="951"/>
      <c r="V281" s="1296"/>
      <c r="W281" s="951"/>
      <c r="X281" s="951"/>
      <c r="Y281" s="951"/>
      <c r="Z281" s="951"/>
      <c r="AA281" s="951"/>
      <c r="AB281" s="1296"/>
      <c r="AC281" s="951"/>
      <c r="AD281" s="951"/>
      <c r="AE281" s="951"/>
      <c r="AF281" s="951"/>
      <c r="AG281" s="951"/>
      <c r="AH281" s="951"/>
      <c r="AI281" s="1296"/>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5"/>
      <c r="I282" s="1375"/>
      <c r="J282" s="1296"/>
      <c r="K282" s="951"/>
      <c r="L282" s="951"/>
      <c r="M282" s="951"/>
      <c r="N282" s="951"/>
      <c r="O282" s="951"/>
      <c r="P282" s="951"/>
      <c r="Q282" s="951"/>
      <c r="R282" s="951"/>
      <c r="S282" s="951"/>
      <c r="T282" s="951"/>
      <c r="U282" s="951"/>
      <c r="V282" s="1296"/>
      <c r="W282" s="951"/>
      <c r="X282" s="951"/>
      <c r="Y282" s="951"/>
      <c r="Z282" s="951"/>
      <c r="AA282" s="951"/>
      <c r="AB282" s="1296"/>
      <c r="AC282" s="951"/>
      <c r="AD282" s="951"/>
      <c r="AE282" s="951"/>
      <c r="AF282" s="951"/>
      <c r="AG282" s="951"/>
      <c r="AH282" s="951"/>
      <c r="AI282" s="1296"/>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5"/>
      <c r="I283" s="1375"/>
      <c r="J283" s="1296"/>
      <c r="K283" s="951"/>
      <c r="L283" s="951"/>
      <c r="M283" s="951"/>
      <c r="N283" s="951"/>
      <c r="O283" s="951"/>
      <c r="P283" s="951"/>
      <c r="Q283" s="951"/>
      <c r="R283" s="951"/>
      <c r="S283" s="951"/>
      <c r="T283" s="951"/>
      <c r="U283" s="951"/>
      <c r="V283" s="1296"/>
      <c r="W283" s="951"/>
      <c r="X283" s="951"/>
      <c r="Y283" s="951"/>
      <c r="Z283" s="951"/>
      <c r="AA283" s="951"/>
      <c r="AB283" s="1296"/>
      <c r="AC283" s="951"/>
      <c r="AD283" s="951"/>
      <c r="AE283" s="951"/>
      <c r="AF283" s="951"/>
      <c r="AG283" s="951"/>
      <c r="AH283" s="951"/>
      <c r="AI283" s="1296"/>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5"/>
      <c r="I284" s="1375"/>
      <c r="J284" s="1296"/>
      <c r="K284" s="951"/>
      <c r="L284" s="951"/>
      <c r="M284" s="951"/>
      <c r="N284" s="951"/>
      <c r="O284" s="951"/>
      <c r="P284" s="951"/>
      <c r="Q284" s="951"/>
      <c r="R284" s="951"/>
      <c r="S284" s="951"/>
      <c r="T284" s="951"/>
      <c r="U284" s="951"/>
      <c r="V284" s="1296"/>
      <c r="W284" s="951"/>
      <c r="X284" s="951"/>
      <c r="Y284" s="951"/>
      <c r="Z284" s="951"/>
      <c r="AA284" s="951"/>
      <c r="AB284" s="1296"/>
      <c r="AC284" s="951"/>
      <c r="AD284" s="951"/>
      <c r="AE284" s="951"/>
      <c r="AF284" s="951"/>
      <c r="AG284" s="951"/>
      <c r="AH284" s="951"/>
      <c r="AI284" s="1296"/>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5"/>
      <c r="I285" s="1375"/>
      <c r="J285" s="1296"/>
      <c r="K285" s="951"/>
      <c r="L285" s="951"/>
      <c r="M285" s="951"/>
      <c r="N285" s="951"/>
      <c r="O285" s="951"/>
      <c r="P285" s="951"/>
      <c r="Q285" s="951"/>
      <c r="R285" s="951"/>
      <c r="S285" s="951"/>
      <c r="T285" s="951"/>
      <c r="U285" s="951"/>
      <c r="V285" s="1296"/>
      <c r="W285" s="951"/>
      <c r="X285" s="951"/>
      <c r="Y285" s="951"/>
      <c r="Z285" s="951"/>
      <c r="AA285" s="951"/>
      <c r="AB285" s="1296"/>
      <c r="AC285" s="951"/>
      <c r="AD285" s="951"/>
      <c r="AE285" s="951"/>
      <c r="AF285" s="951"/>
      <c r="AG285" s="951"/>
      <c r="AH285" s="951"/>
      <c r="AI285" s="1296"/>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5"/>
      <c r="I286" s="1375"/>
      <c r="J286" s="1296"/>
      <c r="K286" s="951"/>
      <c r="L286" s="951"/>
      <c r="M286" s="951"/>
      <c r="N286" s="951"/>
      <c r="O286" s="951"/>
      <c r="P286" s="951"/>
      <c r="Q286" s="951"/>
      <c r="R286" s="951"/>
      <c r="S286" s="951"/>
      <c r="T286" s="951"/>
      <c r="U286" s="951"/>
      <c r="V286" s="1296"/>
      <c r="W286" s="951"/>
      <c r="X286" s="951"/>
      <c r="Y286" s="951"/>
      <c r="Z286" s="951"/>
      <c r="AA286" s="951"/>
      <c r="AB286" s="1296"/>
      <c r="AC286" s="951"/>
      <c r="AD286" s="951"/>
      <c r="AE286" s="951"/>
      <c r="AF286" s="951"/>
      <c r="AG286" s="951"/>
      <c r="AH286" s="951"/>
      <c r="AI286" s="1296"/>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5"/>
      <c r="I287" s="1375"/>
      <c r="J287" s="1296"/>
      <c r="K287" s="951"/>
      <c r="L287" s="951"/>
      <c r="M287" s="951"/>
      <c r="N287" s="951"/>
      <c r="O287" s="951"/>
      <c r="P287" s="951"/>
      <c r="Q287" s="951"/>
      <c r="R287" s="951"/>
      <c r="S287" s="951"/>
      <c r="T287" s="951"/>
      <c r="U287" s="951"/>
      <c r="V287" s="1296"/>
      <c r="W287" s="951"/>
      <c r="X287" s="951"/>
      <c r="Y287" s="951"/>
      <c r="Z287" s="951"/>
      <c r="AA287" s="951"/>
      <c r="AB287" s="1296"/>
      <c r="AC287" s="951"/>
      <c r="AD287" s="951"/>
      <c r="AE287" s="951"/>
      <c r="AF287" s="951"/>
      <c r="AG287" s="951"/>
      <c r="AH287" s="951"/>
      <c r="AI287" s="1296"/>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5"/>
      <c r="I288" s="1375"/>
      <c r="J288" s="1296"/>
      <c r="K288" s="951"/>
      <c r="L288" s="951"/>
      <c r="M288" s="951"/>
      <c r="N288" s="951"/>
      <c r="O288" s="951"/>
      <c r="P288" s="951"/>
      <c r="Q288" s="951"/>
      <c r="R288" s="951"/>
      <c r="S288" s="951"/>
      <c r="T288" s="951"/>
      <c r="U288" s="951"/>
      <c r="V288" s="1296"/>
      <c r="W288" s="951"/>
      <c r="X288" s="951"/>
      <c r="Y288" s="951"/>
      <c r="Z288" s="951"/>
      <c r="AA288" s="951"/>
      <c r="AB288" s="1296"/>
      <c r="AC288" s="951"/>
      <c r="AD288" s="951"/>
      <c r="AE288" s="951"/>
      <c r="AF288" s="951"/>
      <c r="AG288" s="951"/>
      <c r="AH288" s="951"/>
      <c r="AI288" s="1296"/>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5"/>
      <c r="I289" s="1375"/>
      <c r="J289" s="1296"/>
      <c r="K289" s="951"/>
      <c r="L289" s="951"/>
      <c r="M289" s="951"/>
      <c r="N289" s="951"/>
      <c r="O289" s="951"/>
      <c r="P289" s="951"/>
      <c r="Q289" s="951"/>
      <c r="R289" s="951"/>
      <c r="S289" s="951"/>
      <c r="T289" s="951"/>
      <c r="U289" s="951"/>
      <c r="V289" s="1296"/>
      <c r="W289" s="951"/>
      <c r="X289" s="951"/>
      <c r="Y289" s="951"/>
      <c r="Z289" s="951"/>
      <c r="AA289" s="951"/>
      <c r="AB289" s="1296"/>
      <c r="AC289" s="951"/>
      <c r="AD289" s="951"/>
      <c r="AE289" s="951"/>
      <c r="AF289" s="951"/>
      <c r="AG289" s="951"/>
      <c r="AH289" s="951"/>
      <c r="AI289" s="1296"/>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5"/>
      <c r="I290" s="1375"/>
      <c r="J290" s="1296"/>
      <c r="K290" s="951"/>
      <c r="L290" s="951"/>
      <c r="M290" s="951"/>
      <c r="N290" s="951"/>
      <c r="O290" s="951"/>
      <c r="P290" s="951"/>
      <c r="Q290" s="951"/>
      <c r="R290" s="951"/>
      <c r="S290" s="951"/>
      <c r="T290" s="951"/>
      <c r="U290" s="951"/>
      <c r="V290" s="1296"/>
      <c r="W290" s="951"/>
      <c r="X290" s="951"/>
      <c r="Y290" s="951"/>
      <c r="Z290" s="951"/>
      <c r="AA290" s="951"/>
      <c r="AB290" s="1296"/>
      <c r="AC290" s="951"/>
      <c r="AD290" s="951"/>
      <c r="AE290" s="951"/>
      <c r="AF290" s="951"/>
      <c r="AG290" s="951"/>
      <c r="AH290" s="951"/>
      <c r="AI290" s="1296"/>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5"/>
      <c r="I291" s="1375"/>
      <c r="J291" s="1296"/>
      <c r="K291" s="951"/>
      <c r="L291" s="951"/>
      <c r="M291" s="951"/>
      <c r="N291" s="951"/>
      <c r="O291" s="951"/>
      <c r="P291" s="951"/>
      <c r="Q291" s="951"/>
      <c r="R291" s="951"/>
      <c r="S291" s="951"/>
      <c r="T291" s="951"/>
      <c r="U291" s="951"/>
      <c r="V291" s="1296"/>
      <c r="W291" s="951"/>
      <c r="X291" s="951"/>
      <c r="Y291" s="951"/>
      <c r="Z291" s="951"/>
      <c r="AA291" s="951"/>
      <c r="AB291" s="1296"/>
      <c r="AC291" s="951"/>
      <c r="AD291" s="951"/>
      <c r="AE291" s="951"/>
      <c r="AF291" s="951"/>
      <c r="AG291" s="951"/>
      <c r="AH291" s="951"/>
      <c r="AI291" s="1296"/>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5"/>
      <c r="I292" s="1375"/>
      <c r="J292" s="1296"/>
      <c r="K292" s="951"/>
      <c r="L292" s="951"/>
      <c r="M292" s="951"/>
      <c r="N292" s="951"/>
      <c r="O292" s="951"/>
      <c r="P292" s="951"/>
      <c r="Q292" s="951"/>
      <c r="R292" s="951"/>
      <c r="S292" s="951"/>
      <c r="T292" s="951"/>
      <c r="U292" s="951"/>
      <c r="V292" s="1296"/>
      <c r="W292" s="951"/>
      <c r="X292" s="951"/>
      <c r="Y292" s="951"/>
      <c r="Z292" s="951"/>
      <c r="AA292" s="951"/>
      <c r="AB292" s="1296"/>
      <c r="AC292" s="951"/>
      <c r="AD292" s="951"/>
      <c r="AE292" s="951"/>
      <c r="AF292" s="951"/>
      <c r="AG292" s="951"/>
      <c r="AH292" s="951"/>
      <c r="AI292" s="1296"/>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5"/>
      <c r="I293" s="1375"/>
      <c r="J293" s="1296"/>
      <c r="K293" s="951"/>
      <c r="L293" s="951"/>
      <c r="M293" s="951"/>
      <c r="N293" s="951"/>
      <c r="O293" s="951"/>
      <c r="P293" s="951"/>
      <c r="Q293" s="951"/>
      <c r="R293" s="951"/>
      <c r="S293" s="951"/>
      <c r="T293" s="951"/>
      <c r="U293" s="951"/>
      <c r="V293" s="1296"/>
      <c r="W293" s="951"/>
      <c r="X293" s="951"/>
      <c r="Y293" s="951"/>
      <c r="Z293" s="951"/>
      <c r="AA293" s="951"/>
      <c r="AB293" s="1296"/>
      <c r="AC293" s="951"/>
      <c r="AD293" s="951"/>
      <c r="AE293" s="951"/>
      <c r="AF293" s="951"/>
      <c r="AG293" s="951"/>
      <c r="AH293" s="951"/>
      <c r="AI293" s="1296"/>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5"/>
      <c r="I294" s="1375"/>
      <c r="J294" s="1296"/>
      <c r="K294" s="951"/>
      <c r="L294" s="951"/>
      <c r="M294" s="951"/>
      <c r="N294" s="951"/>
      <c r="O294" s="951"/>
      <c r="P294" s="951"/>
      <c r="Q294" s="951"/>
      <c r="R294" s="951"/>
      <c r="S294" s="951"/>
      <c r="T294" s="951"/>
      <c r="U294" s="951"/>
      <c r="V294" s="1296"/>
      <c r="W294" s="951"/>
      <c r="X294" s="951"/>
      <c r="Y294" s="951"/>
      <c r="Z294" s="951"/>
      <c r="AA294" s="951"/>
      <c r="AB294" s="1296"/>
      <c r="AC294" s="951"/>
      <c r="AD294" s="951"/>
      <c r="AE294" s="951"/>
      <c r="AF294" s="951"/>
      <c r="AG294" s="951"/>
      <c r="AH294" s="951"/>
      <c r="AI294" s="1296"/>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5"/>
      <c r="I295" s="1375"/>
      <c r="J295" s="1296"/>
      <c r="K295" s="951"/>
      <c r="L295" s="951"/>
      <c r="M295" s="951"/>
      <c r="N295" s="951"/>
      <c r="O295" s="951"/>
      <c r="P295" s="951"/>
      <c r="Q295" s="951"/>
      <c r="R295" s="951"/>
      <c r="S295" s="951"/>
      <c r="T295" s="951"/>
      <c r="U295" s="951"/>
      <c r="V295" s="1296"/>
      <c r="W295" s="951"/>
      <c r="X295" s="951"/>
      <c r="Y295" s="951"/>
      <c r="Z295" s="951"/>
      <c r="AA295" s="951"/>
      <c r="AB295" s="1296"/>
      <c r="AC295" s="951"/>
      <c r="AD295" s="951"/>
      <c r="AE295" s="951"/>
      <c r="AF295" s="951"/>
      <c r="AG295" s="951"/>
      <c r="AH295" s="951"/>
      <c r="AI295" s="1296"/>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5"/>
      <c r="I296" s="1375"/>
      <c r="J296" s="1296"/>
      <c r="K296" s="951"/>
      <c r="L296" s="951"/>
      <c r="M296" s="951"/>
      <c r="N296" s="951"/>
      <c r="O296" s="951"/>
      <c r="P296" s="951"/>
      <c r="Q296" s="951"/>
      <c r="R296" s="951"/>
      <c r="S296" s="951"/>
      <c r="T296" s="951"/>
      <c r="U296" s="951"/>
      <c r="V296" s="1296"/>
      <c r="W296" s="951"/>
      <c r="X296" s="951"/>
      <c r="Y296" s="951"/>
      <c r="Z296" s="951"/>
      <c r="AA296" s="951"/>
      <c r="AB296" s="1296"/>
      <c r="AC296" s="951"/>
      <c r="AD296" s="951"/>
      <c r="AE296" s="951"/>
      <c r="AF296" s="951"/>
      <c r="AG296" s="951"/>
      <c r="AH296" s="951"/>
      <c r="AI296" s="1296"/>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5"/>
      <c r="I297" s="1375"/>
      <c r="J297" s="1296"/>
      <c r="K297" s="951"/>
      <c r="L297" s="951"/>
      <c r="M297" s="951"/>
      <c r="N297" s="951"/>
      <c r="O297" s="951"/>
      <c r="P297" s="951"/>
      <c r="Q297" s="951"/>
      <c r="R297" s="951"/>
      <c r="S297" s="951"/>
      <c r="T297" s="951"/>
      <c r="U297" s="951"/>
      <c r="V297" s="1296"/>
      <c r="W297" s="951"/>
      <c r="X297" s="951"/>
      <c r="Y297" s="951"/>
      <c r="Z297" s="951"/>
      <c r="AA297" s="951"/>
      <c r="AB297" s="1296"/>
      <c r="AC297" s="951"/>
      <c r="AD297" s="951"/>
      <c r="AE297" s="951"/>
      <c r="AF297" s="951"/>
      <c r="AG297" s="951"/>
      <c r="AH297" s="951"/>
      <c r="AI297" s="1296"/>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5"/>
      <c r="I298" s="1375"/>
      <c r="J298" s="1296"/>
      <c r="K298" s="951"/>
      <c r="L298" s="951"/>
      <c r="M298" s="951"/>
      <c r="N298" s="951"/>
      <c r="O298" s="951"/>
      <c r="P298" s="951"/>
      <c r="Q298" s="951"/>
      <c r="R298" s="951"/>
      <c r="S298" s="951"/>
      <c r="T298" s="951"/>
      <c r="U298" s="951"/>
      <c r="V298" s="1296"/>
      <c r="W298" s="951"/>
      <c r="X298" s="951"/>
      <c r="Y298" s="951"/>
      <c r="Z298" s="951"/>
      <c r="AA298" s="951"/>
      <c r="AB298" s="1296"/>
      <c r="AC298" s="951"/>
      <c r="AD298" s="951"/>
      <c r="AE298" s="951"/>
      <c r="AF298" s="951"/>
      <c r="AG298" s="951"/>
      <c r="AH298" s="951"/>
      <c r="AI298" s="1296"/>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5"/>
      <c r="I299" s="1375"/>
      <c r="J299" s="1296"/>
      <c r="K299" s="951"/>
      <c r="L299" s="951"/>
      <c r="M299" s="951"/>
      <c r="N299" s="951"/>
      <c r="O299" s="951"/>
      <c r="P299" s="951"/>
      <c r="Q299" s="951"/>
      <c r="R299" s="951"/>
      <c r="S299" s="951"/>
      <c r="T299" s="951"/>
      <c r="U299" s="951"/>
      <c r="V299" s="1296"/>
      <c r="W299" s="951"/>
      <c r="X299" s="951"/>
      <c r="Y299" s="951"/>
      <c r="Z299" s="951"/>
      <c r="AA299" s="951"/>
      <c r="AB299" s="1296"/>
      <c r="AC299" s="951"/>
      <c r="AD299" s="951"/>
      <c r="AE299" s="951"/>
      <c r="AF299" s="951"/>
      <c r="AG299" s="951"/>
      <c r="AH299" s="951"/>
      <c r="AI299" s="1296"/>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5"/>
      <c r="I300" s="1375"/>
      <c r="J300" s="1296"/>
      <c r="K300" s="951"/>
      <c r="L300" s="951"/>
      <c r="M300" s="951"/>
      <c r="N300" s="951"/>
      <c r="O300" s="951"/>
      <c r="P300" s="951"/>
      <c r="Q300" s="951"/>
      <c r="R300" s="951"/>
      <c r="S300" s="951"/>
      <c r="T300" s="951"/>
      <c r="U300" s="951"/>
      <c r="V300" s="1296"/>
      <c r="W300" s="951"/>
      <c r="X300" s="951"/>
      <c r="Y300" s="951"/>
      <c r="Z300" s="951"/>
      <c r="AA300" s="951"/>
      <c r="AB300" s="1296"/>
      <c r="AC300" s="951"/>
      <c r="AD300" s="951"/>
      <c r="AE300" s="951"/>
      <c r="AF300" s="951"/>
      <c r="AG300" s="951"/>
      <c r="AH300" s="951"/>
      <c r="AI300" s="1296"/>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5"/>
      <c r="I301" s="1375"/>
      <c r="J301" s="1296"/>
      <c r="K301" s="951"/>
      <c r="L301" s="951"/>
      <c r="M301" s="951"/>
      <c r="N301" s="951"/>
      <c r="O301" s="951"/>
      <c r="P301" s="951"/>
      <c r="Q301" s="951"/>
      <c r="R301" s="951"/>
      <c r="S301" s="951"/>
      <c r="T301" s="951"/>
      <c r="U301" s="951"/>
      <c r="V301" s="1296"/>
      <c r="W301" s="951"/>
      <c r="X301" s="951"/>
      <c r="Y301" s="951"/>
      <c r="Z301" s="951"/>
      <c r="AA301" s="951"/>
      <c r="AB301" s="1296"/>
      <c r="AC301" s="951"/>
      <c r="AD301" s="951"/>
      <c r="AE301" s="951"/>
      <c r="AF301" s="951"/>
      <c r="AG301" s="951"/>
      <c r="AH301" s="951"/>
      <c r="AI301" s="1296"/>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5"/>
      <c r="I302" s="1375"/>
      <c r="J302" s="1296"/>
      <c r="K302" s="951"/>
      <c r="L302" s="951"/>
      <c r="M302" s="951"/>
      <c r="N302" s="951"/>
      <c r="O302" s="951"/>
      <c r="P302" s="951"/>
      <c r="Q302" s="951"/>
      <c r="R302" s="951"/>
      <c r="S302" s="951"/>
      <c r="T302" s="951"/>
      <c r="U302" s="951"/>
      <c r="V302" s="1296"/>
      <c r="W302" s="951"/>
      <c r="X302" s="951"/>
      <c r="Y302" s="951"/>
      <c r="Z302" s="951"/>
      <c r="AA302" s="951"/>
      <c r="AB302" s="1296"/>
      <c r="AC302" s="951"/>
      <c r="AD302" s="951"/>
      <c r="AE302" s="951"/>
      <c r="AF302" s="951"/>
      <c r="AG302" s="951"/>
      <c r="AH302" s="951"/>
      <c r="AI302" s="1296"/>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5"/>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5"/>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D7"/>
    <hyperlink r:id="rId108" ref="AF7"/>
    <hyperlink r:id="rId109" ref="AM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CM7"/>
    <hyperlink r:id="rId128" ref="CN7"/>
    <hyperlink r:id="rId129" ref="CO7"/>
    <hyperlink r:id="rId130" ref="H8"/>
    <hyperlink r:id="rId131" ref="I8"/>
    <hyperlink r:id="rId132" ref="R8"/>
    <hyperlink r:id="rId133" ref="AC8"/>
    <hyperlink r:id="rId134" ref="AD8"/>
    <hyperlink r:id="rId135" ref="AM8"/>
    <hyperlink r:id="rId136" ref="AP8"/>
    <hyperlink r:id="rId137" ref="AT8"/>
    <hyperlink r:id="rId138" ref="AW8"/>
    <hyperlink r:id="rId139" ref="BB8"/>
    <hyperlink r:id="rId140" ref="BS8"/>
    <hyperlink r:id="rId141" ref="BV8"/>
    <hyperlink r:id="rId142" ref="BW8"/>
    <hyperlink r:id="rId143" ref="BX8"/>
    <hyperlink r:id="rId144" ref="CA8"/>
    <hyperlink r:id="rId145" ref="CC8"/>
    <hyperlink r:id="rId146" ref="CM8"/>
    <hyperlink r:id="rId147" ref="H9"/>
    <hyperlink r:id="rId148" ref="I9"/>
    <hyperlink r:id="rId149" ref="K9"/>
    <hyperlink r:id="rId150" ref="L9"/>
    <hyperlink r:id="rId151" ref="O9"/>
    <hyperlink r:id="rId152" ref="P9"/>
    <hyperlink r:id="rId153" ref="Q9"/>
    <hyperlink r:id="rId154" ref="R9"/>
    <hyperlink r:id="rId155" ref="S9"/>
    <hyperlink r:id="rId156" ref="T9"/>
    <hyperlink r:id="rId157" ref="U9"/>
    <hyperlink r:id="rId158" ref="X9"/>
    <hyperlink r:id="rId159" ref="Y9"/>
    <hyperlink r:id="rId160" ref="AA9"/>
    <hyperlink r:id="rId161" ref="AC9"/>
    <hyperlink r:id="rId162" ref="AD9"/>
    <hyperlink r:id="rId163" ref="AE9"/>
    <hyperlink r:id="rId164" ref="AN9"/>
    <hyperlink r:id="rId165" ref="AQ9"/>
    <hyperlink r:id="rId166" ref="AR9"/>
    <hyperlink r:id="rId167" ref="AT9"/>
    <hyperlink r:id="rId168" ref="AU9"/>
    <hyperlink r:id="rId169" ref="AV9"/>
    <hyperlink r:id="rId170" ref="AW9"/>
    <hyperlink r:id="rId171" ref="AX9"/>
    <hyperlink r:id="rId172" ref="BB9"/>
    <hyperlink r:id="rId173" ref="BD9"/>
    <hyperlink r:id="rId174" ref="BE9"/>
    <hyperlink r:id="rId175" ref="BG9"/>
    <hyperlink r:id="rId176" ref="CT9"/>
    <hyperlink r:id="rId177" ref="I10"/>
    <hyperlink r:id="rId178" ref="S10"/>
    <hyperlink r:id="rId179" ref="V10"/>
    <hyperlink r:id="rId180" ref="AE10"/>
    <hyperlink r:id="rId181" ref="L11"/>
    <hyperlink r:id="rId182" ref="S11"/>
    <hyperlink r:id="rId183" ref="X11"/>
    <hyperlink r:id="rId184" ref="Y11"/>
    <hyperlink r:id="rId185" ref="AA11"/>
    <hyperlink r:id="rId186" ref="AR11"/>
    <hyperlink r:id="rId187" ref="AU11"/>
    <hyperlink r:id="rId188" ref="AY11"/>
    <hyperlink r:id="rId189" ref="CL12"/>
    <hyperlink r:id="rId190" ref="AK13"/>
    <hyperlink r:id="rId191" ref="K14"/>
    <hyperlink r:id="rId192" ref="M14"/>
    <hyperlink r:id="rId193" ref="O14"/>
    <hyperlink r:id="rId194" ref="P14"/>
    <hyperlink r:id="rId195" ref="S14"/>
    <hyperlink r:id="rId196" ref="U14"/>
    <hyperlink r:id="rId197" ref="X14"/>
    <hyperlink r:id="rId198" ref="AM14"/>
    <hyperlink r:id="rId199" ref="AP14"/>
    <hyperlink r:id="rId200" ref="AQ14"/>
    <hyperlink r:id="rId201" ref="AR14"/>
    <hyperlink r:id="rId202" ref="AT14"/>
    <hyperlink r:id="rId203" ref="AZ14"/>
    <hyperlink r:id="rId204" ref="BB14"/>
    <hyperlink r:id="rId205" ref="BD14"/>
    <hyperlink r:id="rId206" ref="CE14"/>
    <hyperlink r:id="rId207" ref="CF14"/>
    <hyperlink r:id="rId208" ref="CG14"/>
    <hyperlink r:id="rId209" ref="CN14"/>
    <hyperlink r:id="rId210" ref="CR14"/>
    <hyperlink r:id="rId211" ref="I15"/>
    <hyperlink r:id="rId212" ref="M15"/>
    <hyperlink r:id="rId213" ref="Q15"/>
    <hyperlink r:id="rId214" ref="Y15"/>
    <hyperlink r:id="rId215" ref="AD15"/>
    <hyperlink r:id="rId216" ref="BB15"/>
    <hyperlink r:id="rId217" ref="BC15"/>
    <hyperlink r:id="rId218" ref="BM15"/>
    <hyperlink r:id="rId219" ref="H16"/>
    <hyperlink r:id="rId220" ref="I16"/>
    <hyperlink r:id="rId221" ref="J16"/>
    <hyperlink r:id="rId222" ref="K16"/>
    <hyperlink r:id="rId223" ref="N16"/>
    <hyperlink r:id="rId224" ref="O16"/>
    <hyperlink r:id="rId225" ref="S16"/>
    <hyperlink r:id="rId226" ref="T16"/>
    <hyperlink r:id="rId227" ref="K17"/>
    <hyperlink r:id="rId228" ref="L17"/>
    <hyperlink r:id="rId229" ref="M17"/>
    <hyperlink r:id="rId230" ref="R17"/>
    <hyperlink r:id="rId231" ref="S17"/>
    <hyperlink r:id="rId232" ref="X17"/>
    <hyperlink r:id="rId233" ref="Y17"/>
    <hyperlink r:id="rId234" ref="AE17"/>
    <hyperlink r:id="rId235" ref="AT17"/>
    <hyperlink r:id="rId236" ref="AU17"/>
    <hyperlink r:id="rId237" ref="BB17"/>
    <hyperlink r:id="rId238" ref="BC17"/>
    <hyperlink r:id="rId239" ref="BL17"/>
    <hyperlink r:id="rId240" ref="BV17"/>
    <hyperlink r:id="rId241" ref="AG18"/>
    <hyperlink r:id="rId242" ref="AH18"/>
    <hyperlink r:id="rId243" ref="W19"/>
    <hyperlink r:id="rId244" ref="X19"/>
    <hyperlink r:id="rId245" ref="AB19"/>
    <hyperlink r:id="rId246" ref="AC19"/>
    <hyperlink r:id="rId247" ref="AD19"/>
    <hyperlink r:id="rId248" ref="AF19"/>
    <hyperlink r:id="rId249" ref="AH19"/>
    <hyperlink r:id="rId250" ref="AI19"/>
    <hyperlink r:id="rId251" ref="AP19"/>
    <hyperlink r:id="rId252" ref="BV19"/>
    <hyperlink r:id="rId253" ref="AC20"/>
    <hyperlink r:id="rId254" ref="AF23"/>
    <hyperlink r:id="rId255" ref="CT23"/>
    <hyperlink r:id="rId256" ref="H25"/>
    <hyperlink r:id="rId257" ref="I25"/>
    <hyperlink r:id="rId258" ref="BG25"/>
    <hyperlink r:id="rId259" ref="BH25"/>
    <hyperlink r:id="rId260" ref="BY25"/>
    <hyperlink r:id="rId261" ref="CT25"/>
    <hyperlink r:id="rId262" ref="L26"/>
    <hyperlink r:id="rId263" ref="R26"/>
    <hyperlink r:id="rId264" ref="Y26"/>
    <hyperlink r:id="rId265" ref="AK26"/>
    <hyperlink r:id="rId266" ref="U27"/>
    <hyperlink r:id="rId267" ref="Y27"/>
    <hyperlink r:id="rId268" ref="AD27"/>
    <hyperlink r:id="rId269" ref="AE27"/>
    <hyperlink r:id="rId270" ref="X28"/>
    <hyperlink r:id="rId271" ref="Y28"/>
    <hyperlink r:id="rId272" ref="AC28"/>
    <hyperlink r:id="rId273" ref="BV28"/>
    <hyperlink r:id="rId274" ref="BX28"/>
    <hyperlink r:id="rId275" ref="BZ28"/>
    <hyperlink r:id="rId276" ref="CD28"/>
    <hyperlink r:id="rId277" ref="X29"/>
    <hyperlink r:id="rId278" ref="Y29"/>
    <hyperlink r:id="rId279" ref="AF29"/>
    <hyperlink r:id="rId280" ref="Y30"/>
    <hyperlink r:id="rId281" ref="AU30"/>
    <hyperlink r:id="rId282" ref="T33"/>
    <hyperlink r:id="rId283" ref="AC33"/>
    <hyperlink r:id="rId284" ref="CE33"/>
    <hyperlink r:id="rId285" ref="O34"/>
    <hyperlink r:id="rId286" ref="P34"/>
    <hyperlink r:id="rId287" ref="AD36"/>
    <hyperlink r:id="rId288" ref="AD37"/>
    <hyperlink r:id="rId289" ref="W39"/>
    <hyperlink r:id="rId290" ref="AP43"/>
    <hyperlink r:id="rId291" ref="R44"/>
    <hyperlink r:id="rId292" ref="Y46"/>
    <hyperlink r:id="rId293" ref="AD46"/>
    <hyperlink r:id="rId294" ref="AK49"/>
    <hyperlink r:id="rId295" ref="AF50"/>
    <hyperlink r:id="rId296" ref="AE52"/>
    <hyperlink r:id="rId297" ref="R54"/>
    <hyperlink r:id="rId298" ref="U54"/>
    <hyperlink r:id="rId299" ref="AQ54"/>
    <hyperlink r:id="rId300" ref="AR54"/>
    <hyperlink r:id="rId301" ref="CT55"/>
  </hyperlinks>
  <drawing r:id="rId302"/>
  <legacyDrawing r:id="rId303"/>
  <tableParts count="12">
    <tablePart r:id="rId316"/>
    <tablePart r:id="rId317"/>
    <tablePart r:id="rId318"/>
    <tablePart r:id="rId319"/>
    <tablePart r:id="rId320"/>
    <tablePart r:id="rId321"/>
    <tablePart r:id="rId322"/>
    <tablePart r:id="rId323"/>
    <tablePart r:id="rId324"/>
    <tablePart r:id="rId325"/>
    <tablePart r:id="rId326"/>
    <tablePart r:id="rId32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8787</v>
      </c>
      <c r="C1" s="1434" t="s">
        <v>8788</v>
      </c>
      <c r="D1" s="1435" t="s">
        <v>8789</v>
      </c>
      <c r="E1" s="1435" t="s">
        <v>8192</v>
      </c>
      <c r="F1" s="1435" t="s">
        <v>8193</v>
      </c>
      <c r="G1" s="1435" t="s">
        <v>8790</v>
      </c>
      <c r="H1" s="1436" t="s">
        <v>8791</v>
      </c>
      <c r="I1" s="1436" t="s">
        <v>8792</v>
      </c>
      <c r="J1" s="1437" t="s">
        <v>8204</v>
      </c>
      <c r="K1" s="1437" t="s">
        <v>8793</v>
      </c>
      <c r="L1" s="1437" t="s">
        <v>8794</v>
      </c>
      <c r="M1" s="1437" t="s">
        <v>8795</v>
      </c>
      <c r="N1" s="1437" t="s">
        <v>8267</v>
      </c>
      <c r="O1" s="1437" t="s">
        <v>8796</v>
      </c>
      <c r="P1" s="1437" t="s">
        <v>8797</v>
      </c>
      <c r="Q1" s="1438" t="s">
        <v>8798</v>
      </c>
      <c r="R1" s="1438" t="s">
        <v>8200</v>
      </c>
      <c r="S1" s="1438" t="s">
        <v>8799</v>
      </c>
      <c r="T1" s="1438" t="s">
        <v>8800</v>
      </c>
      <c r="U1" s="1438" t="s">
        <v>8801</v>
      </c>
      <c r="V1" s="1438" t="s">
        <v>8802</v>
      </c>
      <c r="W1" s="1439" t="s">
        <v>8194</v>
      </c>
      <c r="X1" s="1439" t="s">
        <v>8195</v>
      </c>
      <c r="Y1" s="1439" t="s">
        <v>8803</v>
      </c>
      <c r="Z1" s="1439" t="s">
        <v>8804</v>
      </c>
      <c r="AA1" s="1439" t="s">
        <v>8197</v>
      </c>
      <c r="AB1" s="1439" t="s">
        <v>8805</v>
      </c>
      <c r="AC1" s="1439" t="s">
        <v>8806</v>
      </c>
      <c r="AD1" s="1435" t="s">
        <v>8807</v>
      </c>
      <c r="AE1" s="1435" t="s">
        <v>8808</v>
      </c>
      <c r="AF1" s="1440" t="s">
        <v>8201</v>
      </c>
      <c r="AG1" s="1440" t="s">
        <v>8809</v>
      </c>
      <c r="AH1" s="1440" t="s">
        <v>8810</v>
      </c>
      <c r="AI1" s="1440" t="s">
        <v>8202</v>
      </c>
      <c r="AJ1" s="1440" t="s">
        <v>8811</v>
      </c>
      <c r="AK1" s="1440" t="s">
        <v>8812</v>
      </c>
      <c r="AL1" s="1440" t="s">
        <v>8813</v>
      </c>
      <c r="AM1" s="1441" t="s">
        <v>8203</v>
      </c>
      <c r="AN1" s="1441" t="s">
        <v>8814</v>
      </c>
      <c r="AO1" s="1441" t="s">
        <v>8815</v>
      </c>
      <c r="AP1" s="1441" t="s">
        <v>8816</v>
      </c>
      <c r="AQ1" s="1441" t="s">
        <v>8817</v>
      </c>
      <c r="AR1" s="1441" t="s">
        <v>8818</v>
      </c>
      <c r="AS1" s="1441" t="s">
        <v>8819</v>
      </c>
      <c r="AT1" s="1442" t="s">
        <v>8820</v>
      </c>
      <c r="AU1" s="1443" t="s">
        <v>8821</v>
      </c>
      <c r="AV1" s="1444" t="s">
        <v>8822</v>
      </c>
      <c r="AW1" s="1445" t="s">
        <v>8823</v>
      </c>
    </row>
    <row r="2" ht="15.75" customHeight="1">
      <c r="A2" s="1446" t="s">
        <v>8824</v>
      </c>
      <c r="B2" s="1447" t="s">
        <v>8825</v>
      </c>
      <c r="C2" s="1448">
        <v>0.04882789351851851</v>
      </c>
      <c r="D2" s="1449" t="s">
        <v>8826</v>
      </c>
      <c r="E2" s="1449" t="s">
        <v>8827</v>
      </c>
      <c r="F2" s="1450" t="s">
        <v>8828</v>
      </c>
      <c r="G2" s="1449" t="s">
        <v>8829</v>
      </c>
      <c r="H2" s="1451" t="s">
        <v>6307</v>
      </c>
      <c r="I2" s="1451" t="s">
        <v>8830</v>
      </c>
      <c r="J2" s="1452" t="s">
        <v>5201</v>
      </c>
      <c r="K2" s="1453" t="s">
        <v>8831</v>
      </c>
      <c r="L2" s="1453" t="s">
        <v>235</v>
      </c>
      <c r="M2" s="1453" t="s">
        <v>6281</v>
      </c>
      <c r="N2" s="1453" t="s">
        <v>4065</v>
      </c>
      <c r="O2" s="1453" t="s">
        <v>8832</v>
      </c>
      <c r="P2" s="1453" t="s">
        <v>8833</v>
      </c>
      <c r="Q2" s="1454" t="s">
        <v>8834</v>
      </c>
      <c r="R2" s="1455" t="s">
        <v>8835</v>
      </c>
      <c r="S2" s="1454" t="s">
        <v>6792</v>
      </c>
      <c r="T2" s="1455" t="s">
        <v>3270</v>
      </c>
      <c r="U2" s="1454" t="s">
        <v>6931</v>
      </c>
      <c r="V2" s="1454" t="s">
        <v>3769</v>
      </c>
      <c r="W2" s="1456" t="s">
        <v>8836</v>
      </c>
      <c r="X2" s="1457" t="s">
        <v>8837</v>
      </c>
      <c r="Y2" s="1457" t="s">
        <v>5870</v>
      </c>
      <c r="Z2" s="1458" t="s">
        <v>6855</v>
      </c>
      <c r="AA2" s="1457" t="s">
        <v>8838</v>
      </c>
      <c r="AB2" s="1457" t="s">
        <v>8839</v>
      </c>
      <c r="AC2" s="1458" t="s">
        <v>4091</v>
      </c>
      <c r="AD2" s="1459" t="s">
        <v>8840</v>
      </c>
      <c r="AE2" s="1460" t="s">
        <v>4797</v>
      </c>
      <c r="AF2" s="1461" t="s">
        <v>8841</v>
      </c>
      <c r="AG2" s="1461" t="s">
        <v>8842</v>
      </c>
      <c r="AH2" s="1461" t="s">
        <v>3845</v>
      </c>
      <c r="AI2" s="1462" t="s">
        <v>5408</v>
      </c>
      <c r="AJ2" s="1462" t="s">
        <v>8843</v>
      </c>
      <c r="AK2" s="1462" t="s">
        <v>8844</v>
      </c>
      <c r="AL2" s="1462" t="s">
        <v>5602</v>
      </c>
      <c r="AM2" s="1463" t="s">
        <v>8845</v>
      </c>
      <c r="AN2" s="1464" t="s">
        <v>8846</v>
      </c>
      <c r="AO2" s="1464" t="s">
        <v>7070</v>
      </c>
      <c r="AP2" s="1465" t="s">
        <v>8847</v>
      </c>
      <c r="AQ2" s="1463" t="s">
        <v>8848</v>
      </c>
      <c r="AR2" s="1464" t="s">
        <v>8849</v>
      </c>
      <c r="AS2" s="1463" t="s">
        <v>1333</v>
      </c>
      <c r="AT2" s="1466" t="s">
        <v>8850</v>
      </c>
      <c r="AU2" s="1467" t="s">
        <v>8851</v>
      </c>
      <c r="AV2" s="1467" t="str">
        <f t="shared" ref="AV2:AV101" si="1">TEXT(AU2-C2,"m:ss")</f>
        <v>2:22</v>
      </c>
      <c r="AW2" s="1468"/>
    </row>
    <row r="3" ht="15.75" customHeight="1">
      <c r="A3" s="1469" t="s">
        <v>8852</v>
      </c>
      <c r="B3" s="1470" t="s">
        <v>8853</v>
      </c>
      <c r="C3" s="1471">
        <v>0.0493457175925926</v>
      </c>
      <c r="D3" s="1472" t="s">
        <v>8854</v>
      </c>
      <c r="E3" s="1472" t="s">
        <v>6686</v>
      </c>
      <c r="F3" s="1472" t="s">
        <v>8855</v>
      </c>
      <c r="G3" s="1472" t="s">
        <v>8856</v>
      </c>
      <c r="H3" s="1473" t="s">
        <v>8857</v>
      </c>
      <c r="I3" s="1473" t="s">
        <v>8858</v>
      </c>
      <c r="J3" s="1474" t="s">
        <v>1352</v>
      </c>
      <c r="K3" s="1474" t="s">
        <v>8859</v>
      </c>
      <c r="L3" s="1474" t="s">
        <v>2942</v>
      </c>
      <c r="M3" s="1474" t="s">
        <v>8860</v>
      </c>
      <c r="N3" s="1474" t="s">
        <v>2496</v>
      </c>
      <c r="O3" s="1474" t="s">
        <v>8861</v>
      </c>
      <c r="P3" s="1474" t="s">
        <v>5503</v>
      </c>
      <c r="Q3" s="1475" t="s">
        <v>5838</v>
      </c>
      <c r="R3" s="1475" t="s">
        <v>8862</v>
      </c>
      <c r="S3" s="1475" t="s">
        <v>8863</v>
      </c>
      <c r="T3" s="1475" t="s">
        <v>8864</v>
      </c>
      <c r="U3" s="1476" t="s">
        <v>7392</v>
      </c>
      <c r="V3" s="1475" t="s">
        <v>8865</v>
      </c>
      <c r="W3" s="1477" t="s">
        <v>4146</v>
      </c>
      <c r="X3" s="1477" t="s">
        <v>6987</v>
      </c>
      <c r="Y3" s="1478" t="s">
        <v>8866</v>
      </c>
      <c r="Z3" s="1478" t="s">
        <v>1339</v>
      </c>
      <c r="AA3" s="1478" t="s">
        <v>6002</v>
      </c>
      <c r="AB3" s="1477" t="s">
        <v>2980</v>
      </c>
      <c r="AC3" s="1478" t="s">
        <v>8867</v>
      </c>
      <c r="AD3" s="1472" t="s">
        <v>8868</v>
      </c>
      <c r="AE3" s="1472" t="s">
        <v>7667</v>
      </c>
      <c r="AF3" s="1479" t="s">
        <v>8869</v>
      </c>
      <c r="AG3" s="1480" t="s">
        <v>4607</v>
      </c>
      <c r="AH3" s="1480" t="s">
        <v>8870</v>
      </c>
      <c r="AI3" s="1480" t="s">
        <v>8871</v>
      </c>
      <c r="AJ3" s="1479" t="s">
        <v>8872</v>
      </c>
      <c r="AK3" s="1480" t="s">
        <v>8873</v>
      </c>
      <c r="AL3" s="1480" t="s">
        <v>6248</v>
      </c>
      <c r="AM3" s="1481" t="s">
        <v>887</v>
      </c>
      <c r="AN3" s="1481" t="s">
        <v>3213</v>
      </c>
      <c r="AO3" s="1482" t="s">
        <v>7279</v>
      </c>
      <c r="AP3" s="1482" t="s">
        <v>8874</v>
      </c>
      <c r="AQ3" s="1482" t="s">
        <v>8875</v>
      </c>
      <c r="AR3" s="1482" t="s">
        <v>4072</v>
      </c>
      <c r="AS3" s="1481" t="s">
        <v>4875</v>
      </c>
      <c r="AT3" s="1474" t="s">
        <v>8876</v>
      </c>
      <c r="AU3" s="1483" t="s">
        <v>8877</v>
      </c>
      <c r="AV3" s="1483" t="str">
        <f t="shared" si="1"/>
        <v>3:55</v>
      </c>
      <c r="AW3" s="1484"/>
    </row>
    <row r="4" ht="15.75" customHeight="1">
      <c r="A4" s="1485" t="s">
        <v>8878</v>
      </c>
      <c r="B4" s="1486" t="s">
        <v>8879</v>
      </c>
      <c r="C4" s="1487">
        <v>0.050637731481481485</v>
      </c>
      <c r="D4" s="1488" t="s">
        <v>8880</v>
      </c>
      <c r="E4" s="1488" t="s">
        <v>8881</v>
      </c>
      <c r="F4" s="1488" t="s">
        <v>8882</v>
      </c>
      <c r="G4" s="1488" t="s">
        <v>8883</v>
      </c>
      <c r="H4" s="1489" t="s">
        <v>8884</v>
      </c>
      <c r="I4" s="1489" t="s">
        <v>352</v>
      </c>
      <c r="J4" s="1490" t="s">
        <v>8885</v>
      </c>
      <c r="K4" s="1490" t="s">
        <v>6329</v>
      </c>
      <c r="L4" s="1490" t="s">
        <v>3803</v>
      </c>
      <c r="M4" s="1490" t="s">
        <v>8886</v>
      </c>
      <c r="N4" s="1490" t="s">
        <v>8845</v>
      </c>
      <c r="O4" s="1490" t="s">
        <v>8887</v>
      </c>
      <c r="P4" s="1490" t="s">
        <v>8888</v>
      </c>
      <c r="Q4" s="1491" t="s">
        <v>8889</v>
      </c>
      <c r="R4" s="1491" t="s">
        <v>8890</v>
      </c>
      <c r="S4" s="1491" t="s">
        <v>2266</v>
      </c>
      <c r="T4" s="1491" t="s">
        <v>8891</v>
      </c>
      <c r="U4" s="1491" t="s">
        <v>8892</v>
      </c>
      <c r="V4" s="1491" t="s">
        <v>4286</v>
      </c>
      <c r="W4" s="1492" t="s">
        <v>8893</v>
      </c>
      <c r="X4" s="1492" t="s">
        <v>8894</v>
      </c>
      <c r="Y4" s="1492">
        <v>47.93</v>
      </c>
      <c r="Z4" s="1492" t="s">
        <v>8895</v>
      </c>
      <c r="AA4" s="1492" t="s">
        <v>8896</v>
      </c>
      <c r="AB4" s="1492" t="s">
        <v>8897</v>
      </c>
      <c r="AC4" s="1492">
        <v>49.24</v>
      </c>
      <c r="AD4" s="1493" t="s">
        <v>8898</v>
      </c>
      <c r="AE4" s="1494" t="s">
        <v>5578</v>
      </c>
      <c r="AF4" s="1495" t="s">
        <v>2737</v>
      </c>
      <c r="AG4" s="1495" t="s">
        <v>4602</v>
      </c>
      <c r="AH4" s="1495" t="s">
        <v>5230</v>
      </c>
      <c r="AI4" s="1495" t="s">
        <v>8899</v>
      </c>
      <c r="AJ4" s="1495" t="s">
        <v>8900</v>
      </c>
      <c r="AK4" s="1495" t="s">
        <v>886</v>
      </c>
      <c r="AL4" s="1495" t="s">
        <v>8901</v>
      </c>
      <c r="AM4" s="1496" t="s">
        <v>8902</v>
      </c>
      <c r="AN4" s="1497" t="s">
        <v>8903</v>
      </c>
      <c r="AO4" s="1496" t="s">
        <v>8904</v>
      </c>
      <c r="AP4" s="1497" t="s">
        <v>8905</v>
      </c>
      <c r="AQ4" s="1496" t="s">
        <v>8906</v>
      </c>
      <c r="AR4" s="1496" t="s">
        <v>7476</v>
      </c>
      <c r="AS4" s="1496" t="s">
        <v>756</v>
      </c>
      <c r="AT4" s="1498" t="s">
        <v>8907</v>
      </c>
      <c r="AU4" s="1499" t="s">
        <v>8908</v>
      </c>
      <c r="AV4" s="1500" t="str">
        <f t="shared" si="1"/>
        <v>2:49</v>
      </c>
      <c r="AW4" s="1468"/>
    </row>
    <row r="5" ht="15.75" customHeight="1">
      <c r="A5" s="1501" t="s">
        <v>1058</v>
      </c>
      <c r="B5" s="1502" t="s">
        <v>8825</v>
      </c>
      <c r="C5" s="1503">
        <v>0.0490162037037037</v>
      </c>
      <c r="D5" s="1504" t="s">
        <v>8826</v>
      </c>
      <c r="E5" s="1504" t="s">
        <v>8827</v>
      </c>
      <c r="F5" s="1505" t="s">
        <v>8909</v>
      </c>
      <c r="G5" s="1506" t="s">
        <v>8829</v>
      </c>
      <c r="H5" s="1504" t="s">
        <v>6307</v>
      </c>
      <c r="I5" s="1504" t="s">
        <v>8830</v>
      </c>
      <c r="J5" s="1506" t="s">
        <v>5201</v>
      </c>
      <c r="K5" s="1507" t="s">
        <v>4367</v>
      </c>
      <c r="L5" s="1505" t="s">
        <v>2307</v>
      </c>
      <c r="M5" s="1507" t="s">
        <v>2565</v>
      </c>
      <c r="N5" s="1508" t="s">
        <v>4065</v>
      </c>
      <c r="O5" s="1509" t="s">
        <v>8910</v>
      </c>
      <c r="P5" s="1508" t="s">
        <v>8833</v>
      </c>
      <c r="Q5" s="1508" t="s">
        <v>8834</v>
      </c>
      <c r="R5" s="1506" t="s">
        <v>8835</v>
      </c>
      <c r="S5" s="1508" t="s">
        <v>6792</v>
      </c>
      <c r="T5" s="1506" t="s">
        <v>3270</v>
      </c>
      <c r="U5" s="1508" t="s">
        <v>6931</v>
      </c>
      <c r="V5" s="1510" t="s">
        <v>3769</v>
      </c>
      <c r="W5" s="1504" t="s">
        <v>8836</v>
      </c>
      <c r="X5" s="1506" t="s">
        <v>8837</v>
      </c>
      <c r="Y5" s="1506" t="s">
        <v>5870</v>
      </c>
      <c r="Z5" s="1509" t="s">
        <v>5059</v>
      </c>
      <c r="AA5" s="1506" t="s">
        <v>8838</v>
      </c>
      <c r="AB5" s="1505" t="s">
        <v>3290</v>
      </c>
      <c r="AC5" s="1508" t="s">
        <v>4091</v>
      </c>
      <c r="AD5" s="1506" t="s">
        <v>8840</v>
      </c>
      <c r="AE5" s="1507" t="s">
        <v>1096</v>
      </c>
      <c r="AF5" s="1421" t="s">
        <v>8911</v>
      </c>
      <c r="AG5" s="1292" t="s">
        <v>8912</v>
      </c>
      <c r="AH5" s="1505" t="s">
        <v>5592</v>
      </c>
      <c r="AI5" s="1508" t="s">
        <v>5408</v>
      </c>
      <c r="AJ5" s="1292" t="s">
        <v>8913</v>
      </c>
      <c r="AK5" s="1508" t="s">
        <v>8844</v>
      </c>
      <c r="AL5" s="1506" t="s">
        <v>5602</v>
      </c>
      <c r="AM5" s="1506" t="s">
        <v>8845</v>
      </c>
      <c r="AN5" s="1509" t="s">
        <v>5344</v>
      </c>
      <c r="AO5" s="1507" t="s">
        <v>6793</v>
      </c>
      <c r="AP5" s="1506" t="s">
        <v>8847</v>
      </c>
      <c r="AQ5" s="1506" t="s">
        <v>8848</v>
      </c>
      <c r="AR5" s="1292" t="s">
        <v>8914</v>
      </c>
      <c r="AS5" s="1509" t="s">
        <v>4496</v>
      </c>
      <c r="AT5" s="1505" t="s">
        <v>8915</v>
      </c>
      <c r="AU5" s="1511" t="s">
        <v>8916</v>
      </c>
      <c r="AV5" s="1421" t="str">
        <f t="shared" si="1"/>
        <v>2:02</v>
      </c>
      <c r="AW5" s="1512" t="s">
        <v>8917</v>
      </c>
    </row>
    <row r="6" ht="15.75" customHeight="1">
      <c r="A6" s="1513" t="s">
        <v>437</v>
      </c>
      <c r="B6" s="1502" t="s">
        <v>8825</v>
      </c>
      <c r="C6" s="1503">
        <v>0.0493287037037037</v>
      </c>
      <c r="D6" s="1514" t="s">
        <v>8918</v>
      </c>
      <c r="E6" s="1515" t="s">
        <v>8919</v>
      </c>
      <c r="F6" s="1515" t="s">
        <v>8920</v>
      </c>
      <c r="G6" s="1515" t="s">
        <v>8921</v>
      </c>
      <c r="H6" s="1515" t="s">
        <v>8922</v>
      </c>
      <c r="I6" s="1516" t="s">
        <v>8923</v>
      </c>
      <c r="J6" s="1515" t="s">
        <v>8924</v>
      </c>
      <c r="K6" s="1515" t="s">
        <v>782</v>
      </c>
      <c r="L6" s="1515" t="s">
        <v>8925</v>
      </c>
      <c r="M6" s="1515" t="s">
        <v>2565</v>
      </c>
      <c r="N6" s="1515" t="s">
        <v>8926</v>
      </c>
      <c r="O6" s="1515" t="s">
        <v>8927</v>
      </c>
      <c r="P6" s="1515" t="s">
        <v>1285</v>
      </c>
      <c r="Q6" s="1517" t="s">
        <v>1568</v>
      </c>
      <c r="R6" s="1515" t="s">
        <v>4446</v>
      </c>
      <c r="S6" s="1515" t="s">
        <v>8924</v>
      </c>
      <c r="T6" s="1515" t="s">
        <v>5271</v>
      </c>
      <c r="U6" s="1517" t="s">
        <v>8928</v>
      </c>
      <c r="V6" s="1518" t="s">
        <v>8677</v>
      </c>
      <c r="W6" s="1515" t="s">
        <v>8929</v>
      </c>
      <c r="X6" s="1515" t="s">
        <v>8930</v>
      </c>
      <c r="Y6" s="1519">
        <v>46.72</v>
      </c>
      <c r="Z6" s="1519" t="s">
        <v>3697</v>
      </c>
      <c r="AA6" s="1515" t="s">
        <v>3710</v>
      </c>
      <c r="AB6" s="1520" t="s">
        <v>8839</v>
      </c>
      <c r="AC6" s="1515" t="s">
        <v>5484</v>
      </c>
      <c r="AD6" s="1515" t="s">
        <v>6950</v>
      </c>
      <c r="AE6" s="1521" t="s">
        <v>4797</v>
      </c>
      <c r="AF6" s="1519" t="s">
        <v>8931</v>
      </c>
      <c r="AG6" s="1518" t="s">
        <v>6169</v>
      </c>
      <c r="AH6" s="1520" t="s">
        <v>3845</v>
      </c>
      <c r="AI6" s="1515" t="s">
        <v>6062</v>
      </c>
      <c r="AJ6" s="1519" t="s">
        <v>8932</v>
      </c>
      <c r="AK6" s="1519" t="s">
        <v>5974</v>
      </c>
      <c r="AL6" s="1518" t="s">
        <v>6294</v>
      </c>
      <c r="AM6" s="1515" t="s">
        <v>8933</v>
      </c>
      <c r="AN6" s="1518" t="s">
        <v>4239</v>
      </c>
      <c r="AO6" s="1518" t="s">
        <v>2838</v>
      </c>
      <c r="AP6" s="1518" t="s">
        <v>8934</v>
      </c>
      <c r="AQ6" s="1421" t="s">
        <v>8935</v>
      </c>
      <c r="AR6" s="1518" t="s">
        <v>8936</v>
      </c>
      <c r="AS6" s="1518" t="s">
        <v>8937</v>
      </c>
      <c r="AT6" s="1518" t="s">
        <v>8938</v>
      </c>
      <c r="AU6" s="1522" t="s">
        <v>8939</v>
      </c>
      <c r="AV6" s="1421" t="str">
        <f t="shared" si="1"/>
        <v>2:15</v>
      </c>
      <c r="AW6" s="1512"/>
    </row>
    <row r="7">
      <c r="A7" s="1523" t="s">
        <v>2538</v>
      </c>
      <c r="B7" s="1524" t="s">
        <v>8825</v>
      </c>
      <c r="C7" s="1525">
        <v>0.04939673611111111</v>
      </c>
      <c r="D7" s="1526" t="s">
        <v>8940</v>
      </c>
      <c r="E7" s="1527" t="s">
        <v>2713</v>
      </c>
      <c r="F7" s="1526" t="s">
        <v>8941</v>
      </c>
      <c r="G7" s="1528" t="s">
        <v>8942</v>
      </c>
      <c r="H7" s="1526" t="s">
        <v>5959</v>
      </c>
      <c r="I7" s="1527" t="s">
        <v>2547</v>
      </c>
      <c r="J7" s="1526" t="s">
        <v>8943</v>
      </c>
      <c r="K7" s="1526" t="s">
        <v>8944</v>
      </c>
      <c r="L7" s="1526" t="s">
        <v>8945</v>
      </c>
      <c r="M7" s="1529" t="s">
        <v>8946</v>
      </c>
      <c r="N7" s="1527" t="s">
        <v>3851</v>
      </c>
      <c r="O7" s="1528" t="s">
        <v>8947</v>
      </c>
      <c r="P7" s="1529" t="s">
        <v>6603</v>
      </c>
      <c r="Q7" s="1528" t="s">
        <v>5866</v>
      </c>
      <c r="R7" s="1526" t="s">
        <v>5613</v>
      </c>
      <c r="S7" s="1527" t="s">
        <v>6756</v>
      </c>
      <c r="T7" s="1526" t="s">
        <v>8948</v>
      </c>
      <c r="U7" s="1530" t="s">
        <v>8949</v>
      </c>
      <c r="V7" s="1526" t="s">
        <v>8950</v>
      </c>
      <c r="W7" s="1527" t="s">
        <v>8951</v>
      </c>
      <c r="X7" s="1527" t="s">
        <v>4784</v>
      </c>
      <c r="Y7" s="1526" t="s">
        <v>8024</v>
      </c>
      <c r="Z7" s="1529" t="s">
        <v>8952</v>
      </c>
      <c r="AA7" s="1529" t="s">
        <v>8953</v>
      </c>
      <c r="AB7" s="1526" t="s">
        <v>8954</v>
      </c>
      <c r="AC7" s="1526" t="s">
        <v>8013</v>
      </c>
      <c r="AD7" s="1527" t="s">
        <v>8955</v>
      </c>
      <c r="AE7" s="1528" t="s">
        <v>8956</v>
      </c>
      <c r="AF7" s="1528" t="s">
        <v>8957</v>
      </c>
      <c r="AG7" s="1526" t="s">
        <v>6026</v>
      </c>
      <c r="AH7" s="1527" t="s">
        <v>3263</v>
      </c>
      <c r="AI7" s="1526" t="s">
        <v>8958</v>
      </c>
      <c r="AJ7" s="1528" t="s">
        <v>8959</v>
      </c>
      <c r="AK7" s="1526" t="s">
        <v>8845</v>
      </c>
      <c r="AL7" s="1526" t="s">
        <v>8960</v>
      </c>
      <c r="AM7" s="1526" t="s">
        <v>5025</v>
      </c>
      <c r="AN7" s="1528" t="s">
        <v>6294</v>
      </c>
      <c r="AO7" s="1526" t="s">
        <v>8961</v>
      </c>
      <c r="AP7" s="1528" t="s">
        <v>8962</v>
      </c>
      <c r="AQ7" s="1526" t="s">
        <v>4740</v>
      </c>
      <c r="AR7" s="1527" t="s">
        <v>384</v>
      </c>
      <c r="AS7" s="1526" t="s">
        <v>2068</v>
      </c>
      <c r="AT7" s="1526" t="s">
        <v>8963</v>
      </c>
      <c r="AU7" s="1531" t="s">
        <v>8964</v>
      </c>
      <c r="AV7" s="1531" t="str">
        <f t="shared" si="1"/>
        <v>2:06</v>
      </c>
      <c r="AW7" s="1532"/>
    </row>
    <row r="8" ht="15.75" customHeight="1">
      <c r="A8" s="1501" t="s">
        <v>6704</v>
      </c>
      <c r="B8" s="1502" t="s">
        <v>8825</v>
      </c>
      <c r="C8" s="1503">
        <v>0.049444444444444444</v>
      </c>
      <c r="D8" s="1509" t="s">
        <v>8965</v>
      </c>
      <c r="E8" s="1509" t="s">
        <v>8966</v>
      </c>
      <c r="F8" s="1516" t="s">
        <v>8967</v>
      </c>
      <c r="G8" s="1507" t="s">
        <v>8968</v>
      </c>
      <c r="H8" s="1516" t="s">
        <v>8969</v>
      </c>
      <c r="I8" s="1516" t="s">
        <v>2948</v>
      </c>
      <c r="J8" s="1509" t="s">
        <v>8970</v>
      </c>
      <c r="K8" s="1516" t="s">
        <v>3562</v>
      </c>
      <c r="L8" s="1516" t="s">
        <v>4187</v>
      </c>
      <c r="M8" s="1516" t="s">
        <v>6599</v>
      </c>
      <c r="N8" s="1509" t="s">
        <v>8971</v>
      </c>
      <c r="O8" s="1516" t="s">
        <v>8972</v>
      </c>
      <c r="P8" s="1421" t="s">
        <v>8013</v>
      </c>
      <c r="Q8" s="1509" t="s">
        <v>8973</v>
      </c>
      <c r="R8" s="1516" t="s">
        <v>6783</v>
      </c>
      <c r="S8" s="1516" t="s">
        <v>3434</v>
      </c>
      <c r="T8" s="1421" t="s">
        <v>8974</v>
      </c>
      <c r="U8" s="1516" t="s">
        <v>8975</v>
      </c>
      <c r="V8" s="1516" t="s">
        <v>5209</v>
      </c>
      <c r="W8" s="1533" t="s">
        <v>8976</v>
      </c>
      <c r="X8" s="1421" t="s">
        <v>2564</v>
      </c>
      <c r="Y8" s="1534" t="s">
        <v>8977</v>
      </c>
      <c r="Z8" s="1516" t="s">
        <v>7227</v>
      </c>
      <c r="AA8" s="1535" t="str">
        <f>HYPERLINK("https://www.twitch.tv/videos/571775470","1:28.03")</f>
        <v>1:28.03</v>
      </c>
      <c r="AB8" s="1421" t="s">
        <v>417</v>
      </c>
      <c r="AC8" s="1028" t="str">
        <f>HYPERLINK("https://clips.twitch.tv/HelpfulSaltyCoyoteHoneyBadger","47.31")</f>
        <v>47.31</v>
      </c>
      <c r="AD8" s="1535" t="str">
        <f>HYPERLINK("https://www.twitch.tv/videos/625954575","1:47.79")</f>
        <v>1:47.79</v>
      </c>
      <c r="AE8" s="1421" t="s">
        <v>8978</v>
      </c>
      <c r="AF8" s="1421" t="s">
        <v>8979</v>
      </c>
      <c r="AG8" s="1535" t="str">
        <f>HYPERLINK("https://www.twitch.tv/videos/566334947","1:28.73")</f>
        <v>1:28.73</v>
      </c>
      <c r="AH8" s="1516" t="s">
        <v>8980</v>
      </c>
      <c r="AI8" s="1536" t="str">
        <f>HYPERLINK("https://www.twitch.tv/videos/584107631","1:27.68")</f>
        <v>1:27.68</v>
      </c>
      <c r="AJ8" s="1421" t="s">
        <v>8981</v>
      </c>
      <c r="AK8" s="1516" t="s">
        <v>6785</v>
      </c>
      <c r="AL8" s="1516" t="s">
        <v>8982</v>
      </c>
      <c r="AM8" s="1509" t="s">
        <v>4540</v>
      </c>
      <c r="AN8" s="1509" t="s">
        <v>2717</v>
      </c>
      <c r="AO8" s="1509" t="s">
        <v>5711</v>
      </c>
      <c r="AP8" s="1516" t="s">
        <v>8983</v>
      </c>
      <c r="AQ8" s="1421" t="s">
        <v>8984</v>
      </c>
      <c r="AR8" s="1509" t="s">
        <v>8985</v>
      </c>
      <c r="AS8" s="1028" t="str">
        <f>HYPERLINK("https://www.twitch.tv/videos/571767101","42.91")</f>
        <v>42.91</v>
      </c>
      <c r="AT8" s="1505" t="s">
        <v>8986</v>
      </c>
      <c r="AU8" s="1522" t="s">
        <v>8987</v>
      </c>
      <c r="AV8" s="1421" t="str">
        <f t="shared" si="1"/>
        <v>2:32</v>
      </c>
      <c r="AW8" s="1537" t="s">
        <v>8988</v>
      </c>
    </row>
    <row r="9" ht="15.75" customHeight="1">
      <c r="A9" s="1501" t="s">
        <v>1809</v>
      </c>
      <c r="B9" s="1502" t="s">
        <v>8825</v>
      </c>
      <c r="C9" s="1503">
        <v>0.04949074074074074</v>
      </c>
      <c r="D9" s="1538" t="s">
        <v>8989</v>
      </c>
      <c r="E9" s="1534" t="s">
        <v>8990</v>
      </c>
      <c r="F9" s="1534" t="s">
        <v>2133</v>
      </c>
      <c r="G9" s="1534" t="s">
        <v>8991</v>
      </c>
      <c r="H9" s="1509" t="s">
        <v>8992</v>
      </c>
      <c r="I9" s="1515">
        <v>47.34</v>
      </c>
      <c r="J9" s="1534" t="s">
        <v>1728</v>
      </c>
      <c r="K9" s="1534" t="s">
        <v>8993</v>
      </c>
      <c r="L9" s="1534">
        <v>55.97</v>
      </c>
      <c r="M9" s="1534" t="s">
        <v>2047</v>
      </c>
      <c r="N9" s="1534" t="s">
        <v>8994</v>
      </c>
      <c r="O9" s="1539" t="s">
        <v>8832</v>
      </c>
      <c r="P9" s="1534">
        <v>47.49</v>
      </c>
      <c r="Q9" s="1534" t="s">
        <v>8995</v>
      </c>
      <c r="R9" s="1534" t="s">
        <v>1227</v>
      </c>
      <c r="S9" s="1540" t="s">
        <v>1832</v>
      </c>
      <c r="T9" s="1534" t="s">
        <v>8996</v>
      </c>
      <c r="U9" s="1509" t="s">
        <v>8997</v>
      </c>
      <c r="V9" s="1534">
        <v>59.32</v>
      </c>
      <c r="W9" s="1538" t="s">
        <v>8998</v>
      </c>
      <c r="X9" s="1541" t="s">
        <v>8999</v>
      </c>
      <c r="Y9" s="1534">
        <v>46.65</v>
      </c>
      <c r="Z9" s="1534" t="s">
        <v>9000</v>
      </c>
      <c r="AA9" s="1534" t="s">
        <v>2493</v>
      </c>
      <c r="AB9" s="1534" t="s">
        <v>9001</v>
      </c>
      <c r="AC9" s="1534">
        <v>47.89</v>
      </c>
      <c r="AD9" s="1534" t="s">
        <v>1831</v>
      </c>
      <c r="AE9" s="1534">
        <v>47.98</v>
      </c>
      <c r="AF9" s="1541" t="s">
        <v>9002</v>
      </c>
      <c r="AG9" s="1534" t="s">
        <v>9003</v>
      </c>
      <c r="AH9" s="1534">
        <v>57.45</v>
      </c>
      <c r="AI9" s="1519" t="s">
        <v>6709</v>
      </c>
      <c r="AJ9" s="1542" t="s">
        <v>8913</v>
      </c>
      <c r="AK9" s="1534" t="s">
        <v>5452</v>
      </c>
      <c r="AL9" s="1534">
        <v>56.23</v>
      </c>
      <c r="AM9" s="1538" t="s">
        <v>4020</v>
      </c>
      <c r="AN9" s="1538" t="s">
        <v>9004</v>
      </c>
      <c r="AO9" s="1534" t="s">
        <v>9005</v>
      </c>
      <c r="AP9" s="1534" t="s">
        <v>9006</v>
      </c>
      <c r="AQ9" s="1534" t="s">
        <v>9007</v>
      </c>
      <c r="AR9" s="1541" t="s">
        <v>3885</v>
      </c>
      <c r="AS9" s="1534">
        <v>46.19</v>
      </c>
      <c r="AT9" s="1543" t="s">
        <v>8850</v>
      </c>
      <c r="AU9" s="1421" t="s">
        <v>9008</v>
      </c>
      <c r="AV9" s="1421" t="str">
        <f t="shared" si="1"/>
        <v>1:33</v>
      </c>
      <c r="AW9" s="1537" t="s">
        <v>9009</v>
      </c>
    </row>
    <row r="10">
      <c r="A10" s="1544" t="s">
        <v>827</v>
      </c>
      <c r="B10" s="1545" t="s">
        <v>8825</v>
      </c>
      <c r="C10" s="1503">
        <v>0.04951388888888889</v>
      </c>
      <c r="D10" s="1518" t="s">
        <v>8965</v>
      </c>
      <c r="E10" s="1518" t="s">
        <v>255</v>
      </c>
      <c r="F10" s="1518" t="s">
        <v>9010</v>
      </c>
      <c r="G10" s="1519" t="s">
        <v>9011</v>
      </c>
      <c r="H10" s="1518" t="s">
        <v>9012</v>
      </c>
      <c r="I10" s="1518" t="s">
        <v>4548</v>
      </c>
      <c r="J10" s="1515" t="s">
        <v>1491</v>
      </c>
      <c r="K10" s="1518" t="s">
        <v>9013</v>
      </c>
      <c r="L10" s="1518" t="s">
        <v>9014</v>
      </c>
      <c r="M10" s="1521" t="s">
        <v>6281</v>
      </c>
      <c r="N10" s="1518" t="s">
        <v>5915</v>
      </c>
      <c r="O10" s="1518" t="s">
        <v>9015</v>
      </c>
      <c r="P10" s="1518" t="s">
        <v>6198</v>
      </c>
      <c r="Q10" s="1518" t="s">
        <v>4792</v>
      </c>
      <c r="R10" s="1518" t="s">
        <v>5762</v>
      </c>
      <c r="S10" s="1509" t="s">
        <v>2896</v>
      </c>
      <c r="T10" s="1518" t="s">
        <v>9016</v>
      </c>
      <c r="U10" s="1518" t="s">
        <v>9017</v>
      </c>
      <c r="V10" s="1518" t="s">
        <v>9018</v>
      </c>
      <c r="W10" s="1518" t="s">
        <v>9019</v>
      </c>
      <c r="X10" s="1509" t="s">
        <v>9020</v>
      </c>
      <c r="Y10" s="1518" t="s">
        <v>6198</v>
      </c>
      <c r="Z10" s="1539" t="s">
        <v>6855</v>
      </c>
      <c r="AA10" s="1509" t="s">
        <v>8871</v>
      </c>
      <c r="AB10" s="1518" t="s">
        <v>417</v>
      </c>
      <c r="AC10" s="1518" t="s">
        <v>3791</v>
      </c>
      <c r="AD10" s="1546" t="s">
        <v>3723</v>
      </c>
      <c r="AE10" s="1519">
        <v>47.81</v>
      </c>
      <c r="AF10" s="1518" t="s">
        <v>9021</v>
      </c>
      <c r="AG10" s="1518" t="s">
        <v>9022</v>
      </c>
      <c r="AH10" s="1518" t="s">
        <v>751</v>
      </c>
      <c r="AI10" s="1518" t="s">
        <v>9023</v>
      </c>
      <c r="AJ10" s="1518" t="s">
        <v>9024</v>
      </c>
      <c r="AK10" s="1518" t="s">
        <v>9025</v>
      </c>
      <c r="AL10" s="1518" t="s">
        <v>9026</v>
      </c>
      <c r="AM10" s="1518" t="s">
        <v>4540</v>
      </c>
      <c r="AN10" s="1539" t="s">
        <v>8846</v>
      </c>
      <c r="AO10" s="1539" t="s">
        <v>7070</v>
      </c>
      <c r="AP10" s="1518" t="s">
        <v>9027</v>
      </c>
      <c r="AQ10" s="1518" t="s">
        <v>9028</v>
      </c>
      <c r="AR10" s="1539" t="s">
        <v>8849</v>
      </c>
      <c r="AS10" s="1521" t="s">
        <v>1333</v>
      </c>
      <c r="AT10" s="1518" t="s">
        <v>9029</v>
      </c>
      <c r="AU10" s="1547" t="s">
        <v>9030</v>
      </c>
      <c r="AV10" s="1421" t="str">
        <f t="shared" si="1"/>
        <v>2:15</v>
      </c>
      <c r="AW10" s="1548" t="s">
        <v>9031</v>
      </c>
    </row>
    <row r="11" ht="15.75" customHeight="1">
      <c r="A11" s="1513" t="s">
        <v>332</v>
      </c>
      <c r="B11" s="1502" t="s">
        <v>8825</v>
      </c>
      <c r="C11" s="1503">
        <v>0.04957175925925926</v>
      </c>
      <c r="D11" s="1549" t="s">
        <v>9032</v>
      </c>
      <c r="E11" s="1515" t="s">
        <v>9033</v>
      </c>
      <c r="F11" s="1550" t="s">
        <v>8828</v>
      </c>
      <c r="G11" s="1518" t="s">
        <v>9034</v>
      </c>
      <c r="H11" s="1551" t="s">
        <v>5421</v>
      </c>
      <c r="I11" s="1518" t="s">
        <v>1388</v>
      </c>
      <c r="J11" s="1080" t="s">
        <v>9035</v>
      </c>
      <c r="K11" s="1518" t="s">
        <v>7766</v>
      </c>
      <c r="L11" s="1520" t="s">
        <v>235</v>
      </c>
      <c r="M11" s="1080" t="s">
        <v>9036</v>
      </c>
      <c r="N11" s="1515" t="s">
        <v>9037</v>
      </c>
      <c r="O11" s="1080" t="s">
        <v>9038</v>
      </c>
      <c r="P11" s="1518" t="s">
        <v>6590</v>
      </c>
      <c r="Q11" s="1518" t="s">
        <v>8995</v>
      </c>
      <c r="R11" s="1518" t="s">
        <v>5648</v>
      </c>
      <c r="S11" s="1518" t="s">
        <v>9039</v>
      </c>
      <c r="T11" s="1518" t="s">
        <v>4074</v>
      </c>
      <c r="U11" s="1518" t="s">
        <v>6278</v>
      </c>
      <c r="V11" s="950" t="s">
        <v>5558</v>
      </c>
      <c r="W11" s="1552" t="s">
        <v>9040</v>
      </c>
      <c r="X11" s="1518" t="s">
        <v>9041</v>
      </c>
      <c r="Y11" s="1515">
        <v>46.63</v>
      </c>
      <c r="Z11" s="1036" t="s">
        <v>308</v>
      </c>
      <c r="AA11" s="1515" t="s">
        <v>9042</v>
      </c>
      <c r="AB11" s="1520" t="s">
        <v>8839</v>
      </c>
      <c r="AC11" s="1518" t="s">
        <v>5482</v>
      </c>
      <c r="AD11" s="1518" t="s">
        <v>9043</v>
      </c>
      <c r="AE11" s="1519" t="s">
        <v>9044</v>
      </c>
      <c r="AF11" s="1515" t="s">
        <v>9045</v>
      </c>
      <c r="AG11" s="1534" t="s">
        <v>9046</v>
      </c>
      <c r="AH11" s="1518" t="s">
        <v>9047</v>
      </c>
      <c r="AI11" s="950" t="s">
        <v>9048</v>
      </c>
      <c r="AJ11" s="1519" t="s">
        <v>9049</v>
      </c>
      <c r="AK11" s="1518" t="s">
        <v>1298</v>
      </c>
      <c r="AL11" s="1518" t="s">
        <v>5182</v>
      </c>
      <c r="AM11" s="1518" t="s">
        <v>4074</v>
      </c>
      <c r="AN11" s="1080" t="s">
        <v>9050</v>
      </c>
      <c r="AO11" s="1518" t="s">
        <v>8936</v>
      </c>
      <c r="AP11" s="1518" t="s">
        <v>9051</v>
      </c>
      <c r="AQ11" s="1518" t="s">
        <v>9052</v>
      </c>
      <c r="AR11" s="1518" t="s">
        <v>4627</v>
      </c>
      <c r="AS11" s="1518" t="s">
        <v>9053</v>
      </c>
      <c r="AT11" s="1553" t="s">
        <v>9054</v>
      </c>
      <c r="AU11" s="1547" t="s">
        <v>9055</v>
      </c>
      <c r="AV11" s="1421" t="str">
        <f t="shared" si="1"/>
        <v>2:59</v>
      </c>
      <c r="AW11" s="1554"/>
    </row>
    <row r="12">
      <c r="A12" s="1513" t="s">
        <v>6594</v>
      </c>
      <c r="B12" s="1555" t="s">
        <v>8825</v>
      </c>
      <c r="C12" s="1503">
        <v>0.04958333333333333</v>
      </c>
      <c r="D12" s="950" t="s">
        <v>9056</v>
      </c>
      <c r="E12" s="1534" t="s">
        <v>6554</v>
      </c>
      <c r="F12" s="1534" t="s">
        <v>9057</v>
      </c>
      <c r="G12" s="1534" t="s">
        <v>9058</v>
      </c>
      <c r="H12" s="1538" t="s">
        <v>9059</v>
      </c>
      <c r="I12" s="1538" t="s">
        <v>5775</v>
      </c>
      <c r="J12" s="1538" t="s">
        <v>151</v>
      </c>
      <c r="K12" s="1538" t="s">
        <v>6941</v>
      </c>
      <c r="L12" s="1534">
        <v>56.42</v>
      </c>
      <c r="M12" s="1534" t="s">
        <v>1121</v>
      </c>
      <c r="N12" s="1534" t="s">
        <v>9060</v>
      </c>
      <c r="O12" s="1538" t="s">
        <v>9061</v>
      </c>
      <c r="P12" s="1538" t="s">
        <v>282</v>
      </c>
      <c r="Q12" s="1538" t="s">
        <v>9062</v>
      </c>
      <c r="R12" s="1534" t="s">
        <v>9063</v>
      </c>
      <c r="S12" s="1538" t="s">
        <v>9064</v>
      </c>
      <c r="T12" s="1538" t="s">
        <v>5025</v>
      </c>
      <c r="U12" s="1538" t="s">
        <v>9065</v>
      </c>
      <c r="V12" s="1534">
        <v>59.45</v>
      </c>
      <c r="W12" s="1538" t="s">
        <v>9066</v>
      </c>
      <c r="X12" s="1538" t="s">
        <v>9067</v>
      </c>
      <c r="Y12" s="1538" t="s">
        <v>5134</v>
      </c>
      <c r="Z12" s="1534" t="s">
        <v>4181</v>
      </c>
      <c r="AA12" s="1534" t="s">
        <v>3212</v>
      </c>
      <c r="AB12" s="1534" t="s">
        <v>4595</v>
      </c>
      <c r="AC12" s="1538" t="s">
        <v>4904</v>
      </c>
      <c r="AD12" s="1538" t="s">
        <v>9068</v>
      </c>
      <c r="AE12" s="1534">
        <v>47.89</v>
      </c>
      <c r="AF12" s="1534" t="s">
        <v>9069</v>
      </c>
      <c r="AG12" s="1521" t="s">
        <v>8842</v>
      </c>
      <c r="AH12" s="1534">
        <v>57.71</v>
      </c>
      <c r="AI12" s="1538" t="s">
        <v>2227</v>
      </c>
      <c r="AJ12" s="1534" t="s">
        <v>9070</v>
      </c>
      <c r="AK12" s="1538" t="s">
        <v>6796</v>
      </c>
      <c r="AL12" s="1534">
        <v>56.69</v>
      </c>
      <c r="AM12" s="1538" t="s">
        <v>9071</v>
      </c>
      <c r="AN12" s="1538" t="s">
        <v>4141</v>
      </c>
      <c r="AO12" s="1538" t="s">
        <v>2932</v>
      </c>
      <c r="AP12" s="1534" t="s">
        <v>9072</v>
      </c>
      <c r="AQ12" s="1538" t="s">
        <v>9073</v>
      </c>
      <c r="AR12" s="1538" t="s">
        <v>9074</v>
      </c>
      <c r="AS12" s="1534">
        <v>43.65</v>
      </c>
      <c r="AT12" s="1538" t="s">
        <v>9075</v>
      </c>
      <c r="AU12" s="1522" t="s">
        <v>9076</v>
      </c>
      <c r="AV12" s="1421" t="str">
        <f t="shared" si="1"/>
        <v>1:34</v>
      </c>
      <c r="AW12" s="1556" t="s">
        <v>9077</v>
      </c>
    </row>
    <row r="13" ht="15.75" customHeight="1">
      <c r="A13" s="1557" t="s">
        <v>7111</v>
      </c>
      <c r="B13" s="1502" t="s">
        <v>8825</v>
      </c>
      <c r="C13" s="1503">
        <v>0.04967592592592593</v>
      </c>
      <c r="D13" s="950" t="s">
        <v>9078</v>
      </c>
      <c r="E13" s="1516" t="s">
        <v>956</v>
      </c>
      <c r="F13" s="1516" t="s">
        <v>9079</v>
      </c>
      <c r="G13" s="1516" t="s">
        <v>9080</v>
      </c>
      <c r="H13" s="950" t="s">
        <v>9081</v>
      </c>
      <c r="I13" s="1516" t="s">
        <v>9082</v>
      </c>
      <c r="J13" s="1516" t="s">
        <v>9083</v>
      </c>
      <c r="K13" s="1516" t="s">
        <v>6518</v>
      </c>
      <c r="L13" s="1516" t="s">
        <v>4501</v>
      </c>
      <c r="M13" s="1516" t="s">
        <v>8639</v>
      </c>
      <c r="N13" s="1516" t="s">
        <v>2223</v>
      </c>
      <c r="O13" s="1516" t="s">
        <v>3330</v>
      </c>
      <c r="P13" s="1516" t="s">
        <v>9082</v>
      </c>
      <c r="Q13" s="1516" t="s">
        <v>9084</v>
      </c>
      <c r="R13" s="1516" t="s">
        <v>1227</v>
      </c>
      <c r="S13" s="1558" t="s">
        <v>9085</v>
      </c>
      <c r="T13" s="1516" t="s">
        <v>4917</v>
      </c>
      <c r="U13" s="1516" t="s">
        <v>9086</v>
      </c>
      <c r="V13" s="1516" t="s">
        <v>9087</v>
      </c>
      <c r="W13" s="1516" t="s">
        <v>9088</v>
      </c>
      <c r="X13" s="1516" t="s">
        <v>1049</v>
      </c>
      <c r="Y13" s="1516" t="s">
        <v>4388</v>
      </c>
      <c r="Z13" s="1516" t="s">
        <v>9089</v>
      </c>
      <c r="AA13" s="1516" t="s">
        <v>9090</v>
      </c>
      <c r="AB13" s="1516" t="s">
        <v>1840</v>
      </c>
      <c r="AC13" s="1516" t="s">
        <v>761</v>
      </c>
      <c r="AD13" s="1516" t="s">
        <v>9091</v>
      </c>
      <c r="AE13" s="1516" t="s">
        <v>6603</v>
      </c>
      <c r="AF13" s="1509" t="s">
        <v>9092</v>
      </c>
      <c r="AG13" s="1516" t="s">
        <v>9093</v>
      </c>
      <c r="AH13" s="1516" t="s">
        <v>4817</v>
      </c>
      <c r="AI13" s="1516" t="s">
        <v>3013</v>
      </c>
      <c r="AJ13" s="1516" t="s">
        <v>9094</v>
      </c>
      <c r="AK13" s="1516" t="s">
        <v>4189</v>
      </c>
      <c r="AL13" s="1516" t="s">
        <v>9095</v>
      </c>
      <c r="AM13" s="1516" t="s">
        <v>9096</v>
      </c>
      <c r="AN13" s="950" t="s">
        <v>8925</v>
      </c>
      <c r="AO13" s="1516" t="s">
        <v>9097</v>
      </c>
      <c r="AP13" s="1516" t="s">
        <v>9098</v>
      </c>
      <c r="AQ13" s="1509" t="s">
        <v>9099</v>
      </c>
      <c r="AR13" s="1516" t="s">
        <v>1844</v>
      </c>
      <c r="AS13" s="1516" t="s">
        <v>1574</v>
      </c>
      <c r="AT13" s="1516" t="s">
        <v>9100</v>
      </c>
      <c r="AU13" s="1516" t="s">
        <v>9101</v>
      </c>
      <c r="AV13" s="1421" t="str">
        <f t="shared" si="1"/>
        <v>2:47</v>
      </c>
      <c r="AW13" s="1512" t="s">
        <v>9102</v>
      </c>
    </row>
    <row r="14" ht="15.75" customHeight="1">
      <c r="A14" s="1557" t="s">
        <v>2150</v>
      </c>
      <c r="B14" s="1559" t="s">
        <v>8853</v>
      </c>
      <c r="C14" s="1503">
        <v>0.04967592592592593</v>
      </c>
      <c r="D14" s="1560" t="s">
        <v>9103</v>
      </c>
      <c r="E14" s="950" t="s">
        <v>3293</v>
      </c>
      <c r="F14" s="950" t="s">
        <v>9104</v>
      </c>
      <c r="G14" s="1560" t="s">
        <v>9105</v>
      </c>
      <c r="H14" s="1561" t="s">
        <v>8857</v>
      </c>
      <c r="I14" s="950" t="s">
        <v>9106</v>
      </c>
      <c r="J14" s="950" t="s">
        <v>9107</v>
      </c>
      <c r="K14" s="1562" t="s">
        <v>8859</v>
      </c>
      <c r="L14" s="1563" t="s">
        <v>4698</v>
      </c>
      <c r="M14" s="950" t="s">
        <v>6577</v>
      </c>
      <c r="N14" s="1564" t="s">
        <v>5240</v>
      </c>
      <c r="O14" s="950" t="s">
        <v>6922</v>
      </c>
      <c r="P14" s="1564" t="s">
        <v>5482</v>
      </c>
      <c r="Q14" s="950" t="s">
        <v>9108</v>
      </c>
      <c r="R14" s="1562" t="s">
        <v>8862</v>
      </c>
      <c r="S14" s="1565" t="s">
        <v>8863</v>
      </c>
      <c r="T14" s="1566" t="s">
        <v>4020</v>
      </c>
      <c r="U14" s="1567" t="s">
        <v>9109</v>
      </c>
      <c r="V14" s="1568" t="s">
        <v>9110</v>
      </c>
      <c r="W14" s="1569" t="s">
        <v>4146</v>
      </c>
      <c r="X14" s="1563" t="s">
        <v>6002</v>
      </c>
      <c r="Y14" s="1562" t="s">
        <v>8866</v>
      </c>
      <c r="Z14" s="1569" t="s">
        <v>1339</v>
      </c>
      <c r="AA14" s="1570" t="s">
        <v>5759</v>
      </c>
      <c r="AB14" s="1562" t="s">
        <v>6775</v>
      </c>
      <c r="AC14" s="1571" t="s">
        <v>8867</v>
      </c>
      <c r="AD14" s="950" t="s">
        <v>9111</v>
      </c>
      <c r="AE14" s="1572" t="s">
        <v>7667</v>
      </c>
      <c r="AF14" s="1292" t="s">
        <v>9112</v>
      </c>
      <c r="AG14" s="1569" t="s">
        <v>4607</v>
      </c>
      <c r="AH14" s="1573" t="s">
        <v>8870</v>
      </c>
      <c r="AI14" s="1573" t="s">
        <v>8871</v>
      </c>
      <c r="AJ14" s="950" t="s">
        <v>9113</v>
      </c>
      <c r="AK14" s="1563" t="s">
        <v>3373</v>
      </c>
      <c r="AL14" s="1563" t="s">
        <v>9114</v>
      </c>
      <c r="AM14" s="1562" t="s">
        <v>887</v>
      </c>
      <c r="AN14" s="1574" t="s">
        <v>4721</v>
      </c>
      <c r="AO14" s="1562" t="s">
        <v>7279</v>
      </c>
      <c r="AP14" s="1575" t="s">
        <v>8874</v>
      </c>
      <c r="AQ14" s="1576" t="s">
        <v>8875</v>
      </c>
      <c r="AR14" s="1576" t="s">
        <v>4072</v>
      </c>
      <c r="AS14" s="1577" t="s">
        <v>4875</v>
      </c>
      <c r="AT14" s="1562" t="s">
        <v>8876</v>
      </c>
      <c r="AU14" s="1547" t="s">
        <v>9115</v>
      </c>
      <c r="AV14" s="1421" t="str">
        <f t="shared" si="1"/>
        <v>4:01</v>
      </c>
      <c r="AW14" s="1548" t="s">
        <v>9116</v>
      </c>
    </row>
    <row r="15" ht="15.75" customHeight="1">
      <c r="A15" s="1578" t="s">
        <v>2705</v>
      </c>
      <c r="B15" s="1502" t="s">
        <v>8825</v>
      </c>
      <c r="C15" s="1579">
        <v>0.04971064814814815</v>
      </c>
      <c r="D15" s="1359" t="s">
        <v>9117</v>
      </c>
      <c r="E15" s="1580" t="s">
        <v>513</v>
      </c>
      <c r="F15" s="1580" t="s">
        <v>9118</v>
      </c>
      <c r="G15" s="1580" t="s">
        <v>9119</v>
      </c>
      <c r="H15" s="1509" t="s">
        <v>9120</v>
      </c>
      <c r="I15" s="877" t="s">
        <v>5760</v>
      </c>
      <c r="J15" s="1564" t="s">
        <v>2541</v>
      </c>
      <c r="K15" s="1564" t="s">
        <v>4343</v>
      </c>
      <c r="L15" s="1564" t="s">
        <v>4698</v>
      </c>
      <c r="M15" s="1581" t="s">
        <v>6281</v>
      </c>
      <c r="N15" s="1564" t="s">
        <v>2658</v>
      </c>
      <c r="O15" s="1564" t="s">
        <v>9121</v>
      </c>
      <c r="P15" s="1564" t="s">
        <v>9122</v>
      </c>
      <c r="Q15" s="1509" t="s">
        <v>9123</v>
      </c>
      <c r="R15" s="1567" t="s">
        <v>9124</v>
      </c>
      <c r="S15" s="1509" t="s">
        <v>1832</v>
      </c>
      <c r="T15" s="1567" t="s">
        <v>9125</v>
      </c>
      <c r="U15" s="1509" t="s">
        <v>9126</v>
      </c>
      <c r="V15" s="1567" t="s">
        <v>3450</v>
      </c>
      <c r="W15" s="1582" t="s">
        <v>9127</v>
      </c>
      <c r="X15" s="1582" t="s">
        <v>4103</v>
      </c>
      <c r="Y15" s="1582" t="s">
        <v>8024</v>
      </c>
      <c r="Z15" s="1582" t="s">
        <v>9128</v>
      </c>
      <c r="AA15" s="1582" t="s">
        <v>6169</v>
      </c>
      <c r="AB15" s="1582" t="s">
        <v>4427</v>
      </c>
      <c r="AC15" s="1582" t="s">
        <v>1146</v>
      </c>
      <c r="AD15" s="1580" t="s">
        <v>9129</v>
      </c>
      <c r="AE15" s="1580" t="s">
        <v>5379</v>
      </c>
      <c r="AF15" s="1583" t="s">
        <v>9130</v>
      </c>
      <c r="AG15" s="1583" t="s">
        <v>7361</v>
      </c>
      <c r="AH15" s="1583" t="s">
        <v>5389</v>
      </c>
      <c r="AI15" s="1583" t="s">
        <v>9131</v>
      </c>
      <c r="AJ15" s="1583" t="s">
        <v>9132</v>
      </c>
      <c r="AK15" s="1583" t="s">
        <v>9133</v>
      </c>
      <c r="AL15" s="1583" t="s">
        <v>3577</v>
      </c>
      <c r="AM15" s="1584" t="s">
        <v>9134</v>
      </c>
      <c r="AN15" s="1585" t="s">
        <v>4698</v>
      </c>
      <c r="AO15" s="1585" t="s">
        <v>9135</v>
      </c>
      <c r="AP15" s="1584" t="s">
        <v>9136</v>
      </c>
      <c r="AQ15" s="1584" t="s">
        <v>9137</v>
      </c>
      <c r="AR15" s="1585" t="s">
        <v>9138</v>
      </c>
      <c r="AS15" s="1584" t="s">
        <v>275</v>
      </c>
      <c r="AT15" s="1522" t="s">
        <v>9139</v>
      </c>
      <c r="AU15" s="1547" t="s">
        <v>9140</v>
      </c>
      <c r="AV15" s="1421" t="str">
        <f t="shared" si="1"/>
        <v>2:35</v>
      </c>
      <c r="AW15" s="1586" t="s">
        <v>9141</v>
      </c>
    </row>
    <row r="16">
      <c r="A16" s="1557" t="s">
        <v>1879</v>
      </c>
      <c r="B16" s="1555" t="s">
        <v>8825</v>
      </c>
      <c r="C16" s="1587">
        <v>0.04976851851851852</v>
      </c>
      <c r="D16" s="1538" t="s">
        <v>9142</v>
      </c>
      <c r="E16" s="1538" t="s">
        <v>9143</v>
      </c>
      <c r="F16" s="1538" t="s">
        <v>9144</v>
      </c>
      <c r="G16" s="1541" t="s">
        <v>9145</v>
      </c>
      <c r="H16" s="1538" t="s">
        <v>9146</v>
      </c>
      <c r="I16" s="1538" t="s">
        <v>3751</v>
      </c>
      <c r="J16" s="1538" t="s">
        <v>9147</v>
      </c>
      <c r="K16" s="1543" t="s">
        <v>8831</v>
      </c>
      <c r="L16" s="1538" t="s">
        <v>9148</v>
      </c>
      <c r="M16" s="1538" t="s">
        <v>9149</v>
      </c>
      <c r="N16" s="1538" t="s">
        <v>689</v>
      </c>
      <c r="O16" s="1538" t="s">
        <v>9150</v>
      </c>
      <c r="P16" s="1538" t="s">
        <v>6590</v>
      </c>
      <c r="Q16" s="1538" t="s">
        <v>9151</v>
      </c>
      <c r="R16" s="1538" t="s">
        <v>6894</v>
      </c>
      <c r="S16" s="1538" t="s">
        <v>9152</v>
      </c>
      <c r="T16" s="1538" t="s">
        <v>5879</v>
      </c>
      <c r="U16" s="1538" t="s">
        <v>9153</v>
      </c>
      <c r="V16" s="1538" t="s">
        <v>9154</v>
      </c>
      <c r="W16" s="1538" t="s">
        <v>9155</v>
      </c>
      <c r="X16" s="1538" t="s">
        <v>9156</v>
      </c>
      <c r="Y16" s="1538" t="s">
        <v>8977</v>
      </c>
      <c r="Z16" s="1538" t="s">
        <v>9157</v>
      </c>
      <c r="AA16" s="1538" t="s">
        <v>9158</v>
      </c>
      <c r="AB16" s="1538" t="s">
        <v>9159</v>
      </c>
      <c r="AC16" s="1538" t="s">
        <v>598</v>
      </c>
      <c r="AD16" s="1538" t="s">
        <v>3232</v>
      </c>
      <c r="AE16" s="1538" t="s">
        <v>5532</v>
      </c>
      <c r="AF16" s="1538" t="s">
        <v>9160</v>
      </c>
      <c r="AG16" s="1538" t="s">
        <v>311</v>
      </c>
      <c r="AH16" s="1538" t="s">
        <v>9161</v>
      </c>
      <c r="AI16" s="1538" t="s">
        <v>3212</v>
      </c>
      <c r="AJ16" s="1538" t="s">
        <v>9162</v>
      </c>
      <c r="AK16" s="1538" t="s">
        <v>9163</v>
      </c>
      <c r="AL16" s="1538" t="s">
        <v>346</v>
      </c>
      <c r="AM16" s="1538" t="s">
        <v>2225</v>
      </c>
      <c r="AN16" s="1538" t="s">
        <v>235</v>
      </c>
      <c r="AO16" s="1538" t="s">
        <v>9164</v>
      </c>
      <c r="AP16" s="1538" t="s">
        <v>9165</v>
      </c>
      <c r="AQ16" s="1588" t="s">
        <v>9166</v>
      </c>
      <c r="AR16" s="1538" t="s">
        <v>9167</v>
      </c>
      <c r="AS16" s="1538" t="s">
        <v>839</v>
      </c>
      <c r="AT16" s="1538" t="s">
        <v>2408</v>
      </c>
      <c r="AU16" s="1516" t="s">
        <v>9168</v>
      </c>
      <c r="AV16" s="1421" t="str">
        <f t="shared" si="1"/>
        <v>2:14</v>
      </c>
      <c r="AW16" s="1589"/>
    </row>
    <row r="17" ht="15.75" customHeight="1">
      <c r="A17" s="1501" t="s">
        <v>6392</v>
      </c>
      <c r="B17" s="1590" t="s">
        <v>8825</v>
      </c>
      <c r="C17" s="1503">
        <v>0.04982638888888889</v>
      </c>
      <c r="D17" s="1359" t="s">
        <v>9169</v>
      </c>
      <c r="E17" s="1359" t="s">
        <v>4841</v>
      </c>
      <c r="F17" s="1359" t="s">
        <v>9170</v>
      </c>
      <c r="G17" s="1359" t="s">
        <v>9171</v>
      </c>
      <c r="H17" s="1359" t="s">
        <v>9172</v>
      </c>
      <c r="I17" s="1359" t="s">
        <v>5668</v>
      </c>
      <c r="J17" s="1359" t="s">
        <v>9173</v>
      </c>
      <c r="K17" s="950" t="s">
        <v>9174</v>
      </c>
      <c r="L17" s="1359" t="s">
        <v>9175</v>
      </c>
      <c r="M17" s="1359" t="s">
        <v>9176</v>
      </c>
      <c r="N17" s="1359" t="s">
        <v>2096</v>
      </c>
      <c r="O17" s="1359" t="s">
        <v>9177</v>
      </c>
      <c r="P17" s="950" t="s">
        <v>4475</v>
      </c>
      <c r="Q17" s="1359" t="s">
        <v>9178</v>
      </c>
      <c r="R17" s="1359" t="s">
        <v>1871</v>
      </c>
      <c r="S17" s="1359" t="s">
        <v>3434</v>
      </c>
      <c r="T17" s="1359" t="s">
        <v>9179</v>
      </c>
      <c r="U17" s="1359" t="s">
        <v>9180</v>
      </c>
      <c r="V17" s="1359" t="s">
        <v>7651</v>
      </c>
      <c r="W17" s="1359" t="s">
        <v>5470</v>
      </c>
      <c r="X17" s="1359" t="s">
        <v>8842</v>
      </c>
      <c r="Y17" s="1359" t="s">
        <v>8923</v>
      </c>
      <c r="Z17" s="1359" t="s">
        <v>7774</v>
      </c>
      <c r="AA17" s="1591" t="s">
        <v>9181</v>
      </c>
      <c r="AB17" s="1359" t="s">
        <v>5915</v>
      </c>
      <c r="AC17" s="1359" t="s">
        <v>1027</v>
      </c>
      <c r="AD17" s="1359" t="s">
        <v>6979</v>
      </c>
      <c r="AE17" s="1359" t="s">
        <v>4964</v>
      </c>
      <c r="AF17" s="1359" t="s">
        <v>9182</v>
      </c>
      <c r="AG17" s="1359" t="s">
        <v>1532</v>
      </c>
      <c r="AH17" s="950" t="s">
        <v>9183</v>
      </c>
      <c r="AI17" s="1359" t="s">
        <v>8490</v>
      </c>
      <c r="AJ17" s="1359" t="s">
        <v>9184</v>
      </c>
      <c r="AK17" s="1359" t="s">
        <v>9185</v>
      </c>
      <c r="AL17" s="1359" t="s">
        <v>4419</v>
      </c>
      <c r="AM17" s="1359" t="s">
        <v>3457</v>
      </c>
      <c r="AN17" s="1359" t="s">
        <v>9186</v>
      </c>
      <c r="AO17" s="1359" t="s">
        <v>8985</v>
      </c>
      <c r="AP17" s="1522" t="s">
        <v>8928</v>
      </c>
      <c r="AQ17" s="1359" t="s">
        <v>9187</v>
      </c>
      <c r="AR17" s="1359" t="s">
        <v>9188</v>
      </c>
      <c r="AS17" s="1359" t="s">
        <v>9189</v>
      </c>
      <c r="AT17" s="1359" t="s">
        <v>9190</v>
      </c>
      <c r="AU17" s="1349" t="s">
        <v>9191</v>
      </c>
      <c r="AV17" s="1421" t="str">
        <f t="shared" si="1"/>
        <v>2:18</v>
      </c>
      <c r="AW17" s="1592" t="s">
        <v>9192</v>
      </c>
    </row>
    <row r="18" ht="15.75" customHeight="1">
      <c r="A18" s="1501" t="s">
        <v>2085</v>
      </c>
      <c r="B18" s="1502" t="s">
        <v>8825</v>
      </c>
      <c r="C18" s="1503">
        <v>0.049895833333333334</v>
      </c>
      <c r="D18" s="950" t="s">
        <v>9193</v>
      </c>
      <c r="E18" s="1593" t="s">
        <v>956</v>
      </c>
      <c r="F18" s="1580" t="s">
        <v>9194</v>
      </c>
      <c r="G18" s="1593" t="s">
        <v>9195</v>
      </c>
      <c r="H18" s="774" t="s">
        <v>9196</v>
      </c>
      <c r="I18" s="877" t="s">
        <v>5534</v>
      </c>
      <c r="J18" s="1564" t="s">
        <v>9197</v>
      </c>
      <c r="K18" s="1594" t="s">
        <v>9198</v>
      </c>
      <c r="L18" s="1564" t="s">
        <v>8945</v>
      </c>
      <c r="M18" s="1564" t="s">
        <v>5061</v>
      </c>
      <c r="N18" s="1564" t="s">
        <v>9199</v>
      </c>
      <c r="O18" s="1594" t="s">
        <v>9200</v>
      </c>
      <c r="P18" s="950" t="s">
        <v>1070</v>
      </c>
      <c r="Q18" s="1567" t="s">
        <v>3545</v>
      </c>
      <c r="R18" s="1595" t="s">
        <v>7771</v>
      </c>
      <c r="S18" s="1595" t="s">
        <v>9201</v>
      </c>
      <c r="T18" s="1595" t="s">
        <v>9202</v>
      </c>
      <c r="U18" s="1595" t="s">
        <v>1829</v>
      </c>
      <c r="V18" s="1567" t="s">
        <v>4454</v>
      </c>
      <c r="W18" s="1582" t="s">
        <v>9203</v>
      </c>
      <c r="X18" s="1596" t="s">
        <v>9204</v>
      </c>
      <c r="Y18" s="1582" t="s">
        <v>9205</v>
      </c>
      <c r="Z18" s="1582" t="s">
        <v>9206</v>
      </c>
      <c r="AA18" s="1582" t="s">
        <v>3317</v>
      </c>
      <c r="AB18" s="1596" t="s">
        <v>7332</v>
      </c>
      <c r="AC18" s="1596" t="s">
        <v>1220</v>
      </c>
      <c r="AD18" s="1593" t="s">
        <v>9207</v>
      </c>
      <c r="AE18" s="1593" t="s">
        <v>9208</v>
      </c>
      <c r="AF18" s="1597" t="s">
        <v>9209</v>
      </c>
      <c r="AG18" s="1583" t="s">
        <v>9210</v>
      </c>
      <c r="AH18" s="1583" t="s">
        <v>9211</v>
      </c>
      <c r="AI18" s="1583" t="s">
        <v>9212</v>
      </c>
      <c r="AJ18" s="1597" t="s">
        <v>9213</v>
      </c>
      <c r="AK18" s="1597" t="s">
        <v>962</v>
      </c>
      <c r="AL18" s="1583" t="s">
        <v>9214</v>
      </c>
      <c r="AM18" s="1585" t="s">
        <v>9215</v>
      </c>
      <c r="AN18" s="1584" t="s">
        <v>3155</v>
      </c>
      <c r="AO18" s="1585" t="s">
        <v>6927</v>
      </c>
      <c r="AP18" s="1584" t="s">
        <v>5655</v>
      </c>
      <c r="AQ18" s="1585" t="s">
        <v>9216</v>
      </c>
      <c r="AR18" s="1584" t="s">
        <v>1162</v>
      </c>
      <c r="AS18" s="1584" t="s">
        <v>3913</v>
      </c>
      <c r="AT18" s="1594" t="s">
        <v>6574</v>
      </c>
      <c r="AU18" s="1598" t="s">
        <v>9217</v>
      </c>
      <c r="AV18" s="1421" t="str">
        <f t="shared" si="1"/>
        <v>2:22</v>
      </c>
      <c r="AW18" s="1554" t="s">
        <v>9218</v>
      </c>
    </row>
    <row r="19">
      <c r="A19" s="1557" t="s">
        <v>1553</v>
      </c>
      <c r="B19" s="1545" t="s">
        <v>8825</v>
      </c>
      <c r="C19" s="1503">
        <v>0.04991898148148148</v>
      </c>
      <c r="D19" s="1599" t="s">
        <v>9219</v>
      </c>
      <c r="E19" s="1600" t="s">
        <v>9220</v>
      </c>
      <c r="F19" s="1600" t="s">
        <v>9221</v>
      </c>
      <c r="G19" s="1600" t="s">
        <v>9222</v>
      </c>
      <c r="H19" s="1600" t="s">
        <v>9223</v>
      </c>
      <c r="I19" s="1600">
        <v>48.07</v>
      </c>
      <c r="J19" s="1600" t="s">
        <v>9224</v>
      </c>
      <c r="K19" s="1600" t="s">
        <v>1704</v>
      </c>
      <c r="L19" s="1600">
        <v>56.32</v>
      </c>
      <c r="M19" s="1600" t="s">
        <v>176</v>
      </c>
      <c r="N19" s="1600" t="s">
        <v>9225</v>
      </c>
      <c r="O19" s="1600" t="s">
        <v>9226</v>
      </c>
      <c r="P19" s="1600">
        <v>47.77</v>
      </c>
      <c r="Q19" s="1600" t="s">
        <v>9227</v>
      </c>
      <c r="R19" s="1600" t="s">
        <v>6825</v>
      </c>
      <c r="S19" s="1600" t="s">
        <v>9228</v>
      </c>
      <c r="T19" s="1600" t="s">
        <v>4586</v>
      </c>
      <c r="U19" s="1600" t="s">
        <v>9229</v>
      </c>
      <c r="V19" s="1600">
        <v>59.79</v>
      </c>
      <c r="W19" s="1600" t="s">
        <v>9230</v>
      </c>
      <c r="X19" s="1600" t="s">
        <v>1923</v>
      </c>
      <c r="Y19" s="1600">
        <v>47.0</v>
      </c>
      <c r="Z19" s="1600" t="s">
        <v>9231</v>
      </c>
      <c r="AA19" s="1600" t="s">
        <v>9232</v>
      </c>
      <c r="AB19" s="1600" t="s">
        <v>6775</v>
      </c>
      <c r="AC19" s="1600">
        <v>47.56</v>
      </c>
      <c r="AD19" s="1600" t="s">
        <v>8868</v>
      </c>
      <c r="AE19" s="1600">
        <v>47.95</v>
      </c>
      <c r="AF19" s="1600" t="s">
        <v>9233</v>
      </c>
      <c r="AG19" s="1600" t="s">
        <v>9234</v>
      </c>
      <c r="AH19" s="1600">
        <v>57.67</v>
      </c>
      <c r="AI19" s="1600" t="s">
        <v>1049</v>
      </c>
      <c r="AJ19" s="1600" t="s">
        <v>9235</v>
      </c>
      <c r="AK19" s="1600" t="s">
        <v>7356</v>
      </c>
      <c r="AL19" s="1600">
        <v>56.37</v>
      </c>
      <c r="AM19" s="1600" t="s">
        <v>9236</v>
      </c>
      <c r="AN19" s="1600">
        <v>55.92</v>
      </c>
      <c r="AO19" s="1600" t="s">
        <v>4506</v>
      </c>
      <c r="AP19" s="1600" t="s">
        <v>8733</v>
      </c>
      <c r="AQ19" s="1600" t="s">
        <v>9237</v>
      </c>
      <c r="AR19" s="1600" t="s">
        <v>7475</v>
      </c>
      <c r="AS19" s="1600">
        <v>46.83</v>
      </c>
      <c r="AT19" s="1601" t="s">
        <v>9238</v>
      </c>
      <c r="AU19" s="1538" t="s">
        <v>9239</v>
      </c>
      <c r="AV19" s="1421" t="str">
        <f t="shared" si="1"/>
        <v>1:53</v>
      </c>
      <c r="AW19" s="1548" t="s">
        <v>9240</v>
      </c>
    </row>
    <row r="20">
      <c r="A20" s="1557" t="s">
        <v>2103</v>
      </c>
      <c r="B20" s="1545" t="s">
        <v>8825</v>
      </c>
      <c r="C20" s="1602">
        <v>0.049930555555555554</v>
      </c>
      <c r="D20" s="1603" t="s">
        <v>9241</v>
      </c>
      <c r="E20" s="1538" t="s">
        <v>6460</v>
      </c>
      <c r="F20" s="1538" t="s">
        <v>4252</v>
      </c>
      <c r="G20" s="1538" t="s">
        <v>9242</v>
      </c>
      <c r="H20" s="1538" t="s">
        <v>9243</v>
      </c>
      <c r="I20" s="1538" t="s">
        <v>5775</v>
      </c>
      <c r="J20" s="1538" t="s">
        <v>6420</v>
      </c>
      <c r="K20" s="1538" t="s">
        <v>9244</v>
      </c>
      <c r="L20" s="1538" t="s">
        <v>3577</v>
      </c>
      <c r="M20" s="1538" t="s">
        <v>1089</v>
      </c>
      <c r="N20" s="1538" t="s">
        <v>9245</v>
      </c>
      <c r="O20" s="1538" t="s">
        <v>800</v>
      </c>
      <c r="P20" s="1534">
        <v>47.54</v>
      </c>
      <c r="Q20" s="1604" t="s">
        <v>5782</v>
      </c>
      <c r="R20" s="1534" t="s">
        <v>9246</v>
      </c>
      <c r="S20" s="1604" t="s">
        <v>9085</v>
      </c>
      <c r="T20" s="1534" t="s">
        <v>9247</v>
      </c>
      <c r="U20" s="1604" t="s">
        <v>9248</v>
      </c>
      <c r="V20" s="1534">
        <v>58.55</v>
      </c>
      <c r="W20" s="1604" t="s">
        <v>9249</v>
      </c>
      <c r="X20" s="1604" t="s">
        <v>9250</v>
      </c>
      <c r="Y20" s="1509" t="s">
        <v>8977</v>
      </c>
      <c r="Z20" s="1604" t="s">
        <v>9251</v>
      </c>
      <c r="AA20" s="1538" t="s">
        <v>9252</v>
      </c>
      <c r="AB20" s="1604" t="s">
        <v>9159</v>
      </c>
      <c r="AC20" s="1421">
        <v>47.2</v>
      </c>
      <c r="AD20" s="1604" t="s">
        <v>9253</v>
      </c>
      <c r="AE20" s="1534">
        <v>47.88</v>
      </c>
      <c r="AF20" s="1604" t="s">
        <v>9254</v>
      </c>
      <c r="AG20" s="1604" t="s">
        <v>9255</v>
      </c>
      <c r="AH20" s="1604">
        <v>57.68</v>
      </c>
      <c r="AI20" s="1604" t="s">
        <v>2919</v>
      </c>
      <c r="AJ20" s="1534" t="s">
        <v>9256</v>
      </c>
      <c r="AK20" s="1509" t="s">
        <v>9257</v>
      </c>
      <c r="AL20" s="1604">
        <v>55.92</v>
      </c>
      <c r="AM20" s="1604" t="s">
        <v>2960</v>
      </c>
      <c r="AN20" s="1509" t="s">
        <v>5764</v>
      </c>
      <c r="AO20" s="1604" t="s">
        <v>7761</v>
      </c>
      <c r="AP20" s="1604" t="s">
        <v>9258</v>
      </c>
      <c r="AQ20" s="1604" t="s">
        <v>6949</v>
      </c>
      <c r="AR20" s="1604" t="s">
        <v>6521</v>
      </c>
      <c r="AS20" s="1605">
        <v>42.83</v>
      </c>
      <c r="AT20" s="1534" t="s">
        <v>8288</v>
      </c>
      <c r="AU20" s="1547" t="s">
        <v>9259</v>
      </c>
      <c r="AV20" s="1421" t="str">
        <f t="shared" si="1"/>
        <v>4:29</v>
      </c>
      <c r="AW20" s="1548" t="s">
        <v>9260</v>
      </c>
    </row>
    <row r="21" ht="15.75" customHeight="1">
      <c r="A21" s="1557" t="s">
        <v>2263</v>
      </c>
      <c r="B21" s="1502" t="s">
        <v>8825</v>
      </c>
      <c r="C21" s="1503">
        <v>0.0499537037037037</v>
      </c>
      <c r="D21" s="1516" t="s">
        <v>9261</v>
      </c>
      <c r="E21" s="1516" t="s">
        <v>2873</v>
      </c>
      <c r="F21" s="1516" t="s">
        <v>9262</v>
      </c>
      <c r="G21" s="1509" t="s">
        <v>9263</v>
      </c>
      <c r="H21" s="1516" t="s">
        <v>9264</v>
      </c>
      <c r="I21" s="1606" t="s">
        <v>9208</v>
      </c>
      <c r="J21" s="1516" t="s">
        <v>1420</v>
      </c>
      <c r="K21" s="1516" t="s">
        <v>5199</v>
      </c>
      <c r="L21" s="1516" t="s">
        <v>9265</v>
      </c>
      <c r="M21" s="1516" t="s">
        <v>9266</v>
      </c>
      <c r="N21" s="1516" t="s">
        <v>9267</v>
      </c>
      <c r="O21" s="1516" t="s">
        <v>9268</v>
      </c>
      <c r="P21" s="1516" t="s">
        <v>7665</v>
      </c>
      <c r="Q21" s="1516" t="s">
        <v>4621</v>
      </c>
      <c r="R21" s="1567" t="s">
        <v>5555</v>
      </c>
      <c r="S21" s="1516" t="s">
        <v>4065</v>
      </c>
      <c r="T21" s="1516" t="s">
        <v>9020</v>
      </c>
      <c r="U21" s="1516" t="s">
        <v>9269</v>
      </c>
      <c r="V21" s="1516" t="s">
        <v>9270</v>
      </c>
      <c r="W21" s="1516" t="s">
        <v>9271</v>
      </c>
      <c r="X21" s="1516" t="s">
        <v>7333</v>
      </c>
      <c r="Y21" s="1516" t="s">
        <v>4348</v>
      </c>
      <c r="Z21" s="1516" t="s">
        <v>9272</v>
      </c>
      <c r="AA21" s="1516" t="s">
        <v>7333</v>
      </c>
      <c r="AB21" s="1516" t="s">
        <v>9273</v>
      </c>
      <c r="AC21" s="1516" t="s">
        <v>5617</v>
      </c>
      <c r="AD21" s="1516" t="s">
        <v>7373</v>
      </c>
      <c r="AE21" s="1516" t="s">
        <v>5955</v>
      </c>
      <c r="AF21" s="1516" t="s">
        <v>9274</v>
      </c>
      <c r="AG21" s="1516" t="s">
        <v>5066</v>
      </c>
      <c r="AH21" s="1516" t="s">
        <v>5217</v>
      </c>
      <c r="AI21" s="1516" t="s">
        <v>9275</v>
      </c>
      <c r="AJ21" s="1508" t="s">
        <v>8843</v>
      </c>
      <c r="AK21" s="1516" t="s">
        <v>2525</v>
      </c>
      <c r="AL21" s="1516" t="s">
        <v>9276</v>
      </c>
      <c r="AM21" s="1516" t="s">
        <v>8999</v>
      </c>
      <c r="AN21" s="1516" t="s">
        <v>559</v>
      </c>
      <c r="AO21" s="1516" t="s">
        <v>9277</v>
      </c>
      <c r="AP21" s="1516" t="s">
        <v>9278</v>
      </c>
      <c r="AQ21" s="1516" t="s">
        <v>4827</v>
      </c>
      <c r="AR21" s="1516" t="s">
        <v>7476</v>
      </c>
      <c r="AS21" s="1516" t="s">
        <v>9279</v>
      </c>
      <c r="AT21" s="1516" t="s">
        <v>3115</v>
      </c>
      <c r="AU21" s="1516" t="s">
        <v>9280</v>
      </c>
      <c r="AV21" s="1421" t="str">
        <f t="shared" si="1"/>
        <v>3:21</v>
      </c>
      <c r="AW21" s="1592" t="s">
        <v>9281</v>
      </c>
    </row>
    <row r="22" ht="15.75" customHeight="1">
      <c r="A22" s="1501" t="s">
        <v>9282</v>
      </c>
      <c r="B22" s="1502" t="s">
        <v>8825</v>
      </c>
      <c r="C22" s="1503">
        <v>0.049965277777777775</v>
      </c>
      <c r="D22" s="950" t="s">
        <v>9283</v>
      </c>
      <c r="E22" s="1516" t="s">
        <v>4370</v>
      </c>
      <c r="F22" s="1516" t="s">
        <v>9284</v>
      </c>
      <c r="G22" s="1516" t="s">
        <v>9285</v>
      </c>
      <c r="H22" s="1421" t="s">
        <v>2287</v>
      </c>
      <c r="I22" s="1516" t="s">
        <v>1388</v>
      </c>
      <c r="J22" s="1516" t="s">
        <v>384</v>
      </c>
      <c r="K22" s="1516" t="s">
        <v>9286</v>
      </c>
      <c r="L22" s="1516" t="s">
        <v>5426</v>
      </c>
      <c r="M22" s="1516" t="s">
        <v>6599</v>
      </c>
      <c r="N22" s="1516" t="s">
        <v>9287</v>
      </c>
      <c r="O22" s="1516" t="s">
        <v>2606</v>
      </c>
      <c r="P22" s="1421" t="s">
        <v>5243</v>
      </c>
      <c r="Q22" s="1516" t="s">
        <v>9288</v>
      </c>
      <c r="R22" s="1516" t="s">
        <v>3295</v>
      </c>
      <c r="S22" s="1516" t="s">
        <v>7237</v>
      </c>
      <c r="T22" s="1516" t="s">
        <v>8629</v>
      </c>
      <c r="U22" s="1516" t="s">
        <v>9289</v>
      </c>
      <c r="V22" s="1516" t="s">
        <v>5038</v>
      </c>
      <c r="W22" s="1516" t="s">
        <v>9290</v>
      </c>
      <c r="X22" s="1421" t="s">
        <v>6852</v>
      </c>
      <c r="Y22" s="1421" t="s">
        <v>5515</v>
      </c>
      <c r="Z22" s="1516" t="s">
        <v>8952</v>
      </c>
      <c r="AA22" s="1516" t="s">
        <v>2329</v>
      </c>
      <c r="AB22" s="1516" t="s">
        <v>9291</v>
      </c>
      <c r="AC22" s="1516" t="s">
        <v>786</v>
      </c>
      <c r="AD22" s="1516" t="s">
        <v>5254</v>
      </c>
      <c r="AE22" s="1516" t="s">
        <v>9292</v>
      </c>
      <c r="AF22" s="1516" t="s">
        <v>945</v>
      </c>
      <c r="AG22" s="1516" t="s">
        <v>9293</v>
      </c>
      <c r="AH22" s="1516" t="s">
        <v>6159</v>
      </c>
      <c r="AI22" s="1516" t="s">
        <v>691</v>
      </c>
      <c r="AJ22" s="1421" t="s">
        <v>9294</v>
      </c>
      <c r="AK22" s="1583" t="s">
        <v>7147</v>
      </c>
      <c r="AL22" s="1516" t="s">
        <v>4613</v>
      </c>
      <c r="AM22" s="1516" t="s">
        <v>3710</v>
      </c>
      <c r="AN22" s="1421" t="s">
        <v>6294</v>
      </c>
      <c r="AO22" s="1421" t="s">
        <v>7476</v>
      </c>
      <c r="AP22" s="1421" t="s">
        <v>9295</v>
      </c>
      <c r="AQ22" s="1421" t="s">
        <v>8935</v>
      </c>
      <c r="AR22" s="1421" t="s">
        <v>492</v>
      </c>
      <c r="AS22" s="1421" t="s">
        <v>5870</v>
      </c>
      <c r="AT22" s="1421" t="s">
        <v>9182</v>
      </c>
      <c r="AU22" s="1516" t="s">
        <v>9296</v>
      </c>
      <c r="AV22" s="1421" t="str">
        <f t="shared" si="1"/>
        <v>3:46</v>
      </c>
      <c r="AW22" s="1589" t="s">
        <v>8366</v>
      </c>
    </row>
    <row r="23" ht="15.75" customHeight="1">
      <c r="A23" s="1607" t="s">
        <v>6351</v>
      </c>
      <c r="B23" s="1502" t="s">
        <v>8825</v>
      </c>
      <c r="C23" s="1503">
        <v>0.05</v>
      </c>
      <c r="D23" s="950" t="s">
        <v>9297</v>
      </c>
      <c r="E23" s="1516" t="s">
        <v>8639</v>
      </c>
      <c r="F23" s="1516" t="s">
        <v>9262</v>
      </c>
      <c r="G23" s="1421" t="s">
        <v>9298</v>
      </c>
      <c r="H23" s="1516" t="s">
        <v>9299</v>
      </c>
      <c r="I23" s="1421" t="s">
        <v>1848</v>
      </c>
      <c r="J23" s="1516" t="s">
        <v>2861</v>
      </c>
      <c r="K23" s="1516" t="s">
        <v>9300</v>
      </c>
      <c r="L23" s="1516" t="s">
        <v>3315</v>
      </c>
      <c r="M23" s="1516" t="s">
        <v>9301</v>
      </c>
      <c r="N23" s="1516" t="s">
        <v>9302</v>
      </c>
      <c r="O23" s="1516" t="s">
        <v>9249</v>
      </c>
      <c r="P23" s="1421" t="s">
        <v>4014</v>
      </c>
      <c r="Q23" s="1516" t="s">
        <v>9303</v>
      </c>
      <c r="R23" s="1516" t="s">
        <v>6792</v>
      </c>
      <c r="S23" s="1516" t="s">
        <v>7943</v>
      </c>
      <c r="T23" s="1516" t="s">
        <v>6827</v>
      </c>
      <c r="U23" s="1516" t="s">
        <v>9304</v>
      </c>
      <c r="V23" s="1516" t="s">
        <v>9305</v>
      </c>
      <c r="W23" s="1516" t="s">
        <v>9306</v>
      </c>
      <c r="X23" s="1516" t="s">
        <v>9158</v>
      </c>
      <c r="Y23" s="1516" t="s">
        <v>9307</v>
      </c>
      <c r="Z23" s="1516" t="s">
        <v>9308</v>
      </c>
      <c r="AA23" s="1516" t="s">
        <v>9156</v>
      </c>
      <c r="AB23" s="1516" t="s">
        <v>9309</v>
      </c>
      <c r="AC23" s="1421" t="s">
        <v>1888</v>
      </c>
      <c r="AD23" s="1516" t="s">
        <v>9310</v>
      </c>
      <c r="AE23" s="1421" t="s">
        <v>5503</v>
      </c>
      <c r="AF23" s="1608" t="s">
        <v>8841</v>
      </c>
      <c r="AG23" s="1516" t="s">
        <v>609</v>
      </c>
      <c r="AH23" s="1516" t="s">
        <v>7926</v>
      </c>
      <c r="AI23" s="1516" t="s">
        <v>311</v>
      </c>
      <c r="AJ23" s="1421" t="s">
        <v>9311</v>
      </c>
      <c r="AK23" s="1516" t="s">
        <v>9312</v>
      </c>
      <c r="AL23" s="1421" t="s">
        <v>3263</v>
      </c>
      <c r="AM23" s="1516" t="s">
        <v>2055</v>
      </c>
      <c r="AN23" s="1421" t="s">
        <v>2624</v>
      </c>
      <c r="AO23" s="1516" t="s">
        <v>3484</v>
      </c>
      <c r="AP23" s="1516" t="s">
        <v>9313</v>
      </c>
      <c r="AQ23" s="1421" t="s">
        <v>9314</v>
      </c>
      <c r="AR23" s="1516" t="s">
        <v>1671</v>
      </c>
      <c r="AS23" s="1421" t="s">
        <v>9189</v>
      </c>
      <c r="AT23" s="1516" t="s">
        <v>9315</v>
      </c>
      <c r="AU23" s="1516" t="s">
        <v>9316</v>
      </c>
      <c r="AV23" s="1421" t="str">
        <f t="shared" si="1"/>
        <v>1:53</v>
      </c>
      <c r="AW23" s="1589"/>
    </row>
    <row r="24" ht="15.75" customHeight="1">
      <c r="A24" s="1557" t="s">
        <v>2640</v>
      </c>
      <c r="B24" s="1545" t="s">
        <v>8853</v>
      </c>
      <c r="C24" s="1503">
        <v>0.05008101851851852</v>
      </c>
      <c r="D24" s="950" t="s">
        <v>9317</v>
      </c>
      <c r="E24" s="950" t="s">
        <v>9318</v>
      </c>
      <c r="F24" s="950" t="s">
        <v>9229</v>
      </c>
      <c r="G24" s="950" t="s">
        <v>9319</v>
      </c>
      <c r="H24" s="950" t="s">
        <v>9320</v>
      </c>
      <c r="I24" s="950" t="s">
        <v>9321</v>
      </c>
      <c r="J24" s="1562" t="s">
        <v>1352</v>
      </c>
      <c r="K24" s="950" t="s">
        <v>1092</v>
      </c>
      <c r="L24" s="950" t="s">
        <v>9322</v>
      </c>
      <c r="M24" s="1564" t="s">
        <v>9176</v>
      </c>
      <c r="N24" s="1562" t="s">
        <v>2496</v>
      </c>
      <c r="O24" s="950" t="s">
        <v>9323</v>
      </c>
      <c r="P24" s="1562" t="s">
        <v>5503</v>
      </c>
      <c r="Q24" s="1562" t="s">
        <v>5838</v>
      </c>
      <c r="R24" s="950" t="s">
        <v>6749</v>
      </c>
      <c r="S24" s="950" t="s">
        <v>338</v>
      </c>
      <c r="T24" s="1562" t="s">
        <v>8864</v>
      </c>
      <c r="U24" s="950" t="s">
        <v>9324</v>
      </c>
      <c r="V24" s="1562" t="s">
        <v>8865</v>
      </c>
      <c r="W24" s="950" t="s">
        <v>6715</v>
      </c>
      <c r="X24" s="950" t="s">
        <v>5879</v>
      </c>
      <c r="Y24" s="950" t="s">
        <v>5134</v>
      </c>
      <c r="Z24" s="950" t="s">
        <v>1131</v>
      </c>
      <c r="AA24" s="950" t="s">
        <v>9325</v>
      </c>
      <c r="AB24" s="950" t="s">
        <v>2513</v>
      </c>
      <c r="AC24" s="950" t="s">
        <v>1833</v>
      </c>
      <c r="AD24" s="950" t="s">
        <v>6307</v>
      </c>
      <c r="AE24" s="950" t="s">
        <v>3309</v>
      </c>
      <c r="AF24" s="950" t="s">
        <v>8872</v>
      </c>
      <c r="AG24" s="950" t="s">
        <v>9326</v>
      </c>
      <c r="AH24" s="950" t="s">
        <v>5021</v>
      </c>
      <c r="AI24" s="950" t="s">
        <v>3419</v>
      </c>
      <c r="AJ24" s="950" t="s">
        <v>9327</v>
      </c>
      <c r="AK24" s="950" t="s">
        <v>9328</v>
      </c>
      <c r="AL24" s="950" t="s">
        <v>9329</v>
      </c>
      <c r="AM24" s="950" t="s">
        <v>9330</v>
      </c>
      <c r="AN24" s="950" t="s">
        <v>4411</v>
      </c>
      <c r="AO24" s="950" t="s">
        <v>6881</v>
      </c>
      <c r="AP24" s="950" t="s">
        <v>9331</v>
      </c>
      <c r="AQ24" s="950" t="s">
        <v>9332</v>
      </c>
      <c r="AR24" s="950" t="s">
        <v>9333</v>
      </c>
      <c r="AS24" s="950" t="s">
        <v>4665</v>
      </c>
      <c r="AT24" s="950" t="s">
        <v>2772</v>
      </c>
      <c r="AU24" s="1583" t="s">
        <v>8877</v>
      </c>
      <c r="AV24" s="1421" t="str">
        <f t="shared" si="1"/>
        <v>2:51</v>
      </c>
      <c r="AW24" s="1609"/>
    </row>
    <row r="25">
      <c r="A25" s="1557" t="s">
        <v>7454</v>
      </c>
      <c r="B25" s="1555" t="s">
        <v>8853</v>
      </c>
      <c r="C25" s="1503">
        <v>0.05016203703703704</v>
      </c>
      <c r="D25" s="1534" t="s">
        <v>9334</v>
      </c>
      <c r="E25" s="1610" t="s">
        <v>6686</v>
      </c>
      <c r="F25" s="1534" t="s">
        <v>9335</v>
      </c>
      <c r="G25" s="1534" t="s">
        <v>9336</v>
      </c>
      <c r="H25" s="1534" t="s">
        <v>9337</v>
      </c>
      <c r="I25" s="1534" t="s">
        <v>5347</v>
      </c>
      <c r="J25" s="1534" t="s">
        <v>9338</v>
      </c>
      <c r="K25" s="1534" t="s">
        <v>9339</v>
      </c>
      <c r="L25" s="950" t="s">
        <v>5129</v>
      </c>
      <c r="M25" s="1562" t="s">
        <v>8860</v>
      </c>
      <c r="N25" s="1534" t="s">
        <v>9340</v>
      </c>
      <c r="O25" s="1534" t="s">
        <v>9341</v>
      </c>
      <c r="P25" s="1534" t="s">
        <v>5930</v>
      </c>
      <c r="Q25" s="1534" t="s">
        <v>2738</v>
      </c>
      <c r="R25" s="1534" t="s">
        <v>969</v>
      </c>
      <c r="S25" s="1534" t="s">
        <v>9342</v>
      </c>
      <c r="T25" s="1534" t="s">
        <v>1393</v>
      </c>
      <c r="U25" s="1534" t="s">
        <v>9343</v>
      </c>
      <c r="V25" s="1534" t="s">
        <v>9344</v>
      </c>
      <c r="W25" s="1534" t="s">
        <v>9345</v>
      </c>
      <c r="X25" s="1534" t="s">
        <v>1301</v>
      </c>
      <c r="Y25" s="1534" t="s">
        <v>1093</v>
      </c>
      <c r="Z25" s="1534" t="s">
        <v>9251</v>
      </c>
      <c r="AA25" s="1534" t="s">
        <v>9346</v>
      </c>
      <c r="AB25" s="1534" t="s">
        <v>9347</v>
      </c>
      <c r="AC25" s="1534" t="s">
        <v>4797</v>
      </c>
      <c r="AD25" s="1534" t="s">
        <v>9348</v>
      </c>
      <c r="AE25" s="1534" t="s">
        <v>9349</v>
      </c>
      <c r="AF25" s="1534" t="s">
        <v>5786</v>
      </c>
      <c r="AG25" s="1534" t="s">
        <v>9350</v>
      </c>
      <c r="AH25" s="1534" t="s">
        <v>4291</v>
      </c>
      <c r="AI25" s="1516" t="s">
        <v>4159</v>
      </c>
      <c r="AJ25" s="1534" t="s">
        <v>9351</v>
      </c>
      <c r="AK25" s="1534" t="s">
        <v>9352</v>
      </c>
      <c r="AL25" s="1534" t="s">
        <v>2508</v>
      </c>
      <c r="AM25" s="1534" t="s">
        <v>4070</v>
      </c>
      <c r="AN25" s="1534" t="s">
        <v>6067</v>
      </c>
      <c r="AO25" s="1534" t="s">
        <v>9353</v>
      </c>
      <c r="AP25" s="1534" t="s">
        <v>9354</v>
      </c>
      <c r="AQ25" s="1534" t="s">
        <v>4055</v>
      </c>
      <c r="AR25" s="1534" t="s">
        <v>2787</v>
      </c>
      <c r="AS25" s="1534" t="s">
        <v>756</v>
      </c>
      <c r="AT25" s="1534" t="s">
        <v>9355</v>
      </c>
      <c r="AU25" s="1516" t="s">
        <v>9356</v>
      </c>
      <c r="AV25" s="1421" t="str">
        <f t="shared" si="1"/>
        <v>3:20</v>
      </c>
      <c r="AW25" s="1025"/>
    </row>
    <row r="26" ht="15.75" customHeight="1">
      <c r="A26" s="1513" t="s">
        <v>1416</v>
      </c>
      <c r="B26" s="1502" t="s">
        <v>8825</v>
      </c>
      <c r="C26" s="1503">
        <v>0.05025462962962963</v>
      </c>
      <c r="D26" s="950" t="s">
        <v>9357</v>
      </c>
      <c r="E26" s="1580" t="s">
        <v>9358</v>
      </c>
      <c r="F26" s="1593" t="s">
        <v>9359</v>
      </c>
      <c r="G26" s="1509" t="s">
        <v>9360</v>
      </c>
      <c r="H26" s="877" t="s">
        <v>9361</v>
      </c>
      <c r="I26" s="877" t="s">
        <v>1044</v>
      </c>
      <c r="J26" s="1564" t="s">
        <v>8993</v>
      </c>
      <c r="K26" s="1594" t="s">
        <v>8052</v>
      </c>
      <c r="L26" s="1594" t="s">
        <v>5178</v>
      </c>
      <c r="M26" s="1611" t="str">
        <f>HYPERLINK("https://youtu.be/teAIifUZjFw","1:14.18")</f>
        <v>1:14.18</v>
      </c>
      <c r="N26" s="1594" t="s">
        <v>3772</v>
      </c>
      <c r="O26" s="1594" t="s">
        <v>9362</v>
      </c>
      <c r="P26" s="1594" t="s">
        <v>2094</v>
      </c>
      <c r="Q26" s="1595" t="s">
        <v>9363</v>
      </c>
      <c r="R26" s="1567" t="s">
        <v>9364</v>
      </c>
      <c r="S26" s="1567" t="s">
        <v>5461</v>
      </c>
      <c r="T26" s="1612" t="str">
        <f>HYPERLINK("https://youtu.be/AiXricVH5ss","1:24.99")</f>
        <v>1:24.99</v>
      </c>
      <c r="U26" s="1613" t="str">
        <f>HYPERLINK("https://www.twitch.tv/videos/450151935","2:00.31")</f>
        <v>2:00.31</v>
      </c>
      <c r="V26" s="1567" t="s">
        <v>9110</v>
      </c>
      <c r="W26" s="1614" t="str">
        <f>HYPERLINK("https://youtu.be/eafNhBoXVWA","1:46.09")</f>
        <v>1:46.09</v>
      </c>
      <c r="X26" s="1596" t="s">
        <v>4472</v>
      </c>
      <c r="Y26" s="1596" t="s">
        <v>9082</v>
      </c>
      <c r="Z26" s="1596" t="s">
        <v>9365</v>
      </c>
      <c r="AA26" s="1582" t="s">
        <v>9046</v>
      </c>
      <c r="AB26" s="1596" t="s">
        <v>7181</v>
      </c>
      <c r="AC26" s="1596" t="s">
        <v>7201</v>
      </c>
      <c r="AD26" s="1615" t="str">
        <f>HYPERLINK("https://youtu.be/8FEcTKESSh0","1:49.80")</f>
        <v>1:49.80</v>
      </c>
      <c r="AE26" s="1580" t="s">
        <v>6603</v>
      </c>
      <c r="AF26" s="1597" t="s">
        <v>9366</v>
      </c>
      <c r="AG26" s="1597" t="s">
        <v>9367</v>
      </c>
      <c r="AH26" s="1597" t="s">
        <v>9368</v>
      </c>
      <c r="AI26" s="1597" t="s">
        <v>4071</v>
      </c>
      <c r="AJ26" s="1597" t="s">
        <v>9369</v>
      </c>
      <c r="AK26" s="1583" t="s">
        <v>9247</v>
      </c>
      <c r="AL26" s="1597" t="s">
        <v>9370</v>
      </c>
      <c r="AM26" s="1585" t="s">
        <v>9215</v>
      </c>
      <c r="AN26" s="1585" t="s">
        <v>8630</v>
      </c>
      <c r="AO26" s="1585" t="s">
        <v>9333</v>
      </c>
      <c r="AP26" s="1584" t="s">
        <v>9371</v>
      </c>
      <c r="AQ26" s="1584" t="s">
        <v>9372</v>
      </c>
      <c r="AR26" s="1585" t="s">
        <v>9373</v>
      </c>
      <c r="AS26" s="1584" t="s">
        <v>5596</v>
      </c>
      <c r="AT26" s="1611" t="str">
        <f>HYPERLINK("https://youtu.be/xDirVtS1AZ4?t=4416","2:27.45")</f>
        <v>2:27.45</v>
      </c>
      <c r="AU26" s="1598" t="s">
        <v>9374</v>
      </c>
      <c r="AV26" s="1421" t="str">
        <f t="shared" si="1"/>
        <v>2:34</v>
      </c>
      <c r="AW26" s="1554" t="s">
        <v>9375</v>
      </c>
    </row>
    <row r="27">
      <c r="A27" s="1557" t="s">
        <v>6957</v>
      </c>
      <c r="B27" s="1555" t="s">
        <v>8825</v>
      </c>
      <c r="C27" s="1503">
        <v>0.0502662037037037</v>
      </c>
      <c r="D27" s="950" t="s">
        <v>9376</v>
      </c>
      <c r="E27" s="1516" t="s">
        <v>9036</v>
      </c>
      <c r="F27" s="1516" t="s">
        <v>9377</v>
      </c>
      <c r="G27" s="1516" t="s">
        <v>9378</v>
      </c>
      <c r="H27" s="1516" t="s">
        <v>9379</v>
      </c>
      <c r="I27" s="950" t="s">
        <v>265</v>
      </c>
      <c r="J27" s="950" t="s">
        <v>6173</v>
      </c>
      <c r="K27" s="1516" t="s">
        <v>9300</v>
      </c>
      <c r="L27" s="1516" t="s">
        <v>3577</v>
      </c>
      <c r="M27" s="950" t="s">
        <v>2721</v>
      </c>
      <c r="N27" s="1516" t="s">
        <v>9380</v>
      </c>
      <c r="O27" s="1516" t="s">
        <v>9381</v>
      </c>
      <c r="P27" s="950" t="s">
        <v>9382</v>
      </c>
      <c r="Q27" s="1516" t="s">
        <v>9383</v>
      </c>
      <c r="R27" s="950" t="s">
        <v>9384</v>
      </c>
      <c r="S27" s="1516" t="s">
        <v>9385</v>
      </c>
      <c r="T27" s="950" t="s">
        <v>9386</v>
      </c>
      <c r="U27" s="1516" t="s">
        <v>1029</v>
      </c>
      <c r="V27" s="950" t="s">
        <v>5038</v>
      </c>
      <c r="W27" s="950" t="s">
        <v>6717</v>
      </c>
      <c r="X27" s="950" t="s">
        <v>6852</v>
      </c>
      <c r="Y27" s="950" t="s">
        <v>883</v>
      </c>
      <c r="Z27" s="950" t="s">
        <v>9387</v>
      </c>
      <c r="AA27" s="1516" t="s">
        <v>9388</v>
      </c>
      <c r="AB27" s="950" t="s">
        <v>7200</v>
      </c>
      <c r="AC27" s="1516" t="s">
        <v>9321</v>
      </c>
      <c r="AD27" s="950" t="s">
        <v>6333</v>
      </c>
      <c r="AE27" s="1516" t="s">
        <v>8956</v>
      </c>
      <c r="AF27" s="1516" t="s">
        <v>9389</v>
      </c>
      <c r="AG27" s="950" t="s">
        <v>1911</v>
      </c>
      <c r="AH27" s="950" t="s">
        <v>2631</v>
      </c>
      <c r="AI27" s="1516" t="s">
        <v>9390</v>
      </c>
      <c r="AJ27" s="950" t="s">
        <v>9391</v>
      </c>
      <c r="AK27" s="950" t="s">
        <v>8930</v>
      </c>
      <c r="AL27" s="950" t="s">
        <v>4613</v>
      </c>
      <c r="AM27" s="950" t="s">
        <v>9392</v>
      </c>
      <c r="AN27" s="950" t="s">
        <v>4613</v>
      </c>
      <c r="AO27" s="950" t="s">
        <v>1845</v>
      </c>
      <c r="AP27" s="1516" t="s">
        <v>9393</v>
      </c>
      <c r="AQ27" s="950" t="s">
        <v>2226</v>
      </c>
      <c r="AR27" s="1516" t="s">
        <v>8731</v>
      </c>
      <c r="AS27" s="950" t="s">
        <v>1969</v>
      </c>
      <c r="AT27" s="1516" t="s">
        <v>9394</v>
      </c>
      <c r="AU27" s="1516" t="s">
        <v>9395</v>
      </c>
      <c r="AV27" s="1421" t="str">
        <f t="shared" si="1"/>
        <v>2:28</v>
      </c>
      <c r="AW27" s="1556" t="s">
        <v>9396</v>
      </c>
    </row>
    <row r="28">
      <c r="A28" s="1557" t="s">
        <v>9397</v>
      </c>
      <c r="B28" s="1616" t="s">
        <v>8825</v>
      </c>
      <c r="C28" s="1503">
        <v>0.0503125</v>
      </c>
      <c r="D28" s="950" t="s">
        <v>9398</v>
      </c>
      <c r="E28" s="1580" t="s">
        <v>9399</v>
      </c>
      <c r="F28" s="1580" t="s">
        <v>9400</v>
      </c>
      <c r="G28" s="1580" t="s">
        <v>8401</v>
      </c>
      <c r="H28" s="812" t="s">
        <v>9401</v>
      </c>
      <c r="I28" s="812" t="s">
        <v>8023</v>
      </c>
      <c r="J28" s="1564" t="s">
        <v>1841</v>
      </c>
      <c r="K28" s="1564" t="s">
        <v>6088</v>
      </c>
      <c r="L28" s="1564" t="s">
        <v>3549</v>
      </c>
      <c r="M28" s="1564" t="s">
        <v>8946</v>
      </c>
      <c r="N28" s="1564" t="s">
        <v>7085</v>
      </c>
      <c r="O28" s="1564" t="s">
        <v>4146</v>
      </c>
      <c r="P28" s="1564" t="s">
        <v>4755</v>
      </c>
      <c r="Q28" s="1567" t="s">
        <v>9402</v>
      </c>
      <c r="R28" s="1567" t="s">
        <v>9403</v>
      </c>
      <c r="S28" s="1567" t="s">
        <v>551</v>
      </c>
      <c r="T28" s="1567" t="s">
        <v>9404</v>
      </c>
      <c r="U28" s="1567" t="s">
        <v>9405</v>
      </c>
      <c r="V28" s="1567" t="s">
        <v>9406</v>
      </c>
      <c r="W28" s="1582" t="s">
        <v>9407</v>
      </c>
      <c r="X28" s="1582" t="s">
        <v>4472</v>
      </c>
      <c r="Y28" s="1582" t="s">
        <v>1549</v>
      </c>
      <c r="Z28" s="1582" t="s">
        <v>2401</v>
      </c>
      <c r="AA28" s="1582" t="s">
        <v>9408</v>
      </c>
      <c r="AB28" s="1582" t="s">
        <v>3801</v>
      </c>
      <c r="AC28" s="1582" t="s">
        <v>9409</v>
      </c>
      <c r="AD28" s="1580" t="s">
        <v>9410</v>
      </c>
      <c r="AE28" s="1580" t="s">
        <v>5955</v>
      </c>
      <c r="AF28" s="1583" t="s">
        <v>9411</v>
      </c>
      <c r="AG28" s="1583" t="s">
        <v>7403</v>
      </c>
      <c r="AH28" s="1583" t="s">
        <v>9412</v>
      </c>
      <c r="AI28" s="1583" t="s">
        <v>5149</v>
      </c>
      <c r="AJ28" s="1583" t="s">
        <v>9413</v>
      </c>
      <c r="AK28" s="1583" t="s">
        <v>9414</v>
      </c>
      <c r="AL28" s="1583" t="s">
        <v>9415</v>
      </c>
      <c r="AM28" s="1585" t="s">
        <v>9131</v>
      </c>
      <c r="AN28" s="1585" t="s">
        <v>9416</v>
      </c>
      <c r="AO28" s="1585" t="s">
        <v>3211</v>
      </c>
      <c r="AP28" s="1585" t="s">
        <v>9417</v>
      </c>
      <c r="AQ28" s="1585" t="s">
        <v>9418</v>
      </c>
      <c r="AR28" s="1585" t="s">
        <v>3011</v>
      </c>
      <c r="AS28" s="1585" t="s">
        <v>304</v>
      </c>
      <c r="AT28" s="1564" t="s">
        <v>9419</v>
      </c>
      <c r="AU28" s="1547" t="s">
        <v>9420</v>
      </c>
      <c r="AV28" s="1421" t="str">
        <f t="shared" si="1"/>
        <v>2:59</v>
      </c>
      <c r="AW28" s="1548" t="s">
        <v>9421</v>
      </c>
    </row>
    <row r="29">
      <c r="A29" s="1617" t="s">
        <v>2674</v>
      </c>
      <c r="B29" s="1545" t="s">
        <v>8853</v>
      </c>
      <c r="C29" s="1618">
        <v>0.05029282407407407</v>
      </c>
      <c r="D29" s="950" t="s">
        <v>9422</v>
      </c>
      <c r="E29" s="1580" t="s">
        <v>7073</v>
      </c>
      <c r="F29" s="1580" t="s">
        <v>1148</v>
      </c>
      <c r="G29" s="1580" t="s">
        <v>9423</v>
      </c>
      <c r="H29" s="950" t="s">
        <v>1658</v>
      </c>
      <c r="I29" s="812" t="s">
        <v>1351</v>
      </c>
      <c r="J29" s="1564" t="s">
        <v>9424</v>
      </c>
      <c r="K29" s="1564" t="s">
        <v>9425</v>
      </c>
      <c r="L29" s="1564" t="s">
        <v>9426</v>
      </c>
      <c r="M29" s="1564" t="s">
        <v>9427</v>
      </c>
      <c r="N29" s="1564" t="s">
        <v>3648</v>
      </c>
      <c r="O29" s="1564" t="s">
        <v>9323</v>
      </c>
      <c r="P29" s="1564" t="s">
        <v>1862</v>
      </c>
      <c r="Q29" s="1619" t="s">
        <v>9428</v>
      </c>
      <c r="R29" s="1567" t="s">
        <v>2673</v>
      </c>
      <c r="S29" s="1619" t="s">
        <v>9429</v>
      </c>
      <c r="T29" s="1141" t="s">
        <v>9430</v>
      </c>
      <c r="U29" s="1141" t="s">
        <v>7334</v>
      </c>
      <c r="V29" s="1141" t="s">
        <v>6821</v>
      </c>
      <c r="W29" s="1582" t="s">
        <v>9431</v>
      </c>
      <c r="X29" s="1582" t="s">
        <v>1187</v>
      </c>
      <c r="Y29" s="1582" t="s">
        <v>8333</v>
      </c>
      <c r="Z29" s="1582" t="s">
        <v>1591</v>
      </c>
      <c r="AA29" s="1516" t="s">
        <v>9432</v>
      </c>
      <c r="AB29" s="1582" t="s">
        <v>9433</v>
      </c>
      <c r="AC29" s="1582" t="s">
        <v>1833</v>
      </c>
      <c r="AD29" s="1580" t="s">
        <v>9434</v>
      </c>
      <c r="AE29" s="1580" t="s">
        <v>9435</v>
      </c>
      <c r="AF29" s="1583" t="s">
        <v>9436</v>
      </c>
      <c r="AG29" s="1583" t="s">
        <v>2699</v>
      </c>
      <c r="AH29" s="1620" t="s">
        <v>4526</v>
      </c>
      <c r="AI29" s="1583" t="s">
        <v>508</v>
      </c>
      <c r="AJ29" s="1583" t="s">
        <v>9437</v>
      </c>
      <c r="AK29" s="1583" t="s">
        <v>9438</v>
      </c>
      <c r="AL29" s="1583" t="s">
        <v>4561</v>
      </c>
      <c r="AM29" s="1621" t="s">
        <v>9439</v>
      </c>
      <c r="AN29" s="1585" t="s">
        <v>4140</v>
      </c>
      <c r="AO29" s="1621" t="s">
        <v>9440</v>
      </c>
      <c r="AP29" s="1585" t="s">
        <v>9441</v>
      </c>
      <c r="AQ29" s="1585" t="s">
        <v>9332</v>
      </c>
      <c r="AR29" s="1585" t="s">
        <v>3011</v>
      </c>
      <c r="AS29" s="1585" t="s">
        <v>1142</v>
      </c>
      <c r="AT29" s="1564" t="s">
        <v>2664</v>
      </c>
      <c r="AU29" s="1622" t="s">
        <v>9442</v>
      </c>
      <c r="AV29" s="1623" t="str">
        <f t="shared" si="1"/>
        <v>2:22</v>
      </c>
      <c r="AW29" s="1624"/>
    </row>
    <row r="30" ht="15.75" customHeight="1">
      <c r="A30" s="1501" t="s">
        <v>9443</v>
      </c>
      <c r="B30" s="1590" t="s">
        <v>8853</v>
      </c>
      <c r="C30" s="1503">
        <v>0.05042824074074074</v>
      </c>
      <c r="D30" s="950" t="s">
        <v>9169</v>
      </c>
      <c r="E30" s="1580" t="s">
        <v>6365</v>
      </c>
      <c r="F30" s="1580" t="s">
        <v>9444</v>
      </c>
      <c r="G30" s="1593" t="s">
        <v>9445</v>
      </c>
      <c r="H30" s="877" t="s">
        <v>9446</v>
      </c>
      <c r="I30" s="812" t="s">
        <v>3361</v>
      </c>
      <c r="J30" s="1564" t="s">
        <v>4861</v>
      </c>
      <c r="K30" s="1564" t="s">
        <v>9339</v>
      </c>
      <c r="L30" s="1564" t="s">
        <v>2471</v>
      </c>
      <c r="M30" s="1564" t="s">
        <v>1899</v>
      </c>
      <c r="N30" s="1564" t="s">
        <v>4190</v>
      </c>
      <c r="O30" s="1564" t="s">
        <v>9447</v>
      </c>
      <c r="P30" s="1594" t="s">
        <v>761</v>
      </c>
      <c r="Q30" s="1567" t="s">
        <v>9448</v>
      </c>
      <c r="R30" s="1567" t="s">
        <v>3434</v>
      </c>
      <c r="S30" s="1567" t="s">
        <v>7158</v>
      </c>
      <c r="T30" s="1595" t="s">
        <v>3212</v>
      </c>
      <c r="U30" s="1567" t="s">
        <v>8997</v>
      </c>
      <c r="V30" s="1595" t="s">
        <v>5005</v>
      </c>
      <c r="W30" s="1596" t="s">
        <v>6914</v>
      </c>
      <c r="X30" s="1582" t="s">
        <v>2603</v>
      </c>
      <c r="Y30" s="1596" t="s">
        <v>9449</v>
      </c>
      <c r="Z30" s="1582" t="s">
        <v>9450</v>
      </c>
      <c r="AA30" s="1596" t="s">
        <v>9451</v>
      </c>
      <c r="AB30" s="950" t="s">
        <v>6992</v>
      </c>
      <c r="AC30" s="1596" t="s">
        <v>3687</v>
      </c>
      <c r="AD30" s="1572" t="s">
        <v>8868</v>
      </c>
      <c r="AE30" s="1580" t="s">
        <v>3309</v>
      </c>
      <c r="AF30" s="1583" t="s">
        <v>9452</v>
      </c>
      <c r="AG30" s="1597" t="s">
        <v>3994</v>
      </c>
      <c r="AH30" s="1597" t="s">
        <v>6155</v>
      </c>
      <c r="AI30" s="1421" t="s">
        <v>9388</v>
      </c>
      <c r="AJ30" s="1597" t="s">
        <v>9453</v>
      </c>
      <c r="AK30" s="1625" t="s">
        <v>8873</v>
      </c>
      <c r="AL30" s="1597" t="s">
        <v>3692</v>
      </c>
      <c r="AM30" s="1585" t="s">
        <v>9454</v>
      </c>
      <c r="AN30" s="1585" t="s">
        <v>5116</v>
      </c>
      <c r="AO30" s="1585" t="s">
        <v>1936</v>
      </c>
      <c r="AP30" s="1585" t="s">
        <v>9455</v>
      </c>
      <c r="AQ30" s="1584" t="s">
        <v>9456</v>
      </c>
      <c r="AR30" s="1584" t="s">
        <v>3737</v>
      </c>
      <c r="AS30" s="1584" t="s">
        <v>5215</v>
      </c>
      <c r="AT30" s="1564" t="s">
        <v>9457</v>
      </c>
      <c r="AU30" s="1547" t="s">
        <v>9458</v>
      </c>
      <c r="AV30" s="1421" t="str">
        <f t="shared" si="1"/>
        <v>2:55</v>
      </c>
      <c r="AW30" s="1624"/>
    </row>
    <row r="31" ht="15.75" customHeight="1">
      <c r="A31" s="1501" t="s">
        <v>4341</v>
      </c>
      <c r="B31" s="1502" t="s">
        <v>8825</v>
      </c>
      <c r="C31" s="1626">
        <v>0.05043981481481481</v>
      </c>
      <c r="D31" s="950" t="s">
        <v>9459</v>
      </c>
      <c r="E31" s="1421" t="s">
        <v>6886</v>
      </c>
      <c r="F31" s="1421" t="s">
        <v>1576</v>
      </c>
      <c r="G31" s="1421" t="s">
        <v>9460</v>
      </c>
      <c r="H31" s="1421" t="s">
        <v>9059</v>
      </c>
      <c r="I31" s="1421" t="s">
        <v>4719</v>
      </c>
      <c r="J31" s="1421" t="s">
        <v>4482</v>
      </c>
      <c r="K31" s="1421" t="s">
        <v>9286</v>
      </c>
      <c r="L31" s="1421" t="s">
        <v>3941</v>
      </c>
      <c r="M31" s="1421" t="s">
        <v>9461</v>
      </c>
      <c r="N31" s="1421" t="s">
        <v>8864</v>
      </c>
      <c r="O31" s="1421" t="s">
        <v>9462</v>
      </c>
      <c r="P31" s="1421" t="s">
        <v>5379</v>
      </c>
      <c r="Q31" s="1421" t="s">
        <v>9463</v>
      </c>
      <c r="R31" s="1421" t="s">
        <v>9464</v>
      </c>
      <c r="S31" s="1421" t="s">
        <v>9465</v>
      </c>
      <c r="T31" s="1421" t="s">
        <v>9466</v>
      </c>
      <c r="U31" s="1421" t="s">
        <v>9467</v>
      </c>
      <c r="V31" s="1421" t="s">
        <v>2283</v>
      </c>
      <c r="W31" s="1421" t="s">
        <v>9468</v>
      </c>
      <c r="X31" s="1421" t="s">
        <v>9469</v>
      </c>
      <c r="Y31" s="1421" t="s">
        <v>9307</v>
      </c>
      <c r="Z31" s="1421" t="s">
        <v>1131</v>
      </c>
      <c r="AA31" s="1421" t="s">
        <v>3419</v>
      </c>
      <c r="AB31" s="1421" t="s">
        <v>4861</v>
      </c>
      <c r="AC31" s="1421" t="s">
        <v>7201</v>
      </c>
      <c r="AD31" s="1421" t="s">
        <v>6307</v>
      </c>
      <c r="AE31" s="1421" t="s">
        <v>5532</v>
      </c>
      <c r="AF31" s="1421" t="s">
        <v>9470</v>
      </c>
      <c r="AG31" s="1421" t="s">
        <v>5945</v>
      </c>
      <c r="AH31" s="1421" t="s">
        <v>4099</v>
      </c>
      <c r="AI31" s="1421" t="s">
        <v>5149</v>
      </c>
      <c r="AJ31" s="1421" t="s">
        <v>9471</v>
      </c>
      <c r="AK31" s="1421" t="s">
        <v>9472</v>
      </c>
      <c r="AL31" s="1421" t="s">
        <v>6024</v>
      </c>
      <c r="AM31" s="1421" t="s">
        <v>1232</v>
      </c>
      <c r="AN31" s="1421" t="s">
        <v>4193</v>
      </c>
      <c r="AO31" s="1421" t="s">
        <v>9473</v>
      </c>
      <c r="AP31" s="1536" t="str">
        <f>HYPERLINK("https://www.twitch.tv/videos/511415405","2:00.79")</f>
        <v>2:00.79</v>
      </c>
      <c r="AQ31" s="1421" t="s">
        <v>3602</v>
      </c>
      <c r="AR31" s="1421" t="s">
        <v>6881</v>
      </c>
      <c r="AS31" s="1421" t="s">
        <v>9474</v>
      </c>
      <c r="AT31" s="1421" t="s">
        <v>9475</v>
      </c>
      <c r="AU31" s="1421" t="s">
        <v>9476</v>
      </c>
      <c r="AV31" s="1421" t="str">
        <f t="shared" si="1"/>
        <v>2:36</v>
      </c>
      <c r="AW31" s="1537" t="s">
        <v>7522</v>
      </c>
    </row>
    <row r="32">
      <c r="A32" s="1557" t="s">
        <v>1197</v>
      </c>
      <c r="B32" s="1545" t="s">
        <v>8825</v>
      </c>
      <c r="C32" s="1503">
        <v>0.050486111111111114</v>
      </c>
      <c r="D32" s="1580" t="s">
        <v>9477</v>
      </c>
      <c r="E32" s="1580" t="s">
        <v>4267</v>
      </c>
      <c r="F32" s="1580" t="s">
        <v>9478</v>
      </c>
      <c r="G32" s="1580" t="s">
        <v>9479</v>
      </c>
      <c r="H32" s="950" t="s">
        <v>9480</v>
      </c>
      <c r="I32" s="812" t="s">
        <v>927</v>
      </c>
      <c r="J32" s="1564" t="s">
        <v>5908</v>
      </c>
      <c r="K32" s="1564" t="s">
        <v>7422</v>
      </c>
      <c r="L32" s="1564" t="s">
        <v>6560</v>
      </c>
      <c r="M32" s="1564" t="s">
        <v>5029</v>
      </c>
      <c r="N32" s="1564" t="s">
        <v>9481</v>
      </c>
      <c r="O32" s="1564" t="s">
        <v>9482</v>
      </c>
      <c r="P32" s="1564" t="s">
        <v>9208</v>
      </c>
      <c r="Q32" s="1567" t="s">
        <v>171</v>
      </c>
      <c r="R32" s="1567" t="s">
        <v>4807</v>
      </c>
      <c r="S32" s="1567" t="s">
        <v>9352</v>
      </c>
      <c r="T32" s="1567" t="s">
        <v>9483</v>
      </c>
      <c r="U32" s="1567" t="s">
        <v>9484</v>
      </c>
      <c r="V32" s="1567" t="s">
        <v>9485</v>
      </c>
      <c r="W32" s="1582" t="s">
        <v>9486</v>
      </c>
      <c r="X32" s="1582" t="s">
        <v>9487</v>
      </c>
      <c r="Y32" s="1582" t="s">
        <v>7988</v>
      </c>
      <c r="Z32" s="1582" t="s">
        <v>9488</v>
      </c>
      <c r="AA32" s="1516" t="s">
        <v>9489</v>
      </c>
      <c r="AB32" s="1582" t="s">
        <v>3401</v>
      </c>
      <c r="AC32" s="1582" t="s">
        <v>1044</v>
      </c>
      <c r="AD32" s="1580" t="s">
        <v>9490</v>
      </c>
      <c r="AE32" s="1580" t="s">
        <v>2222</v>
      </c>
      <c r="AF32" s="1583" t="s">
        <v>9491</v>
      </c>
      <c r="AG32" s="1583" t="s">
        <v>530</v>
      </c>
      <c r="AH32" s="1583" t="s">
        <v>9492</v>
      </c>
      <c r="AI32" s="1583" t="s">
        <v>2668</v>
      </c>
      <c r="AJ32" s="1583" t="s">
        <v>9493</v>
      </c>
      <c r="AK32" s="1583" t="s">
        <v>6967</v>
      </c>
      <c r="AL32" s="1583" t="s">
        <v>2882</v>
      </c>
      <c r="AM32" s="1585" t="s">
        <v>9494</v>
      </c>
      <c r="AN32" s="1585" t="s">
        <v>9322</v>
      </c>
      <c r="AO32" s="1585" t="s">
        <v>9495</v>
      </c>
      <c r="AP32" s="1585" t="s">
        <v>9496</v>
      </c>
      <c r="AQ32" s="1585" t="s">
        <v>9497</v>
      </c>
      <c r="AR32" s="1585" t="s">
        <v>1159</v>
      </c>
      <c r="AS32" s="1585" t="s">
        <v>1549</v>
      </c>
      <c r="AT32" s="1564" t="s">
        <v>9498</v>
      </c>
      <c r="AU32" s="1547" t="s">
        <v>9499</v>
      </c>
      <c r="AV32" s="1421" t="str">
        <f t="shared" si="1"/>
        <v>3:47</v>
      </c>
      <c r="AW32" s="1548"/>
    </row>
    <row r="33" ht="15.75" customHeight="1">
      <c r="A33" s="1557" t="s">
        <v>1635</v>
      </c>
      <c r="B33" s="1502" t="s">
        <v>8825</v>
      </c>
      <c r="C33" s="1503">
        <v>0.05049768518518519</v>
      </c>
      <c r="D33" s="950" t="s">
        <v>9500</v>
      </c>
      <c r="E33" s="1593" t="s">
        <v>9501</v>
      </c>
      <c r="F33" s="1615" t="str">
        <f>HYPERLINK("https://www.youtube.com/watch?v=rtR6KkKhM6I","1:59.91")</f>
        <v>1:59.91</v>
      </c>
      <c r="G33" s="1593" t="s">
        <v>9502</v>
      </c>
      <c r="H33" s="1627" t="str">
        <f>HYPERLINK("https://www.youtube.com/watch?v=cg-eipYsN1s","1:54.47")</f>
        <v>1:54.47</v>
      </c>
      <c r="I33" s="877" t="s">
        <v>9449</v>
      </c>
      <c r="J33" s="1594" t="s">
        <v>6521</v>
      </c>
      <c r="K33" s="1564" t="s">
        <v>7474</v>
      </c>
      <c r="L33" s="1611" t="str">
        <f>HYPERLINK("https://www.youtube.com/watch?v=tJdjPKdAbw4","57.01")</f>
        <v>57.01</v>
      </c>
      <c r="M33" s="1594" t="s">
        <v>6783</v>
      </c>
      <c r="N33" s="1564" t="s">
        <v>2302</v>
      </c>
      <c r="O33" s="1594" t="s">
        <v>9503</v>
      </c>
      <c r="P33" s="1594" t="s">
        <v>282</v>
      </c>
      <c r="Q33" s="1595" t="s">
        <v>240</v>
      </c>
      <c r="R33" s="1595" t="s">
        <v>9504</v>
      </c>
      <c r="S33" s="1613" t="str">
        <f>HYPERLINK("https://www.youtube.com/watch?v=_3ms_ZhYFzo","1:18.01")</f>
        <v>1:18.01</v>
      </c>
      <c r="T33" s="1595" t="s">
        <v>9505</v>
      </c>
      <c r="U33" s="1613" t="str">
        <f>HYPERLINK("https://www.youtube.com/watch?v=ZOy_TI3Zw14","2:02.38")</f>
        <v>2:02.38</v>
      </c>
      <c r="V33" s="1595" t="s">
        <v>9485</v>
      </c>
      <c r="W33" s="1596" t="s">
        <v>3307</v>
      </c>
      <c r="X33" s="1596" t="s">
        <v>6967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6" t="s">
        <v>7201</v>
      </c>
      <c r="AD33" s="1615" t="str">
        <f>HYPERLINK("https://www.youtube.com/watch?v=ikF77QyREZg","1:50.30")</f>
        <v>1:50.30</v>
      </c>
      <c r="AE33" s="1593" t="s">
        <v>9208</v>
      </c>
      <c r="AF33" s="1597" t="s">
        <v>9506</v>
      </c>
      <c r="AG33" s="1628" t="str">
        <f>HYPERLINK("https://www.youtube.com/watch?v=KXwTRrVVluY","1:30.62")</f>
        <v>1:30.62</v>
      </c>
      <c r="AH33" s="1597" t="s">
        <v>3048</v>
      </c>
      <c r="AI33" s="1597" t="s">
        <v>9367</v>
      </c>
      <c r="AJ33" s="1597" t="s">
        <v>9507</v>
      </c>
      <c r="AK33" s="1583" t="s">
        <v>9508</v>
      </c>
      <c r="AL33" s="1597" t="s">
        <v>9509</v>
      </c>
      <c r="AM33" s="1629" t="str">
        <f>HYPERLINK("https://www.youtube.com/watch?v=BAoEwuQ0LoI","1:25.68")</f>
        <v>1:25.68</v>
      </c>
      <c r="AN33" s="1629" t="str">
        <f>HYPERLINK("https://www.youtube.com/watch?v=F-LtZeEZXek","56.36")</f>
        <v>56.36</v>
      </c>
      <c r="AO33" s="1584" t="s">
        <v>9510</v>
      </c>
      <c r="AP33" s="1584" t="s">
        <v>9511</v>
      </c>
      <c r="AQ33" s="1584" t="s">
        <v>9512</v>
      </c>
      <c r="AR33" s="1629" t="str">
        <f>HYPERLINK("https://www.youtube.com/watch?v=WSIIkWWbKgE","1:21.74")</f>
        <v>1:21.74</v>
      </c>
      <c r="AS33" s="1584" t="s">
        <v>5588</v>
      </c>
      <c r="AT33" s="1611" t="str">
        <f>HYPERLINK("https://www.youtube.com/watch?v=H67SXBLcISI","2:29.09")</f>
        <v>2:29.09</v>
      </c>
      <c r="AU33" s="1598" t="s">
        <v>9513</v>
      </c>
      <c r="AV33" s="1421" t="str">
        <f t="shared" si="1"/>
        <v>2:03</v>
      </c>
      <c r="AW33" s="1630" t="s">
        <v>9514</v>
      </c>
    </row>
    <row r="34">
      <c r="A34" s="1557" t="s">
        <v>3090</v>
      </c>
      <c r="B34" s="1545" t="s">
        <v>8853</v>
      </c>
      <c r="C34" s="1503">
        <v>0.050520833333333334</v>
      </c>
      <c r="D34" s="1580" t="s">
        <v>9515</v>
      </c>
      <c r="E34" s="1603" t="s">
        <v>4599</v>
      </c>
      <c r="F34" s="1603" t="s">
        <v>8874</v>
      </c>
      <c r="G34" s="1580" t="s">
        <v>9516</v>
      </c>
      <c r="H34" s="1603" t="s">
        <v>9517</v>
      </c>
      <c r="I34" s="1603" t="s">
        <v>3114</v>
      </c>
      <c r="J34" s="1564" t="s">
        <v>9518</v>
      </c>
      <c r="K34" s="1631" t="s">
        <v>9519</v>
      </c>
      <c r="L34" s="1564" t="s">
        <v>9520</v>
      </c>
      <c r="M34" s="1509" t="s">
        <v>5852</v>
      </c>
      <c r="N34" s="1564" t="s">
        <v>887</v>
      </c>
      <c r="O34" s="1564" t="s">
        <v>9362</v>
      </c>
      <c r="P34" s="1564" t="s">
        <v>413</v>
      </c>
      <c r="Q34" s="1028" t="str">
        <f>HYPERLINK("https://www.twitch.tv/planktonsecretformula/v/1588460220?sr=a", "2:12.43")</f>
        <v>2:12.43</v>
      </c>
      <c r="R34" s="1567" t="s">
        <v>9464</v>
      </c>
      <c r="S34" s="1567" t="s">
        <v>9521</v>
      </c>
      <c r="T34" s="1619" t="s">
        <v>9522</v>
      </c>
      <c r="U34" s="1603" t="s">
        <v>9523</v>
      </c>
      <c r="V34" s="1603" t="s">
        <v>9524</v>
      </c>
      <c r="W34" s="1591" t="s">
        <v>9525</v>
      </c>
      <c r="X34" s="1582" t="s">
        <v>858</v>
      </c>
      <c r="Y34" s="1582" t="s">
        <v>7665</v>
      </c>
      <c r="Z34" s="1582" t="s">
        <v>8994</v>
      </c>
      <c r="AA34" s="1516" t="s">
        <v>9526</v>
      </c>
      <c r="AB34" s="1582" t="s">
        <v>4142</v>
      </c>
      <c r="AC34" s="1582" t="s">
        <v>942</v>
      </c>
      <c r="AD34" s="1580" t="s">
        <v>3920</v>
      </c>
      <c r="AE34" s="1580" t="s">
        <v>5930</v>
      </c>
      <c r="AF34" s="1583" t="s">
        <v>9527</v>
      </c>
      <c r="AG34" s="1603" t="s">
        <v>4635</v>
      </c>
      <c r="AH34" s="1583" t="s">
        <v>9528</v>
      </c>
      <c r="AI34" s="1583" t="s">
        <v>7762</v>
      </c>
      <c r="AJ34" s="1583" t="s">
        <v>9529</v>
      </c>
      <c r="AK34" s="1583" t="s">
        <v>9530</v>
      </c>
      <c r="AL34" s="1583" t="s">
        <v>5709</v>
      </c>
      <c r="AM34" s="1585" t="s">
        <v>3212</v>
      </c>
      <c r="AN34" s="1585" t="s">
        <v>9211</v>
      </c>
      <c r="AO34" s="1585" t="s">
        <v>3011</v>
      </c>
      <c r="AP34" s="1585" t="s">
        <v>9531</v>
      </c>
      <c r="AQ34" s="1028" t="str">
        <f>HYPERLINK("https://www.twitch.tv/planktonsecretformula/v/1678454360?sr=a&amp;t=0s", "1:37.46")</f>
        <v>1:37.46</v>
      </c>
      <c r="AR34" s="1585" t="s">
        <v>9532</v>
      </c>
      <c r="AS34" s="1585" t="s">
        <v>719</v>
      </c>
      <c r="AT34" s="1564" t="s">
        <v>9533</v>
      </c>
      <c r="AU34" s="1547" t="s">
        <v>9534</v>
      </c>
      <c r="AV34" s="1421" t="str">
        <f t="shared" si="1"/>
        <v>4:40</v>
      </c>
      <c r="AW34" s="1548" t="s">
        <v>9535</v>
      </c>
    </row>
    <row r="35" ht="15.75" customHeight="1">
      <c r="A35" s="1607" t="s">
        <v>9536</v>
      </c>
      <c r="B35" s="1502" t="s">
        <v>8825</v>
      </c>
      <c r="C35" s="1503">
        <v>0.050555555555555555</v>
      </c>
      <c r="D35" s="950" t="s">
        <v>9537</v>
      </c>
      <c r="E35" s="1580" t="s">
        <v>9538</v>
      </c>
      <c r="F35" s="1580" t="s">
        <v>9539</v>
      </c>
      <c r="G35" s="1580" t="s">
        <v>9540</v>
      </c>
      <c r="H35" s="812" t="s">
        <v>9541</v>
      </c>
      <c r="I35" s="812" t="s">
        <v>9542</v>
      </c>
      <c r="J35" s="1564" t="s">
        <v>9543</v>
      </c>
      <c r="K35" s="1564" t="s">
        <v>9544</v>
      </c>
      <c r="L35" s="1564" t="s">
        <v>9545</v>
      </c>
      <c r="M35" s="1564" t="s">
        <v>3205</v>
      </c>
      <c r="N35" s="1564" t="s">
        <v>9546</v>
      </c>
      <c r="O35" s="1564" t="s">
        <v>9447</v>
      </c>
      <c r="P35" s="1564" t="s">
        <v>4904</v>
      </c>
      <c r="Q35" s="1567" t="s">
        <v>9547</v>
      </c>
      <c r="R35" s="1567" t="s">
        <v>2673</v>
      </c>
      <c r="S35" s="1567" t="s">
        <v>9548</v>
      </c>
      <c r="T35" s="1567" t="s">
        <v>9549</v>
      </c>
      <c r="U35" s="1567" t="s">
        <v>9550</v>
      </c>
      <c r="V35" s="1567" t="s">
        <v>9110</v>
      </c>
      <c r="W35" s="1582" t="s">
        <v>9551</v>
      </c>
      <c r="X35" s="1582" t="s">
        <v>9552</v>
      </c>
      <c r="Y35" s="1582" t="s">
        <v>9553</v>
      </c>
      <c r="Z35" s="1582" t="s">
        <v>1384</v>
      </c>
      <c r="AA35" s="1582" t="s">
        <v>9554</v>
      </c>
      <c r="AB35" s="1582" t="s">
        <v>7026</v>
      </c>
      <c r="AC35" s="1596" t="s">
        <v>2172</v>
      </c>
      <c r="AD35" s="1580" t="s">
        <v>9555</v>
      </c>
      <c r="AE35" s="1580" t="s">
        <v>9208</v>
      </c>
      <c r="AF35" s="1583" t="s">
        <v>9556</v>
      </c>
      <c r="AG35" s="1583" t="s">
        <v>9557</v>
      </c>
      <c r="AH35" s="1583" t="s">
        <v>5618</v>
      </c>
      <c r="AI35" s="1583" t="s">
        <v>9558</v>
      </c>
      <c r="AJ35" s="1583" t="s">
        <v>9559</v>
      </c>
      <c r="AK35" s="1583" t="s">
        <v>4472</v>
      </c>
      <c r="AL35" s="1583" t="s">
        <v>5751</v>
      </c>
      <c r="AM35" s="1585" t="s">
        <v>1923</v>
      </c>
      <c r="AN35" s="1585" t="s">
        <v>4620</v>
      </c>
      <c r="AO35" s="1585" t="s">
        <v>9560</v>
      </c>
      <c r="AP35" s="1585" t="s">
        <v>9561</v>
      </c>
      <c r="AQ35" s="1585" t="s">
        <v>9562</v>
      </c>
      <c r="AR35" s="1585" t="s">
        <v>9225</v>
      </c>
      <c r="AS35" s="1585" t="s">
        <v>883</v>
      </c>
      <c r="AT35" s="1564" t="s">
        <v>9563</v>
      </c>
      <c r="AU35" s="1547" t="s">
        <v>9564</v>
      </c>
      <c r="AV35" s="1421" t="str">
        <f t="shared" si="1"/>
        <v>2:07</v>
      </c>
      <c r="AW35" s="1624"/>
    </row>
    <row r="36">
      <c r="A36" s="1557" t="s">
        <v>646</v>
      </c>
      <c r="B36" s="1545" t="s">
        <v>8825</v>
      </c>
      <c r="C36" s="1503">
        <v>0.050555555555555555</v>
      </c>
      <c r="D36" s="950" t="s">
        <v>9565</v>
      </c>
      <c r="E36" s="950" t="s">
        <v>9566</v>
      </c>
      <c r="F36" s="950" t="s">
        <v>9567</v>
      </c>
      <c r="G36" s="950" t="s">
        <v>9568</v>
      </c>
      <c r="H36" s="950" t="s">
        <v>9569</v>
      </c>
      <c r="I36" s="950" t="s">
        <v>2551</v>
      </c>
      <c r="J36" s="950" t="s">
        <v>1302</v>
      </c>
      <c r="K36" s="950" t="s">
        <v>9570</v>
      </c>
      <c r="L36" s="950" t="s">
        <v>4261</v>
      </c>
      <c r="M36" s="950" t="s">
        <v>4170</v>
      </c>
      <c r="N36" s="950" t="s">
        <v>9571</v>
      </c>
      <c r="O36" s="950" t="s">
        <v>9572</v>
      </c>
      <c r="P36" s="950" t="s">
        <v>9435</v>
      </c>
      <c r="Q36" s="950" t="s">
        <v>9573</v>
      </c>
      <c r="R36" s="950" t="s">
        <v>1937</v>
      </c>
      <c r="S36" s="950" t="s">
        <v>9574</v>
      </c>
      <c r="T36" s="950" t="s">
        <v>9414</v>
      </c>
      <c r="U36" s="950" t="s">
        <v>9575</v>
      </c>
      <c r="V36" s="950" t="s">
        <v>9576</v>
      </c>
      <c r="W36" s="950" t="s">
        <v>4728</v>
      </c>
      <c r="X36" s="950" t="s">
        <v>9577</v>
      </c>
      <c r="Y36" s="950" t="s">
        <v>5134</v>
      </c>
      <c r="Z36" s="950" t="s">
        <v>9578</v>
      </c>
      <c r="AA36" s="950" t="s">
        <v>9579</v>
      </c>
      <c r="AB36" s="950" t="s">
        <v>9580</v>
      </c>
      <c r="AC36" s="950" t="s">
        <v>7201</v>
      </c>
      <c r="AD36" s="950" t="s">
        <v>9581</v>
      </c>
      <c r="AE36" s="950" t="s">
        <v>9044</v>
      </c>
      <c r="AF36" s="950" t="s">
        <v>9582</v>
      </c>
      <c r="AG36" s="950" t="s">
        <v>5130</v>
      </c>
      <c r="AH36" s="950" t="s">
        <v>4442</v>
      </c>
      <c r="AI36" s="950" t="s">
        <v>9583</v>
      </c>
      <c r="AJ36" s="950" t="s">
        <v>9584</v>
      </c>
      <c r="AK36" s="950" t="s">
        <v>1762</v>
      </c>
      <c r="AL36" s="950" t="s">
        <v>9585</v>
      </c>
      <c r="AM36" s="950" t="s">
        <v>4040</v>
      </c>
      <c r="AN36" s="950" t="s">
        <v>4077</v>
      </c>
      <c r="AO36" s="950" t="s">
        <v>6369</v>
      </c>
      <c r="AP36" s="950" t="s">
        <v>9586</v>
      </c>
      <c r="AQ36" s="950" t="s">
        <v>9587</v>
      </c>
      <c r="AR36" s="950" t="s">
        <v>9135</v>
      </c>
      <c r="AS36" s="950" t="s">
        <v>839</v>
      </c>
      <c r="AT36" s="950" t="s">
        <v>9588</v>
      </c>
      <c r="AU36" s="1547" t="s">
        <v>9476</v>
      </c>
      <c r="AV36" s="1421" t="str">
        <f t="shared" si="1"/>
        <v>2:26</v>
      </c>
      <c r="AW36" s="1548" t="s">
        <v>9589</v>
      </c>
    </row>
    <row r="37" ht="15.75" customHeight="1">
      <c r="A37" s="1501" t="s">
        <v>741</v>
      </c>
      <c r="B37" s="1590" t="s">
        <v>8853</v>
      </c>
      <c r="C37" s="1503">
        <v>0.05056712962962963</v>
      </c>
      <c r="D37" s="1562" t="s">
        <v>8854</v>
      </c>
      <c r="E37" s="1593" t="s">
        <v>9358</v>
      </c>
      <c r="F37" s="1610" t="s">
        <v>8855</v>
      </c>
      <c r="G37" s="1516" t="s">
        <v>9590</v>
      </c>
      <c r="H37" s="1516" t="s">
        <v>9591</v>
      </c>
      <c r="I37" s="1610" t="s">
        <v>8858</v>
      </c>
      <c r="J37" s="1516" t="s">
        <v>1104</v>
      </c>
      <c r="K37" s="1516" t="s">
        <v>4917</v>
      </c>
      <c r="L37" s="1516" t="s">
        <v>2289</v>
      </c>
      <c r="M37" s="1516" t="s">
        <v>2242</v>
      </c>
      <c r="N37" s="1516" t="s">
        <v>9312</v>
      </c>
      <c r="O37" s="1516" t="s">
        <v>9592</v>
      </c>
      <c r="P37" s="1516" t="s">
        <v>4014</v>
      </c>
      <c r="Q37" s="1516" t="s">
        <v>9593</v>
      </c>
      <c r="R37" s="1516" t="s">
        <v>3111</v>
      </c>
      <c r="S37" s="1516" t="s">
        <v>8961</v>
      </c>
      <c r="T37" s="1516" t="s">
        <v>2357</v>
      </c>
      <c r="U37" s="1516" t="s">
        <v>9079</v>
      </c>
      <c r="V37" s="1516" t="s">
        <v>2876</v>
      </c>
      <c r="W37" s="1516" t="s">
        <v>9594</v>
      </c>
      <c r="X37" s="1516" t="s">
        <v>9595</v>
      </c>
      <c r="Y37" s="1516" t="s">
        <v>863</v>
      </c>
      <c r="Z37" s="1516" t="s">
        <v>9231</v>
      </c>
      <c r="AA37" s="1516" t="s">
        <v>6967</v>
      </c>
      <c r="AB37" s="1516" t="s">
        <v>6168</v>
      </c>
      <c r="AC37" s="1421" t="s">
        <v>538</v>
      </c>
      <c r="AD37" s="1516" t="s">
        <v>9596</v>
      </c>
      <c r="AE37" s="1516" t="s">
        <v>9349</v>
      </c>
      <c r="AF37" s="1516" t="s">
        <v>9597</v>
      </c>
      <c r="AG37" s="1516" t="s">
        <v>9414</v>
      </c>
      <c r="AH37" s="1516" t="s">
        <v>2956</v>
      </c>
      <c r="AI37" s="1516" t="s">
        <v>9598</v>
      </c>
      <c r="AJ37" s="1516" t="s">
        <v>3222</v>
      </c>
      <c r="AK37" s="1516" t="s">
        <v>5278</v>
      </c>
      <c r="AL37" s="1516" t="s">
        <v>4193</v>
      </c>
      <c r="AM37" s="1516" t="s">
        <v>3317</v>
      </c>
      <c r="AN37" s="1516" t="s">
        <v>346</v>
      </c>
      <c r="AO37" s="1516" t="s">
        <v>9599</v>
      </c>
      <c r="AP37" s="1516" t="s">
        <v>9600</v>
      </c>
      <c r="AQ37" s="1516" t="s">
        <v>6898</v>
      </c>
      <c r="AR37" s="1516" t="s">
        <v>2658</v>
      </c>
      <c r="AS37" s="1516" t="s">
        <v>4091</v>
      </c>
      <c r="AT37" s="1516" t="s">
        <v>5554</v>
      </c>
      <c r="AU37" s="1516" t="s">
        <v>9259</v>
      </c>
      <c r="AV37" s="1421" t="str">
        <f t="shared" si="1"/>
        <v>3:34</v>
      </c>
      <c r="AW37" s="1556" t="s">
        <v>9601</v>
      </c>
    </row>
    <row r="38" ht="15.75" customHeight="1">
      <c r="A38" s="1557" t="s">
        <v>646</v>
      </c>
      <c r="B38" s="1590" t="s">
        <v>8853</v>
      </c>
      <c r="C38" s="1626">
        <v>0.05056712962962963</v>
      </c>
      <c r="D38" s="950" t="s">
        <v>9602</v>
      </c>
      <c r="E38" s="1421" t="s">
        <v>9603</v>
      </c>
      <c r="F38" s="1421" t="s">
        <v>9289</v>
      </c>
      <c r="G38" s="1421" t="s">
        <v>9604</v>
      </c>
      <c r="H38" s="1421" t="s">
        <v>4445</v>
      </c>
      <c r="I38" s="1421" t="s">
        <v>1182</v>
      </c>
      <c r="J38" s="1516" t="s">
        <v>3471</v>
      </c>
      <c r="K38" s="1516" t="s">
        <v>3471</v>
      </c>
      <c r="L38" s="1421" t="s">
        <v>9605</v>
      </c>
      <c r="M38" s="1421" t="s">
        <v>9606</v>
      </c>
      <c r="N38" s="1421" t="s">
        <v>9236</v>
      </c>
      <c r="O38" s="1610" t="s">
        <v>8861</v>
      </c>
      <c r="P38" s="1421" t="s">
        <v>8020</v>
      </c>
      <c r="Q38" s="1421" t="s">
        <v>787</v>
      </c>
      <c r="R38" s="1516" t="s">
        <v>3471</v>
      </c>
      <c r="S38" s="1421" t="s">
        <v>9607</v>
      </c>
      <c r="T38" s="1421" t="s">
        <v>156</v>
      </c>
      <c r="U38" s="1421" t="s">
        <v>9608</v>
      </c>
      <c r="V38" s="1421" t="s">
        <v>9609</v>
      </c>
      <c r="W38" s="1421" t="s">
        <v>9610</v>
      </c>
      <c r="X38" s="1421" t="s">
        <v>9408</v>
      </c>
      <c r="Y38" s="1421" t="s">
        <v>9409</v>
      </c>
      <c r="Z38" s="1421" t="s">
        <v>151</v>
      </c>
      <c r="AA38" s="1421" t="s">
        <v>9611</v>
      </c>
      <c r="AB38" s="1421" t="s">
        <v>9097</v>
      </c>
      <c r="AC38" s="1421" t="s">
        <v>4475</v>
      </c>
      <c r="AD38" s="1421" t="s">
        <v>2321</v>
      </c>
      <c r="AE38" s="1421" t="s">
        <v>9553</v>
      </c>
      <c r="AF38" s="1421" t="s">
        <v>9612</v>
      </c>
      <c r="AG38" s="1421" t="s">
        <v>9613</v>
      </c>
      <c r="AH38" s="1421" t="s">
        <v>4462</v>
      </c>
      <c r="AI38" s="1421" t="s">
        <v>3798</v>
      </c>
      <c r="AJ38" s="1421" t="s">
        <v>9614</v>
      </c>
      <c r="AK38" s="1421" t="s">
        <v>1162</v>
      </c>
      <c r="AL38" s="1421" t="s">
        <v>9412</v>
      </c>
      <c r="AM38" s="1421" t="s">
        <v>874</v>
      </c>
      <c r="AN38" s="1516" t="s">
        <v>9426</v>
      </c>
      <c r="AO38" s="1516" t="s">
        <v>3471</v>
      </c>
      <c r="AP38" s="1421" t="s">
        <v>5400</v>
      </c>
      <c r="AQ38" s="1421" t="s">
        <v>254</v>
      </c>
      <c r="AR38" s="1421" t="s">
        <v>9615</v>
      </c>
      <c r="AS38" s="1421" t="s">
        <v>9616</v>
      </c>
      <c r="AT38" s="1421" t="s">
        <v>9617</v>
      </c>
      <c r="AU38" s="1516" t="s">
        <v>9618</v>
      </c>
      <c r="AV38" s="1421" t="str">
        <f t="shared" si="1"/>
        <v>3:07</v>
      </c>
      <c r="AW38" s="1589" t="s">
        <v>9619</v>
      </c>
    </row>
    <row r="39" ht="15.75" customHeight="1">
      <c r="A39" s="1501" t="s">
        <v>4257</v>
      </c>
      <c r="B39" s="1502" t="s">
        <v>8825</v>
      </c>
      <c r="C39" s="1626">
        <v>0.05060185185185185</v>
      </c>
      <c r="D39" s="950" t="s">
        <v>9620</v>
      </c>
      <c r="E39" s="1593" t="s">
        <v>3293</v>
      </c>
      <c r="F39" s="1593" t="s">
        <v>6106</v>
      </c>
      <c r="G39" s="1593" t="s">
        <v>9621</v>
      </c>
      <c r="H39" s="877" t="s">
        <v>9622</v>
      </c>
      <c r="I39" s="877" t="s">
        <v>4781</v>
      </c>
      <c r="J39" s="1594" t="s">
        <v>9060</v>
      </c>
      <c r="K39" s="1594" t="s">
        <v>7422</v>
      </c>
      <c r="L39" s="1594" t="s">
        <v>5533</v>
      </c>
      <c r="M39" s="1594" t="s">
        <v>9623</v>
      </c>
      <c r="N39" s="1594" t="s">
        <v>5318</v>
      </c>
      <c r="O39" s="1594" t="s">
        <v>9624</v>
      </c>
      <c r="P39" s="1594" t="s">
        <v>5955</v>
      </c>
      <c r="Q39" s="1595" t="s">
        <v>9625</v>
      </c>
      <c r="R39" s="1595" t="s">
        <v>5479</v>
      </c>
      <c r="S39" s="1595" t="s">
        <v>7026</v>
      </c>
      <c r="T39" s="1595" t="s">
        <v>9626</v>
      </c>
      <c r="U39" s="1595" t="s">
        <v>6241</v>
      </c>
      <c r="V39" s="1595" t="s">
        <v>3883</v>
      </c>
      <c r="W39" s="1596" t="s">
        <v>9627</v>
      </c>
      <c r="X39" s="1596" t="s">
        <v>7406</v>
      </c>
      <c r="Y39" s="1596" t="s">
        <v>1914</v>
      </c>
      <c r="Z39" s="1596" t="s">
        <v>1841</v>
      </c>
      <c r="AA39" s="1596" t="s">
        <v>9628</v>
      </c>
      <c r="AB39" s="1596" t="s">
        <v>9097</v>
      </c>
      <c r="AC39" s="1596" t="s">
        <v>5534</v>
      </c>
      <c r="AD39" s="1593" t="s">
        <v>6585</v>
      </c>
      <c r="AE39" s="1593" t="s">
        <v>7665</v>
      </c>
      <c r="AF39" s="1597" t="s">
        <v>9629</v>
      </c>
      <c r="AG39" s="1597" t="s">
        <v>9557</v>
      </c>
      <c r="AH39" s="1597" t="s">
        <v>8102</v>
      </c>
      <c r="AI39" s="1597" t="s">
        <v>5529</v>
      </c>
      <c r="AJ39" s="1597" t="s">
        <v>9630</v>
      </c>
      <c r="AK39" s="1597" t="s">
        <v>9631</v>
      </c>
      <c r="AL39" s="1597" t="s">
        <v>9632</v>
      </c>
      <c r="AM39" s="1584" t="s">
        <v>9633</v>
      </c>
      <c r="AN39" s="1584" t="s">
        <v>9634</v>
      </c>
      <c r="AO39" s="1584" t="s">
        <v>9635</v>
      </c>
      <c r="AP39" s="1584" t="s">
        <v>9636</v>
      </c>
      <c r="AQ39" s="1584" t="s">
        <v>9497</v>
      </c>
      <c r="AR39" s="1584" t="s">
        <v>9637</v>
      </c>
      <c r="AS39" s="1584" t="s">
        <v>4388</v>
      </c>
      <c r="AT39" s="1594" t="s">
        <v>9638</v>
      </c>
      <c r="AU39" s="1598" t="s">
        <v>9639</v>
      </c>
      <c r="AV39" s="1421" t="str">
        <f t="shared" si="1"/>
        <v>1:56</v>
      </c>
      <c r="AW39" s="1624"/>
    </row>
    <row r="40" ht="15.75" customHeight="1">
      <c r="A40" s="1513" t="s">
        <v>899</v>
      </c>
      <c r="B40" s="1502" t="s">
        <v>8825</v>
      </c>
      <c r="C40" s="1503">
        <v>0.05061342592592592</v>
      </c>
      <c r="D40" s="950" t="s">
        <v>9640</v>
      </c>
      <c r="E40" s="1516" t="s">
        <v>9036</v>
      </c>
      <c r="F40" s="1516" t="s">
        <v>5439</v>
      </c>
      <c r="G40" s="1421" t="s">
        <v>9641</v>
      </c>
      <c r="H40" s="1516" t="s">
        <v>9642</v>
      </c>
      <c r="I40" s="1516" t="s">
        <v>390</v>
      </c>
      <c r="J40" s="1516" t="s">
        <v>7764</v>
      </c>
      <c r="K40" s="1421" t="s">
        <v>9286</v>
      </c>
      <c r="L40" s="1516" t="s">
        <v>9643</v>
      </c>
      <c r="M40" s="1516" t="s">
        <v>9644</v>
      </c>
      <c r="N40" s="1516" t="s">
        <v>4395</v>
      </c>
      <c r="O40" s="1516" t="s">
        <v>9645</v>
      </c>
      <c r="P40" s="1516" t="s">
        <v>1588</v>
      </c>
      <c r="Q40" s="1507" t="s">
        <v>9646</v>
      </c>
      <c r="R40" s="1516" t="s">
        <v>9647</v>
      </c>
      <c r="S40" s="1421" t="s">
        <v>9648</v>
      </c>
      <c r="T40" s="1516" t="s">
        <v>9392</v>
      </c>
      <c r="U40" s="1516" t="s">
        <v>6689</v>
      </c>
      <c r="V40" s="1516" t="s">
        <v>2476</v>
      </c>
      <c r="W40" s="1535" t="str">
        <f>HYPERLINK("https://www.youtube.com/watch?v=nn1ub1z3NYM","1:45.96")</f>
        <v>1:45.96</v>
      </c>
      <c r="X40" s="1516" t="s">
        <v>5749</v>
      </c>
      <c r="Y40" s="1421" t="s">
        <v>5515</v>
      </c>
      <c r="Z40" s="1516" t="s">
        <v>1503</v>
      </c>
      <c r="AA40" s="1516" t="s">
        <v>9649</v>
      </c>
      <c r="AB40" s="1516" t="s">
        <v>9650</v>
      </c>
      <c r="AC40" s="1516" t="s">
        <v>1044</v>
      </c>
      <c r="AD40" s="1516" t="s">
        <v>9651</v>
      </c>
      <c r="AE40" s="1507" t="s">
        <v>4618</v>
      </c>
      <c r="AF40" s="1421" t="s">
        <v>9652</v>
      </c>
      <c r="AG40" s="1516" t="s">
        <v>1935</v>
      </c>
      <c r="AH40" s="1516" t="s">
        <v>3048</v>
      </c>
      <c r="AI40" s="1516" t="s">
        <v>9653</v>
      </c>
      <c r="AJ40" s="1421" t="s">
        <v>8375</v>
      </c>
      <c r="AK40" s="1516" t="s">
        <v>9654</v>
      </c>
      <c r="AL40" s="1421" t="s">
        <v>4349</v>
      </c>
      <c r="AM40" s="1421" t="s">
        <v>9655</v>
      </c>
      <c r="AN40" s="1421" t="s">
        <v>2508</v>
      </c>
      <c r="AO40" s="1516" t="s">
        <v>3603</v>
      </c>
      <c r="AP40" s="1516" t="s">
        <v>9656</v>
      </c>
      <c r="AQ40" s="1516" t="s">
        <v>9657</v>
      </c>
      <c r="AR40" s="1516" t="s">
        <v>1302</v>
      </c>
      <c r="AS40" s="1516" t="s">
        <v>4751</v>
      </c>
      <c r="AT40" s="1516" t="s">
        <v>9658</v>
      </c>
      <c r="AU40" s="1516" t="s">
        <v>9659</v>
      </c>
      <c r="AV40" s="1421" t="str">
        <f t="shared" si="1"/>
        <v>2:25</v>
      </c>
      <c r="AW40" s="1556"/>
    </row>
    <row r="41">
      <c r="A41" s="1513" t="s">
        <v>9660</v>
      </c>
      <c r="B41" s="1555" t="s">
        <v>8825</v>
      </c>
      <c r="C41" s="1503">
        <v>0.050625</v>
      </c>
      <c r="D41" s="1632" t="s">
        <v>9661</v>
      </c>
      <c r="E41" s="1516" t="s">
        <v>4704</v>
      </c>
      <c r="F41" s="1516" t="s">
        <v>9662</v>
      </c>
      <c r="G41" s="1516" t="s">
        <v>9663</v>
      </c>
      <c r="H41" s="1516" t="s">
        <v>1658</v>
      </c>
      <c r="I41" s="1516" t="s">
        <v>1833</v>
      </c>
      <c r="J41" s="1516" t="s">
        <v>9664</v>
      </c>
      <c r="K41" s="1516" t="s">
        <v>3624</v>
      </c>
      <c r="L41" s="1516" t="s">
        <v>9665</v>
      </c>
      <c r="M41" s="1516" t="s">
        <v>9666</v>
      </c>
      <c r="N41" s="1516" t="s">
        <v>9667</v>
      </c>
      <c r="O41" s="1516" t="s">
        <v>9668</v>
      </c>
      <c r="P41" s="1516" t="s">
        <v>9553</v>
      </c>
      <c r="Q41" s="1516" t="s">
        <v>4639</v>
      </c>
      <c r="R41" s="1516" t="s">
        <v>4011</v>
      </c>
      <c r="S41" s="1516" t="s">
        <v>2644</v>
      </c>
      <c r="T41" s="1516" t="s">
        <v>2357</v>
      </c>
      <c r="U41" s="1516" t="s">
        <v>9669</v>
      </c>
      <c r="V41" s="1516" t="s">
        <v>2213</v>
      </c>
      <c r="W41" s="1516" t="s">
        <v>7104</v>
      </c>
      <c r="X41" s="1516" t="s">
        <v>9670</v>
      </c>
      <c r="Y41" s="1516" t="s">
        <v>9671</v>
      </c>
      <c r="Z41" s="1516" t="s">
        <v>9672</v>
      </c>
      <c r="AA41" s="1516" t="s">
        <v>9673</v>
      </c>
      <c r="AB41" s="1516"/>
      <c r="AC41" s="1516" t="s">
        <v>9674</v>
      </c>
      <c r="AD41" s="1516" t="s">
        <v>9675</v>
      </c>
      <c r="AE41" s="1516" t="s">
        <v>4964</v>
      </c>
      <c r="AF41" s="1516" t="s">
        <v>9676</v>
      </c>
      <c r="AG41" s="1516" t="s">
        <v>9677</v>
      </c>
      <c r="AH41" s="1516" t="s">
        <v>9678</v>
      </c>
      <c r="AI41" s="1516" t="s">
        <v>728</v>
      </c>
      <c r="AJ41" s="1516" t="s">
        <v>9679</v>
      </c>
      <c r="AK41" s="1516" t="s">
        <v>8837</v>
      </c>
      <c r="AL41" s="1516" t="s">
        <v>9680</v>
      </c>
      <c r="AM41" s="1516" t="s">
        <v>9681</v>
      </c>
      <c r="AN41" s="1516" t="s">
        <v>8903</v>
      </c>
      <c r="AO41" s="1516" t="s">
        <v>9682</v>
      </c>
      <c r="AP41" s="1516" t="s">
        <v>9683</v>
      </c>
      <c r="AQ41" s="1516" t="s">
        <v>9684</v>
      </c>
      <c r="AR41" s="1516" t="s">
        <v>7478</v>
      </c>
      <c r="AS41" s="1516" t="s">
        <v>5846</v>
      </c>
      <c r="AT41" s="1516" t="s">
        <v>8480</v>
      </c>
      <c r="AU41" s="1516" t="s">
        <v>9685</v>
      </c>
      <c r="AV41" s="1421" t="str">
        <f t="shared" si="1"/>
        <v>2:05</v>
      </c>
      <c r="AW41" s="1589"/>
    </row>
    <row r="42">
      <c r="A42" s="1513" t="s">
        <v>9686</v>
      </c>
      <c r="B42" s="1545" t="s">
        <v>8825</v>
      </c>
      <c r="C42" s="1503">
        <v>0.0506712962962963</v>
      </c>
      <c r="D42" s="1632" t="s">
        <v>9687</v>
      </c>
      <c r="E42" s="1580" t="s">
        <v>3293</v>
      </c>
      <c r="F42" s="1580" t="s">
        <v>9180</v>
      </c>
      <c r="G42" s="1580" t="s">
        <v>9688</v>
      </c>
      <c r="H42" s="812" t="s">
        <v>9689</v>
      </c>
      <c r="I42" s="812" t="s">
        <v>9690</v>
      </c>
      <c r="J42" s="1564" t="s">
        <v>9691</v>
      </c>
      <c r="K42" s="1564" t="s">
        <v>8059</v>
      </c>
      <c r="L42" s="1564" t="s">
        <v>4323</v>
      </c>
      <c r="M42" s="1564" t="s">
        <v>8060</v>
      </c>
      <c r="N42" s="1564" t="s">
        <v>9692</v>
      </c>
      <c r="O42" s="1564" t="s">
        <v>2246</v>
      </c>
      <c r="P42" s="1564" t="s">
        <v>8023</v>
      </c>
      <c r="Q42" s="1567" t="s">
        <v>7322</v>
      </c>
      <c r="R42" s="1567" t="s">
        <v>9693</v>
      </c>
      <c r="S42" s="1567" t="s">
        <v>9694</v>
      </c>
      <c r="T42" s="1567" t="s">
        <v>9695</v>
      </c>
      <c r="U42" s="1567" t="s">
        <v>9696</v>
      </c>
      <c r="V42" s="1567" t="s">
        <v>9697</v>
      </c>
      <c r="W42" s="1582" t="s">
        <v>9698</v>
      </c>
      <c r="X42" s="1582" t="s">
        <v>9699</v>
      </c>
      <c r="Y42" s="1582" t="s">
        <v>6298</v>
      </c>
      <c r="Z42" s="1582" t="s">
        <v>9700</v>
      </c>
      <c r="AA42" s="1516" t="s">
        <v>158</v>
      </c>
      <c r="AB42" s="1582" t="s">
        <v>9424</v>
      </c>
      <c r="AC42" s="1582" t="s">
        <v>7201</v>
      </c>
      <c r="AD42" s="1580" t="s">
        <v>9701</v>
      </c>
      <c r="AE42" s="1580" t="s">
        <v>538</v>
      </c>
      <c r="AF42" s="1583" t="s">
        <v>9702</v>
      </c>
      <c r="AG42" s="1583" t="s">
        <v>3994</v>
      </c>
      <c r="AH42" s="1583" t="s">
        <v>5217</v>
      </c>
      <c r="AI42" s="1583" t="s">
        <v>9703</v>
      </c>
      <c r="AJ42" s="1583" t="s">
        <v>9704</v>
      </c>
      <c r="AK42" s="1583" t="s">
        <v>175</v>
      </c>
      <c r="AL42" s="1583" t="s">
        <v>2615</v>
      </c>
      <c r="AM42" s="1585" t="s">
        <v>9181</v>
      </c>
      <c r="AN42" s="1585" t="s">
        <v>9415</v>
      </c>
      <c r="AO42" s="1585" t="s">
        <v>9353</v>
      </c>
      <c r="AP42" s="1585" t="s">
        <v>9705</v>
      </c>
      <c r="AQ42" s="1585" t="s">
        <v>9706</v>
      </c>
      <c r="AR42" s="1585" t="s">
        <v>4866</v>
      </c>
      <c r="AS42" s="1585" t="s">
        <v>9707</v>
      </c>
      <c r="AT42" s="1564" t="s">
        <v>9708</v>
      </c>
      <c r="AU42" s="1547" t="s">
        <v>9499</v>
      </c>
      <c r="AV42" s="1421" t="str">
        <f t="shared" si="1"/>
        <v>3:31</v>
      </c>
      <c r="AW42" s="1624"/>
    </row>
    <row r="43" ht="15.75" customHeight="1">
      <c r="A43" s="1607" t="s">
        <v>9709</v>
      </c>
      <c r="B43" s="1502" t="s">
        <v>8825</v>
      </c>
      <c r="C43" s="1503">
        <v>0.05070601851851852</v>
      </c>
      <c r="D43" s="950" t="s">
        <v>9710</v>
      </c>
      <c r="E43" s="1593" t="s">
        <v>3192</v>
      </c>
      <c r="F43" s="1593" t="s">
        <v>9027</v>
      </c>
      <c r="G43" s="1593" t="s">
        <v>9711</v>
      </c>
      <c r="H43" s="877" t="s">
        <v>9712</v>
      </c>
      <c r="I43" s="877" t="s">
        <v>390</v>
      </c>
      <c r="J43" s="1594" t="s">
        <v>1932</v>
      </c>
      <c r="K43" s="1594" t="s">
        <v>3501</v>
      </c>
      <c r="L43" s="1594" t="s">
        <v>5448</v>
      </c>
      <c r="M43" s="1594" t="s">
        <v>9713</v>
      </c>
      <c r="N43" s="1594" t="s">
        <v>9549</v>
      </c>
      <c r="O43" s="1594" t="s">
        <v>9714</v>
      </c>
      <c r="P43" s="1594" t="s">
        <v>5494</v>
      </c>
      <c r="Q43" s="1595" t="s">
        <v>9715</v>
      </c>
      <c r="R43" s="1595" t="s">
        <v>732</v>
      </c>
      <c r="S43" s="1595" t="s">
        <v>9682</v>
      </c>
      <c r="T43" s="1595" t="s">
        <v>9552</v>
      </c>
      <c r="U43" s="1595" t="s">
        <v>9716</v>
      </c>
      <c r="V43" s="1595" t="s">
        <v>2476</v>
      </c>
      <c r="W43" s="1596" t="s">
        <v>9717</v>
      </c>
      <c r="X43" s="1596" t="s">
        <v>6169</v>
      </c>
      <c r="Y43" s="1596" t="s">
        <v>8163</v>
      </c>
      <c r="Z43" s="1596" t="s">
        <v>8914</v>
      </c>
      <c r="AA43" s="1596" t="s">
        <v>9718</v>
      </c>
      <c r="AB43" s="1596" t="s">
        <v>2634</v>
      </c>
      <c r="AC43" s="1596" t="s">
        <v>3107</v>
      </c>
      <c r="AD43" s="1593" t="s">
        <v>9719</v>
      </c>
      <c r="AE43" s="1593" t="s">
        <v>6300</v>
      </c>
      <c r="AF43" s="1597" t="s">
        <v>8979</v>
      </c>
      <c r="AG43" s="1597" t="s">
        <v>9720</v>
      </c>
      <c r="AH43" s="1597" t="s">
        <v>2255</v>
      </c>
      <c r="AI43" s="1597" t="s">
        <v>9721</v>
      </c>
      <c r="AJ43" s="1597" t="s">
        <v>9722</v>
      </c>
      <c r="AK43" s="1597" t="s">
        <v>9723</v>
      </c>
      <c r="AL43" s="1597" t="s">
        <v>5417</v>
      </c>
      <c r="AM43" s="1584" t="s">
        <v>9577</v>
      </c>
      <c r="AN43" s="1584" t="s">
        <v>5417</v>
      </c>
      <c r="AO43" s="1584" t="s">
        <v>2302</v>
      </c>
      <c r="AP43" s="1584" t="s">
        <v>9724</v>
      </c>
      <c r="AQ43" s="1584" t="s">
        <v>9725</v>
      </c>
      <c r="AR43" s="1584" t="s">
        <v>4687</v>
      </c>
      <c r="AS43" s="1584" t="s">
        <v>4391</v>
      </c>
      <c r="AT43" s="1594" t="s">
        <v>9726</v>
      </c>
      <c r="AU43" s="1598" t="s">
        <v>9727</v>
      </c>
      <c r="AV43" s="1421" t="str">
        <f t="shared" si="1"/>
        <v>2:54</v>
      </c>
      <c r="AW43" s="1624"/>
    </row>
    <row r="44">
      <c r="A44" s="1557" t="s">
        <v>2817</v>
      </c>
      <c r="B44" s="1555" t="s">
        <v>8825</v>
      </c>
      <c r="C44" s="1503">
        <v>0.050826388888888886</v>
      </c>
      <c r="D44" s="1516" t="s">
        <v>9728</v>
      </c>
      <c r="E44" s="1516" t="s">
        <v>6929</v>
      </c>
      <c r="F44" s="1580" t="s">
        <v>9729</v>
      </c>
      <c r="G44" s="1516" t="s">
        <v>9730</v>
      </c>
      <c r="H44" s="1516" t="s">
        <v>6570</v>
      </c>
      <c r="I44" s="1516" t="s">
        <v>1292</v>
      </c>
      <c r="J44" s="1516" t="s">
        <v>9731</v>
      </c>
      <c r="K44" s="1516" t="s">
        <v>3968</v>
      </c>
      <c r="L44" s="1516" t="s">
        <v>5943</v>
      </c>
      <c r="M44" s="1516" t="s">
        <v>9732</v>
      </c>
      <c r="N44" s="1516" t="s">
        <v>6814</v>
      </c>
      <c r="O44" s="1516" t="s">
        <v>9733</v>
      </c>
      <c r="P44" s="1516" t="s">
        <v>9292</v>
      </c>
      <c r="Q44" s="1516" t="s">
        <v>9734</v>
      </c>
      <c r="R44" s="1516" t="s">
        <v>9735</v>
      </c>
      <c r="S44" s="1516" t="s">
        <v>9736</v>
      </c>
      <c r="T44" s="1516" t="s">
        <v>1794</v>
      </c>
      <c r="U44" s="1516" t="s">
        <v>9737</v>
      </c>
      <c r="V44" s="1516" t="s">
        <v>8104</v>
      </c>
      <c r="W44" s="1516" t="s">
        <v>5478</v>
      </c>
      <c r="X44" s="1516" t="s">
        <v>9738</v>
      </c>
      <c r="Y44" s="1516" t="s">
        <v>8014</v>
      </c>
      <c r="Z44" s="1516" t="s">
        <v>9739</v>
      </c>
      <c r="AA44" s="1582" t="s">
        <v>9740</v>
      </c>
      <c r="AB44" s="1516" t="s">
        <v>1841</v>
      </c>
      <c r="AC44" s="1516" t="s">
        <v>7201</v>
      </c>
      <c r="AD44" s="1516" t="s">
        <v>9741</v>
      </c>
      <c r="AE44" s="1516" t="s">
        <v>4964</v>
      </c>
      <c r="AF44" s="1516" t="s">
        <v>9742</v>
      </c>
      <c r="AG44" s="1516" t="s">
        <v>1176</v>
      </c>
      <c r="AH44" s="1516" t="s">
        <v>3959</v>
      </c>
      <c r="AI44" s="1516" t="s">
        <v>9743</v>
      </c>
      <c r="AJ44" s="1516" t="s">
        <v>9744</v>
      </c>
      <c r="AK44" s="1516" t="s">
        <v>9654</v>
      </c>
      <c r="AL44" s="1516" t="s">
        <v>4354</v>
      </c>
      <c r="AM44" s="1516" t="s">
        <v>9654</v>
      </c>
      <c r="AN44" s="1516" t="s">
        <v>8903</v>
      </c>
      <c r="AO44" s="1516" t="s">
        <v>6881</v>
      </c>
      <c r="AP44" s="1516" t="s">
        <v>9745</v>
      </c>
      <c r="AQ44" s="1516" t="s">
        <v>9746</v>
      </c>
      <c r="AR44" s="1516" t="s">
        <v>5156</v>
      </c>
      <c r="AS44" s="1516" t="s">
        <v>6136</v>
      </c>
      <c r="AT44" s="1516" t="s">
        <v>9747</v>
      </c>
      <c r="AU44" s="1516" t="s">
        <v>9748</v>
      </c>
      <c r="AV44" s="1421" t="str">
        <f t="shared" si="1"/>
        <v>2:25</v>
      </c>
      <c r="AW44" s="1589"/>
    </row>
    <row r="45" ht="15.75" customHeight="1">
      <c r="A45" s="1557" t="s">
        <v>4640</v>
      </c>
      <c r="B45" s="1502" t="s">
        <v>8825</v>
      </c>
      <c r="C45" s="1626">
        <v>0.050868055555555555</v>
      </c>
      <c r="D45" s="950" t="s">
        <v>9749</v>
      </c>
      <c r="E45" s="1421" t="s">
        <v>7150</v>
      </c>
      <c r="F45" s="1421" t="s">
        <v>9750</v>
      </c>
      <c r="G45" s="1421" t="s">
        <v>9751</v>
      </c>
      <c r="H45" s="1421" t="s">
        <v>9591</v>
      </c>
      <c r="I45" s="1421" t="s">
        <v>1292</v>
      </c>
      <c r="J45" s="1421" t="s">
        <v>4866</v>
      </c>
      <c r="K45" s="1421" t="s">
        <v>9300</v>
      </c>
      <c r="L45" s="1421" t="s">
        <v>9183</v>
      </c>
      <c r="M45" s="1421" t="s">
        <v>5377</v>
      </c>
      <c r="N45" s="1421" t="s">
        <v>8332</v>
      </c>
      <c r="O45" s="1421" t="s">
        <v>9752</v>
      </c>
      <c r="P45" s="1421" t="s">
        <v>2547</v>
      </c>
      <c r="Q45" s="1421" t="s">
        <v>9753</v>
      </c>
      <c r="R45" s="1421" t="s">
        <v>6833</v>
      </c>
      <c r="S45" s="1421" t="s">
        <v>9138</v>
      </c>
      <c r="T45" s="1421" t="s">
        <v>4607</v>
      </c>
      <c r="U45" s="1421" t="s">
        <v>9754</v>
      </c>
      <c r="V45" s="1421" t="s">
        <v>9344</v>
      </c>
      <c r="W45" s="1421" t="s">
        <v>9755</v>
      </c>
      <c r="X45" s="1421" t="s">
        <v>9350</v>
      </c>
      <c r="Y45" s="1421" t="s">
        <v>3631</v>
      </c>
      <c r="Z45" s="1421" t="s">
        <v>9756</v>
      </c>
      <c r="AA45" s="1421" t="s">
        <v>9757</v>
      </c>
      <c r="AB45" s="1421" t="s">
        <v>195</v>
      </c>
      <c r="AC45" s="1421" t="s">
        <v>3010</v>
      </c>
      <c r="AD45" s="1421" t="s">
        <v>9758</v>
      </c>
      <c r="AE45" s="1421" t="s">
        <v>620</v>
      </c>
      <c r="AF45" s="1421" t="s">
        <v>9759</v>
      </c>
      <c r="AG45" s="1421" t="s">
        <v>6032</v>
      </c>
      <c r="AH45" s="1421" t="s">
        <v>9760</v>
      </c>
      <c r="AI45" s="1421" t="s">
        <v>6988</v>
      </c>
      <c r="AJ45" s="1421" t="s">
        <v>9761</v>
      </c>
      <c r="AK45" s="1421" t="s">
        <v>5405</v>
      </c>
      <c r="AL45" s="1421" t="s">
        <v>3201</v>
      </c>
      <c r="AM45" s="1421" t="s">
        <v>9762</v>
      </c>
      <c r="AN45" s="1421" t="s">
        <v>3337</v>
      </c>
      <c r="AO45" s="1421" t="s">
        <v>9286</v>
      </c>
      <c r="AP45" s="1421" t="s">
        <v>9763</v>
      </c>
      <c r="AQ45" s="1421" t="s">
        <v>9764</v>
      </c>
      <c r="AR45" s="1421" t="s">
        <v>9174</v>
      </c>
      <c r="AS45" s="1421" t="s">
        <v>5119</v>
      </c>
      <c r="AT45" s="1421" t="s">
        <v>9765</v>
      </c>
      <c r="AU45" s="1421" t="s">
        <v>9766</v>
      </c>
      <c r="AV45" s="1421" t="str">
        <f t="shared" si="1"/>
        <v>2:44</v>
      </c>
      <c r="AW45" s="1537"/>
    </row>
    <row r="46" ht="15.75" customHeight="1">
      <c r="A46" s="1557" t="s">
        <v>1809</v>
      </c>
      <c r="B46" s="1633" t="s">
        <v>8879</v>
      </c>
      <c r="C46" s="1634">
        <v>0.05092592592592592</v>
      </c>
      <c r="D46" s="1635" t="s">
        <v>8880</v>
      </c>
      <c r="E46" s="1636" t="s">
        <v>8881</v>
      </c>
      <c r="F46" s="1635" t="s">
        <v>8882</v>
      </c>
      <c r="G46" s="1516" t="s">
        <v>9767</v>
      </c>
      <c r="H46" s="1635" t="s">
        <v>8884</v>
      </c>
      <c r="I46" s="1421" t="s">
        <v>1411</v>
      </c>
      <c r="J46" s="1593" t="s">
        <v>9768</v>
      </c>
      <c r="K46" s="1421" t="s">
        <v>9549</v>
      </c>
      <c r="L46" s="1593" t="s">
        <v>2327</v>
      </c>
      <c r="M46" s="1421" t="s">
        <v>2673</v>
      </c>
      <c r="N46" s="1635" t="s">
        <v>8845</v>
      </c>
      <c r="O46" s="1421" t="s">
        <v>9769</v>
      </c>
      <c r="P46" s="1593" t="s">
        <v>638</v>
      </c>
      <c r="Q46" s="1636" t="s">
        <v>8889</v>
      </c>
      <c r="R46" s="1635" t="s">
        <v>8890</v>
      </c>
      <c r="S46" s="1421" t="s">
        <v>1162</v>
      </c>
      <c r="T46" s="1593" t="s">
        <v>7241</v>
      </c>
      <c r="U46" s="1636" t="s">
        <v>8892</v>
      </c>
      <c r="V46" s="1635" t="s">
        <v>4286</v>
      </c>
      <c r="W46" s="1421" t="s">
        <v>9770</v>
      </c>
      <c r="X46" s="1635" t="s">
        <v>8894</v>
      </c>
      <c r="Y46" s="1421" t="s">
        <v>5652</v>
      </c>
      <c r="Z46" s="1580" t="s">
        <v>9771</v>
      </c>
      <c r="AA46" s="1421" t="s">
        <v>2304</v>
      </c>
      <c r="AB46" s="1593" t="s">
        <v>9772</v>
      </c>
      <c r="AC46" s="1516" t="s">
        <v>9773</v>
      </c>
      <c r="AD46" s="1593" t="s">
        <v>9774</v>
      </c>
      <c r="AE46" s="1516" t="s">
        <v>9775</v>
      </c>
      <c r="AF46" s="1593" t="s">
        <v>9776</v>
      </c>
      <c r="AG46" s="1421" t="s">
        <v>7932</v>
      </c>
      <c r="AH46" s="1580" t="s">
        <v>9665</v>
      </c>
      <c r="AI46" s="1636" t="s">
        <v>8899</v>
      </c>
      <c r="AJ46" s="1593" t="s">
        <v>9777</v>
      </c>
      <c r="AK46" s="1421" t="s">
        <v>5915</v>
      </c>
      <c r="AL46" s="1635" t="s">
        <v>8901</v>
      </c>
      <c r="AM46" s="1421" t="s">
        <v>9252</v>
      </c>
      <c r="AN46" s="1593" t="s">
        <v>3878</v>
      </c>
      <c r="AO46" s="1516" t="s">
        <v>4881</v>
      </c>
      <c r="AP46" s="1580" t="s">
        <v>9778</v>
      </c>
      <c r="AQ46" s="1516" t="s">
        <v>9779</v>
      </c>
      <c r="AR46" s="1580" t="s">
        <v>9780</v>
      </c>
      <c r="AS46" s="1421" t="s">
        <v>973</v>
      </c>
      <c r="AT46" s="1635" t="s">
        <v>8907</v>
      </c>
      <c r="AU46" s="1636" t="s">
        <v>8908</v>
      </c>
      <c r="AV46" s="1421" t="str">
        <f t="shared" si="1"/>
        <v>2:24</v>
      </c>
      <c r="AW46" s="1556"/>
    </row>
    <row r="47">
      <c r="A47" s="1557" t="s">
        <v>2572</v>
      </c>
      <c r="B47" s="1559" t="s">
        <v>8853</v>
      </c>
      <c r="C47" s="1503">
        <v>0.05092592592592592</v>
      </c>
      <c r="D47" s="950" t="s">
        <v>9781</v>
      </c>
      <c r="E47" s="1580" t="s">
        <v>9782</v>
      </c>
      <c r="F47" s="1580" t="s">
        <v>9783</v>
      </c>
      <c r="G47" s="1580" t="s">
        <v>9784</v>
      </c>
      <c r="H47" s="812" t="s">
        <v>9785</v>
      </c>
      <c r="I47" s="812" t="s">
        <v>2954</v>
      </c>
      <c r="J47" s="1564" t="s">
        <v>8996</v>
      </c>
      <c r="K47" s="1564" t="s">
        <v>3589</v>
      </c>
      <c r="L47" s="1564" t="s">
        <v>5797</v>
      </c>
      <c r="M47" s="1564" t="s">
        <v>3125</v>
      </c>
      <c r="N47" s="1564" t="s">
        <v>874</v>
      </c>
      <c r="O47" s="1564" t="s">
        <v>9786</v>
      </c>
      <c r="P47" s="1564" t="s">
        <v>774</v>
      </c>
      <c r="Q47" s="1567" t="s">
        <v>7229</v>
      </c>
      <c r="R47" s="1567" t="s">
        <v>6907</v>
      </c>
      <c r="S47" s="1567" t="s">
        <v>7474</v>
      </c>
      <c r="T47" s="1567" t="s">
        <v>9787</v>
      </c>
      <c r="U47" s="1637" t="s">
        <v>7392</v>
      </c>
      <c r="V47" s="1567" t="s">
        <v>9788</v>
      </c>
      <c r="W47" s="1582" t="s">
        <v>6854</v>
      </c>
      <c r="X47" s="1582" t="s">
        <v>9789</v>
      </c>
      <c r="Y47" s="1582" t="s">
        <v>9790</v>
      </c>
      <c r="Z47" s="1582" t="s">
        <v>7158</v>
      </c>
      <c r="AA47" s="1582" t="s">
        <v>1868</v>
      </c>
      <c r="AB47" s="1582" t="s">
        <v>9791</v>
      </c>
      <c r="AC47" s="1582" t="s">
        <v>2445</v>
      </c>
      <c r="AD47" s="1580" t="s">
        <v>9792</v>
      </c>
      <c r="AE47" s="1580" t="s">
        <v>5223</v>
      </c>
      <c r="AF47" s="1583" t="s">
        <v>9793</v>
      </c>
      <c r="AG47" s="1583" t="s">
        <v>5276</v>
      </c>
      <c r="AH47" s="1583" t="s">
        <v>4462</v>
      </c>
      <c r="AI47" s="1583" t="s">
        <v>9794</v>
      </c>
      <c r="AJ47" s="1573" t="s">
        <v>8872</v>
      </c>
      <c r="AK47" s="1583" t="s">
        <v>195</v>
      </c>
      <c r="AL47" s="1583" t="s">
        <v>5916</v>
      </c>
      <c r="AM47" s="1585" t="s">
        <v>4071</v>
      </c>
      <c r="AN47" s="1585" t="s">
        <v>3728</v>
      </c>
      <c r="AO47" s="1585" t="s">
        <v>2399</v>
      </c>
      <c r="AP47" s="1585" t="s">
        <v>9795</v>
      </c>
      <c r="AQ47" s="1585" t="s">
        <v>4306</v>
      </c>
      <c r="AR47" s="1585" t="s">
        <v>7218</v>
      </c>
      <c r="AS47" s="1585" t="s">
        <v>6590</v>
      </c>
      <c r="AT47" s="1564" t="s">
        <v>9796</v>
      </c>
      <c r="AU47" s="990" t="s">
        <v>9797</v>
      </c>
      <c r="AV47" s="1421" t="str">
        <f t="shared" si="1"/>
        <v>4:25</v>
      </c>
      <c r="AW47" s="1554"/>
    </row>
    <row r="48" ht="15.75" customHeight="1">
      <c r="A48" s="1501" t="s">
        <v>4492</v>
      </c>
      <c r="B48" s="1590" t="s">
        <v>8853</v>
      </c>
      <c r="C48" s="1503">
        <v>0.05100810185185185</v>
      </c>
      <c r="D48" s="950" t="s">
        <v>9798</v>
      </c>
      <c r="E48" s="1580" t="s">
        <v>9799</v>
      </c>
      <c r="F48" s="1580" t="s">
        <v>9800</v>
      </c>
      <c r="G48" s="1593" t="s">
        <v>9801</v>
      </c>
      <c r="H48" s="812" t="s">
        <v>9802</v>
      </c>
      <c r="I48" s="812" t="s">
        <v>1411</v>
      </c>
      <c r="J48" s="1564" t="s">
        <v>5156</v>
      </c>
      <c r="K48" s="1564" t="s">
        <v>9546</v>
      </c>
      <c r="L48" s="1564" t="s">
        <v>4407</v>
      </c>
      <c r="M48" s="1564" t="s">
        <v>1454</v>
      </c>
      <c r="N48" s="1564" t="s">
        <v>9803</v>
      </c>
      <c r="O48" s="1564" t="s">
        <v>9040</v>
      </c>
      <c r="P48" s="1564" t="s">
        <v>9804</v>
      </c>
      <c r="Q48" s="1567" t="s">
        <v>9805</v>
      </c>
      <c r="R48" s="1567" t="s">
        <v>3434</v>
      </c>
      <c r="S48" s="1567" t="s">
        <v>7181</v>
      </c>
      <c r="T48" s="1567" t="s">
        <v>9806</v>
      </c>
      <c r="U48" s="1567" t="s">
        <v>9807</v>
      </c>
      <c r="V48" s="1595" t="s">
        <v>1364</v>
      </c>
      <c r="W48" s="1582" t="s">
        <v>9808</v>
      </c>
      <c r="X48" s="1582" t="s">
        <v>9598</v>
      </c>
      <c r="Y48" s="1582" t="s">
        <v>4014</v>
      </c>
      <c r="Z48" s="1582" t="s">
        <v>7103</v>
      </c>
      <c r="AA48" s="1582" t="s">
        <v>1022</v>
      </c>
      <c r="AB48" s="1582" t="s">
        <v>3908</v>
      </c>
      <c r="AC48" s="1596" t="s">
        <v>7632</v>
      </c>
      <c r="AD48" s="1580" t="s">
        <v>9809</v>
      </c>
      <c r="AE48" s="1593" t="s">
        <v>4952</v>
      </c>
      <c r="AF48" s="1583" t="s">
        <v>9810</v>
      </c>
      <c r="AG48" s="1583" t="s">
        <v>9811</v>
      </c>
      <c r="AH48" s="1583" t="s">
        <v>9812</v>
      </c>
      <c r="AI48" s="1583" t="s">
        <v>9234</v>
      </c>
      <c r="AJ48" s="1583" t="s">
        <v>9813</v>
      </c>
      <c r="AK48" s="1583" t="s">
        <v>9814</v>
      </c>
      <c r="AL48" s="1583" t="s">
        <v>4526</v>
      </c>
      <c r="AM48" s="1585" t="s">
        <v>9815</v>
      </c>
      <c r="AN48" s="1585" t="s">
        <v>3409</v>
      </c>
      <c r="AO48" s="1585" t="s">
        <v>9816</v>
      </c>
      <c r="AP48" s="1585" t="s">
        <v>9817</v>
      </c>
      <c r="AQ48" s="1585" t="s">
        <v>4306</v>
      </c>
      <c r="AR48" s="1585" t="s">
        <v>9818</v>
      </c>
      <c r="AS48" s="1585" t="s">
        <v>4548</v>
      </c>
      <c r="AT48" s="1564" t="s">
        <v>9819</v>
      </c>
      <c r="AU48" s="1547" t="s">
        <v>9820</v>
      </c>
      <c r="AV48" s="1421" t="str">
        <f t="shared" si="1"/>
        <v>3:17</v>
      </c>
      <c r="AW48" s="1548" t="s">
        <v>9821</v>
      </c>
    </row>
    <row r="49" ht="15.75" customHeight="1">
      <c r="A49" s="1557" t="s">
        <v>981</v>
      </c>
      <c r="B49" s="1545" t="s">
        <v>8853</v>
      </c>
      <c r="C49" s="1503">
        <v>0.05112268518518519</v>
      </c>
      <c r="D49" s="1580" t="s">
        <v>9822</v>
      </c>
      <c r="E49" s="1580" t="s">
        <v>4652</v>
      </c>
      <c r="F49" s="1580" t="s">
        <v>9823</v>
      </c>
      <c r="G49" s="1580" t="s">
        <v>9824</v>
      </c>
      <c r="H49" s="950" t="s">
        <v>9825</v>
      </c>
      <c r="I49" s="812" t="s">
        <v>5347</v>
      </c>
      <c r="J49" s="1564" t="s">
        <v>4074</v>
      </c>
      <c r="K49" s="1564" t="s">
        <v>9826</v>
      </c>
      <c r="L49" s="1509" t="s">
        <v>3646</v>
      </c>
      <c r="M49" s="1564" t="s">
        <v>4446</v>
      </c>
      <c r="N49" s="1564" t="s">
        <v>9577</v>
      </c>
      <c r="O49" s="1564" t="s">
        <v>9827</v>
      </c>
      <c r="P49" s="1564" t="s">
        <v>1527</v>
      </c>
      <c r="Q49" s="1567" t="s">
        <v>9828</v>
      </c>
      <c r="R49" s="1638" t="s">
        <v>9829</v>
      </c>
      <c r="S49" s="1567" t="s">
        <v>417</v>
      </c>
      <c r="T49" s="1567" t="s">
        <v>9830</v>
      </c>
      <c r="U49" s="1567" t="s">
        <v>9831</v>
      </c>
      <c r="V49" s="1567" t="s">
        <v>9832</v>
      </c>
      <c r="W49" s="1582" t="s">
        <v>9833</v>
      </c>
      <c r="X49" s="1582" t="s">
        <v>9834</v>
      </c>
      <c r="Y49" s="1639" t="s">
        <v>973</v>
      </c>
      <c r="Z49" s="1582" t="s">
        <v>9835</v>
      </c>
      <c r="AA49" s="1516" t="s">
        <v>9836</v>
      </c>
      <c r="AB49" s="1582" t="s">
        <v>2838</v>
      </c>
      <c r="AC49" s="1582" t="s">
        <v>5057</v>
      </c>
      <c r="AD49" s="1580" t="s">
        <v>9837</v>
      </c>
      <c r="AE49" s="1580" t="s">
        <v>5578</v>
      </c>
      <c r="AF49" s="1583" t="s">
        <v>9058</v>
      </c>
      <c r="AG49" s="1583" t="s">
        <v>276</v>
      </c>
      <c r="AH49" s="1583" t="s">
        <v>465</v>
      </c>
      <c r="AI49" s="1583" t="s">
        <v>9838</v>
      </c>
      <c r="AJ49" s="1583" t="s">
        <v>9839</v>
      </c>
      <c r="AK49" s="1583" t="s">
        <v>4145</v>
      </c>
      <c r="AL49" s="1583" t="s">
        <v>9840</v>
      </c>
      <c r="AM49" s="1585" t="s">
        <v>9841</v>
      </c>
      <c r="AN49" s="1576" t="s">
        <v>3213</v>
      </c>
      <c r="AO49" s="1585" t="s">
        <v>8059</v>
      </c>
      <c r="AP49" s="1585" t="s">
        <v>9842</v>
      </c>
      <c r="AQ49" s="1585" t="s">
        <v>9843</v>
      </c>
      <c r="AR49" s="1585" t="s">
        <v>9844</v>
      </c>
      <c r="AS49" s="1585" t="s">
        <v>8783</v>
      </c>
      <c r="AT49" s="1564" t="s">
        <v>9845</v>
      </c>
      <c r="AU49" s="1547" t="s">
        <v>9846</v>
      </c>
      <c r="AV49" s="1421" t="str">
        <f t="shared" si="1"/>
        <v>4:57</v>
      </c>
      <c r="AW49" s="1624"/>
    </row>
    <row r="50">
      <c r="A50" s="1557" t="s">
        <v>2372</v>
      </c>
      <c r="B50" s="1555" t="s">
        <v>8853</v>
      </c>
      <c r="C50" s="1503">
        <v>0.05112268518518519</v>
      </c>
      <c r="D50" s="1516" t="s">
        <v>9847</v>
      </c>
      <c r="E50" s="1516" t="s">
        <v>4512</v>
      </c>
      <c r="F50" s="1516" t="s">
        <v>6148</v>
      </c>
      <c r="G50" s="1610" t="s">
        <v>8856</v>
      </c>
      <c r="H50" s="950" t="s">
        <v>9848</v>
      </c>
      <c r="I50" s="1516" t="s">
        <v>767</v>
      </c>
      <c r="J50" s="1516" t="s">
        <v>7477</v>
      </c>
      <c r="K50" s="1516" t="s">
        <v>2497</v>
      </c>
      <c r="L50" s="1516" t="s">
        <v>1364</v>
      </c>
      <c r="M50" s="1516" t="s">
        <v>9849</v>
      </c>
      <c r="N50" s="1516" t="s">
        <v>9330</v>
      </c>
      <c r="O50" s="1516" t="s">
        <v>9850</v>
      </c>
      <c r="P50" s="1516" t="s">
        <v>3631</v>
      </c>
      <c r="Q50" s="1516" t="s">
        <v>9851</v>
      </c>
      <c r="R50" s="1516" t="s">
        <v>9852</v>
      </c>
      <c r="S50" s="1516" t="s">
        <v>3775</v>
      </c>
      <c r="T50" s="1516" t="s">
        <v>7406</v>
      </c>
      <c r="U50" s="1567" t="s">
        <v>9258</v>
      </c>
      <c r="V50" s="1516" t="s">
        <v>9853</v>
      </c>
      <c r="W50" s="1516" t="s">
        <v>9854</v>
      </c>
      <c r="X50" s="1516" t="s">
        <v>1487</v>
      </c>
      <c r="Y50" s="1516" t="s">
        <v>8020</v>
      </c>
      <c r="Z50" s="1516" t="s">
        <v>9083</v>
      </c>
      <c r="AA50" s="1582" t="s">
        <v>615</v>
      </c>
      <c r="AB50" s="1516" t="s">
        <v>9855</v>
      </c>
      <c r="AC50" s="1516" t="s">
        <v>5223</v>
      </c>
      <c r="AD50" s="1516" t="s">
        <v>9856</v>
      </c>
      <c r="AE50" s="1516" t="s">
        <v>3631</v>
      </c>
      <c r="AF50" s="1516" t="s">
        <v>9857</v>
      </c>
      <c r="AG50" s="1516" t="s">
        <v>9858</v>
      </c>
      <c r="AH50" s="1516" t="s">
        <v>2520</v>
      </c>
      <c r="AI50" s="1516" t="s">
        <v>6181</v>
      </c>
      <c r="AJ50" s="1516" t="s">
        <v>9859</v>
      </c>
      <c r="AK50" s="1516" t="s">
        <v>9353</v>
      </c>
      <c r="AL50" s="1516" t="s">
        <v>9860</v>
      </c>
      <c r="AM50" s="1516" t="s">
        <v>2668</v>
      </c>
      <c r="AN50" s="1516" t="s">
        <v>9861</v>
      </c>
      <c r="AO50" s="1516" t="s">
        <v>8993</v>
      </c>
      <c r="AP50" s="1516" t="s">
        <v>9862</v>
      </c>
      <c r="AQ50" s="1516" t="s">
        <v>9863</v>
      </c>
      <c r="AR50" s="1516" t="s">
        <v>2254</v>
      </c>
      <c r="AS50" s="1516" t="s">
        <v>8014</v>
      </c>
      <c r="AT50" s="1516" t="s">
        <v>9864</v>
      </c>
      <c r="AU50" s="1516" t="s">
        <v>9865</v>
      </c>
      <c r="AV50" s="1421" t="str">
        <f t="shared" si="1"/>
        <v>3:15</v>
      </c>
      <c r="AW50" s="1001"/>
    </row>
    <row r="51">
      <c r="A51" s="1557" t="s">
        <v>2756</v>
      </c>
      <c r="B51" s="1555" t="s">
        <v>8825</v>
      </c>
      <c r="C51" s="1503">
        <v>0.051145833333333335</v>
      </c>
      <c r="D51" s="950" t="s">
        <v>9866</v>
      </c>
      <c r="E51" s="1606" t="s">
        <v>4131</v>
      </c>
      <c r="F51" s="1606" t="s">
        <v>1771</v>
      </c>
      <c r="G51" s="1606" t="s">
        <v>9867</v>
      </c>
      <c r="H51" s="950" t="s">
        <v>9868</v>
      </c>
      <c r="I51" s="1606" t="s">
        <v>9773</v>
      </c>
      <c r="J51" s="1606" t="s">
        <v>9869</v>
      </c>
      <c r="K51" s="1606" t="s">
        <v>9869</v>
      </c>
      <c r="L51" s="1606" t="s">
        <v>4135</v>
      </c>
      <c r="M51" s="1606" t="s">
        <v>3459</v>
      </c>
      <c r="N51" s="1606" t="s">
        <v>9870</v>
      </c>
      <c r="O51" s="1606" t="s">
        <v>9871</v>
      </c>
      <c r="P51" s="1606" t="s">
        <v>7667</v>
      </c>
      <c r="Q51" s="1606" t="s">
        <v>9872</v>
      </c>
      <c r="R51" s="1606" t="s">
        <v>9873</v>
      </c>
      <c r="S51" s="1505" t="s">
        <v>6756</v>
      </c>
      <c r="T51" s="1606" t="s">
        <v>9874</v>
      </c>
      <c r="U51" s="1606" t="s">
        <v>231</v>
      </c>
      <c r="V51" s="1606" t="s">
        <v>9875</v>
      </c>
      <c r="W51" s="1606" t="s">
        <v>9876</v>
      </c>
      <c r="X51" s="1606" t="s">
        <v>9877</v>
      </c>
      <c r="Y51" s="1606" t="s">
        <v>598</v>
      </c>
      <c r="Z51" s="1606" t="s">
        <v>9878</v>
      </c>
      <c r="AA51" s="1606" t="s">
        <v>9611</v>
      </c>
      <c r="AB51" s="1606" t="s">
        <v>5908</v>
      </c>
      <c r="AC51" s="1606" t="s">
        <v>1234</v>
      </c>
      <c r="AD51" s="1606" t="s">
        <v>9879</v>
      </c>
      <c r="AE51" s="1606" t="s">
        <v>9292</v>
      </c>
      <c r="AF51" s="1606" t="s">
        <v>9880</v>
      </c>
      <c r="AG51" s="1606" t="s">
        <v>9881</v>
      </c>
      <c r="AH51" s="1606" t="s">
        <v>3756</v>
      </c>
      <c r="AI51" s="1606" t="s">
        <v>9882</v>
      </c>
      <c r="AJ51" s="1606" t="s">
        <v>9883</v>
      </c>
      <c r="AK51" s="1606" t="s">
        <v>9884</v>
      </c>
      <c r="AL51" s="1606" t="s">
        <v>4973</v>
      </c>
      <c r="AM51" s="1606" t="s">
        <v>3614</v>
      </c>
      <c r="AN51" s="1606" t="s">
        <v>5592</v>
      </c>
      <c r="AO51" s="1606" t="s">
        <v>5156</v>
      </c>
      <c r="AP51" s="1606" t="s">
        <v>9885</v>
      </c>
      <c r="AQ51" s="1606" t="s">
        <v>3365</v>
      </c>
      <c r="AR51" s="1606" t="s">
        <v>9425</v>
      </c>
      <c r="AS51" s="1606" t="s">
        <v>1399</v>
      </c>
      <c r="AT51" s="1606" t="s">
        <v>700</v>
      </c>
      <c r="AU51" s="1606" t="s">
        <v>9886</v>
      </c>
      <c r="AV51" s="1421" t="str">
        <f t="shared" si="1"/>
        <v>3:47</v>
      </c>
      <c r="AW51" s="1640" t="s">
        <v>9887</v>
      </c>
    </row>
    <row r="52" ht="15.75" customHeight="1">
      <c r="A52" s="1501" t="s">
        <v>9888</v>
      </c>
      <c r="B52" s="1641" t="s">
        <v>8825</v>
      </c>
      <c r="C52" s="1503">
        <v>0.051180555555555556</v>
      </c>
      <c r="D52" s="950" t="s">
        <v>9889</v>
      </c>
      <c r="E52" s="1516" t="s">
        <v>9890</v>
      </c>
      <c r="F52" s="1516" t="s">
        <v>4147</v>
      </c>
      <c r="G52" s="1516" t="s">
        <v>9891</v>
      </c>
      <c r="H52" s="1516" t="s">
        <v>9892</v>
      </c>
      <c r="I52" s="1516" t="s">
        <v>162</v>
      </c>
      <c r="J52" s="1516" t="s">
        <v>887</v>
      </c>
      <c r="K52" s="1516" t="s">
        <v>7085</v>
      </c>
      <c r="L52" s="1516" t="s">
        <v>9047</v>
      </c>
      <c r="M52" s="1516" t="s">
        <v>5957</v>
      </c>
      <c r="N52" s="1516" t="s">
        <v>9893</v>
      </c>
      <c r="O52" s="1516" t="s">
        <v>9894</v>
      </c>
      <c r="P52" s="1516" t="s">
        <v>5514</v>
      </c>
      <c r="Q52" s="1516" t="s">
        <v>6801</v>
      </c>
      <c r="R52" s="1516" t="s">
        <v>9895</v>
      </c>
      <c r="S52" s="1516" t="s">
        <v>8731</v>
      </c>
      <c r="T52" s="1421" t="s">
        <v>4191</v>
      </c>
      <c r="U52" s="1421" t="s">
        <v>9896</v>
      </c>
      <c r="V52" s="1516" t="s">
        <v>1963</v>
      </c>
      <c r="W52" s="1516" t="s">
        <v>9897</v>
      </c>
      <c r="X52" s="1516" t="s">
        <v>9898</v>
      </c>
      <c r="Y52" s="1516" t="s">
        <v>9292</v>
      </c>
      <c r="Z52" s="1516" t="s">
        <v>9899</v>
      </c>
      <c r="AA52" s="1516" t="s">
        <v>9900</v>
      </c>
      <c r="AB52" s="1516" t="s">
        <v>9901</v>
      </c>
      <c r="AC52" s="1516" t="s">
        <v>849</v>
      </c>
      <c r="AD52" s="1516" t="s">
        <v>9809</v>
      </c>
      <c r="AE52" s="1516" t="s">
        <v>3210</v>
      </c>
      <c r="AF52" s="1421" t="s">
        <v>9902</v>
      </c>
      <c r="AG52" s="1516" t="s">
        <v>389</v>
      </c>
      <c r="AH52" s="1516" t="s">
        <v>9903</v>
      </c>
      <c r="AI52" s="1516" t="s">
        <v>9904</v>
      </c>
      <c r="AJ52" s="1516" t="s">
        <v>9905</v>
      </c>
      <c r="AK52" s="1516" t="s">
        <v>9906</v>
      </c>
      <c r="AL52" s="1516" t="s">
        <v>4876</v>
      </c>
      <c r="AM52" s="1516" t="s">
        <v>6878</v>
      </c>
      <c r="AN52" s="1516" t="s">
        <v>9509</v>
      </c>
      <c r="AO52" s="1535" t="str">
        <f>HYPERLINK("https://clips.twitch.tv/AltruisticEmpathicManateeDoritosChip","1:20.90")</f>
        <v>1:20.90</v>
      </c>
      <c r="AP52" s="1516" t="s">
        <v>9907</v>
      </c>
      <c r="AQ52" s="1516" t="s">
        <v>9908</v>
      </c>
      <c r="AR52" s="1516" t="s">
        <v>9909</v>
      </c>
      <c r="AS52" s="1516" t="s">
        <v>9474</v>
      </c>
      <c r="AT52" s="1516" t="s">
        <v>9910</v>
      </c>
      <c r="AU52" s="1516" t="s">
        <v>9911</v>
      </c>
      <c r="AV52" s="1421" t="str">
        <f t="shared" si="1"/>
        <v>2:40</v>
      </c>
      <c r="AW52" s="1589" t="s">
        <v>9912</v>
      </c>
    </row>
    <row r="53" ht="15.75" customHeight="1">
      <c r="A53" s="1557" t="s">
        <v>3744</v>
      </c>
      <c r="B53" s="1633" t="s">
        <v>8825</v>
      </c>
      <c r="C53" s="1642">
        <v>0.05123738425925926</v>
      </c>
      <c r="D53" s="1580" t="s">
        <v>9913</v>
      </c>
      <c r="E53" s="1580" t="s">
        <v>3869</v>
      </c>
      <c r="F53" s="1580" t="s">
        <v>9914</v>
      </c>
      <c r="G53" s="1580" t="s">
        <v>9311</v>
      </c>
      <c r="H53" s="812" t="s">
        <v>9915</v>
      </c>
      <c r="I53" s="812" t="s">
        <v>2551</v>
      </c>
      <c r="J53" s="1564" t="s">
        <v>9546</v>
      </c>
      <c r="K53" s="1564" t="s">
        <v>6820</v>
      </c>
      <c r="L53" s="1564" t="s">
        <v>9916</v>
      </c>
      <c r="M53" s="1564" t="s">
        <v>5555</v>
      </c>
      <c r="N53" s="1643" t="s">
        <v>1161</v>
      </c>
      <c r="O53" s="1564" t="s">
        <v>3452</v>
      </c>
      <c r="P53" s="1564" t="s">
        <v>8978</v>
      </c>
      <c r="Q53" s="1567" t="s">
        <v>9917</v>
      </c>
      <c r="R53" s="1567" t="s">
        <v>9504</v>
      </c>
      <c r="S53" s="1567" t="s">
        <v>9918</v>
      </c>
      <c r="T53" s="1567" t="s">
        <v>9919</v>
      </c>
      <c r="U53" s="1567" t="s">
        <v>9920</v>
      </c>
      <c r="V53" s="1567" t="s">
        <v>4218</v>
      </c>
      <c r="W53" s="1582" t="s">
        <v>9921</v>
      </c>
      <c r="X53" s="1582" t="s">
        <v>9922</v>
      </c>
      <c r="Y53" s="1582" t="s">
        <v>9923</v>
      </c>
      <c r="Z53" s="1582" t="s">
        <v>1352</v>
      </c>
      <c r="AA53" s="1582" t="s">
        <v>9234</v>
      </c>
      <c r="AB53" s="1582" t="s">
        <v>9648</v>
      </c>
      <c r="AC53" s="1582" t="s">
        <v>484</v>
      </c>
      <c r="AD53" s="1580" t="s">
        <v>9924</v>
      </c>
      <c r="AE53" s="1580" t="s">
        <v>6603</v>
      </c>
      <c r="AF53" s="1583" t="s">
        <v>9925</v>
      </c>
      <c r="AG53" s="1583" t="s">
        <v>9926</v>
      </c>
      <c r="AH53" s="1583" t="s">
        <v>9927</v>
      </c>
      <c r="AI53" s="1583" t="s">
        <v>314</v>
      </c>
      <c r="AJ53" s="1583" t="s">
        <v>9928</v>
      </c>
      <c r="AK53" s="1553" t="s">
        <v>9390</v>
      </c>
      <c r="AL53" s="1583" t="s">
        <v>9322</v>
      </c>
      <c r="AM53" s="1585" t="s">
        <v>9929</v>
      </c>
      <c r="AN53" s="1585" t="s">
        <v>572</v>
      </c>
      <c r="AO53" s="1585" t="s">
        <v>9930</v>
      </c>
      <c r="AP53" s="1585" t="s">
        <v>9931</v>
      </c>
      <c r="AQ53" s="950" t="s">
        <v>9932</v>
      </c>
      <c r="AR53" s="1644" t="s">
        <v>9933</v>
      </c>
      <c r="AS53" s="1585" t="s">
        <v>9934</v>
      </c>
      <c r="AT53" s="1564" t="s">
        <v>9935</v>
      </c>
      <c r="AU53" s="1547" t="s">
        <v>9936</v>
      </c>
      <c r="AV53" s="1421" t="str">
        <f t="shared" si="1"/>
        <v>4:25</v>
      </c>
      <c r="AW53" s="1548" t="s">
        <v>9937</v>
      </c>
    </row>
    <row r="54" ht="15.75" customHeight="1">
      <c r="A54" s="1557" t="s">
        <v>1635</v>
      </c>
      <c r="B54" s="1645" t="s">
        <v>8879</v>
      </c>
      <c r="C54" s="1626">
        <v>0.051319444444444445</v>
      </c>
      <c r="D54" s="950" t="s">
        <v>9938</v>
      </c>
      <c r="E54" s="1421" t="s">
        <v>9939</v>
      </c>
      <c r="F54" s="1421" t="s">
        <v>9940</v>
      </c>
      <c r="G54" s="1421" t="s">
        <v>9941</v>
      </c>
      <c r="H54" s="1421" t="s">
        <v>5071</v>
      </c>
      <c r="I54" s="1421" t="s">
        <v>6602</v>
      </c>
      <c r="J54" s="1421" t="s">
        <v>9942</v>
      </c>
      <c r="K54" s="1421" t="s">
        <v>8999</v>
      </c>
      <c r="L54" s="1421" t="s">
        <v>3960</v>
      </c>
      <c r="M54" s="1421" t="s">
        <v>9693</v>
      </c>
      <c r="N54" s="1421" t="s">
        <v>9487</v>
      </c>
      <c r="O54" s="1421" t="s">
        <v>9943</v>
      </c>
      <c r="P54" s="1646" t="s">
        <v>8888</v>
      </c>
      <c r="Q54" s="1421" t="s">
        <v>9944</v>
      </c>
      <c r="R54" s="1421" t="s">
        <v>5946</v>
      </c>
      <c r="S54" s="1421" t="s">
        <v>1159</v>
      </c>
      <c r="T54" s="1421" t="s">
        <v>9945</v>
      </c>
      <c r="U54" s="1421" t="s">
        <v>1004</v>
      </c>
      <c r="V54" s="1421" t="s">
        <v>453</v>
      </c>
      <c r="W54" s="1421" t="s">
        <v>9946</v>
      </c>
      <c r="X54" s="1421" t="s">
        <v>311</v>
      </c>
      <c r="Y54" s="1421" t="s">
        <v>9947</v>
      </c>
      <c r="Z54" s="1421" t="s">
        <v>6883</v>
      </c>
      <c r="AA54" s="1421" t="s">
        <v>9721</v>
      </c>
      <c r="AB54" s="1421" t="s">
        <v>4506</v>
      </c>
      <c r="AC54" s="1421" t="s">
        <v>6137</v>
      </c>
      <c r="AD54" s="1421" t="s">
        <v>9948</v>
      </c>
      <c r="AE54" s="1646" t="s">
        <v>5578</v>
      </c>
      <c r="AF54" s="1646" t="s">
        <v>2737</v>
      </c>
      <c r="AG54" s="1421" t="s">
        <v>4589</v>
      </c>
      <c r="AH54" s="1421" t="s">
        <v>9949</v>
      </c>
      <c r="AI54" s="1421" t="s">
        <v>9950</v>
      </c>
      <c r="AJ54" s="1421" t="s">
        <v>9951</v>
      </c>
      <c r="AK54" s="1421" t="s">
        <v>6088</v>
      </c>
      <c r="AL54" s="1421" t="s">
        <v>6320</v>
      </c>
      <c r="AM54" s="1646" t="s">
        <v>8902</v>
      </c>
      <c r="AN54" s="1516" t="s">
        <v>2471</v>
      </c>
      <c r="AO54" s="1421" t="s">
        <v>4949</v>
      </c>
      <c r="AP54" s="1421" t="s">
        <v>9952</v>
      </c>
      <c r="AQ54" s="1421" t="s">
        <v>9953</v>
      </c>
      <c r="AR54" s="1421" t="s">
        <v>8052</v>
      </c>
      <c r="AS54" s="1421" t="s">
        <v>4435</v>
      </c>
      <c r="AT54" s="1421" t="s">
        <v>9954</v>
      </c>
      <c r="AU54" s="1421" t="s">
        <v>9955</v>
      </c>
      <c r="AV54" s="1421" t="str">
        <f t="shared" si="1"/>
        <v>3:15</v>
      </c>
      <c r="AW54" s="1589" t="s">
        <v>9956</v>
      </c>
    </row>
    <row r="55">
      <c r="A55" s="1557" t="s">
        <v>1945</v>
      </c>
      <c r="B55" s="1545" t="s">
        <v>8825</v>
      </c>
      <c r="C55" s="1503">
        <v>0.05133101851851852</v>
      </c>
      <c r="D55" s="1632" t="s">
        <v>9957</v>
      </c>
      <c r="E55" s="1580" t="s">
        <v>9958</v>
      </c>
      <c r="F55" s="1580" t="s">
        <v>9959</v>
      </c>
      <c r="G55" s="1580" t="s">
        <v>9960</v>
      </c>
      <c r="H55" s="812" t="s">
        <v>9961</v>
      </c>
      <c r="I55" s="812" t="s">
        <v>3107</v>
      </c>
      <c r="J55" s="1564" t="s">
        <v>1866</v>
      </c>
      <c r="K55" s="1564" t="s">
        <v>9962</v>
      </c>
      <c r="L55" s="1564" t="s">
        <v>4179</v>
      </c>
      <c r="M55" s="1564" t="s">
        <v>9963</v>
      </c>
      <c r="N55" s="1564" t="s">
        <v>9090</v>
      </c>
      <c r="O55" s="1564" t="s">
        <v>9964</v>
      </c>
      <c r="P55" s="1564" t="s">
        <v>9044</v>
      </c>
      <c r="Q55" s="1567" t="s">
        <v>9965</v>
      </c>
      <c r="R55" s="1567" t="s">
        <v>9735</v>
      </c>
      <c r="S55" s="1567" t="s">
        <v>7426</v>
      </c>
      <c r="T55" s="1567" t="s">
        <v>9740</v>
      </c>
      <c r="U55" s="1567" t="s">
        <v>9966</v>
      </c>
      <c r="V55" s="1567" t="s">
        <v>9524</v>
      </c>
      <c r="W55" s="1582" t="s">
        <v>9967</v>
      </c>
      <c r="X55" s="1582" t="s">
        <v>9968</v>
      </c>
      <c r="Y55" s="1582" t="s">
        <v>5482</v>
      </c>
      <c r="Z55" s="1582" t="s">
        <v>1503</v>
      </c>
      <c r="AA55" s="1582" t="s">
        <v>9969</v>
      </c>
      <c r="AB55" s="1582" t="s">
        <v>6385</v>
      </c>
      <c r="AC55" s="1582" t="s">
        <v>265</v>
      </c>
      <c r="AD55" s="1580" t="s">
        <v>9299</v>
      </c>
      <c r="AE55" s="1580" t="s">
        <v>5482</v>
      </c>
      <c r="AF55" s="1583" t="s">
        <v>9970</v>
      </c>
      <c r="AG55" s="1583" t="s">
        <v>5877</v>
      </c>
      <c r="AH55" s="1583" t="s">
        <v>4061</v>
      </c>
      <c r="AI55" s="1583" t="s">
        <v>9971</v>
      </c>
      <c r="AJ55" s="1583" t="s">
        <v>9972</v>
      </c>
      <c r="AK55" s="1583" t="s">
        <v>9898</v>
      </c>
      <c r="AL55" s="1583" t="s">
        <v>3227</v>
      </c>
      <c r="AM55" s="1585" t="s">
        <v>9326</v>
      </c>
      <c r="AN55" s="1585" t="s">
        <v>4069</v>
      </c>
      <c r="AO55" s="1585" t="s">
        <v>9973</v>
      </c>
      <c r="AP55" s="1585" t="s">
        <v>9974</v>
      </c>
      <c r="AQ55" s="1585" t="s">
        <v>9562</v>
      </c>
      <c r="AR55" s="1585" t="s">
        <v>9975</v>
      </c>
      <c r="AS55" s="1585" t="s">
        <v>8833</v>
      </c>
      <c r="AT55" s="1564" t="s">
        <v>9976</v>
      </c>
      <c r="AU55" s="1547" t="s">
        <v>9977</v>
      </c>
      <c r="AV55" s="1421" t="str">
        <f t="shared" si="1"/>
        <v>1:34</v>
      </c>
      <c r="AW55" s="1624"/>
    </row>
    <row r="56">
      <c r="A56" s="1557" t="s">
        <v>2986</v>
      </c>
      <c r="B56" s="1545" t="s">
        <v>8825</v>
      </c>
      <c r="C56" s="1503">
        <v>0.05134259259259259</v>
      </c>
      <c r="D56" s="1580" t="s">
        <v>9978</v>
      </c>
      <c r="E56" s="1580" t="s">
        <v>6599</v>
      </c>
      <c r="F56" s="1580" t="s">
        <v>9979</v>
      </c>
      <c r="G56" s="1580" t="s">
        <v>9980</v>
      </c>
      <c r="H56" s="1580" t="s">
        <v>9981</v>
      </c>
      <c r="I56" s="1580" t="s">
        <v>1292</v>
      </c>
      <c r="J56" s="1564" t="s">
        <v>5025</v>
      </c>
      <c r="K56" s="1564" t="s">
        <v>6796</v>
      </c>
      <c r="L56" s="1564" t="s">
        <v>4886</v>
      </c>
      <c r="M56" s="1564" t="s">
        <v>3638</v>
      </c>
      <c r="N56" s="1564" t="s">
        <v>2073</v>
      </c>
      <c r="O56" s="1564" t="s">
        <v>9982</v>
      </c>
      <c r="P56" s="1564" t="s">
        <v>4546</v>
      </c>
      <c r="Q56" s="1567" t="s">
        <v>9983</v>
      </c>
      <c r="R56" s="1567" t="s">
        <v>2590</v>
      </c>
      <c r="S56" s="1567" t="s">
        <v>9984</v>
      </c>
      <c r="T56" s="1567" t="s">
        <v>9985</v>
      </c>
      <c r="U56" s="1567" t="s">
        <v>9831</v>
      </c>
      <c r="V56" s="1567" t="s">
        <v>9986</v>
      </c>
      <c r="W56" s="1582" t="s">
        <v>9987</v>
      </c>
      <c r="X56" s="1582" t="s">
        <v>8899</v>
      </c>
      <c r="Y56" s="1582" t="s">
        <v>9435</v>
      </c>
      <c r="Z56" s="1582" t="s">
        <v>3031</v>
      </c>
      <c r="AA56" s="1516" t="s">
        <v>593</v>
      </c>
      <c r="AB56" s="1582" t="s">
        <v>9164</v>
      </c>
      <c r="AC56" s="1582" t="s">
        <v>9449</v>
      </c>
      <c r="AD56" s="1580" t="s">
        <v>9988</v>
      </c>
      <c r="AE56" s="1580" t="s">
        <v>9989</v>
      </c>
      <c r="AF56" s="1583" t="s">
        <v>9990</v>
      </c>
      <c r="AG56" s="1583" t="s">
        <v>9991</v>
      </c>
      <c r="AH56" s="1583" t="s">
        <v>1970</v>
      </c>
      <c r="AI56" s="1583" t="s">
        <v>421</v>
      </c>
      <c r="AJ56" s="1583" t="s">
        <v>9992</v>
      </c>
      <c r="AK56" s="1583" t="s">
        <v>9993</v>
      </c>
      <c r="AL56" s="1583" t="s">
        <v>5691</v>
      </c>
      <c r="AM56" s="1585" t="s">
        <v>9994</v>
      </c>
      <c r="AN56" s="1585" t="s">
        <v>6560</v>
      </c>
      <c r="AO56" s="1585" t="s">
        <v>9995</v>
      </c>
      <c r="AP56" s="1585" t="s">
        <v>9996</v>
      </c>
      <c r="AQ56" s="1585" t="s">
        <v>9562</v>
      </c>
      <c r="AR56" s="1585" t="s">
        <v>9997</v>
      </c>
      <c r="AS56" s="1585" t="s">
        <v>1969</v>
      </c>
      <c r="AT56" s="1564" t="s">
        <v>9998</v>
      </c>
      <c r="AU56" s="1547" t="s">
        <v>9865</v>
      </c>
      <c r="AV56" s="1421" t="str">
        <f t="shared" si="1"/>
        <v>2:56</v>
      </c>
      <c r="AW56" s="1548" t="s">
        <v>9999</v>
      </c>
    </row>
    <row r="57" ht="15.75" customHeight="1">
      <c r="A57" s="1513" t="s">
        <v>1416</v>
      </c>
      <c r="B57" s="1645" t="s">
        <v>8879</v>
      </c>
      <c r="C57" s="1626">
        <v>0.05134259259259259</v>
      </c>
      <c r="D57" s="950" t="s">
        <v>10000</v>
      </c>
      <c r="E57" s="1593" t="s">
        <v>6012</v>
      </c>
      <c r="F57" s="1593" t="s">
        <v>9979</v>
      </c>
      <c r="G57" s="1593" t="s">
        <v>10001</v>
      </c>
      <c r="H57" s="877" t="s">
        <v>10002</v>
      </c>
      <c r="I57" s="1647" t="s">
        <v>352</v>
      </c>
      <c r="J57" s="1594" t="s">
        <v>10003</v>
      </c>
      <c r="K57" s="1594" t="s">
        <v>4040</v>
      </c>
      <c r="L57" s="1648" t="s">
        <v>3803</v>
      </c>
      <c r="M57" s="1594" t="s">
        <v>5648</v>
      </c>
      <c r="N57" s="1594" t="s">
        <v>10004</v>
      </c>
      <c r="O57" s="1648" t="s">
        <v>8887</v>
      </c>
      <c r="P57" s="1594" t="s">
        <v>390</v>
      </c>
      <c r="Q57" s="1595" t="s">
        <v>10005</v>
      </c>
      <c r="R57" s="1595" t="s">
        <v>1626</v>
      </c>
      <c r="S57" s="1595" t="s">
        <v>10006</v>
      </c>
      <c r="T57" s="1649" t="s">
        <v>8891</v>
      </c>
      <c r="U57" s="1595" t="s">
        <v>10007</v>
      </c>
      <c r="V57" s="1595" t="s">
        <v>4063</v>
      </c>
      <c r="W57" s="1650" t="s">
        <v>8893</v>
      </c>
      <c r="X57" s="1596" t="s">
        <v>4362</v>
      </c>
      <c r="Y57" s="1596" t="s">
        <v>6602</v>
      </c>
      <c r="Z57" s="1596" t="s">
        <v>7184</v>
      </c>
      <c r="AA57" s="1596" t="s">
        <v>9390</v>
      </c>
      <c r="AB57" s="1650" t="s">
        <v>8897</v>
      </c>
      <c r="AC57" s="1596" t="s">
        <v>7490</v>
      </c>
      <c r="AD57" s="1585" t="s">
        <v>10008</v>
      </c>
      <c r="AE57" s="1593" t="s">
        <v>10009</v>
      </c>
      <c r="AF57" s="1597" t="s">
        <v>10010</v>
      </c>
      <c r="AG57" s="1597" t="s">
        <v>10011</v>
      </c>
      <c r="AH57" s="1597" t="s">
        <v>10012</v>
      </c>
      <c r="AI57" s="1597" t="s">
        <v>10013</v>
      </c>
      <c r="AJ57" s="1597" t="s">
        <v>10014</v>
      </c>
      <c r="AK57" s="1651" t="s">
        <v>886</v>
      </c>
      <c r="AL57" s="1597" t="s">
        <v>1566</v>
      </c>
      <c r="AM57" s="1584" t="s">
        <v>9858</v>
      </c>
      <c r="AN57" s="1585" t="s">
        <v>4679</v>
      </c>
      <c r="AO57" s="1584" t="s">
        <v>10015</v>
      </c>
      <c r="AP57" s="1584" t="s">
        <v>10016</v>
      </c>
      <c r="AQ57" s="1584" t="s">
        <v>10017</v>
      </c>
      <c r="AR57" s="1584" t="s">
        <v>10018</v>
      </c>
      <c r="AS57" s="1584" t="s">
        <v>4618</v>
      </c>
      <c r="AT57" s="1594" t="s">
        <v>10019</v>
      </c>
      <c r="AU57" s="1598" t="s">
        <v>10020</v>
      </c>
      <c r="AV57" s="1421" t="str">
        <f t="shared" si="1"/>
        <v>1:58</v>
      </c>
      <c r="AW57" s="1624"/>
    </row>
    <row r="58" ht="15.75" customHeight="1">
      <c r="A58" s="1501" t="s">
        <v>3374</v>
      </c>
      <c r="B58" s="1502" t="s">
        <v>8825</v>
      </c>
      <c r="C58" s="1626">
        <v>0.05134259259259259</v>
      </c>
      <c r="D58" s="950" t="s">
        <v>10021</v>
      </c>
      <c r="E58" s="1421" t="s">
        <v>10022</v>
      </c>
      <c r="F58" s="1421" t="s">
        <v>10023</v>
      </c>
      <c r="G58" s="1421" t="s">
        <v>7214</v>
      </c>
      <c r="H58" s="1421" t="s">
        <v>9079</v>
      </c>
      <c r="I58" s="1421" t="s">
        <v>6323</v>
      </c>
      <c r="J58" s="1421" t="s">
        <v>10024</v>
      </c>
      <c r="K58" s="1421" t="s">
        <v>3968</v>
      </c>
      <c r="L58" s="1421" t="s">
        <v>10025</v>
      </c>
      <c r="M58" s="1421" t="s">
        <v>10026</v>
      </c>
      <c r="N58" s="1421" t="s">
        <v>2919</v>
      </c>
      <c r="O58" s="1421" t="s">
        <v>10027</v>
      </c>
      <c r="P58" s="1421" t="s">
        <v>1083</v>
      </c>
      <c r="Q58" s="1421" t="s">
        <v>2462</v>
      </c>
      <c r="R58" s="1421" t="s">
        <v>9735</v>
      </c>
      <c r="S58" s="1421" t="s">
        <v>9607</v>
      </c>
      <c r="T58" s="1421" t="s">
        <v>10028</v>
      </c>
      <c r="U58" s="1421" t="s">
        <v>10029</v>
      </c>
      <c r="V58" s="1421" t="s">
        <v>8865</v>
      </c>
      <c r="W58" s="1421" t="s">
        <v>10030</v>
      </c>
      <c r="X58" s="1421" t="s">
        <v>10031</v>
      </c>
      <c r="Y58" s="1421" t="s">
        <v>390</v>
      </c>
      <c r="Z58" s="1421" t="s">
        <v>7181</v>
      </c>
      <c r="AA58" s="1421" t="s">
        <v>9557</v>
      </c>
      <c r="AB58" s="1421" t="s">
        <v>8936</v>
      </c>
      <c r="AC58" s="1421" t="s">
        <v>849</v>
      </c>
      <c r="AD58" s="1421" t="s">
        <v>10032</v>
      </c>
      <c r="AE58" s="1421" t="s">
        <v>390</v>
      </c>
      <c r="AF58" s="1421" t="s">
        <v>10033</v>
      </c>
      <c r="AG58" s="1421" t="s">
        <v>10034</v>
      </c>
      <c r="AH58" s="1421" t="s">
        <v>5210</v>
      </c>
      <c r="AI58" s="1421" t="s">
        <v>10035</v>
      </c>
      <c r="AJ58" s="1421" t="s">
        <v>9972</v>
      </c>
      <c r="AK58" s="1421" t="s">
        <v>6904</v>
      </c>
      <c r="AL58" s="1421" t="s">
        <v>3311</v>
      </c>
      <c r="AM58" s="1421" t="s">
        <v>4143</v>
      </c>
      <c r="AN58" s="1421" t="s">
        <v>5808</v>
      </c>
      <c r="AO58" s="1421" t="s">
        <v>6518</v>
      </c>
      <c r="AP58" s="1421" t="s">
        <v>10036</v>
      </c>
      <c r="AQ58" s="1421" t="s">
        <v>10037</v>
      </c>
      <c r="AR58" s="1421" t="s">
        <v>10038</v>
      </c>
      <c r="AS58" s="1584" t="s">
        <v>4423</v>
      </c>
      <c r="AT58" s="1421" t="s">
        <v>10039</v>
      </c>
      <c r="AU58" s="1421" t="s">
        <v>9259</v>
      </c>
      <c r="AV58" s="1421" t="str">
        <f t="shared" si="1"/>
        <v>2:27</v>
      </c>
      <c r="AW58" s="1589"/>
    </row>
    <row r="59" ht="15.75" customHeight="1">
      <c r="A59" s="1557" t="s">
        <v>1347</v>
      </c>
      <c r="B59" s="1555" t="s">
        <v>8879</v>
      </c>
      <c r="C59" s="1503">
        <v>0.05140046296296296</v>
      </c>
      <c r="D59" s="1516" t="s">
        <v>10040</v>
      </c>
      <c r="E59" s="1516" t="s">
        <v>1659</v>
      </c>
      <c r="F59" s="1516" t="s">
        <v>10041</v>
      </c>
      <c r="G59" s="1636" t="s">
        <v>8883</v>
      </c>
      <c r="H59" s="950" t="s">
        <v>10042</v>
      </c>
      <c r="I59" s="1516" t="s">
        <v>1759</v>
      </c>
      <c r="J59" s="1636" t="s">
        <v>8885</v>
      </c>
      <c r="K59" s="1516" t="s">
        <v>7108</v>
      </c>
      <c r="L59" s="1516" t="s">
        <v>10043</v>
      </c>
      <c r="M59" s="1636" t="s">
        <v>8886</v>
      </c>
      <c r="N59" s="1516" t="s">
        <v>10044</v>
      </c>
      <c r="O59" s="1516" t="s">
        <v>10045</v>
      </c>
      <c r="P59" s="1516" t="s">
        <v>1044</v>
      </c>
      <c r="Q59" s="1516" t="s">
        <v>9828</v>
      </c>
      <c r="R59" s="1516" t="s">
        <v>10046</v>
      </c>
      <c r="S59" s="1516" t="s">
        <v>8948</v>
      </c>
      <c r="T59" s="1516" t="s">
        <v>10047</v>
      </c>
      <c r="U59" s="1516" t="s">
        <v>9750</v>
      </c>
      <c r="V59" s="1516" t="s">
        <v>5969</v>
      </c>
      <c r="W59" s="1516" t="s">
        <v>10048</v>
      </c>
      <c r="X59" s="1516" t="s">
        <v>630</v>
      </c>
      <c r="Y59" s="1516" t="s">
        <v>10049</v>
      </c>
      <c r="Z59" s="1516" t="s">
        <v>10050</v>
      </c>
      <c r="AA59" s="1652" t="s">
        <v>8896</v>
      </c>
      <c r="AB59" s="1516" t="s">
        <v>6061</v>
      </c>
      <c r="AC59" s="1516" t="s">
        <v>10051</v>
      </c>
      <c r="AD59" s="1516" t="s">
        <v>9243</v>
      </c>
      <c r="AE59" s="1516" t="s">
        <v>2596</v>
      </c>
      <c r="AF59" s="1516" t="s">
        <v>10052</v>
      </c>
      <c r="AG59" s="1636" t="s">
        <v>4602</v>
      </c>
      <c r="AH59" s="1636" t="s">
        <v>5230</v>
      </c>
      <c r="AI59" s="1516" t="s">
        <v>10053</v>
      </c>
      <c r="AJ59" s="1516" t="s">
        <v>10054</v>
      </c>
      <c r="AK59" s="1516" t="s">
        <v>7147</v>
      </c>
      <c r="AL59" s="1516" t="s">
        <v>3959</v>
      </c>
      <c r="AM59" s="1516" t="s">
        <v>10055</v>
      </c>
      <c r="AN59" s="1516" t="s">
        <v>3814</v>
      </c>
      <c r="AO59" s="1636" t="s">
        <v>8904</v>
      </c>
      <c r="AP59" s="1653" t="s">
        <v>8905</v>
      </c>
      <c r="AQ59" s="1516" t="s">
        <v>3238</v>
      </c>
      <c r="AR59" s="1516" t="s">
        <v>1622</v>
      </c>
      <c r="AS59" s="1516" t="s">
        <v>4755</v>
      </c>
      <c r="AT59" s="1516" t="s">
        <v>10056</v>
      </c>
      <c r="AU59" s="1516" t="s">
        <v>9259</v>
      </c>
      <c r="AV59" s="1421" t="str">
        <f t="shared" si="1"/>
        <v>2:22</v>
      </c>
      <c r="AW59" s="1556" t="s">
        <v>10057</v>
      </c>
    </row>
    <row r="60" ht="15.75" customHeight="1">
      <c r="A60" s="1557" t="s">
        <v>4046</v>
      </c>
      <c r="B60" s="1545" t="s">
        <v>8825</v>
      </c>
      <c r="C60" s="1503">
        <v>0.05153935185185185</v>
      </c>
      <c r="D60" s="1606" t="s">
        <v>10058</v>
      </c>
      <c r="E60" s="1606" t="s">
        <v>7691</v>
      </c>
      <c r="F60" s="1606" t="s">
        <v>10059</v>
      </c>
      <c r="G60" s="1606" t="s">
        <v>4957</v>
      </c>
      <c r="H60" s="950" t="s">
        <v>10060</v>
      </c>
      <c r="I60" s="1606" t="s">
        <v>1292</v>
      </c>
      <c r="J60" s="1606" t="s">
        <v>10061</v>
      </c>
      <c r="K60" s="1606" t="s">
        <v>3673</v>
      </c>
      <c r="L60" s="1606" t="s">
        <v>4218</v>
      </c>
      <c r="M60" s="1606" t="s">
        <v>6707</v>
      </c>
      <c r="N60" s="1606" t="s">
        <v>10062</v>
      </c>
      <c r="O60" s="1606" t="s">
        <v>3796</v>
      </c>
      <c r="P60" s="1606" t="s">
        <v>8020</v>
      </c>
      <c r="Q60" s="1606" t="s">
        <v>10063</v>
      </c>
      <c r="R60" s="1606" t="s">
        <v>3434</v>
      </c>
      <c r="S60" s="1654" t="s">
        <v>9691</v>
      </c>
      <c r="T60" s="1606" t="s">
        <v>9508</v>
      </c>
      <c r="U60" s="1606" t="s">
        <v>10064</v>
      </c>
      <c r="V60" s="1606" t="s">
        <v>1791</v>
      </c>
      <c r="W60" s="1606" t="s">
        <v>10065</v>
      </c>
      <c r="X60" s="1606" t="s">
        <v>1676</v>
      </c>
      <c r="Y60" s="1606" t="s">
        <v>3687</v>
      </c>
      <c r="Z60" s="1606" t="s">
        <v>6874</v>
      </c>
      <c r="AA60" s="1606" t="s">
        <v>964</v>
      </c>
      <c r="AB60" s="1606" t="s">
        <v>10066</v>
      </c>
      <c r="AC60" s="1606" t="s">
        <v>10051</v>
      </c>
      <c r="AD60" s="1606" t="s">
        <v>10067</v>
      </c>
      <c r="AE60" s="1606" t="s">
        <v>4964</v>
      </c>
      <c r="AF60" s="1509" t="s">
        <v>10068</v>
      </c>
      <c r="AG60" s="1606" t="s">
        <v>10069</v>
      </c>
      <c r="AH60" s="1606" t="s">
        <v>10070</v>
      </c>
      <c r="AI60" s="1606" t="s">
        <v>10071</v>
      </c>
      <c r="AJ60" s="1606" t="s">
        <v>10072</v>
      </c>
      <c r="AK60" s="1606" t="s">
        <v>5130</v>
      </c>
      <c r="AL60" s="1606" t="s">
        <v>9860</v>
      </c>
      <c r="AM60" s="1606" t="s">
        <v>10053</v>
      </c>
      <c r="AN60" s="1606" t="s">
        <v>2585</v>
      </c>
      <c r="AO60" s="1606" t="s">
        <v>5774</v>
      </c>
      <c r="AP60" s="1654" t="s">
        <v>9795</v>
      </c>
      <c r="AQ60" s="1606" t="s">
        <v>10073</v>
      </c>
      <c r="AR60" s="1606" t="s">
        <v>5025</v>
      </c>
      <c r="AS60" s="1606" t="s">
        <v>9474</v>
      </c>
      <c r="AT60" s="1606" t="s">
        <v>10074</v>
      </c>
      <c r="AU60" s="1606" t="s">
        <v>10075</v>
      </c>
      <c r="AV60" s="1421" t="str">
        <f t="shared" si="1"/>
        <v>2:41</v>
      </c>
      <c r="AW60" s="1655" t="s">
        <v>10076</v>
      </c>
    </row>
    <row r="61" ht="15.75" customHeight="1">
      <c r="A61" s="1501" t="s">
        <v>2024</v>
      </c>
      <c r="B61" s="1502" t="s">
        <v>8825</v>
      </c>
      <c r="C61" s="1503">
        <v>0.05157407407407407</v>
      </c>
      <c r="D61" s="950" t="s">
        <v>10077</v>
      </c>
      <c r="E61" s="1580" t="s">
        <v>10078</v>
      </c>
      <c r="F61" s="1580" t="s">
        <v>10079</v>
      </c>
      <c r="G61" s="1593" t="s">
        <v>9568</v>
      </c>
      <c r="H61" s="877" t="s">
        <v>10080</v>
      </c>
      <c r="I61" s="877" t="s">
        <v>2097</v>
      </c>
      <c r="J61" s="1594" t="s">
        <v>5452</v>
      </c>
      <c r="K61" s="1594" t="s">
        <v>3501</v>
      </c>
      <c r="L61" s="1594" t="s">
        <v>10081</v>
      </c>
      <c r="M61" s="1594" t="s">
        <v>9732</v>
      </c>
      <c r="N61" s="1594" t="s">
        <v>1230</v>
      </c>
      <c r="O61" s="1594" t="s">
        <v>10048</v>
      </c>
      <c r="P61" s="1594" t="s">
        <v>10082</v>
      </c>
      <c r="Q61" s="1595" t="s">
        <v>10083</v>
      </c>
      <c r="R61" s="1595" t="s">
        <v>10084</v>
      </c>
      <c r="S61" s="1595" t="s">
        <v>10085</v>
      </c>
      <c r="T61" s="1595" t="s">
        <v>6878</v>
      </c>
      <c r="U61" s="1595" t="s">
        <v>2794</v>
      </c>
      <c r="V61" s="1595" t="s">
        <v>5099</v>
      </c>
      <c r="W61" s="1596" t="s">
        <v>10086</v>
      </c>
      <c r="X61" s="1596" t="s">
        <v>10087</v>
      </c>
      <c r="Y61" s="1596" t="s">
        <v>9947</v>
      </c>
      <c r="Z61" s="1596" t="s">
        <v>8897</v>
      </c>
      <c r="AA61" s="1596" t="s">
        <v>6181</v>
      </c>
      <c r="AB61" s="1596" t="s">
        <v>5908</v>
      </c>
      <c r="AC61" s="1596" t="s">
        <v>6476</v>
      </c>
      <c r="AD61" s="1580" t="s">
        <v>10088</v>
      </c>
      <c r="AE61" s="1593" t="s">
        <v>5503</v>
      </c>
      <c r="AF61" s="1597" t="s">
        <v>10089</v>
      </c>
      <c r="AG61" s="1597" t="s">
        <v>10090</v>
      </c>
      <c r="AH61" s="1597" t="s">
        <v>10091</v>
      </c>
      <c r="AI61" s="1597" t="s">
        <v>1035</v>
      </c>
      <c r="AJ61" s="1597" t="s">
        <v>10092</v>
      </c>
      <c r="AK61" s="1583" t="s">
        <v>630</v>
      </c>
      <c r="AL61" s="1583" t="s">
        <v>10093</v>
      </c>
      <c r="AM61" s="1584" t="s">
        <v>3727</v>
      </c>
      <c r="AN61" s="1584" t="s">
        <v>10094</v>
      </c>
      <c r="AO61" s="1584" t="s">
        <v>10095</v>
      </c>
      <c r="AP61" s="1584" t="s">
        <v>10096</v>
      </c>
      <c r="AQ61" s="1584" t="s">
        <v>10097</v>
      </c>
      <c r="AR61" s="1585" t="s">
        <v>7422</v>
      </c>
      <c r="AS61" s="1584" t="s">
        <v>4423</v>
      </c>
      <c r="AT61" s="1594" t="s">
        <v>10098</v>
      </c>
      <c r="AU61" s="1598" t="s">
        <v>10099</v>
      </c>
      <c r="AV61" s="1421" t="str">
        <f t="shared" si="1"/>
        <v>4:40</v>
      </c>
      <c r="AW61" s="1624" t="s">
        <v>10100</v>
      </c>
    </row>
    <row r="62" ht="15.75" customHeight="1">
      <c r="A62" s="1557" t="s">
        <v>10101</v>
      </c>
      <c r="B62" s="1545" t="s">
        <v>8825</v>
      </c>
      <c r="C62" s="1503">
        <v>0.051631944444444446</v>
      </c>
      <c r="D62" s="1580" t="s">
        <v>10102</v>
      </c>
      <c r="E62" s="1580" t="s">
        <v>7541</v>
      </c>
      <c r="F62" s="1580" t="s">
        <v>9027</v>
      </c>
      <c r="G62" s="1580" t="s">
        <v>10103</v>
      </c>
      <c r="H62" s="812" t="s">
        <v>10104</v>
      </c>
      <c r="I62" s="812" t="s">
        <v>10105</v>
      </c>
      <c r="J62" s="1564" t="s">
        <v>10106</v>
      </c>
      <c r="K62" s="1564" t="s">
        <v>7147</v>
      </c>
      <c r="L62" s="1564" t="s">
        <v>4454</v>
      </c>
      <c r="M62" s="1564" t="s">
        <v>10107</v>
      </c>
      <c r="N62" s="1564" t="s">
        <v>9505</v>
      </c>
      <c r="O62" s="1564" t="s">
        <v>10108</v>
      </c>
      <c r="P62" s="1564" t="s">
        <v>2172</v>
      </c>
      <c r="Q62" s="1567" t="s">
        <v>10109</v>
      </c>
      <c r="R62" s="1567" t="s">
        <v>5946</v>
      </c>
      <c r="S62" s="1567" t="s">
        <v>5611</v>
      </c>
      <c r="T62" s="1567" t="s">
        <v>6304</v>
      </c>
      <c r="U62" s="1567" t="s">
        <v>10110</v>
      </c>
      <c r="V62" s="1567" t="s">
        <v>10111</v>
      </c>
      <c r="W62" s="1582" t="s">
        <v>10112</v>
      </c>
      <c r="X62" s="1582" t="s">
        <v>630</v>
      </c>
      <c r="Y62" s="1582" t="s">
        <v>5090</v>
      </c>
      <c r="Z62" s="1582" t="s">
        <v>10113</v>
      </c>
      <c r="AA62" s="1516" t="s">
        <v>10114</v>
      </c>
      <c r="AB62" s="1582" t="s">
        <v>9424</v>
      </c>
      <c r="AC62" s="1582" t="s">
        <v>4719</v>
      </c>
      <c r="AD62" s="1580" t="s">
        <v>10115</v>
      </c>
      <c r="AE62" s="1580" t="s">
        <v>9382</v>
      </c>
      <c r="AF62" s="1656" t="s">
        <v>10116</v>
      </c>
      <c r="AG62" s="1583" t="s">
        <v>7662</v>
      </c>
      <c r="AH62" s="1583" t="s">
        <v>10091</v>
      </c>
      <c r="AI62" s="1583" t="s">
        <v>4117</v>
      </c>
      <c r="AJ62" s="1583" t="s">
        <v>10117</v>
      </c>
      <c r="AK62" s="1583" t="s">
        <v>1524</v>
      </c>
      <c r="AL62" s="1583" t="s">
        <v>3480</v>
      </c>
      <c r="AM62" s="1585" t="s">
        <v>6181</v>
      </c>
      <c r="AN62" s="1585" t="s">
        <v>5691</v>
      </c>
      <c r="AO62" s="1585" t="s">
        <v>7476</v>
      </c>
      <c r="AP62" s="1585" t="s">
        <v>10118</v>
      </c>
      <c r="AQ62" s="1585" t="s">
        <v>3509</v>
      </c>
      <c r="AR62" s="1585" t="s">
        <v>9667</v>
      </c>
      <c r="AS62" s="1585" t="s">
        <v>4091</v>
      </c>
      <c r="AT62" s="1564" t="s">
        <v>10119</v>
      </c>
      <c r="AU62" s="1547" t="s">
        <v>10120</v>
      </c>
      <c r="AV62" s="1421" t="str">
        <f t="shared" si="1"/>
        <v>2:25</v>
      </c>
      <c r="AW62" s="1609" t="s">
        <v>10121</v>
      </c>
    </row>
    <row r="63" ht="15.75" customHeight="1">
      <c r="A63" s="1607" t="s">
        <v>10122</v>
      </c>
      <c r="B63" s="1502" t="s">
        <v>8825</v>
      </c>
      <c r="C63" s="1626">
        <v>0.051631944444444446</v>
      </c>
      <c r="D63" s="950" t="s">
        <v>10123</v>
      </c>
      <c r="E63" s="334" t="s">
        <v>8596</v>
      </c>
      <c r="F63" s="334" t="s">
        <v>8905</v>
      </c>
      <c r="G63" s="334" t="s">
        <v>10124</v>
      </c>
      <c r="H63" s="334" t="s">
        <v>10125</v>
      </c>
      <c r="I63" s="334" t="s">
        <v>10051</v>
      </c>
      <c r="J63" s="334" t="s">
        <v>3502</v>
      </c>
      <c r="K63" s="334" t="s">
        <v>10126</v>
      </c>
      <c r="L63" s="334" t="s">
        <v>5275</v>
      </c>
      <c r="M63" s="334" t="s">
        <v>713</v>
      </c>
      <c r="N63" s="334" t="s">
        <v>10127</v>
      </c>
      <c r="O63" s="334" t="s">
        <v>4728</v>
      </c>
      <c r="P63" s="334" t="s">
        <v>8858</v>
      </c>
      <c r="Q63" s="334" t="s">
        <v>2808</v>
      </c>
      <c r="R63" s="334" t="s">
        <v>10128</v>
      </c>
      <c r="S63" s="334" t="s">
        <v>9909</v>
      </c>
      <c r="T63" s="334" t="s">
        <v>9326</v>
      </c>
      <c r="U63" s="334" t="s">
        <v>10129</v>
      </c>
      <c r="V63" s="334" t="s">
        <v>10130</v>
      </c>
      <c r="W63" s="334" t="s">
        <v>10131</v>
      </c>
      <c r="X63" s="334" t="s">
        <v>10053</v>
      </c>
      <c r="Y63" s="334" t="s">
        <v>4719</v>
      </c>
      <c r="Z63" s="334" t="s">
        <v>6757</v>
      </c>
      <c r="AA63" s="334" t="s">
        <v>5945</v>
      </c>
      <c r="AB63" s="334" t="s">
        <v>10132</v>
      </c>
      <c r="AC63" s="334" t="s">
        <v>390</v>
      </c>
      <c r="AD63" s="334" t="s">
        <v>6127</v>
      </c>
      <c r="AE63" s="334" t="s">
        <v>3107</v>
      </c>
      <c r="AF63" s="334" t="s">
        <v>9801</v>
      </c>
      <c r="AG63" s="334" t="s">
        <v>10133</v>
      </c>
      <c r="AH63" s="334" t="s">
        <v>5419</v>
      </c>
      <c r="AI63" s="334" t="s">
        <v>3578</v>
      </c>
      <c r="AJ63" s="334" t="s">
        <v>10134</v>
      </c>
      <c r="AK63" s="334" t="s">
        <v>9969</v>
      </c>
      <c r="AL63" s="334" t="s">
        <v>5203</v>
      </c>
      <c r="AM63" s="334" t="s">
        <v>10135</v>
      </c>
      <c r="AN63" s="334" t="s">
        <v>8687</v>
      </c>
      <c r="AO63" s="334" t="s">
        <v>5142</v>
      </c>
      <c r="AP63" s="334" t="s">
        <v>10136</v>
      </c>
      <c r="AQ63" s="334" t="s">
        <v>3693</v>
      </c>
      <c r="AR63" s="334" t="s">
        <v>9489</v>
      </c>
      <c r="AS63" s="334" t="s">
        <v>4705</v>
      </c>
      <c r="AT63" s="334" t="s">
        <v>10137</v>
      </c>
      <c r="AU63" s="1657" t="str">
        <f>HYPERLINK("https://splits.io/pc9","1:16:48")</f>
        <v>1:16:48</v>
      </c>
      <c r="AV63" s="1421" t="str">
        <f t="shared" si="1"/>
        <v>2:27</v>
      </c>
      <c r="AW63" s="1658" t="s">
        <v>10138</v>
      </c>
    </row>
    <row r="64" ht="15.75" customHeight="1">
      <c r="A64" s="1501" t="s">
        <v>5905</v>
      </c>
      <c r="B64" s="1502" t="s">
        <v>8825</v>
      </c>
      <c r="C64" s="1626">
        <v>0.051631944444444446</v>
      </c>
      <c r="D64" s="950" t="s">
        <v>10139</v>
      </c>
      <c r="E64" s="334" t="s">
        <v>7691</v>
      </c>
      <c r="F64" s="334" t="s">
        <v>10140</v>
      </c>
      <c r="G64" s="334" t="s">
        <v>5351</v>
      </c>
      <c r="H64" s="334" t="s">
        <v>9712</v>
      </c>
      <c r="I64" s="334" t="s">
        <v>4719</v>
      </c>
      <c r="J64" s="334" t="s">
        <v>9016</v>
      </c>
      <c r="K64" s="334" t="s">
        <v>8720</v>
      </c>
      <c r="L64" s="334" t="s">
        <v>5891</v>
      </c>
      <c r="M64" s="334" t="s">
        <v>937</v>
      </c>
      <c r="N64" s="334" t="s">
        <v>10141</v>
      </c>
      <c r="O64" s="334" t="s">
        <v>9943</v>
      </c>
      <c r="P64" s="334" t="s">
        <v>9804</v>
      </c>
      <c r="Q64" s="334" t="s">
        <v>10142</v>
      </c>
      <c r="R64" s="334" t="s">
        <v>10084</v>
      </c>
      <c r="S64" s="334" t="s">
        <v>6785</v>
      </c>
      <c r="T64" s="334" t="s">
        <v>10143</v>
      </c>
      <c r="U64" s="334" t="s">
        <v>10144</v>
      </c>
      <c r="V64" s="334" t="s">
        <v>10145</v>
      </c>
      <c r="W64" s="334" t="s">
        <v>10146</v>
      </c>
      <c r="X64" s="334" t="s">
        <v>10147</v>
      </c>
      <c r="Y64" s="334" t="s">
        <v>1164</v>
      </c>
      <c r="Z64" s="334" t="s">
        <v>4861</v>
      </c>
      <c r="AA64" s="334" t="s">
        <v>10148</v>
      </c>
      <c r="AB64" s="334" t="s">
        <v>6849</v>
      </c>
      <c r="AC64" s="334" t="s">
        <v>10149</v>
      </c>
      <c r="AD64" s="334" t="s">
        <v>10150</v>
      </c>
      <c r="AE64" s="1606" t="s">
        <v>5482</v>
      </c>
      <c r="AF64" s="334" t="s">
        <v>10151</v>
      </c>
      <c r="AG64" s="334" t="s">
        <v>10152</v>
      </c>
      <c r="AH64" s="334" t="s">
        <v>2252</v>
      </c>
      <c r="AI64" s="334" t="s">
        <v>5231</v>
      </c>
      <c r="AJ64" s="334" t="s">
        <v>8475</v>
      </c>
      <c r="AK64" s="334" t="s">
        <v>1707</v>
      </c>
      <c r="AL64" s="334" t="s">
        <v>5691</v>
      </c>
      <c r="AM64" s="334" t="s">
        <v>10153</v>
      </c>
      <c r="AN64" s="334" t="s">
        <v>10154</v>
      </c>
      <c r="AO64" s="334" t="s">
        <v>9125</v>
      </c>
      <c r="AP64" s="334" t="s">
        <v>4871</v>
      </c>
      <c r="AQ64" s="334" t="s">
        <v>10155</v>
      </c>
      <c r="AR64" s="334" t="s">
        <v>4848</v>
      </c>
      <c r="AS64" s="334" t="s">
        <v>3035</v>
      </c>
      <c r="AT64" s="334" t="s">
        <v>10156</v>
      </c>
      <c r="AU64" s="334" t="s">
        <v>10157</v>
      </c>
      <c r="AV64" s="1421" t="str">
        <f t="shared" si="1"/>
        <v>3:33</v>
      </c>
      <c r="AW64" s="1658"/>
    </row>
    <row r="65" ht="15.75" customHeight="1">
      <c r="A65" s="1501" t="s">
        <v>4223</v>
      </c>
      <c r="B65" s="1502" t="s">
        <v>8825</v>
      </c>
      <c r="C65" s="1626">
        <v>0.05164351851851852</v>
      </c>
      <c r="D65" s="950" t="s">
        <v>10158</v>
      </c>
      <c r="E65" s="334" t="s">
        <v>9036</v>
      </c>
      <c r="F65" s="334" t="s">
        <v>10159</v>
      </c>
      <c r="G65" s="334" t="s">
        <v>8883</v>
      </c>
      <c r="H65" s="334" t="s">
        <v>10160</v>
      </c>
      <c r="I65" s="334" t="s">
        <v>1292</v>
      </c>
      <c r="J65" s="334" t="s">
        <v>806</v>
      </c>
      <c r="K65" s="334" t="s">
        <v>6734</v>
      </c>
      <c r="L65" s="334" t="s">
        <v>3728</v>
      </c>
      <c r="M65" s="334" t="s">
        <v>10107</v>
      </c>
      <c r="N65" s="334" t="s">
        <v>9204</v>
      </c>
      <c r="O65" s="334" t="s">
        <v>9808</v>
      </c>
      <c r="P65" s="334" t="s">
        <v>5188</v>
      </c>
      <c r="Q65" s="334" t="s">
        <v>10161</v>
      </c>
      <c r="R65" s="334" t="s">
        <v>8762</v>
      </c>
      <c r="S65" s="334" t="s">
        <v>10162</v>
      </c>
      <c r="T65" s="334" t="s">
        <v>10163</v>
      </c>
      <c r="U65" s="334" t="s">
        <v>10164</v>
      </c>
      <c r="V65" s="334" t="s">
        <v>10165</v>
      </c>
      <c r="W65" s="334" t="s">
        <v>10166</v>
      </c>
      <c r="X65" s="334" t="s">
        <v>609</v>
      </c>
      <c r="Y65" s="334" t="s">
        <v>10167</v>
      </c>
      <c r="Z65" s="334" t="s">
        <v>7184</v>
      </c>
      <c r="AA65" s="334" t="s">
        <v>5615</v>
      </c>
      <c r="AB65" s="334" t="s">
        <v>7477</v>
      </c>
      <c r="AC65" s="334" t="s">
        <v>7632</v>
      </c>
      <c r="AD65" s="334" t="s">
        <v>10168</v>
      </c>
      <c r="AE65" s="334" t="s">
        <v>1848</v>
      </c>
      <c r="AF65" s="334" t="s">
        <v>10169</v>
      </c>
      <c r="AG65" s="334" t="s">
        <v>529</v>
      </c>
      <c r="AH65" s="334" t="s">
        <v>5419</v>
      </c>
      <c r="AI65" s="334" t="s">
        <v>10170</v>
      </c>
      <c r="AJ65" s="334" t="s">
        <v>10171</v>
      </c>
      <c r="AK65" s="334" t="s">
        <v>10172</v>
      </c>
      <c r="AL65" s="334" t="s">
        <v>5185</v>
      </c>
      <c r="AM65" s="334" t="s">
        <v>9611</v>
      </c>
      <c r="AN65" s="334" t="s">
        <v>9265</v>
      </c>
      <c r="AO65" s="334" t="s">
        <v>10018</v>
      </c>
      <c r="AP65" s="334" t="s">
        <v>10173</v>
      </c>
      <c r="AQ65" s="334" t="s">
        <v>10174</v>
      </c>
      <c r="AR65" s="334" t="s">
        <v>3624</v>
      </c>
      <c r="AS65" s="334" t="s">
        <v>10175</v>
      </c>
      <c r="AT65" s="334" t="s">
        <v>9970</v>
      </c>
      <c r="AU65" s="334" t="s">
        <v>10176</v>
      </c>
      <c r="AV65" s="1421" t="str">
        <f t="shared" si="1"/>
        <v>3:13</v>
      </c>
      <c r="AW65" s="1658" t="s">
        <v>10177</v>
      </c>
    </row>
    <row r="66" ht="15.75" customHeight="1">
      <c r="A66" s="1513" t="s">
        <v>899</v>
      </c>
      <c r="B66" s="1645" t="s">
        <v>8879</v>
      </c>
      <c r="C66" s="1626">
        <v>0.05167824074074074</v>
      </c>
      <c r="D66" s="950" t="s">
        <v>10178</v>
      </c>
      <c r="E66" s="334" t="s">
        <v>10179</v>
      </c>
      <c r="F66" s="334" t="s">
        <v>5951</v>
      </c>
      <c r="G66" s="334" t="s">
        <v>10180</v>
      </c>
      <c r="H66" s="334" t="s">
        <v>10181</v>
      </c>
      <c r="I66" s="334" t="s">
        <v>1837</v>
      </c>
      <c r="J66" s="334" t="s">
        <v>10044</v>
      </c>
      <c r="K66" s="334" t="s">
        <v>9185</v>
      </c>
      <c r="L66" s="334" t="s">
        <v>1963</v>
      </c>
      <c r="M66" s="334" t="s">
        <v>6833</v>
      </c>
      <c r="N66" s="334" t="s">
        <v>10182</v>
      </c>
      <c r="O66" s="334" t="s">
        <v>10183</v>
      </c>
      <c r="P66" s="334" t="s">
        <v>2382</v>
      </c>
      <c r="Q66" s="334" t="s">
        <v>721</v>
      </c>
      <c r="R66" s="334" t="s">
        <v>10184</v>
      </c>
      <c r="S66" s="334" t="s">
        <v>10185</v>
      </c>
      <c r="T66" s="334" t="s">
        <v>10186</v>
      </c>
      <c r="U66" s="334" t="s">
        <v>9763</v>
      </c>
      <c r="V66" s="334" t="s">
        <v>489</v>
      </c>
      <c r="W66" s="334" t="s">
        <v>5985</v>
      </c>
      <c r="X66" s="334" t="s">
        <v>10187</v>
      </c>
      <c r="Y66" s="334" t="s">
        <v>942</v>
      </c>
      <c r="Z66" s="334" t="s">
        <v>3908</v>
      </c>
      <c r="AA66" s="334" t="s">
        <v>1623</v>
      </c>
      <c r="AB66" s="334" t="s">
        <v>10188</v>
      </c>
      <c r="AC66" s="334" t="s">
        <v>9106</v>
      </c>
      <c r="AD66" s="1606" t="s">
        <v>10189</v>
      </c>
      <c r="AE66" s="334" t="s">
        <v>1862</v>
      </c>
      <c r="AF66" s="334" t="s">
        <v>9652</v>
      </c>
      <c r="AG66" s="334" t="s">
        <v>7769</v>
      </c>
      <c r="AH66" s="334" t="s">
        <v>4454</v>
      </c>
      <c r="AI66" s="334" t="s">
        <v>6425</v>
      </c>
      <c r="AJ66" s="334" t="s">
        <v>10190</v>
      </c>
      <c r="AK66" s="334" t="s">
        <v>8974</v>
      </c>
      <c r="AL66" s="334" t="s">
        <v>5230</v>
      </c>
      <c r="AM66" s="334" t="s">
        <v>10191</v>
      </c>
      <c r="AN66" s="334" t="s">
        <v>10192</v>
      </c>
      <c r="AO66" s="334" t="s">
        <v>10193</v>
      </c>
      <c r="AP66" s="334" t="s">
        <v>10194</v>
      </c>
      <c r="AQ66" s="334" t="s">
        <v>10195</v>
      </c>
      <c r="AR66" s="334" t="s">
        <v>10196</v>
      </c>
      <c r="AS66" s="334" t="s">
        <v>2568</v>
      </c>
      <c r="AT66" s="334" t="s">
        <v>10197</v>
      </c>
      <c r="AU66" s="334" t="s">
        <v>10198</v>
      </c>
      <c r="AV66" s="1421" t="str">
        <f t="shared" si="1"/>
        <v>2:51</v>
      </c>
      <c r="AW66" s="1659"/>
    </row>
    <row r="67" ht="15.75" customHeight="1">
      <c r="A67" s="1557" t="s">
        <v>4640</v>
      </c>
      <c r="B67" s="1590" t="s">
        <v>8853</v>
      </c>
      <c r="C67" s="1626">
        <v>0.05170138888888889</v>
      </c>
      <c r="D67" s="950" t="s">
        <v>10199</v>
      </c>
      <c r="E67" s="334" t="s">
        <v>4272</v>
      </c>
      <c r="F67" s="334" t="s">
        <v>9754</v>
      </c>
      <c r="G67" s="334" t="s">
        <v>9663</v>
      </c>
      <c r="H67" s="334" t="s">
        <v>10200</v>
      </c>
      <c r="I67" s="334" t="s">
        <v>10201</v>
      </c>
      <c r="J67" s="334" t="s">
        <v>9768</v>
      </c>
      <c r="K67" s="334" t="s">
        <v>9125</v>
      </c>
      <c r="L67" s="334" t="s">
        <v>4094</v>
      </c>
      <c r="M67" s="334" t="s">
        <v>7076</v>
      </c>
      <c r="N67" s="334" t="s">
        <v>6197</v>
      </c>
      <c r="O67" s="334" t="s">
        <v>9894</v>
      </c>
      <c r="P67" s="334" t="s">
        <v>484</v>
      </c>
      <c r="Q67" s="334" t="s">
        <v>2822</v>
      </c>
      <c r="R67" s="334" t="s">
        <v>8943</v>
      </c>
      <c r="S67" s="334" t="s">
        <v>10095</v>
      </c>
      <c r="T67" s="334" t="s">
        <v>2919</v>
      </c>
      <c r="U67" s="334" t="s">
        <v>10202</v>
      </c>
      <c r="V67" s="334" t="s">
        <v>10203</v>
      </c>
      <c r="W67" s="334" t="s">
        <v>10131</v>
      </c>
      <c r="X67" s="334" t="s">
        <v>3727</v>
      </c>
      <c r="Y67" s="334" t="s">
        <v>2445</v>
      </c>
      <c r="Z67" s="334" t="s">
        <v>492</v>
      </c>
      <c r="AA67" s="334" t="s">
        <v>630</v>
      </c>
      <c r="AB67" s="334" t="s">
        <v>10204</v>
      </c>
      <c r="AC67" s="334" t="s">
        <v>5788</v>
      </c>
      <c r="AD67" s="334" t="s">
        <v>9825</v>
      </c>
      <c r="AE67" s="334" t="s">
        <v>143</v>
      </c>
      <c r="AF67" s="334" t="s">
        <v>10205</v>
      </c>
      <c r="AG67" s="334" t="s">
        <v>10206</v>
      </c>
      <c r="AH67" s="334" t="s">
        <v>10207</v>
      </c>
      <c r="AI67" s="334" t="s">
        <v>10208</v>
      </c>
      <c r="AJ67" s="334" t="s">
        <v>10209</v>
      </c>
      <c r="AK67" s="334" t="s">
        <v>9772</v>
      </c>
      <c r="AL67" s="334" t="s">
        <v>4529</v>
      </c>
      <c r="AM67" s="334" t="s">
        <v>10071</v>
      </c>
      <c r="AN67" s="334" t="s">
        <v>10210</v>
      </c>
      <c r="AO67" s="334" t="s">
        <v>9816</v>
      </c>
      <c r="AP67" s="334" t="s">
        <v>3324</v>
      </c>
      <c r="AQ67" s="334" t="s">
        <v>10211</v>
      </c>
      <c r="AR67" s="334" t="s">
        <v>10212</v>
      </c>
      <c r="AS67" s="334" t="s">
        <v>6590</v>
      </c>
      <c r="AT67" s="334" t="s">
        <v>10213</v>
      </c>
      <c r="AU67" s="334" t="s">
        <v>10214</v>
      </c>
      <c r="AV67" s="1421" t="str">
        <f t="shared" si="1"/>
        <v>2:37</v>
      </c>
      <c r="AW67" s="1659" t="s">
        <v>10215</v>
      </c>
    </row>
    <row r="68" ht="15.75" customHeight="1">
      <c r="A68" s="1557" t="s">
        <v>5104</v>
      </c>
      <c r="B68" s="1555" t="s">
        <v>8853</v>
      </c>
      <c r="C68" s="1503">
        <v>0.05171296296296296</v>
      </c>
      <c r="D68" s="1632" t="s">
        <v>10216</v>
      </c>
      <c r="E68" s="1606" t="s">
        <v>10217</v>
      </c>
      <c r="F68" s="1606" t="s">
        <v>1469</v>
      </c>
      <c r="G68" s="1606" t="s">
        <v>10218</v>
      </c>
      <c r="H68" s="1606" t="s">
        <v>8949</v>
      </c>
      <c r="I68" s="1606" t="s">
        <v>10219</v>
      </c>
      <c r="J68" s="1606" t="s">
        <v>887</v>
      </c>
      <c r="K68" s="1606" t="s">
        <v>4917</v>
      </c>
      <c r="L68" s="1606" t="s">
        <v>1954</v>
      </c>
      <c r="M68" s="1660" t="s">
        <v>10220</v>
      </c>
      <c r="N68" s="1606" t="s">
        <v>10221</v>
      </c>
      <c r="O68" s="1606" t="s">
        <v>1784</v>
      </c>
      <c r="P68" s="1606" t="s">
        <v>5090</v>
      </c>
      <c r="Q68" s="1606" t="s">
        <v>2702</v>
      </c>
      <c r="R68" s="1606" t="s">
        <v>10222</v>
      </c>
      <c r="S68" s="1606" t="s">
        <v>8933</v>
      </c>
      <c r="T68" s="1606" t="s">
        <v>10223</v>
      </c>
      <c r="U68" s="1606" t="s">
        <v>10023</v>
      </c>
      <c r="V68" s="1660" t="s">
        <v>10224</v>
      </c>
      <c r="W68" s="1660" t="s">
        <v>10225</v>
      </c>
      <c r="X68" s="1606" t="s">
        <v>9900</v>
      </c>
      <c r="Y68" s="950" t="s">
        <v>2551</v>
      </c>
      <c r="Z68" s="1606" t="s">
        <v>1522</v>
      </c>
      <c r="AA68" s="1606" t="s">
        <v>201</v>
      </c>
      <c r="AB68" s="1660" t="s">
        <v>10226</v>
      </c>
      <c r="AC68" s="1606" t="s">
        <v>1848</v>
      </c>
      <c r="AD68" s="1606" t="s">
        <v>10227</v>
      </c>
      <c r="AE68" s="1606" t="s">
        <v>3848</v>
      </c>
      <c r="AF68" s="1606" t="s">
        <v>10228</v>
      </c>
      <c r="AG68" s="1606" t="s">
        <v>529</v>
      </c>
      <c r="AH68" s="1606" t="s">
        <v>10229</v>
      </c>
      <c r="AI68" s="1606" t="s">
        <v>5445</v>
      </c>
      <c r="AJ68" s="1606" t="s">
        <v>10230</v>
      </c>
      <c r="AK68" s="1606" t="s">
        <v>10231</v>
      </c>
      <c r="AL68" s="1606" t="s">
        <v>1662</v>
      </c>
      <c r="AM68" s="1606" t="s">
        <v>10062</v>
      </c>
      <c r="AN68" s="1606" t="s">
        <v>10232</v>
      </c>
      <c r="AO68" s="1606" t="s">
        <v>2894</v>
      </c>
      <c r="AP68" s="1606" t="s">
        <v>2071</v>
      </c>
      <c r="AQ68" s="1606" t="s">
        <v>759</v>
      </c>
      <c r="AR68" s="1606" t="s">
        <v>9844</v>
      </c>
      <c r="AS68" s="1606" t="s">
        <v>8024</v>
      </c>
      <c r="AT68" s="1606" t="s">
        <v>10233</v>
      </c>
      <c r="AU68" s="1606" t="s">
        <v>10234</v>
      </c>
      <c r="AV68" s="1421" t="str">
        <f t="shared" si="1"/>
        <v>4:14</v>
      </c>
      <c r="AW68" s="1655" t="s">
        <v>10235</v>
      </c>
    </row>
    <row r="69" ht="15.75" customHeight="1">
      <c r="A69" s="1557" t="s">
        <v>2188</v>
      </c>
      <c r="B69" s="1641" t="s">
        <v>8853</v>
      </c>
      <c r="C69" s="1503">
        <v>0.05173611111111111</v>
      </c>
      <c r="D69" s="950" t="s">
        <v>10236</v>
      </c>
      <c r="E69" s="1606" t="s">
        <v>10237</v>
      </c>
      <c r="F69" s="1606" t="s">
        <v>10238</v>
      </c>
      <c r="G69" s="1606" t="s">
        <v>10239</v>
      </c>
      <c r="H69" s="1606" t="s">
        <v>7007</v>
      </c>
      <c r="I69" s="1606" t="s">
        <v>497</v>
      </c>
      <c r="J69" s="1606" t="s">
        <v>9247</v>
      </c>
      <c r="K69" s="1606" t="s">
        <v>8838</v>
      </c>
      <c r="L69" s="1606" t="s">
        <v>8100</v>
      </c>
      <c r="M69" s="1606" t="s">
        <v>3641</v>
      </c>
      <c r="N69" s="1606" t="s">
        <v>10240</v>
      </c>
      <c r="O69" s="1606" t="s">
        <v>10241</v>
      </c>
      <c r="P69" s="1606" t="s">
        <v>3751</v>
      </c>
      <c r="Q69" s="1606" t="s">
        <v>10242</v>
      </c>
      <c r="R69" s="1606" t="s">
        <v>10184</v>
      </c>
      <c r="S69" s="1606" t="s">
        <v>5586</v>
      </c>
      <c r="T69" s="1606" t="s">
        <v>10243</v>
      </c>
      <c r="U69" s="1606" t="s">
        <v>10244</v>
      </c>
      <c r="V69" s="1606" t="s">
        <v>362</v>
      </c>
      <c r="W69" s="1606" t="s">
        <v>5619</v>
      </c>
      <c r="X69" s="1606" t="s">
        <v>10090</v>
      </c>
      <c r="Y69" s="1606" t="s">
        <v>1164</v>
      </c>
      <c r="Z69" s="1606" t="s">
        <v>10245</v>
      </c>
      <c r="AA69" s="1606" t="s">
        <v>5945</v>
      </c>
      <c r="AB69" s="1606" t="s">
        <v>7475</v>
      </c>
      <c r="AC69" s="1606" t="s">
        <v>162</v>
      </c>
      <c r="AD69" s="1606" t="s">
        <v>10115</v>
      </c>
      <c r="AE69" s="1606" t="s">
        <v>9542</v>
      </c>
      <c r="AF69" s="1606" t="s">
        <v>9556</v>
      </c>
      <c r="AG69" s="1606" t="s">
        <v>10246</v>
      </c>
      <c r="AH69" s="1606" t="s">
        <v>10247</v>
      </c>
      <c r="AI69" s="1606" t="s">
        <v>10248</v>
      </c>
      <c r="AJ69" s="1606" t="s">
        <v>6153</v>
      </c>
      <c r="AK69" s="1606" t="s">
        <v>6927</v>
      </c>
      <c r="AL69" s="1606" t="s">
        <v>10249</v>
      </c>
      <c r="AM69" s="1606" t="s">
        <v>2975</v>
      </c>
      <c r="AN69" s="1606" t="s">
        <v>5185</v>
      </c>
      <c r="AO69" s="1606" t="s">
        <v>10015</v>
      </c>
      <c r="AP69" s="1606" t="s">
        <v>10250</v>
      </c>
      <c r="AQ69" s="1606" t="s">
        <v>10251</v>
      </c>
      <c r="AR69" s="1606" t="s">
        <v>198</v>
      </c>
      <c r="AS69" s="1606" t="s">
        <v>10252</v>
      </c>
      <c r="AT69" s="1606" t="s">
        <v>10253</v>
      </c>
      <c r="AU69" s="1606" t="s">
        <v>10254</v>
      </c>
      <c r="AV69" s="1421" t="str">
        <f t="shared" si="1"/>
        <v>3:51</v>
      </c>
      <c r="AW69" s="1655" t="s">
        <v>10255</v>
      </c>
    </row>
    <row r="70" ht="15.75" customHeight="1">
      <c r="A70" s="1557" t="s">
        <v>8170</v>
      </c>
      <c r="B70" s="1545" t="s">
        <v>8879</v>
      </c>
      <c r="C70" s="1503">
        <v>0.051805555555555556</v>
      </c>
      <c r="D70" s="1606" t="s">
        <v>10256</v>
      </c>
      <c r="E70" s="1606" t="s">
        <v>10257</v>
      </c>
      <c r="F70" s="950" t="s">
        <v>10258</v>
      </c>
      <c r="G70" s="1606" t="s">
        <v>10259</v>
      </c>
      <c r="H70" s="1519" t="s">
        <v>10260</v>
      </c>
      <c r="I70" s="1519">
        <v>49.81</v>
      </c>
      <c r="J70" s="1519" t="s">
        <v>10261</v>
      </c>
      <c r="K70" s="1519" t="s">
        <v>6322</v>
      </c>
      <c r="L70" s="1519">
        <v>59.57</v>
      </c>
      <c r="M70" s="1519" t="s">
        <v>10262</v>
      </c>
      <c r="N70" s="1519" t="s">
        <v>10263</v>
      </c>
      <c r="O70" s="1518" t="s">
        <v>6914</v>
      </c>
      <c r="P70" s="1518" t="s">
        <v>10264</v>
      </c>
      <c r="Q70" s="1518" t="s">
        <v>10265</v>
      </c>
      <c r="R70" s="1519" t="s">
        <v>10266</v>
      </c>
      <c r="S70" s="1519" t="s">
        <v>9909</v>
      </c>
      <c r="T70" s="1519" t="s">
        <v>10267</v>
      </c>
      <c r="U70" s="1519" t="s">
        <v>10268</v>
      </c>
      <c r="V70" s="1519" t="s">
        <v>4319</v>
      </c>
      <c r="W70" s="1519" t="s">
        <v>10269</v>
      </c>
      <c r="X70" s="1519" t="s">
        <v>10270</v>
      </c>
      <c r="Y70" s="1518" t="s">
        <v>9773</v>
      </c>
      <c r="Z70" s="1661" t="s">
        <v>8895</v>
      </c>
      <c r="AA70" s="1519" t="s">
        <v>966</v>
      </c>
      <c r="AB70" s="1518" t="s">
        <v>4343</v>
      </c>
      <c r="AC70" s="1519">
        <v>49.53</v>
      </c>
      <c r="AD70" s="1519" t="s">
        <v>2002</v>
      </c>
      <c r="AE70" s="1518" t="s">
        <v>10271</v>
      </c>
      <c r="AF70" s="1519" t="s">
        <v>9024</v>
      </c>
      <c r="AG70" s="1519" t="s">
        <v>10272</v>
      </c>
      <c r="AH70" s="1519">
        <v>59.93</v>
      </c>
      <c r="AI70" s="1519" t="s">
        <v>10273</v>
      </c>
      <c r="AJ70" s="1519" t="s">
        <v>10274</v>
      </c>
      <c r="AK70" s="1519" t="s">
        <v>5974</v>
      </c>
      <c r="AL70" s="1519">
        <v>59.13</v>
      </c>
      <c r="AM70" s="1519" t="s">
        <v>10212</v>
      </c>
      <c r="AN70" s="1519">
        <v>57.86</v>
      </c>
      <c r="AO70" s="1519" t="s">
        <v>7240</v>
      </c>
      <c r="AP70" s="1519" t="s">
        <v>10275</v>
      </c>
      <c r="AQ70" s="1519" t="s">
        <v>9779</v>
      </c>
      <c r="AR70" s="1519" t="s">
        <v>6263</v>
      </c>
      <c r="AS70" s="1519">
        <v>47.67</v>
      </c>
      <c r="AT70" s="1606" t="s">
        <v>10276</v>
      </c>
      <c r="AU70" s="1606" t="s">
        <v>10277</v>
      </c>
      <c r="AV70" s="1421" t="str">
        <f t="shared" si="1"/>
        <v>2:57</v>
      </c>
      <c r="AW70" s="1640" t="s">
        <v>10278</v>
      </c>
    </row>
    <row r="71">
      <c r="A71" s="932" t="s">
        <v>1256</v>
      </c>
      <c r="B71" s="1555" t="s">
        <v>8853</v>
      </c>
      <c r="C71" s="1662">
        <v>0.05181712962962963</v>
      </c>
      <c r="D71" s="1509" t="s">
        <v>10279</v>
      </c>
      <c r="E71" s="1509" t="s">
        <v>7546</v>
      </c>
      <c r="F71" s="1509" t="s">
        <v>10280</v>
      </c>
      <c r="G71" s="1509" t="s">
        <v>10281</v>
      </c>
      <c r="H71" s="1509" t="s">
        <v>10282</v>
      </c>
      <c r="I71" s="1509" t="s">
        <v>5047</v>
      </c>
      <c r="J71" s="1509" t="s">
        <v>9232</v>
      </c>
      <c r="K71" s="1509" t="s">
        <v>8864</v>
      </c>
      <c r="L71" s="1509" t="s">
        <v>10247</v>
      </c>
      <c r="M71" s="1509" t="s">
        <v>1455</v>
      </c>
      <c r="N71" s="1509" t="s">
        <v>9743</v>
      </c>
      <c r="O71" s="1509" t="s">
        <v>6979</v>
      </c>
      <c r="P71" s="1509" t="s">
        <v>9321</v>
      </c>
      <c r="Q71" s="1509" t="s">
        <v>10283</v>
      </c>
      <c r="R71" s="1509" t="s">
        <v>6855</v>
      </c>
      <c r="S71" s="1509" t="s">
        <v>3648</v>
      </c>
      <c r="T71" s="1509" t="s">
        <v>10284</v>
      </c>
      <c r="U71" s="1509" t="s">
        <v>10285</v>
      </c>
      <c r="V71" s="1509" t="s">
        <v>10203</v>
      </c>
      <c r="W71" s="1509" t="s">
        <v>8955</v>
      </c>
      <c r="X71" s="1509" t="s">
        <v>9834</v>
      </c>
      <c r="Y71" s="1509" t="s">
        <v>10286</v>
      </c>
      <c r="Z71" s="1509" t="s">
        <v>6406</v>
      </c>
      <c r="AA71" s="1509" t="s">
        <v>957</v>
      </c>
      <c r="AB71" s="1509" t="s">
        <v>10287</v>
      </c>
      <c r="AC71" s="1509" t="s">
        <v>2097</v>
      </c>
      <c r="AD71" s="1509" t="s">
        <v>10288</v>
      </c>
      <c r="AE71" s="1509" t="s">
        <v>2172</v>
      </c>
      <c r="AF71" s="1509" t="s">
        <v>9970</v>
      </c>
      <c r="AG71" s="1509" t="s">
        <v>175</v>
      </c>
      <c r="AH71" s="1509" t="s">
        <v>10289</v>
      </c>
      <c r="AI71" s="1509" t="s">
        <v>248</v>
      </c>
      <c r="AJ71" s="1509" t="s">
        <v>10290</v>
      </c>
      <c r="AK71" s="1509" t="s">
        <v>9560</v>
      </c>
      <c r="AL71" s="1509" t="s">
        <v>4733</v>
      </c>
      <c r="AM71" s="1509" t="s">
        <v>10291</v>
      </c>
      <c r="AN71" s="1509" t="s">
        <v>9605</v>
      </c>
      <c r="AO71" s="1509" t="s">
        <v>10292</v>
      </c>
      <c r="AP71" s="1509" t="s">
        <v>10293</v>
      </c>
      <c r="AQ71" s="1509" t="s">
        <v>10294</v>
      </c>
      <c r="AR71" s="1509" t="s">
        <v>10295</v>
      </c>
      <c r="AS71" s="1509" t="s">
        <v>355</v>
      </c>
      <c r="AT71" s="1509" t="s">
        <v>10296</v>
      </c>
      <c r="AU71" s="1516" t="s">
        <v>10297</v>
      </c>
      <c r="AV71" s="1421" t="str">
        <f t="shared" si="1"/>
        <v>3:49</v>
      </c>
      <c r="AW71" s="1663" t="s">
        <v>10298</v>
      </c>
    </row>
    <row r="72" ht="15.75" customHeight="1">
      <c r="A72" s="1501" t="s">
        <v>3126</v>
      </c>
      <c r="B72" s="1590" t="s">
        <v>8853</v>
      </c>
      <c r="C72" s="1626">
        <v>0.051863425925925924</v>
      </c>
      <c r="D72" s="950" t="s">
        <v>10299</v>
      </c>
      <c r="E72" s="334" t="s">
        <v>6577</v>
      </c>
      <c r="F72" s="334" t="s">
        <v>10300</v>
      </c>
      <c r="G72" s="334" t="s">
        <v>10301</v>
      </c>
      <c r="H72" s="334" t="s">
        <v>10302</v>
      </c>
      <c r="I72" s="334" t="s">
        <v>10303</v>
      </c>
      <c r="J72" s="334" t="s">
        <v>1762</v>
      </c>
      <c r="K72" s="334" t="s">
        <v>1593</v>
      </c>
      <c r="L72" s="334" t="s">
        <v>3134</v>
      </c>
      <c r="M72" s="334" t="s">
        <v>10084</v>
      </c>
      <c r="N72" s="334" t="s">
        <v>5130</v>
      </c>
      <c r="O72" s="334" t="s">
        <v>10304</v>
      </c>
      <c r="P72" s="334" t="s">
        <v>1234</v>
      </c>
      <c r="Q72" s="334" t="s">
        <v>10305</v>
      </c>
      <c r="R72" s="334" t="s">
        <v>5831</v>
      </c>
      <c r="S72" s="334" t="s">
        <v>10306</v>
      </c>
      <c r="T72" s="334" t="s">
        <v>10307</v>
      </c>
      <c r="U72" s="334" t="s">
        <v>10308</v>
      </c>
      <c r="V72" s="334" t="s">
        <v>9853</v>
      </c>
      <c r="W72" s="334" t="s">
        <v>10309</v>
      </c>
      <c r="X72" s="334" t="s">
        <v>10208</v>
      </c>
      <c r="Y72" s="334" t="s">
        <v>3361</v>
      </c>
      <c r="Z72" s="334" t="s">
        <v>10310</v>
      </c>
      <c r="AA72" s="334" t="s">
        <v>10311</v>
      </c>
      <c r="AB72" s="334" t="s">
        <v>8731</v>
      </c>
      <c r="AC72" s="334" t="s">
        <v>5788</v>
      </c>
      <c r="AD72" s="334" t="s">
        <v>10312</v>
      </c>
      <c r="AE72" s="334" t="s">
        <v>1182</v>
      </c>
      <c r="AF72" s="334" t="s">
        <v>10313</v>
      </c>
      <c r="AG72" s="334" t="s">
        <v>10314</v>
      </c>
      <c r="AH72" s="334" t="s">
        <v>5275</v>
      </c>
      <c r="AI72" s="334" t="s">
        <v>10248</v>
      </c>
      <c r="AJ72" s="334" t="s">
        <v>10315</v>
      </c>
      <c r="AK72" s="334" t="s">
        <v>1841</v>
      </c>
      <c r="AL72" s="334" t="s">
        <v>10289</v>
      </c>
      <c r="AM72" s="334" t="s">
        <v>10316</v>
      </c>
      <c r="AN72" s="334" t="s">
        <v>3201</v>
      </c>
      <c r="AO72" s="334" t="s">
        <v>9020</v>
      </c>
      <c r="AP72" s="334" t="s">
        <v>10317</v>
      </c>
      <c r="AQ72" s="334" t="s">
        <v>10318</v>
      </c>
      <c r="AR72" s="334" t="s">
        <v>2227</v>
      </c>
      <c r="AS72" s="334" t="s">
        <v>4839</v>
      </c>
      <c r="AT72" s="334" t="s">
        <v>10319</v>
      </c>
      <c r="AU72" s="334" t="s">
        <v>10320</v>
      </c>
      <c r="AV72" s="1421" t="str">
        <f t="shared" si="1"/>
        <v>2:06</v>
      </c>
      <c r="AW72" s="1655" t="s">
        <v>10321</v>
      </c>
    </row>
    <row r="73" ht="15.75" customHeight="1">
      <c r="A73" s="1501" t="s">
        <v>1127</v>
      </c>
      <c r="B73" s="1502" t="s">
        <v>8825</v>
      </c>
      <c r="C73" s="1626">
        <v>0.051875</v>
      </c>
      <c r="D73" s="950" t="s">
        <v>10322</v>
      </c>
      <c r="E73" s="334" t="s">
        <v>3206</v>
      </c>
      <c r="F73" s="334" t="s">
        <v>10323</v>
      </c>
      <c r="G73" s="334" t="s">
        <v>10324</v>
      </c>
      <c r="H73" s="334" t="s">
        <v>10325</v>
      </c>
      <c r="I73" s="334" t="s">
        <v>10326</v>
      </c>
      <c r="J73" s="334" t="s">
        <v>2525</v>
      </c>
      <c r="K73" s="334" t="s">
        <v>10327</v>
      </c>
      <c r="L73" s="334" t="s">
        <v>9087</v>
      </c>
      <c r="M73" s="334" t="s">
        <v>7126</v>
      </c>
      <c r="N73" s="334" t="s">
        <v>9326</v>
      </c>
      <c r="O73" s="334" t="s">
        <v>4468</v>
      </c>
      <c r="P73" s="334" t="s">
        <v>1527</v>
      </c>
      <c r="Q73" s="334" t="s">
        <v>10328</v>
      </c>
      <c r="R73" s="334" t="s">
        <v>1937</v>
      </c>
      <c r="S73" s="334" t="s">
        <v>4433</v>
      </c>
      <c r="T73" s="334" t="s">
        <v>10329</v>
      </c>
      <c r="U73" s="334" t="s">
        <v>10129</v>
      </c>
      <c r="V73" s="334" t="s">
        <v>6586</v>
      </c>
      <c r="W73" s="334" t="s">
        <v>4468</v>
      </c>
      <c r="X73" s="334" t="s">
        <v>9743</v>
      </c>
      <c r="Y73" s="334" t="s">
        <v>9775</v>
      </c>
      <c r="Z73" s="334" t="s">
        <v>6532</v>
      </c>
      <c r="AA73" s="334" t="s">
        <v>421</v>
      </c>
      <c r="AB73" s="334" t="s">
        <v>624</v>
      </c>
      <c r="AC73" s="334" t="s">
        <v>10330</v>
      </c>
      <c r="AD73" s="334" t="s">
        <v>10168</v>
      </c>
      <c r="AE73" s="334" t="s">
        <v>849</v>
      </c>
      <c r="AF73" s="334" t="s">
        <v>10331</v>
      </c>
      <c r="AG73" s="334" t="s">
        <v>10332</v>
      </c>
      <c r="AH73" s="334" t="s">
        <v>10081</v>
      </c>
      <c r="AI73" s="334" t="s">
        <v>10333</v>
      </c>
      <c r="AJ73" s="334" t="s">
        <v>10334</v>
      </c>
      <c r="AK73" s="334" t="s">
        <v>10335</v>
      </c>
      <c r="AL73" s="334" t="s">
        <v>5618</v>
      </c>
      <c r="AM73" s="334" t="s">
        <v>10336</v>
      </c>
      <c r="AN73" s="334" t="s">
        <v>6390</v>
      </c>
      <c r="AO73" s="1606" t="s">
        <v>9933</v>
      </c>
      <c r="AP73" s="334" t="s">
        <v>10337</v>
      </c>
      <c r="AQ73" s="334" t="s">
        <v>10338</v>
      </c>
      <c r="AR73" s="334" t="s">
        <v>9595</v>
      </c>
      <c r="AS73" s="334" t="s">
        <v>4751</v>
      </c>
      <c r="AT73" s="334" t="s">
        <v>10339</v>
      </c>
      <c r="AU73" s="1606" t="s">
        <v>10340</v>
      </c>
      <c r="AV73" s="1421" t="str">
        <f t="shared" si="1"/>
        <v>0:37</v>
      </c>
      <c r="AW73" s="1659" t="s">
        <v>10341</v>
      </c>
    </row>
    <row r="74">
      <c r="A74" s="1557" t="s">
        <v>7432</v>
      </c>
      <c r="B74" s="1555" t="s">
        <v>8825</v>
      </c>
      <c r="C74" s="1503">
        <v>0.05188657407407407</v>
      </c>
      <c r="D74" s="1606" t="s">
        <v>10342</v>
      </c>
      <c r="E74" s="950" t="s">
        <v>176</v>
      </c>
      <c r="F74" s="950" t="s">
        <v>10343</v>
      </c>
      <c r="G74" s="950" t="s">
        <v>10344</v>
      </c>
      <c r="H74" s="950" t="s">
        <v>10345</v>
      </c>
      <c r="I74" s="950" t="s">
        <v>143</v>
      </c>
      <c r="J74" s="950" t="s">
        <v>4145</v>
      </c>
      <c r="K74" s="950" t="s">
        <v>9570</v>
      </c>
      <c r="L74" s="950" t="s">
        <v>2875</v>
      </c>
      <c r="M74" s="950" t="s">
        <v>10346</v>
      </c>
      <c r="N74" s="950" t="s">
        <v>4071</v>
      </c>
      <c r="O74" s="950" t="s">
        <v>10347</v>
      </c>
      <c r="P74" s="950" t="s">
        <v>5189</v>
      </c>
      <c r="Q74" s="950" t="s">
        <v>10348</v>
      </c>
      <c r="R74" s="950" t="s">
        <v>5535</v>
      </c>
      <c r="S74" s="950" t="s">
        <v>10349</v>
      </c>
      <c r="T74" s="950" t="s">
        <v>8899</v>
      </c>
      <c r="U74" s="950" t="s">
        <v>10350</v>
      </c>
      <c r="V74" s="950" t="s">
        <v>5259</v>
      </c>
      <c r="W74" s="950" t="s">
        <v>10351</v>
      </c>
      <c r="X74" s="950" t="s">
        <v>10352</v>
      </c>
      <c r="Y74" s="950" t="s">
        <v>10353</v>
      </c>
      <c r="Z74" s="950" t="s">
        <v>9580</v>
      </c>
      <c r="AA74" s="950" t="s">
        <v>5149</v>
      </c>
      <c r="AB74" s="950" t="s">
        <v>689</v>
      </c>
      <c r="AC74" s="950" t="s">
        <v>10354</v>
      </c>
      <c r="AD74" s="950" t="s">
        <v>2774</v>
      </c>
      <c r="AE74" s="950" t="s">
        <v>5930</v>
      </c>
      <c r="AF74" s="950" t="s">
        <v>10355</v>
      </c>
      <c r="AG74" s="950" t="s">
        <v>2412</v>
      </c>
      <c r="AH74" s="950" t="s">
        <v>2875</v>
      </c>
      <c r="AI74" s="950" t="s">
        <v>200</v>
      </c>
      <c r="AJ74" s="950" t="s">
        <v>10356</v>
      </c>
      <c r="AK74" s="950" t="s">
        <v>9587</v>
      </c>
      <c r="AL74" s="950" t="s">
        <v>10043</v>
      </c>
      <c r="AM74" s="950" t="s">
        <v>9558</v>
      </c>
      <c r="AN74" s="950" t="s">
        <v>3635</v>
      </c>
      <c r="AO74" s="950" t="s">
        <v>5698</v>
      </c>
      <c r="AP74" s="950" t="s">
        <v>9996</v>
      </c>
      <c r="AQ74" s="950" t="s">
        <v>10338</v>
      </c>
      <c r="AR74" s="950" t="s">
        <v>10357</v>
      </c>
      <c r="AS74" s="950" t="s">
        <v>6590</v>
      </c>
      <c r="AT74" s="950" t="s">
        <v>9105</v>
      </c>
      <c r="AU74" s="1606" t="s">
        <v>10358</v>
      </c>
      <c r="AV74" s="1421" t="str">
        <f t="shared" si="1"/>
        <v>4:21</v>
      </c>
      <c r="AW74" s="1655" t="s">
        <v>10359</v>
      </c>
    </row>
    <row r="75">
      <c r="A75" s="1557" t="s">
        <v>8770</v>
      </c>
      <c r="B75" s="1545" t="s">
        <v>8825</v>
      </c>
      <c r="C75" s="1503">
        <v>0.05193287037037037</v>
      </c>
      <c r="D75" s="1632" t="s">
        <v>10360</v>
      </c>
      <c r="E75" s="1606" t="s">
        <v>7150</v>
      </c>
      <c r="F75" s="1606" t="s">
        <v>10361</v>
      </c>
      <c r="G75" s="1606" t="s">
        <v>10362</v>
      </c>
      <c r="H75" s="1606" t="s">
        <v>10363</v>
      </c>
      <c r="I75" s="1606" t="s">
        <v>2382</v>
      </c>
      <c r="J75" s="1606" t="s">
        <v>4244</v>
      </c>
      <c r="K75" s="1606" t="s">
        <v>9510</v>
      </c>
      <c r="L75" s="1606"/>
      <c r="M75" s="1606" t="s">
        <v>6740</v>
      </c>
      <c r="N75" s="1606" t="s">
        <v>4687</v>
      </c>
      <c r="O75" s="1606" t="s">
        <v>8893</v>
      </c>
      <c r="P75" s="1606" t="s">
        <v>9989</v>
      </c>
      <c r="Q75" s="1606" t="s">
        <v>10364</v>
      </c>
      <c r="R75" s="1606" t="s">
        <v>10365</v>
      </c>
      <c r="S75" s="1606" t="s">
        <v>9164</v>
      </c>
      <c r="T75" s="1606" t="s">
        <v>9526</v>
      </c>
      <c r="U75" s="1606" t="s">
        <v>2268</v>
      </c>
      <c r="V75" s="1606" t="s">
        <v>9344</v>
      </c>
      <c r="W75" s="1606" t="s">
        <v>5979</v>
      </c>
      <c r="X75" s="1606" t="s">
        <v>630</v>
      </c>
      <c r="Y75" s="1606" t="s">
        <v>9307</v>
      </c>
      <c r="Z75" s="1606" t="s">
        <v>8914</v>
      </c>
      <c r="AA75" s="1606" t="s">
        <v>7252</v>
      </c>
      <c r="AB75" s="1606" t="s">
        <v>9997</v>
      </c>
      <c r="AC75" s="1606" t="s">
        <v>3010</v>
      </c>
      <c r="AD75" s="1606" t="s">
        <v>10366</v>
      </c>
      <c r="AE75" s="1606" t="s">
        <v>10367</v>
      </c>
      <c r="AF75" s="1606" t="s">
        <v>10368</v>
      </c>
      <c r="AG75" s="1606" t="s">
        <v>10133</v>
      </c>
      <c r="AH75" s="1606" t="s">
        <v>10369</v>
      </c>
      <c r="AI75" s="1606" t="s">
        <v>10370</v>
      </c>
      <c r="AJ75" s="1606" t="s">
        <v>10371</v>
      </c>
      <c r="AK75" s="1606" t="s">
        <v>10372</v>
      </c>
      <c r="AL75" s="1606" t="s">
        <v>3357</v>
      </c>
      <c r="AM75" s="1606" t="s">
        <v>10373</v>
      </c>
      <c r="AN75" s="1606" t="s">
        <v>3646</v>
      </c>
      <c r="AO75" s="1606" t="s">
        <v>10374</v>
      </c>
      <c r="AP75" s="1606" t="s">
        <v>10375</v>
      </c>
      <c r="AQ75" s="1606" t="s">
        <v>10376</v>
      </c>
      <c r="AR75" s="1606" t="s">
        <v>10377</v>
      </c>
      <c r="AS75" s="1606" t="s">
        <v>3791</v>
      </c>
      <c r="AT75" s="1606" t="s">
        <v>10378</v>
      </c>
      <c r="AU75" s="1606" t="s">
        <v>10379</v>
      </c>
      <c r="AV75" s="1421" t="str">
        <f t="shared" si="1"/>
        <v>4:12</v>
      </c>
      <c r="AW75" s="1659"/>
    </row>
    <row r="76" ht="15.75" customHeight="1">
      <c r="A76" s="1607" t="s">
        <v>10380</v>
      </c>
      <c r="B76" s="1502" t="s">
        <v>8825</v>
      </c>
      <c r="C76" s="1626">
        <v>0.05199074074074074</v>
      </c>
      <c r="D76" s="950" t="s">
        <v>10381</v>
      </c>
      <c r="E76" s="334" t="s">
        <v>10382</v>
      </c>
      <c r="F76" s="334" t="s">
        <v>10383</v>
      </c>
      <c r="G76" s="334" t="s">
        <v>10384</v>
      </c>
      <c r="H76" s="334" t="s">
        <v>7034</v>
      </c>
      <c r="I76" s="334" t="s">
        <v>9947</v>
      </c>
      <c r="J76" s="334" t="s">
        <v>10385</v>
      </c>
      <c r="K76" s="334" t="s">
        <v>10386</v>
      </c>
      <c r="L76" s="334" t="s">
        <v>3134</v>
      </c>
      <c r="M76" s="334" t="s">
        <v>10387</v>
      </c>
      <c r="N76" s="334" t="s">
        <v>9654</v>
      </c>
      <c r="O76" s="334" t="s">
        <v>10388</v>
      </c>
      <c r="P76" s="334" t="s">
        <v>2435</v>
      </c>
      <c r="Q76" s="334" t="s">
        <v>5107</v>
      </c>
      <c r="R76" s="334" t="s">
        <v>5342</v>
      </c>
      <c r="S76" s="334" t="s">
        <v>10389</v>
      </c>
      <c r="T76" s="334" t="s">
        <v>5877</v>
      </c>
      <c r="U76" s="334" t="s">
        <v>10390</v>
      </c>
      <c r="V76" s="334" t="s">
        <v>6586</v>
      </c>
      <c r="W76" s="334" t="s">
        <v>7438</v>
      </c>
      <c r="X76" s="334" t="s">
        <v>10391</v>
      </c>
      <c r="Y76" s="334" t="s">
        <v>2097</v>
      </c>
      <c r="Z76" s="334" t="s">
        <v>10392</v>
      </c>
      <c r="AA76" s="334" t="s">
        <v>10087</v>
      </c>
      <c r="AB76" s="334" t="s">
        <v>10393</v>
      </c>
      <c r="AC76" s="334" t="s">
        <v>5578</v>
      </c>
      <c r="AD76" s="334" t="s">
        <v>10394</v>
      </c>
      <c r="AE76" s="334" t="s">
        <v>7632</v>
      </c>
      <c r="AF76" s="334" t="s">
        <v>10395</v>
      </c>
      <c r="AG76" s="334" t="s">
        <v>10335</v>
      </c>
      <c r="AH76" s="334" t="s">
        <v>10396</v>
      </c>
      <c r="AI76" s="334" t="s">
        <v>10397</v>
      </c>
      <c r="AJ76" s="334" t="s">
        <v>10398</v>
      </c>
      <c r="AK76" s="334" t="s">
        <v>810</v>
      </c>
      <c r="AL76" s="334" t="s">
        <v>3337</v>
      </c>
      <c r="AM76" s="334" t="s">
        <v>9838</v>
      </c>
      <c r="AN76" s="334" t="s">
        <v>10399</v>
      </c>
      <c r="AO76" s="1606" t="s">
        <v>6993</v>
      </c>
      <c r="AP76" s="1606" t="s">
        <v>10400</v>
      </c>
      <c r="AQ76" s="334" t="s">
        <v>5381</v>
      </c>
      <c r="AR76" s="334" t="s">
        <v>9874</v>
      </c>
      <c r="AS76" s="334" t="s">
        <v>1087</v>
      </c>
      <c r="AT76" s="334" t="s">
        <v>9990</v>
      </c>
      <c r="AU76" s="1657" t="str">
        <f>HYPERLINK("https://splits.io/m3t","1:18:40")</f>
        <v>1:18:40</v>
      </c>
      <c r="AV76" s="1421" t="str">
        <f t="shared" si="1"/>
        <v>3:48</v>
      </c>
      <c r="AW76" s="1658" t="s">
        <v>10401</v>
      </c>
    </row>
    <row r="77" ht="15.75" customHeight="1">
      <c r="A77" s="1607" t="s">
        <v>10402</v>
      </c>
      <c r="B77" s="1502" t="s">
        <v>8825</v>
      </c>
      <c r="C77" s="1626">
        <v>0.052002314814814814</v>
      </c>
      <c r="D77" s="950" t="s">
        <v>10403</v>
      </c>
      <c r="E77" s="334" t="s">
        <v>9176</v>
      </c>
      <c r="F77" s="334" t="s">
        <v>10404</v>
      </c>
      <c r="G77" s="334" t="s">
        <v>10405</v>
      </c>
      <c r="H77" s="334" t="s">
        <v>10406</v>
      </c>
      <c r="I77" s="334" t="s">
        <v>3647</v>
      </c>
      <c r="J77" s="334" t="s">
        <v>9546</v>
      </c>
      <c r="K77" s="334" t="s">
        <v>4433</v>
      </c>
      <c r="L77" s="334" t="s">
        <v>3495</v>
      </c>
      <c r="M77" s="334" t="s">
        <v>10128</v>
      </c>
      <c r="N77" s="334" t="s">
        <v>4472</v>
      </c>
      <c r="O77" s="334" t="s">
        <v>10407</v>
      </c>
      <c r="P77" s="334" t="s">
        <v>10408</v>
      </c>
      <c r="Q77" s="334" t="s">
        <v>4930</v>
      </c>
      <c r="R77" s="334" t="s">
        <v>1455</v>
      </c>
      <c r="S77" s="334" t="s">
        <v>9626</v>
      </c>
      <c r="T77" s="334" t="s">
        <v>530</v>
      </c>
      <c r="U77" s="334" t="s">
        <v>1989</v>
      </c>
      <c r="V77" s="334" t="s">
        <v>466</v>
      </c>
      <c r="W77" s="334" t="s">
        <v>5779</v>
      </c>
      <c r="X77" s="334" t="s">
        <v>9904</v>
      </c>
      <c r="Y77" s="334" t="s">
        <v>2445</v>
      </c>
      <c r="Z77" s="334" t="s">
        <v>5240</v>
      </c>
      <c r="AA77" s="334" t="s">
        <v>9654</v>
      </c>
      <c r="AB77" s="334" t="s">
        <v>10409</v>
      </c>
      <c r="AC77" s="334" t="s">
        <v>3107</v>
      </c>
      <c r="AD77" s="334" t="s">
        <v>10410</v>
      </c>
      <c r="AE77" s="334" t="s">
        <v>5189</v>
      </c>
      <c r="AF77" s="334" t="s">
        <v>10411</v>
      </c>
      <c r="AG77" s="334" t="s">
        <v>10412</v>
      </c>
      <c r="AH77" s="334" t="s">
        <v>2252</v>
      </c>
      <c r="AI77" s="334" t="s">
        <v>10413</v>
      </c>
      <c r="AJ77" s="334" t="s">
        <v>10414</v>
      </c>
      <c r="AK77" s="334" t="s">
        <v>4635</v>
      </c>
      <c r="AL77" s="334" t="s">
        <v>6159</v>
      </c>
      <c r="AM77" s="334" t="s">
        <v>1460</v>
      </c>
      <c r="AN77" s="334" t="s">
        <v>5558</v>
      </c>
      <c r="AO77" s="334" t="s">
        <v>9339</v>
      </c>
      <c r="AP77" s="334" t="s">
        <v>4682</v>
      </c>
      <c r="AQ77" s="334" t="s">
        <v>10415</v>
      </c>
      <c r="AR77" s="334" t="s">
        <v>10416</v>
      </c>
      <c r="AS77" s="334" t="s">
        <v>10417</v>
      </c>
      <c r="AT77" s="334" t="s">
        <v>10418</v>
      </c>
      <c r="AU77" s="334" t="s">
        <v>10419</v>
      </c>
      <c r="AV77" s="1421" t="str">
        <f t="shared" si="1"/>
        <v>3:32</v>
      </c>
      <c r="AW77" s="1658" t="s">
        <v>10420</v>
      </c>
    </row>
    <row r="78" ht="15.75" customHeight="1">
      <c r="A78" s="1607" t="s">
        <v>10421</v>
      </c>
      <c r="B78" s="1590" t="s">
        <v>8853</v>
      </c>
      <c r="C78" s="1626">
        <v>0.05201388888888889</v>
      </c>
      <c r="D78" s="950" t="s">
        <v>10422</v>
      </c>
      <c r="E78" s="1606" t="s">
        <v>10423</v>
      </c>
      <c r="F78" s="334" t="s">
        <v>10424</v>
      </c>
      <c r="G78" s="334" t="s">
        <v>10425</v>
      </c>
      <c r="H78" s="334" t="s">
        <v>129</v>
      </c>
      <c r="I78" s="334" t="s">
        <v>10426</v>
      </c>
      <c r="J78" s="334" t="s">
        <v>10427</v>
      </c>
      <c r="K78" s="334" t="s">
        <v>4213</v>
      </c>
      <c r="L78" s="334" t="s">
        <v>10428</v>
      </c>
      <c r="M78" s="334" t="s">
        <v>10429</v>
      </c>
      <c r="N78" s="334" t="s">
        <v>10430</v>
      </c>
      <c r="O78" s="334" t="s">
        <v>10431</v>
      </c>
      <c r="P78" s="334" t="s">
        <v>162</v>
      </c>
      <c r="Q78" s="334" t="s">
        <v>10432</v>
      </c>
      <c r="R78" s="334" t="s">
        <v>6907</v>
      </c>
      <c r="S78" s="334" t="s">
        <v>10433</v>
      </c>
      <c r="T78" s="334" t="s">
        <v>10434</v>
      </c>
      <c r="U78" s="334" t="s">
        <v>10435</v>
      </c>
      <c r="V78" s="334" t="s">
        <v>8408</v>
      </c>
      <c r="W78" s="334" t="s">
        <v>10436</v>
      </c>
      <c r="X78" s="334" t="s">
        <v>9904</v>
      </c>
      <c r="Y78" s="334" t="s">
        <v>210</v>
      </c>
      <c r="Z78" s="334" t="s">
        <v>2376</v>
      </c>
      <c r="AA78" s="334" t="s">
        <v>5918</v>
      </c>
      <c r="AB78" s="334" t="s">
        <v>9199</v>
      </c>
      <c r="AC78" s="334" t="s">
        <v>927</v>
      </c>
      <c r="AD78" s="334" t="s">
        <v>10437</v>
      </c>
      <c r="AE78" s="334" t="s">
        <v>1164</v>
      </c>
      <c r="AF78" s="334" t="s">
        <v>10438</v>
      </c>
      <c r="AG78" s="334" t="s">
        <v>2975</v>
      </c>
      <c r="AH78" s="334" t="s">
        <v>6200</v>
      </c>
      <c r="AI78" s="334" t="s">
        <v>1572</v>
      </c>
      <c r="AJ78" s="334" t="s">
        <v>10439</v>
      </c>
      <c r="AK78" s="334" t="s">
        <v>3624</v>
      </c>
      <c r="AL78" s="334" t="s">
        <v>3960</v>
      </c>
      <c r="AM78" s="334" t="s">
        <v>841</v>
      </c>
      <c r="AN78" s="334" t="s">
        <v>4529</v>
      </c>
      <c r="AO78" s="334" t="s">
        <v>2254</v>
      </c>
      <c r="AP78" s="334" t="s">
        <v>10440</v>
      </c>
      <c r="AQ78" s="334" t="s">
        <v>1001</v>
      </c>
      <c r="AR78" s="334" t="s">
        <v>8894</v>
      </c>
      <c r="AS78" s="334" t="s">
        <v>8833</v>
      </c>
      <c r="AT78" s="334" t="s">
        <v>10441</v>
      </c>
      <c r="AU78" s="334" t="s">
        <v>10442</v>
      </c>
      <c r="AV78" s="1421" t="str">
        <f t="shared" si="1"/>
        <v>2:58</v>
      </c>
      <c r="AW78" s="1659" t="s">
        <v>10443</v>
      </c>
    </row>
    <row r="79" ht="15.75" customHeight="1">
      <c r="A79" s="1501" t="s">
        <v>7111</v>
      </c>
      <c r="B79" s="1590" t="s">
        <v>8853</v>
      </c>
      <c r="C79" s="1626">
        <v>0.05207175925925926</v>
      </c>
      <c r="D79" s="950" t="s">
        <v>10444</v>
      </c>
      <c r="E79" s="334" t="s">
        <v>10445</v>
      </c>
      <c r="F79" s="334" t="s">
        <v>10446</v>
      </c>
      <c r="G79" s="334" t="s">
        <v>10447</v>
      </c>
      <c r="H79" s="334" t="s">
        <v>9104</v>
      </c>
      <c r="I79" s="334" t="s">
        <v>4915</v>
      </c>
      <c r="J79" s="334" t="s">
        <v>9454</v>
      </c>
      <c r="K79" s="334" t="s">
        <v>10095</v>
      </c>
      <c r="L79" s="334" t="s">
        <v>10448</v>
      </c>
      <c r="M79" s="334" t="s">
        <v>2752</v>
      </c>
      <c r="N79" s="334" t="s">
        <v>10449</v>
      </c>
      <c r="O79" s="334" t="s">
        <v>10450</v>
      </c>
      <c r="P79" s="334" t="s">
        <v>767</v>
      </c>
      <c r="Q79" s="334" t="s">
        <v>10451</v>
      </c>
      <c r="R79" s="334" t="s">
        <v>4948</v>
      </c>
      <c r="S79" s="334" t="s">
        <v>6177</v>
      </c>
      <c r="T79" s="334" t="s">
        <v>5877</v>
      </c>
      <c r="U79" s="334" t="s">
        <v>10452</v>
      </c>
      <c r="V79" s="334" t="s">
        <v>2418</v>
      </c>
      <c r="W79" s="334" t="s">
        <v>8898</v>
      </c>
      <c r="X79" s="334" t="s">
        <v>10453</v>
      </c>
      <c r="Y79" s="334" t="s">
        <v>1411</v>
      </c>
      <c r="Z79" s="334" t="s">
        <v>6824</v>
      </c>
      <c r="AA79" s="334" t="s">
        <v>1486</v>
      </c>
      <c r="AB79" s="334" t="s">
        <v>10454</v>
      </c>
      <c r="AC79" s="334" t="s">
        <v>241</v>
      </c>
      <c r="AD79" s="334" t="s">
        <v>4263</v>
      </c>
      <c r="AE79" s="334" t="s">
        <v>6137</v>
      </c>
      <c r="AF79" s="334" t="s">
        <v>10455</v>
      </c>
      <c r="AG79" s="334" t="s">
        <v>9904</v>
      </c>
      <c r="AH79" s="334" t="s">
        <v>8103</v>
      </c>
      <c r="AI79" s="334" t="s">
        <v>10248</v>
      </c>
      <c r="AJ79" s="334" t="s">
        <v>10456</v>
      </c>
      <c r="AK79" s="334" t="s">
        <v>10457</v>
      </c>
      <c r="AL79" s="334" t="s">
        <v>4355</v>
      </c>
      <c r="AM79" s="334" t="s">
        <v>10013</v>
      </c>
      <c r="AN79" s="334" t="s">
        <v>3960</v>
      </c>
      <c r="AO79" s="334" t="s">
        <v>4213</v>
      </c>
      <c r="AP79" s="334" t="s">
        <v>9734</v>
      </c>
      <c r="AQ79" s="334" t="s">
        <v>10458</v>
      </c>
      <c r="AR79" s="334" t="s">
        <v>1485</v>
      </c>
      <c r="AS79" s="334" t="s">
        <v>6298</v>
      </c>
      <c r="AT79" s="334" t="s">
        <v>7214</v>
      </c>
      <c r="AU79" s="334" t="s">
        <v>10459</v>
      </c>
      <c r="AV79" s="1421" t="str">
        <f t="shared" si="1"/>
        <v>3:10</v>
      </c>
      <c r="AW79" s="1659" t="s">
        <v>10460</v>
      </c>
    </row>
    <row r="80">
      <c r="A80" s="932" t="s">
        <v>3864</v>
      </c>
      <c r="B80" s="1645" t="s">
        <v>8879</v>
      </c>
      <c r="C80" s="1618">
        <v>0.052141203703703703</v>
      </c>
      <c r="D80" s="950" t="s">
        <v>10461</v>
      </c>
      <c r="E80" s="1580" t="s">
        <v>3002</v>
      </c>
      <c r="F80" s="1580" t="s">
        <v>10462</v>
      </c>
      <c r="G80" s="1603" t="s">
        <v>10463</v>
      </c>
      <c r="H80" s="1603" t="s">
        <v>10464</v>
      </c>
      <c r="I80" s="1603" t="s">
        <v>2430</v>
      </c>
      <c r="J80" s="1603" t="s">
        <v>7939</v>
      </c>
      <c r="K80" s="1664" t="s">
        <v>6329</v>
      </c>
      <c r="L80" s="1665" t="s">
        <v>8100</v>
      </c>
      <c r="M80" s="1603" t="s">
        <v>10465</v>
      </c>
      <c r="N80" s="1603" t="s">
        <v>5877</v>
      </c>
      <c r="O80" s="1603" t="s">
        <v>5538</v>
      </c>
      <c r="P80" s="1603" t="s">
        <v>1848</v>
      </c>
      <c r="Q80" s="1603" t="s">
        <v>10466</v>
      </c>
      <c r="R80" s="1603" t="s">
        <v>10467</v>
      </c>
      <c r="S80" s="1666" t="s">
        <v>2266</v>
      </c>
      <c r="T80" s="1603" t="s">
        <v>9156</v>
      </c>
      <c r="U80" s="1603" t="s">
        <v>3545</v>
      </c>
      <c r="V80" s="1603" t="s">
        <v>10468</v>
      </c>
      <c r="W80" s="1603" t="s">
        <v>10469</v>
      </c>
      <c r="X80" s="1603" t="s">
        <v>4457</v>
      </c>
      <c r="Y80" s="1603" t="s">
        <v>3687</v>
      </c>
      <c r="Z80" s="1603" t="s">
        <v>4182</v>
      </c>
      <c r="AA80" s="1603" t="s">
        <v>175</v>
      </c>
      <c r="AB80" s="1603" t="s">
        <v>627</v>
      </c>
      <c r="AC80" s="1603" t="s">
        <v>6137</v>
      </c>
      <c r="AD80" s="1509" t="s">
        <v>9264</v>
      </c>
      <c r="AE80" s="1603" t="s">
        <v>480</v>
      </c>
      <c r="AF80" s="1603" t="s">
        <v>10470</v>
      </c>
      <c r="AG80" s="1603" t="s">
        <v>10471</v>
      </c>
      <c r="AH80" s="1603" t="s">
        <v>4576</v>
      </c>
      <c r="AI80" s="1603" t="s">
        <v>10472</v>
      </c>
      <c r="AJ80" s="1603" t="s">
        <v>10473</v>
      </c>
      <c r="AK80" s="1603" t="s">
        <v>10474</v>
      </c>
      <c r="AL80" s="1603" t="s">
        <v>5109</v>
      </c>
      <c r="AM80" s="1603" t="s">
        <v>10135</v>
      </c>
      <c r="AN80" s="1603" t="s">
        <v>4323</v>
      </c>
      <c r="AO80" s="1603" t="s">
        <v>9247</v>
      </c>
      <c r="AP80" s="1603" t="s">
        <v>10475</v>
      </c>
      <c r="AQ80" s="1664" t="s">
        <v>8906</v>
      </c>
      <c r="AR80" s="1603" t="s">
        <v>10476</v>
      </c>
      <c r="AS80" s="1667" t="s">
        <v>756</v>
      </c>
      <c r="AT80" s="1603" t="s">
        <v>10477</v>
      </c>
      <c r="AU80" s="1547" t="s">
        <v>10478</v>
      </c>
      <c r="AV80" s="1421" t="str">
        <f t="shared" si="1"/>
        <v>4:08</v>
      </c>
      <c r="AW80" s="1622" t="s">
        <v>10479</v>
      </c>
    </row>
    <row r="81">
      <c r="A81" s="1557" t="s">
        <v>3965</v>
      </c>
      <c r="B81" s="1545" t="s">
        <v>8825</v>
      </c>
      <c r="C81" s="1503">
        <v>0.0522337962962963</v>
      </c>
      <c r="D81" s="1632" t="s">
        <v>10480</v>
      </c>
      <c r="E81" s="1606" t="s">
        <v>10481</v>
      </c>
      <c r="F81" s="1606" t="s">
        <v>10482</v>
      </c>
      <c r="G81" s="1606" t="s">
        <v>10483</v>
      </c>
      <c r="H81" s="1606" t="s">
        <v>10484</v>
      </c>
      <c r="I81" s="1606" t="s">
        <v>1974</v>
      </c>
      <c r="J81" s="1606" t="s">
        <v>8490</v>
      </c>
      <c r="K81" s="1606" t="s">
        <v>4433</v>
      </c>
      <c r="L81" s="1606" t="s">
        <v>5847</v>
      </c>
      <c r="M81" s="1606" t="s">
        <v>10485</v>
      </c>
      <c r="N81" s="1606" t="s">
        <v>9882</v>
      </c>
      <c r="O81" s="1606" t="s">
        <v>10486</v>
      </c>
      <c r="P81" s="1606" t="s">
        <v>5189</v>
      </c>
      <c r="Q81" s="1606" t="s">
        <v>10487</v>
      </c>
      <c r="R81" s="1606" t="s">
        <v>6327</v>
      </c>
      <c r="S81" s="1606" t="s">
        <v>609</v>
      </c>
      <c r="T81" s="1606" t="s">
        <v>10291</v>
      </c>
      <c r="U81" s="1606" t="s">
        <v>9288</v>
      </c>
      <c r="V81" s="1606" t="s">
        <v>10488</v>
      </c>
      <c r="W81" s="1606" t="s">
        <v>10489</v>
      </c>
      <c r="X81" s="1606" t="s">
        <v>10490</v>
      </c>
      <c r="Y81" s="1606" t="s">
        <v>761</v>
      </c>
      <c r="Z81" s="1606" t="s">
        <v>10491</v>
      </c>
      <c r="AA81" s="950" t="s">
        <v>10492</v>
      </c>
      <c r="AB81" s="1606" t="s">
        <v>6820</v>
      </c>
      <c r="AC81" s="1606" t="s">
        <v>10271</v>
      </c>
      <c r="AD81" s="1606" t="s">
        <v>7031</v>
      </c>
      <c r="AE81" s="1606" t="s">
        <v>4952</v>
      </c>
      <c r="AF81" s="1292" t="s">
        <v>10493</v>
      </c>
      <c r="AG81" s="1606" t="s">
        <v>10494</v>
      </c>
      <c r="AH81" s="1606" t="s">
        <v>5065</v>
      </c>
      <c r="AI81" s="1606" t="s">
        <v>7656</v>
      </c>
      <c r="AJ81" s="1606" t="s">
        <v>10495</v>
      </c>
      <c r="AK81" s="1606" t="s">
        <v>10496</v>
      </c>
      <c r="AL81" s="1606" t="s">
        <v>10210</v>
      </c>
      <c r="AM81" s="1606" t="s">
        <v>9884</v>
      </c>
      <c r="AN81" s="1606" t="s">
        <v>1077</v>
      </c>
      <c r="AO81" s="1606" t="s">
        <v>6504</v>
      </c>
      <c r="AP81" s="1606" t="s">
        <v>5621</v>
      </c>
      <c r="AQ81" s="1606" t="s">
        <v>10497</v>
      </c>
      <c r="AR81" s="1606" t="s">
        <v>692</v>
      </c>
      <c r="AS81" s="1292" t="s">
        <v>2821</v>
      </c>
      <c r="AT81" s="1606" t="s">
        <v>10498</v>
      </c>
      <c r="AU81" s="1606" t="s">
        <v>10499</v>
      </c>
      <c r="AV81" s="1421" t="str">
        <f t="shared" si="1"/>
        <v>4:32</v>
      </c>
      <c r="AW81" s="1655" t="s">
        <v>10500</v>
      </c>
    </row>
    <row r="82">
      <c r="A82" s="1557" t="s">
        <v>5197</v>
      </c>
      <c r="B82" s="1555" t="s">
        <v>8853</v>
      </c>
      <c r="C82" s="1503">
        <v>0.05232638888888889</v>
      </c>
      <c r="D82" s="1632" t="s">
        <v>10501</v>
      </c>
      <c r="E82" s="1606" t="s">
        <v>1231</v>
      </c>
      <c r="F82" s="1606" t="s">
        <v>10502</v>
      </c>
      <c r="G82" s="1606" t="s">
        <v>10503</v>
      </c>
      <c r="H82" s="1606" t="s">
        <v>10504</v>
      </c>
      <c r="I82" s="1606" t="s">
        <v>1351</v>
      </c>
      <c r="J82" s="1606" t="s">
        <v>7356</v>
      </c>
      <c r="K82" s="1606" t="s">
        <v>10106</v>
      </c>
      <c r="L82" s="1606" t="s">
        <v>10505</v>
      </c>
      <c r="M82" s="1606" t="s">
        <v>7061</v>
      </c>
      <c r="N82" s="1606" t="s">
        <v>10506</v>
      </c>
      <c r="O82" s="1606" t="s">
        <v>10507</v>
      </c>
      <c r="P82" s="1606" t="s">
        <v>521</v>
      </c>
      <c r="Q82" s="1606" t="s">
        <v>9944</v>
      </c>
      <c r="R82" s="1606" t="s">
        <v>5272</v>
      </c>
      <c r="S82" s="1606" t="s">
        <v>9743</v>
      </c>
      <c r="T82" s="1606" t="s">
        <v>10508</v>
      </c>
      <c r="U82" s="1606" t="s">
        <v>10509</v>
      </c>
      <c r="V82" s="1606" t="s">
        <v>10510</v>
      </c>
      <c r="W82" s="1606" t="s">
        <v>6414</v>
      </c>
      <c r="X82" s="1606" t="s">
        <v>314</v>
      </c>
      <c r="Y82" s="1606" t="s">
        <v>7491</v>
      </c>
      <c r="Z82" s="1606" t="s">
        <v>782</v>
      </c>
      <c r="AA82" s="334" t="s">
        <v>9743</v>
      </c>
      <c r="AB82" s="1606" t="s">
        <v>10511</v>
      </c>
      <c r="AC82" s="1606" t="s">
        <v>6323</v>
      </c>
      <c r="AD82" s="1606" t="s">
        <v>10512</v>
      </c>
      <c r="AE82" s="1606" t="s">
        <v>226</v>
      </c>
      <c r="AF82" s="1606" t="s">
        <v>8401</v>
      </c>
      <c r="AG82" s="1606" t="s">
        <v>4076</v>
      </c>
      <c r="AH82" s="1606" t="s">
        <v>1954</v>
      </c>
      <c r="AI82" s="1606" t="s">
        <v>420</v>
      </c>
      <c r="AJ82" s="1606" t="s">
        <v>10513</v>
      </c>
      <c r="AK82" s="1606" t="s">
        <v>10514</v>
      </c>
      <c r="AL82" s="1606" t="s">
        <v>10249</v>
      </c>
      <c r="AM82" s="1606" t="s">
        <v>2975</v>
      </c>
      <c r="AN82" s="1606" t="s">
        <v>6048</v>
      </c>
      <c r="AO82" s="1606" t="s">
        <v>3721</v>
      </c>
      <c r="AP82" s="1606" t="s">
        <v>10515</v>
      </c>
      <c r="AQ82" s="1606" t="s">
        <v>7060</v>
      </c>
      <c r="AR82" s="1606" t="s">
        <v>6322</v>
      </c>
      <c r="AS82" s="1606" t="s">
        <v>10516</v>
      </c>
      <c r="AT82" s="1606" t="s">
        <v>10517</v>
      </c>
      <c r="AU82" s="1606" t="s">
        <v>10518</v>
      </c>
      <c r="AV82" s="1421" t="str">
        <f t="shared" si="1"/>
        <v>3:48</v>
      </c>
      <c r="AW82" s="1659"/>
    </row>
    <row r="83" ht="15.75" customHeight="1">
      <c r="A83" s="1501" t="s">
        <v>10519</v>
      </c>
      <c r="B83" s="1502" t="s">
        <v>8825</v>
      </c>
      <c r="C83" s="1626">
        <v>0.05240740740740741</v>
      </c>
      <c r="D83" s="950" t="s">
        <v>10520</v>
      </c>
      <c r="E83" s="334" t="s">
        <v>1659</v>
      </c>
      <c r="F83" s="334" t="s">
        <v>7346</v>
      </c>
      <c r="G83" s="334" t="s">
        <v>10230</v>
      </c>
      <c r="H83" s="334" t="s">
        <v>10521</v>
      </c>
      <c r="I83" s="334" t="s">
        <v>10522</v>
      </c>
      <c r="J83" s="334" t="s">
        <v>10523</v>
      </c>
      <c r="K83" s="334" t="s">
        <v>10524</v>
      </c>
      <c r="L83" s="334" t="s">
        <v>4462</v>
      </c>
      <c r="M83" s="334" t="s">
        <v>3295</v>
      </c>
      <c r="N83" s="334" t="s">
        <v>4858</v>
      </c>
      <c r="O83" s="334" t="s">
        <v>10525</v>
      </c>
      <c r="P83" s="334" t="s">
        <v>10526</v>
      </c>
      <c r="Q83" s="334" t="s">
        <v>4226</v>
      </c>
      <c r="R83" s="334" t="s">
        <v>9852</v>
      </c>
      <c r="S83" s="334" t="s">
        <v>10015</v>
      </c>
      <c r="T83" s="334" t="s">
        <v>5066</v>
      </c>
      <c r="U83" s="334" t="s">
        <v>10527</v>
      </c>
      <c r="V83" s="334" t="s">
        <v>10528</v>
      </c>
      <c r="W83" s="334" t="s">
        <v>10529</v>
      </c>
      <c r="X83" s="334" t="s">
        <v>10530</v>
      </c>
      <c r="Y83" s="334" t="s">
        <v>6602</v>
      </c>
      <c r="Z83" s="334" t="s">
        <v>10392</v>
      </c>
      <c r="AA83" s="334" t="s">
        <v>1868</v>
      </c>
      <c r="AB83" s="334" t="s">
        <v>10531</v>
      </c>
      <c r="AC83" s="334" t="s">
        <v>1541</v>
      </c>
      <c r="AD83" s="334" t="s">
        <v>10532</v>
      </c>
      <c r="AE83" s="334" t="s">
        <v>1541</v>
      </c>
      <c r="AF83" s="334" t="s">
        <v>10533</v>
      </c>
      <c r="AG83" s="334" t="s">
        <v>10170</v>
      </c>
      <c r="AH83" s="334" t="s">
        <v>2112</v>
      </c>
      <c r="AI83" s="334" t="s">
        <v>3365</v>
      </c>
      <c r="AJ83" s="334" t="s">
        <v>10534</v>
      </c>
      <c r="AK83" s="334" t="s">
        <v>8048</v>
      </c>
      <c r="AL83" s="334" t="s">
        <v>10535</v>
      </c>
      <c r="AM83" s="334" t="s">
        <v>1189</v>
      </c>
      <c r="AN83" s="334" t="s">
        <v>3003</v>
      </c>
      <c r="AO83" s="334" t="s">
        <v>10536</v>
      </c>
      <c r="AP83" s="334" t="s">
        <v>3656</v>
      </c>
      <c r="AQ83" s="334" t="s">
        <v>10537</v>
      </c>
      <c r="AR83" s="334" t="s">
        <v>5726</v>
      </c>
      <c r="AS83" s="334" t="s">
        <v>9474</v>
      </c>
      <c r="AT83" s="334" t="s">
        <v>9559</v>
      </c>
      <c r="AU83" s="334" t="s">
        <v>10538</v>
      </c>
      <c r="AV83" s="1421" t="str">
        <f t="shared" si="1"/>
        <v>3:40</v>
      </c>
      <c r="AW83" s="1658" t="s">
        <v>10539</v>
      </c>
    </row>
    <row r="84" ht="15.75" customHeight="1">
      <c r="A84" s="1607" t="s">
        <v>10540</v>
      </c>
      <c r="B84" s="1502" t="s">
        <v>8825</v>
      </c>
      <c r="C84" s="1626">
        <v>0.05263888888888889</v>
      </c>
      <c r="D84" s="950" t="s">
        <v>10541</v>
      </c>
      <c r="E84" s="334" t="s">
        <v>7546</v>
      </c>
      <c r="F84" s="334" t="s">
        <v>10542</v>
      </c>
      <c r="G84" s="334" t="s">
        <v>10543</v>
      </c>
      <c r="H84" s="334" t="s">
        <v>10544</v>
      </c>
      <c r="I84" s="334" t="s">
        <v>10545</v>
      </c>
      <c r="J84" s="334" t="s">
        <v>9430</v>
      </c>
      <c r="K84" s="334" t="s">
        <v>4145</v>
      </c>
      <c r="L84" s="334" t="s">
        <v>4218</v>
      </c>
      <c r="M84" s="334" t="s">
        <v>9578</v>
      </c>
      <c r="N84" s="334" t="s">
        <v>10546</v>
      </c>
      <c r="O84" s="334" t="s">
        <v>8868</v>
      </c>
      <c r="P84" s="334" t="s">
        <v>484</v>
      </c>
      <c r="Q84" s="334" t="s">
        <v>10547</v>
      </c>
      <c r="R84" s="334" t="s">
        <v>5535</v>
      </c>
      <c r="S84" s="334" t="s">
        <v>6555</v>
      </c>
      <c r="T84" s="334" t="s">
        <v>10548</v>
      </c>
      <c r="U84" s="334" t="s">
        <v>10549</v>
      </c>
      <c r="V84" s="334" t="s">
        <v>10550</v>
      </c>
      <c r="W84" s="334" t="s">
        <v>10551</v>
      </c>
      <c r="X84" s="334" t="s">
        <v>5872</v>
      </c>
      <c r="Y84" s="334" t="s">
        <v>1541</v>
      </c>
      <c r="Z84" s="334" t="s">
        <v>7477</v>
      </c>
      <c r="AA84" s="1606" t="s">
        <v>6500</v>
      </c>
      <c r="AB84" s="334" t="s">
        <v>9473</v>
      </c>
      <c r="AC84" s="334" t="s">
        <v>10286</v>
      </c>
      <c r="AD84" s="334" t="s">
        <v>3040</v>
      </c>
      <c r="AE84" s="334" t="s">
        <v>4781</v>
      </c>
      <c r="AF84" s="334" t="s">
        <v>10552</v>
      </c>
      <c r="AG84" s="334" t="s">
        <v>2883</v>
      </c>
      <c r="AH84" s="334" t="s">
        <v>7651</v>
      </c>
      <c r="AI84" s="334" t="s">
        <v>10553</v>
      </c>
      <c r="AJ84" s="334" t="s">
        <v>10554</v>
      </c>
      <c r="AK84" s="334" t="s">
        <v>9900</v>
      </c>
      <c r="AL84" s="334" t="s">
        <v>10555</v>
      </c>
      <c r="AM84" s="334" t="s">
        <v>10556</v>
      </c>
      <c r="AN84" s="334" t="s">
        <v>3959</v>
      </c>
      <c r="AO84" s="334" t="s">
        <v>9247</v>
      </c>
      <c r="AP84" s="334" t="s">
        <v>10557</v>
      </c>
      <c r="AQ84" s="334" t="s">
        <v>10558</v>
      </c>
      <c r="AR84" s="334" t="s">
        <v>1383</v>
      </c>
      <c r="AS84" s="334" t="s">
        <v>1087</v>
      </c>
      <c r="AT84" s="334" t="s">
        <v>10559</v>
      </c>
      <c r="AU84" s="334" t="s">
        <v>10560</v>
      </c>
      <c r="AV84" s="1421" t="str">
        <f t="shared" si="1"/>
        <v>4:28</v>
      </c>
      <c r="AW84" s="1658" t="s">
        <v>10561</v>
      </c>
    </row>
    <row r="85">
      <c r="A85" s="1557" t="s">
        <v>3620</v>
      </c>
      <c r="B85" s="1633" t="s">
        <v>8879</v>
      </c>
      <c r="C85" s="1503">
        <v>0.052662037037037035</v>
      </c>
      <c r="D85" s="950" t="s">
        <v>10562</v>
      </c>
      <c r="E85" s="950" t="s">
        <v>534</v>
      </c>
      <c r="F85" s="950" t="s">
        <v>10563</v>
      </c>
      <c r="G85" s="950" t="s">
        <v>10564</v>
      </c>
      <c r="H85" s="950" t="s">
        <v>9086</v>
      </c>
      <c r="I85" s="950" t="s">
        <v>10565</v>
      </c>
      <c r="J85" s="950" t="s">
        <v>1595</v>
      </c>
      <c r="K85" s="950" t="s">
        <v>10566</v>
      </c>
      <c r="L85" s="950" t="s">
        <v>2876</v>
      </c>
      <c r="M85" s="950" t="s">
        <v>272</v>
      </c>
      <c r="N85" s="950" t="s">
        <v>9372</v>
      </c>
      <c r="O85" s="950" t="s">
        <v>10567</v>
      </c>
      <c r="P85" s="950" t="s">
        <v>10568</v>
      </c>
      <c r="Q85" s="950" t="s">
        <v>3468</v>
      </c>
      <c r="R85" s="950" t="s">
        <v>10569</v>
      </c>
      <c r="S85" s="950" t="s">
        <v>6135</v>
      </c>
      <c r="T85" s="950" t="s">
        <v>10570</v>
      </c>
      <c r="U85" s="950" t="s">
        <v>10571</v>
      </c>
      <c r="V85" s="950" t="s">
        <v>10572</v>
      </c>
      <c r="W85" s="950" t="s">
        <v>10573</v>
      </c>
      <c r="X85" s="950" t="s">
        <v>2740</v>
      </c>
      <c r="Y85" s="950" t="s">
        <v>2834</v>
      </c>
      <c r="Z85" s="950" t="s">
        <v>6420</v>
      </c>
      <c r="AA85" s="1606" t="s">
        <v>10574</v>
      </c>
      <c r="AB85" s="950" t="s">
        <v>10575</v>
      </c>
      <c r="AC85" s="950" t="s">
        <v>7490</v>
      </c>
      <c r="AD85" s="1668" t="s">
        <v>8898</v>
      </c>
      <c r="AE85" s="950" t="s">
        <v>337</v>
      </c>
      <c r="AF85" s="950" t="s">
        <v>10576</v>
      </c>
      <c r="AG85" s="950" t="s">
        <v>6981</v>
      </c>
      <c r="AH85" s="950" t="s">
        <v>3824</v>
      </c>
      <c r="AI85" s="950" t="s">
        <v>10577</v>
      </c>
      <c r="AJ85" s="950" t="s">
        <v>10578</v>
      </c>
      <c r="AK85" s="950" t="s">
        <v>10579</v>
      </c>
      <c r="AL85" s="950" t="s">
        <v>4601</v>
      </c>
      <c r="AM85" s="950" t="s">
        <v>5778</v>
      </c>
      <c r="AN85" s="1668" t="s">
        <v>8903</v>
      </c>
      <c r="AO85" s="950" t="s">
        <v>10580</v>
      </c>
      <c r="AP85" s="950" t="s">
        <v>10581</v>
      </c>
      <c r="AQ85" s="950" t="s">
        <v>10582</v>
      </c>
      <c r="AR85" s="950" t="s">
        <v>6088</v>
      </c>
      <c r="AS85" s="950" t="s">
        <v>7988</v>
      </c>
      <c r="AT85" s="950" t="s">
        <v>10583</v>
      </c>
      <c r="AU85" s="1669" t="s">
        <v>10584</v>
      </c>
      <c r="AV85" s="1421" t="str">
        <f t="shared" si="1"/>
        <v>4:43</v>
      </c>
      <c r="AW85" s="1640" t="s">
        <v>10585</v>
      </c>
    </row>
    <row r="86" ht="15.75" customHeight="1">
      <c r="A86" s="1557" t="s">
        <v>10586</v>
      </c>
      <c r="B86" s="1555" t="s">
        <v>8825</v>
      </c>
      <c r="C86" s="1503">
        <v>0.05267361111111111</v>
      </c>
      <c r="D86" s="1632" t="s">
        <v>9978</v>
      </c>
      <c r="E86" s="1606" t="s">
        <v>176</v>
      </c>
      <c r="F86" s="1606" t="s">
        <v>7006</v>
      </c>
      <c r="G86" s="1606" t="s">
        <v>10587</v>
      </c>
      <c r="H86" s="1606" t="s">
        <v>10588</v>
      </c>
      <c r="I86" s="1606" t="s">
        <v>5614</v>
      </c>
      <c r="J86" s="950" t="s">
        <v>10589</v>
      </c>
      <c r="K86" s="1606" t="s">
        <v>10590</v>
      </c>
      <c r="L86" s="1606" t="s">
        <v>3824</v>
      </c>
      <c r="M86" s="1606" t="s">
        <v>6963</v>
      </c>
      <c r="N86" s="1606" t="s">
        <v>10591</v>
      </c>
      <c r="O86" s="1606" t="s">
        <v>10592</v>
      </c>
      <c r="P86" s="1606" t="s">
        <v>9947</v>
      </c>
      <c r="Q86" s="1606" t="s">
        <v>10593</v>
      </c>
      <c r="R86" s="1606" t="s">
        <v>5631</v>
      </c>
      <c r="S86" s="1606" t="s">
        <v>6999</v>
      </c>
      <c r="T86" s="1606" t="s">
        <v>10594</v>
      </c>
      <c r="U86" s="1606" t="s">
        <v>10595</v>
      </c>
      <c r="V86" s="1606" t="s">
        <v>3883</v>
      </c>
      <c r="W86" s="1606" t="s">
        <v>10596</v>
      </c>
      <c r="X86" s="1606" t="s">
        <v>2412</v>
      </c>
      <c r="Y86" s="1606" t="s">
        <v>9542</v>
      </c>
      <c r="Z86" s="1606" t="s">
        <v>9060</v>
      </c>
      <c r="AA86" s="1606" t="s">
        <v>10597</v>
      </c>
      <c r="AB86" s="1606" t="s">
        <v>10162</v>
      </c>
      <c r="AC86" s="1606" t="s">
        <v>9409</v>
      </c>
      <c r="AD86" s="1606" t="s">
        <v>10598</v>
      </c>
      <c r="AE86" s="1606" t="s">
        <v>2382</v>
      </c>
      <c r="AF86" s="1606" t="s">
        <v>10599</v>
      </c>
      <c r="AG86" s="1606" t="s">
        <v>10600</v>
      </c>
      <c r="AH86" s="1606" t="s">
        <v>4218</v>
      </c>
      <c r="AI86" s="1606" t="s">
        <v>10601</v>
      </c>
      <c r="AJ86" s="1606" t="s">
        <v>10602</v>
      </c>
      <c r="AK86" s="1606" t="s">
        <v>1689</v>
      </c>
      <c r="AL86" s="1606" t="s">
        <v>2600</v>
      </c>
      <c r="AM86" s="1606" t="s">
        <v>1689</v>
      </c>
      <c r="AN86" s="1606" t="s">
        <v>2600</v>
      </c>
      <c r="AO86" s="1606" t="s">
        <v>6263</v>
      </c>
      <c r="AP86" s="1606" t="s">
        <v>10603</v>
      </c>
      <c r="AQ86" s="1606" t="s">
        <v>2205</v>
      </c>
      <c r="AR86" s="1606" t="s">
        <v>10415</v>
      </c>
      <c r="AS86" s="1606" t="s">
        <v>10604</v>
      </c>
      <c r="AT86" s="1606" t="s">
        <v>10605</v>
      </c>
      <c r="AU86" s="1606" t="s">
        <v>10606</v>
      </c>
      <c r="AV86" s="1421" t="str">
        <f t="shared" si="1"/>
        <v>5:58</v>
      </c>
      <c r="AW86" s="1655" t="s">
        <v>10607</v>
      </c>
    </row>
    <row r="87" ht="15.75" customHeight="1">
      <c r="A87" s="1501" t="s">
        <v>6108</v>
      </c>
      <c r="B87" s="1590" t="s">
        <v>8853</v>
      </c>
      <c r="C87" s="1626">
        <v>0.05275462962962963</v>
      </c>
      <c r="D87" s="950" t="s">
        <v>10608</v>
      </c>
      <c r="E87" s="334" t="s">
        <v>6012</v>
      </c>
      <c r="F87" s="334" t="s">
        <v>10609</v>
      </c>
      <c r="G87" s="334" t="s">
        <v>9024</v>
      </c>
      <c r="H87" s="334" t="s">
        <v>6779</v>
      </c>
      <c r="I87" s="334" t="s">
        <v>2282</v>
      </c>
      <c r="J87" s="334" t="s">
        <v>4159</v>
      </c>
      <c r="K87" s="334" t="s">
        <v>10306</v>
      </c>
      <c r="L87" s="334" t="s">
        <v>5321</v>
      </c>
      <c r="M87" s="334" t="s">
        <v>4144</v>
      </c>
      <c r="N87" s="334" t="s">
        <v>10610</v>
      </c>
      <c r="O87" s="334" t="s">
        <v>10611</v>
      </c>
      <c r="P87" s="334" t="s">
        <v>6373</v>
      </c>
      <c r="Q87" s="334" t="s">
        <v>10612</v>
      </c>
      <c r="R87" s="334" t="s">
        <v>10613</v>
      </c>
      <c r="S87" s="334" t="s">
        <v>8842</v>
      </c>
      <c r="T87" s="334" t="s">
        <v>2605</v>
      </c>
      <c r="U87" s="334" t="s">
        <v>499</v>
      </c>
      <c r="V87" s="334" t="s">
        <v>10614</v>
      </c>
      <c r="W87" s="334" t="s">
        <v>10615</v>
      </c>
      <c r="X87" s="334" t="s">
        <v>9028</v>
      </c>
      <c r="Y87" s="334" t="s">
        <v>5791</v>
      </c>
      <c r="Z87" s="334" t="s">
        <v>9199</v>
      </c>
      <c r="AA87" s="334" t="s">
        <v>10616</v>
      </c>
      <c r="AB87" s="334" t="s">
        <v>492</v>
      </c>
      <c r="AC87" s="334" t="s">
        <v>9106</v>
      </c>
      <c r="AD87" s="334" t="s">
        <v>10617</v>
      </c>
      <c r="AE87" s="334" t="s">
        <v>10618</v>
      </c>
      <c r="AF87" s="334" t="s">
        <v>9704</v>
      </c>
      <c r="AG87" s="334" t="s">
        <v>7933</v>
      </c>
      <c r="AH87" s="334" t="s">
        <v>724</v>
      </c>
      <c r="AI87" s="334" t="s">
        <v>5350</v>
      </c>
      <c r="AJ87" s="334" t="s">
        <v>10619</v>
      </c>
      <c r="AK87" s="334" t="s">
        <v>9163</v>
      </c>
      <c r="AL87" s="334" t="s">
        <v>5281</v>
      </c>
      <c r="AM87" s="334" t="s">
        <v>2769</v>
      </c>
      <c r="AN87" s="334" t="s">
        <v>6568</v>
      </c>
      <c r="AO87" s="334" t="s">
        <v>6274</v>
      </c>
      <c r="AP87" s="334" t="s">
        <v>10620</v>
      </c>
      <c r="AQ87" s="334" t="s">
        <v>10621</v>
      </c>
      <c r="AR87" s="334" t="s">
        <v>10243</v>
      </c>
      <c r="AS87" s="334" t="s">
        <v>9208</v>
      </c>
      <c r="AT87" s="334" t="s">
        <v>10622</v>
      </c>
      <c r="AU87" s="334" t="s">
        <v>10623</v>
      </c>
      <c r="AV87" s="1421" t="str">
        <f t="shared" si="1"/>
        <v>3:59</v>
      </c>
      <c r="AW87" s="1659" t="s">
        <v>10624</v>
      </c>
    </row>
    <row r="88" ht="15.75" customHeight="1">
      <c r="A88" s="1607" t="s">
        <v>10625</v>
      </c>
      <c r="B88" s="1645" t="s">
        <v>8879</v>
      </c>
      <c r="C88" s="1626">
        <v>0.05291666666666667</v>
      </c>
      <c r="D88" s="950" t="s">
        <v>10626</v>
      </c>
      <c r="E88" s="334" t="s">
        <v>10627</v>
      </c>
      <c r="F88" s="334" t="s">
        <v>5921</v>
      </c>
      <c r="G88" s="334" t="s">
        <v>9839</v>
      </c>
      <c r="H88" s="334" t="s">
        <v>10181</v>
      </c>
      <c r="I88" s="334" t="s">
        <v>3114</v>
      </c>
      <c r="J88" s="334" t="s">
        <v>10628</v>
      </c>
      <c r="K88" s="334" t="s">
        <v>5447</v>
      </c>
      <c r="L88" s="334" t="s">
        <v>7320</v>
      </c>
      <c r="M88" s="334" t="s">
        <v>10629</v>
      </c>
      <c r="N88" s="334" t="s">
        <v>10630</v>
      </c>
      <c r="O88" s="334" t="s">
        <v>10631</v>
      </c>
      <c r="P88" s="334" t="s">
        <v>10051</v>
      </c>
      <c r="Q88" s="334" t="s">
        <v>10632</v>
      </c>
      <c r="R88" s="334" t="s">
        <v>5946</v>
      </c>
      <c r="S88" s="334" t="s">
        <v>4586</v>
      </c>
      <c r="T88" s="334" t="s">
        <v>9212</v>
      </c>
      <c r="U88" s="334" t="s">
        <v>5522</v>
      </c>
      <c r="V88" s="334" t="s">
        <v>1147</v>
      </c>
      <c r="W88" s="334" t="s">
        <v>1831</v>
      </c>
      <c r="X88" s="334" t="s">
        <v>3358</v>
      </c>
      <c r="Y88" s="334" t="s">
        <v>661</v>
      </c>
      <c r="Z88" s="334" t="s">
        <v>10633</v>
      </c>
      <c r="AA88" s="1606" t="s">
        <v>7247</v>
      </c>
      <c r="AB88" s="334" t="s">
        <v>3673</v>
      </c>
      <c r="AC88" s="334" t="s">
        <v>2445</v>
      </c>
      <c r="AD88" s="334" t="s">
        <v>10634</v>
      </c>
      <c r="AE88" s="334" t="s">
        <v>10635</v>
      </c>
      <c r="AF88" s="334" t="s">
        <v>10636</v>
      </c>
      <c r="AG88" s="334" t="s">
        <v>2801</v>
      </c>
      <c r="AH88" s="334" t="s">
        <v>9875</v>
      </c>
      <c r="AI88" s="334" t="s">
        <v>10637</v>
      </c>
      <c r="AJ88" s="334" t="s">
        <v>10638</v>
      </c>
      <c r="AK88" s="334" t="s">
        <v>10639</v>
      </c>
      <c r="AL88" s="334" t="s">
        <v>1662</v>
      </c>
      <c r="AM88" s="334" t="s">
        <v>2549</v>
      </c>
      <c r="AN88" s="334" t="s">
        <v>8950</v>
      </c>
      <c r="AO88" s="334" t="s">
        <v>10640</v>
      </c>
      <c r="AP88" s="334" t="s">
        <v>8676</v>
      </c>
      <c r="AQ88" s="334" t="s">
        <v>10641</v>
      </c>
      <c r="AR88" s="334" t="s">
        <v>10548</v>
      </c>
      <c r="AS88" s="334" t="s">
        <v>4363</v>
      </c>
      <c r="AT88" s="334" t="s">
        <v>10642</v>
      </c>
      <c r="AU88" s="334" t="s">
        <v>10643</v>
      </c>
      <c r="AV88" s="1421" t="str">
        <f t="shared" si="1"/>
        <v>2:38</v>
      </c>
      <c r="AW88" s="1659"/>
    </row>
    <row r="89" ht="15.75" customHeight="1">
      <c r="A89" s="1557" t="s">
        <v>6439</v>
      </c>
      <c r="B89" s="1545" t="s">
        <v>8825</v>
      </c>
      <c r="C89" s="1503">
        <v>0.05324074074074074</v>
      </c>
      <c r="D89" s="950" t="s">
        <v>10644</v>
      </c>
      <c r="E89" s="950" t="s">
        <v>10645</v>
      </c>
      <c r="F89" s="950" t="s">
        <v>10646</v>
      </c>
      <c r="G89" s="950" t="s">
        <v>9584</v>
      </c>
      <c r="H89" s="950" t="s">
        <v>10647</v>
      </c>
      <c r="I89" s="950" t="s">
        <v>6137</v>
      </c>
      <c r="J89" s="950" t="s">
        <v>1794</v>
      </c>
      <c r="K89" s="950" t="s">
        <v>4280</v>
      </c>
      <c r="L89" s="950" t="s">
        <v>10648</v>
      </c>
      <c r="M89" s="950" t="s">
        <v>10649</v>
      </c>
      <c r="N89" s="950" t="s">
        <v>10650</v>
      </c>
      <c r="O89" s="950" t="s">
        <v>10651</v>
      </c>
      <c r="P89" s="950" t="s">
        <v>10652</v>
      </c>
      <c r="Q89" s="950" t="s">
        <v>10653</v>
      </c>
      <c r="R89" s="950" t="s">
        <v>10654</v>
      </c>
      <c r="S89" s="950" t="s">
        <v>10530</v>
      </c>
      <c r="T89" s="950" t="s">
        <v>10655</v>
      </c>
      <c r="U89" s="950" t="s">
        <v>10656</v>
      </c>
      <c r="V89" s="950" t="s">
        <v>2895</v>
      </c>
      <c r="W89" s="950" t="s">
        <v>10657</v>
      </c>
      <c r="X89" s="950" t="s">
        <v>10658</v>
      </c>
      <c r="Y89" s="950" t="s">
        <v>5614</v>
      </c>
      <c r="Z89" s="950" t="s">
        <v>3570</v>
      </c>
      <c r="AA89" s="1606" t="s">
        <v>10659</v>
      </c>
      <c r="AB89" s="950" t="s">
        <v>9984</v>
      </c>
      <c r="AC89" s="950" t="s">
        <v>5534</v>
      </c>
      <c r="AD89" s="950" t="s">
        <v>10660</v>
      </c>
      <c r="AE89" s="950" t="s">
        <v>9775</v>
      </c>
      <c r="AF89" s="950" t="s">
        <v>10661</v>
      </c>
      <c r="AG89" s="950" t="s">
        <v>10471</v>
      </c>
      <c r="AH89" s="950" t="s">
        <v>5781</v>
      </c>
      <c r="AI89" s="950" t="s">
        <v>10662</v>
      </c>
      <c r="AJ89" s="950" t="s">
        <v>10663</v>
      </c>
      <c r="AK89" s="1606" t="s">
        <v>10664</v>
      </c>
      <c r="AL89" s="950" t="s">
        <v>10289</v>
      </c>
      <c r="AM89" s="950" t="s">
        <v>10665</v>
      </c>
      <c r="AN89" s="950" t="s">
        <v>10130</v>
      </c>
      <c r="AO89" s="950" t="s">
        <v>4535</v>
      </c>
      <c r="AP89" s="950" t="s">
        <v>10666</v>
      </c>
      <c r="AQ89" s="950" t="s">
        <v>10667</v>
      </c>
      <c r="AR89" s="1606" t="s">
        <v>3823</v>
      </c>
      <c r="AS89" s="950" t="s">
        <v>10668</v>
      </c>
      <c r="AT89" s="950" t="s">
        <v>10669</v>
      </c>
      <c r="AU89" s="1606" t="s">
        <v>10584</v>
      </c>
      <c r="AV89" s="1421" t="str">
        <f t="shared" si="1"/>
        <v>3:53</v>
      </c>
      <c r="AW89" s="1655" t="s">
        <v>10670</v>
      </c>
    </row>
    <row r="90">
      <c r="A90" s="1557" t="s">
        <v>4794</v>
      </c>
      <c r="B90" s="1555" t="s">
        <v>8879</v>
      </c>
      <c r="C90" s="1503">
        <v>0.05331018518518518</v>
      </c>
      <c r="D90" s="1606" t="s">
        <v>10671</v>
      </c>
      <c r="E90" s="1606" t="s">
        <v>7423</v>
      </c>
      <c r="F90" s="1606" t="s">
        <v>10446</v>
      </c>
      <c r="G90" s="1606" t="s">
        <v>10672</v>
      </c>
      <c r="H90" s="950" t="s">
        <v>10673</v>
      </c>
      <c r="I90" s="1606" t="s">
        <v>10674</v>
      </c>
      <c r="J90" s="1606" t="s">
        <v>10221</v>
      </c>
      <c r="K90" s="1606" t="s">
        <v>9020</v>
      </c>
      <c r="L90" s="1606" t="s">
        <v>4469</v>
      </c>
      <c r="M90" s="1606" t="s">
        <v>10675</v>
      </c>
      <c r="N90" s="1606" t="s">
        <v>10013</v>
      </c>
      <c r="O90" s="1606" t="s">
        <v>10676</v>
      </c>
      <c r="P90" s="1606" t="s">
        <v>6323</v>
      </c>
      <c r="Q90" s="1606" t="s">
        <v>10677</v>
      </c>
      <c r="R90" s="1606" t="s">
        <v>2148</v>
      </c>
      <c r="S90" s="1606" t="s">
        <v>7282</v>
      </c>
      <c r="T90" s="1606" t="s">
        <v>6761</v>
      </c>
      <c r="U90" s="1606" t="s">
        <v>10678</v>
      </c>
      <c r="V90" s="1606" t="s">
        <v>10203</v>
      </c>
      <c r="W90" s="1606" t="s">
        <v>10679</v>
      </c>
      <c r="X90" s="1606" t="s">
        <v>7934</v>
      </c>
      <c r="Y90" s="1606" t="s">
        <v>5462</v>
      </c>
      <c r="Z90" s="1606" t="s">
        <v>10015</v>
      </c>
      <c r="AA90" s="1606" t="s">
        <v>10680</v>
      </c>
      <c r="AB90" s="1606" t="s">
        <v>3562</v>
      </c>
      <c r="AC90" s="1606" t="s">
        <v>10681</v>
      </c>
      <c r="AD90" s="1606" t="s">
        <v>10682</v>
      </c>
      <c r="AE90" s="1606" t="s">
        <v>5791</v>
      </c>
      <c r="AF90" s="1606" t="s">
        <v>10683</v>
      </c>
      <c r="AG90" s="1606" t="s">
        <v>9332</v>
      </c>
      <c r="AH90" s="1606" t="s">
        <v>10684</v>
      </c>
      <c r="AI90" s="1606" t="s">
        <v>10685</v>
      </c>
      <c r="AJ90" s="1606" t="s">
        <v>10686</v>
      </c>
      <c r="AK90" s="1606" t="s">
        <v>2227</v>
      </c>
      <c r="AL90" s="1606" t="s">
        <v>2196</v>
      </c>
      <c r="AM90" s="1606" t="s">
        <v>10687</v>
      </c>
      <c r="AN90" s="1606" t="s">
        <v>4676</v>
      </c>
      <c r="AO90" s="1606" t="s">
        <v>10688</v>
      </c>
      <c r="AP90" s="1606" t="s">
        <v>2746</v>
      </c>
      <c r="AQ90" s="1606" t="s">
        <v>10689</v>
      </c>
      <c r="AR90" s="1606" t="s">
        <v>1675</v>
      </c>
      <c r="AS90" s="1606" t="s">
        <v>973</v>
      </c>
      <c r="AT90" s="1606" t="s">
        <v>10690</v>
      </c>
      <c r="AU90" s="1606" t="s">
        <v>10691</v>
      </c>
      <c r="AV90" s="1421" t="str">
        <f t="shared" si="1"/>
        <v>4:18</v>
      </c>
      <c r="AW90" s="1659"/>
    </row>
    <row r="91" ht="15.75" customHeight="1">
      <c r="A91" s="1607" t="s">
        <v>10692</v>
      </c>
      <c r="B91" s="1645" t="s">
        <v>8879</v>
      </c>
      <c r="C91" s="1503">
        <v>0.05348379629629629</v>
      </c>
      <c r="D91" s="950" t="s">
        <v>10693</v>
      </c>
      <c r="E91" s="334" t="s">
        <v>10481</v>
      </c>
      <c r="F91" s="334" t="s">
        <v>6567</v>
      </c>
      <c r="G91" s="334" t="s">
        <v>10694</v>
      </c>
      <c r="H91" s="334" t="s">
        <v>10695</v>
      </c>
      <c r="I91" s="334" t="s">
        <v>2348</v>
      </c>
      <c r="J91" s="334" t="s">
        <v>9386</v>
      </c>
      <c r="K91" s="334" t="s">
        <v>8891</v>
      </c>
      <c r="L91" s="334" t="s">
        <v>4856</v>
      </c>
      <c r="M91" s="334" t="s">
        <v>10696</v>
      </c>
      <c r="N91" s="334" t="s">
        <v>10697</v>
      </c>
      <c r="O91" s="334" t="s">
        <v>4325</v>
      </c>
      <c r="P91" s="334" t="s">
        <v>927</v>
      </c>
      <c r="Q91" s="1606" t="s">
        <v>10698</v>
      </c>
      <c r="R91" s="334" t="s">
        <v>10266</v>
      </c>
      <c r="S91" s="334" t="s">
        <v>9613</v>
      </c>
      <c r="T91" s="334" t="s">
        <v>10453</v>
      </c>
      <c r="U91" s="334" t="s">
        <v>10699</v>
      </c>
      <c r="V91" s="334" t="s">
        <v>3223</v>
      </c>
      <c r="W91" s="334" t="s">
        <v>2810</v>
      </c>
      <c r="X91" s="334" t="s">
        <v>3139</v>
      </c>
      <c r="Y91" s="334" t="s">
        <v>1429</v>
      </c>
      <c r="Z91" s="334" t="s">
        <v>9286</v>
      </c>
      <c r="AA91" s="1606" t="s">
        <v>10700</v>
      </c>
      <c r="AB91" s="334" t="s">
        <v>10024</v>
      </c>
      <c r="AC91" s="334" t="s">
        <v>1154</v>
      </c>
      <c r="AD91" s="334" t="s">
        <v>10701</v>
      </c>
      <c r="AE91" s="334" t="s">
        <v>587</v>
      </c>
      <c r="AF91" s="1606" t="s">
        <v>10702</v>
      </c>
      <c r="AG91" s="334" t="s">
        <v>5857</v>
      </c>
      <c r="AH91" s="334" t="s">
        <v>9485</v>
      </c>
      <c r="AI91" s="334" t="s">
        <v>2630</v>
      </c>
      <c r="AJ91" s="334" t="s">
        <v>10703</v>
      </c>
      <c r="AK91" s="334" t="s">
        <v>9300</v>
      </c>
      <c r="AL91" s="334" t="s">
        <v>10704</v>
      </c>
      <c r="AM91" s="334" t="s">
        <v>9073</v>
      </c>
      <c r="AN91" s="334" t="s">
        <v>10289</v>
      </c>
      <c r="AO91" s="334" t="s">
        <v>8999</v>
      </c>
      <c r="AP91" s="334" t="s">
        <v>10705</v>
      </c>
      <c r="AQ91" s="334" t="s">
        <v>4459</v>
      </c>
      <c r="AR91" s="334" t="s">
        <v>1383</v>
      </c>
      <c r="AS91" s="334" t="s">
        <v>9082</v>
      </c>
      <c r="AT91" s="334" t="s">
        <v>4706</v>
      </c>
      <c r="AU91" s="334" t="s">
        <v>10706</v>
      </c>
      <c r="AV91" s="1421" t="str">
        <f t="shared" si="1"/>
        <v>3:27</v>
      </c>
      <c r="AW91" s="1655" t="s">
        <v>10707</v>
      </c>
    </row>
    <row r="92">
      <c r="A92" s="1557" t="s">
        <v>5402</v>
      </c>
      <c r="B92" s="1545" t="s">
        <v>8825</v>
      </c>
      <c r="C92" s="1503">
        <v>0.05376157407407407</v>
      </c>
      <c r="D92" s="1606" t="s">
        <v>10708</v>
      </c>
      <c r="E92" s="1606" t="s">
        <v>5728</v>
      </c>
      <c r="F92" s="1606" t="s">
        <v>10709</v>
      </c>
      <c r="G92" s="1606" t="s">
        <v>10710</v>
      </c>
      <c r="H92" s="1670" t="s">
        <v>10711</v>
      </c>
      <c r="I92" s="950" t="s">
        <v>241</v>
      </c>
      <c r="J92" s="1606" t="s">
        <v>9900</v>
      </c>
      <c r="K92" s="1606" t="s">
        <v>10712</v>
      </c>
      <c r="L92" s="1606" t="s">
        <v>2514</v>
      </c>
      <c r="M92" s="1606" t="s">
        <v>1260</v>
      </c>
      <c r="N92" s="1606" t="s">
        <v>10713</v>
      </c>
      <c r="O92" s="1606" t="s">
        <v>10714</v>
      </c>
      <c r="P92" s="1606" t="s">
        <v>863</v>
      </c>
      <c r="Q92" s="1606" t="s">
        <v>4400</v>
      </c>
      <c r="R92" s="1606" t="s">
        <v>10715</v>
      </c>
      <c r="S92" s="1671" t="s">
        <v>10716</v>
      </c>
      <c r="T92" s="1671" t="s">
        <v>9451</v>
      </c>
      <c r="U92" s="1606" t="s">
        <v>10717</v>
      </c>
      <c r="V92" s="1606" t="s">
        <v>10718</v>
      </c>
      <c r="W92" s="1606" t="s">
        <v>7095</v>
      </c>
      <c r="X92" s="1606" t="s">
        <v>10719</v>
      </c>
      <c r="Y92" s="1606" t="s">
        <v>2123</v>
      </c>
      <c r="Z92" s="1606" t="s">
        <v>10024</v>
      </c>
      <c r="AA92" s="1606" t="s">
        <v>10720</v>
      </c>
      <c r="AB92" s="1606" t="s">
        <v>10721</v>
      </c>
      <c r="AC92" s="1606" t="s">
        <v>7201</v>
      </c>
      <c r="AD92" s="1606" t="s">
        <v>6079</v>
      </c>
      <c r="AE92" s="1606" t="s">
        <v>2445</v>
      </c>
      <c r="AF92" s="1606" t="s">
        <v>10722</v>
      </c>
      <c r="AG92" s="1606" t="s">
        <v>10723</v>
      </c>
      <c r="AH92" s="1606" t="s">
        <v>5005</v>
      </c>
      <c r="AI92" s="1606" t="s">
        <v>7052</v>
      </c>
      <c r="AJ92" s="1606" t="s">
        <v>10724</v>
      </c>
      <c r="AK92" s="1606" t="s">
        <v>4848</v>
      </c>
      <c r="AL92" s="1606" t="s">
        <v>10725</v>
      </c>
      <c r="AM92" s="1606" t="s">
        <v>4859</v>
      </c>
      <c r="AN92" s="1606" t="s">
        <v>10726</v>
      </c>
      <c r="AO92" s="1606" t="s">
        <v>8930</v>
      </c>
      <c r="AP92" s="1606" t="s">
        <v>10727</v>
      </c>
      <c r="AQ92" s="1606" t="s">
        <v>10728</v>
      </c>
      <c r="AR92" s="1606" t="s">
        <v>5186</v>
      </c>
      <c r="AS92" s="1606" t="s">
        <v>9053</v>
      </c>
      <c r="AT92" s="1606" t="s">
        <v>10729</v>
      </c>
      <c r="AU92" s="1606" t="s">
        <v>10730</v>
      </c>
      <c r="AV92" s="1421" t="str">
        <f t="shared" si="1"/>
        <v>4:58</v>
      </c>
      <c r="AW92" s="1672"/>
    </row>
    <row r="93" ht="15.75" customHeight="1">
      <c r="A93" s="1607" t="s">
        <v>6604</v>
      </c>
      <c r="B93" s="1645" t="s">
        <v>8879</v>
      </c>
      <c r="C93" s="1626">
        <v>0.05386574074074074</v>
      </c>
      <c r="D93" s="334" t="s">
        <v>10731</v>
      </c>
      <c r="E93" s="334" t="s">
        <v>6819</v>
      </c>
      <c r="F93" s="334" t="s">
        <v>10732</v>
      </c>
      <c r="G93" s="334" t="s">
        <v>4288</v>
      </c>
      <c r="H93" s="334" t="s">
        <v>10733</v>
      </c>
      <c r="I93" s="334" t="s">
        <v>10674</v>
      </c>
      <c r="J93" s="334" t="s">
        <v>10734</v>
      </c>
      <c r="K93" s="334" t="s">
        <v>10735</v>
      </c>
      <c r="L93" s="334" t="s">
        <v>1436</v>
      </c>
      <c r="M93" s="334" t="s">
        <v>4556</v>
      </c>
      <c r="N93" s="334" t="s">
        <v>6956</v>
      </c>
      <c r="O93" s="334" t="s">
        <v>10736</v>
      </c>
      <c r="P93" s="334" t="s">
        <v>6323</v>
      </c>
      <c r="Q93" s="334" t="s">
        <v>10737</v>
      </c>
      <c r="R93" s="334" t="s">
        <v>9429</v>
      </c>
      <c r="S93" s="334" t="s">
        <v>10738</v>
      </c>
      <c r="T93" s="334" t="s">
        <v>10004</v>
      </c>
      <c r="U93" s="334" t="s">
        <v>10739</v>
      </c>
      <c r="V93" s="334" t="s">
        <v>10740</v>
      </c>
      <c r="W93" s="334" t="s">
        <v>10741</v>
      </c>
      <c r="X93" s="334" t="s">
        <v>1332</v>
      </c>
      <c r="Y93" s="334" t="s">
        <v>1949</v>
      </c>
      <c r="Z93" s="334" t="s">
        <v>8864</v>
      </c>
      <c r="AA93" s="950" t="s">
        <v>10742</v>
      </c>
      <c r="AB93" s="334" t="s">
        <v>10743</v>
      </c>
      <c r="AC93" s="334" t="s">
        <v>8015</v>
      </c>
      <c r="AD93" s="334" t="s">
        <v>10744</v>
      </c>
      <c r="AE93" s="334" t="s">
        <v>10745</v>
      </c>
      <c r="AF93" s="334" t="s">
        <v>10334</v>
      </c>
      <c r="AG93" s="334" t="s">
        <v>10746</v>
      </c>
      <c r="AH93" s="334" t="s">
        <v>10747</v>
      </c>
      <c r="AI93" s="334" t="s">
        <v>3649</v>
      </c>
      <c r="AJ93" s="334" t="s">
        <v>10748</v>
      </c>
      <c r="AK93" s="334" t="s">
        <v>10749</v>
      </c>
      <c r="AL93" s="334" t="s">
        <v>10750</v>
      </c>
      <c r="AM93" s="334" t="s">
        <v>9993</v>
      </c>
      <c r="AN93" s="334" t="s">
        <v>9524</v>
      </c>
      <c r="AO93" s="1606" t="s">
        <v>9695</v>
      </c>
      <c r="AP93" s="334" t="s">
        <v>10751</v>
      </c>
      <c r="AQ93" s="334" t="s">
        <v>10752</v>
      </c>
      <c r="AR93" s="334" t="s">
        <v>10753</v>
      </c>
      <c r="AS93" s="334" t="s">
        <v>9292</v>
      </c>
      <c r="AT93" s="334" t="s">
        <v>10754</v>
      </c>
      <c r="AU93" s="334" t="s">
        <v>10691</v>
      </c>
      <c r="AV93" s="1421" t="str">
        <f t="shared" si="1"/>
        <v>3:30</v>
      </c>
      <c r="AW93" s="1659"/>
    </row>
    <row r="94">
      <c r="A94" s="1557" t="s">
        <v>5301</v>
      </c>
      <c r="B94" s="1545" t="s">
        <v>8879</v>
      </c>
      <c r="C94" s="1503">
        <v>0.05482638888888889</v>
      </c>
      <c r="D94" s="1632" t="s">
        <v>10755</v>
      </c>
      <c r="E94" s="1606" t="s">
        <v>9606</v>
      </c>
      <c r="F94" s="1606" t="s">
        <v>10756</v>
      </c>
      <c r="G94" s="1606" t="s">
        <v>10757</v>
      </c>
      <c r="H94" s="1606" t="s">
        <v>10758</v>
      </c>
      <c r="I94" s="1606" t="s">
        <v>10759</v>
      </c>
      <c r="J94" s="1606" t="s">
        <v>10760</v>
      </c>
      <c r="K94" s="1606" t="s">
        <v>10028</v>
      </c>
      <c r="L94" s="1606" t="s">
        <v>10761</v>
      </c>
      <c r="M94" s="1606" t="s">
        <v>1673</v>
      </c>
      <c r="N94" s="1606" t="s">
        <v>6509</v>
      </c>
      <c r="O94" s="1606" t="s">
        <v>10762</v>
      </c>
      <c r="P94" s="1606" t="s">
        <v>6602</v>
      </c>
      <c r="Q94" s="1606" t="s">
        <v>10763</v>
      </c>
      <c r="R94" s="1606" t="s">
        <v>8952</v>
      </c>
      <c r="S94" s="1606" t="s">
        <v>10764</v>
      </c>
      <c r="T94" s="1606" t="s">
        <v>10680</v>
      </c>
      <c r="U94" s="1606" t="s">
        <v>10765</v>
      </c>
      <c r="V94" s="1606" t="s">
        <v>842</v>
      </c>
      <c r="W94" s="1606" t="s">
        <v>6463</v>
      </c>
      <c r="X94" s="1606" t="s">
        <v>10766</v>
      </c>
      <c r="Y94" s="1606" t="s">
        <v>1767</v>
      </c>
      <c r="Z94" s="1606" t="s">
        <v>10044</v>
      </c>
      <c r="AA94" s="1606" t="s">
        <v>2388</v>
      </c>
      <c r="AB94" s="1606" t="s">
        <v>6933</v>
      </c>
      <c r="AC94" s="1606" t="s">
        <v>10767</v>
      </c>
      <c r="AD94" s="1606" t="s">
        <v>10768</v>
      </c>
      <c r="AE94" s="1606" t="s">
        <v>1541</v>
      </c>
      <c r="AF94" s="1606" t="s">
        <v>10769</v>
      </c>
      <c r="AG94" s="1606" t="s">
        <v>10770</v>
      </c>
      <c r="AH94" s="1606" t="s">
        <v>10771</v>
      </c>
      <c r="AI94" s="1606" t="s">
        <v>5835</v>
      </c>
      <c r="AJ94" s="1606" t="s">
        <v>10772</v>
      </c>
      <c r="AK94" s="1606" t="s">
        <v>248</v>
      </c>
      <c r="AL94" s="1606" t="s">
        <v>8100</v>
      </c>
      <c r="AM94" s="1606" t="s">
        <v>4292</v>
      </c>
      <c r="AN94" s="1606" t="s">
        <v>10773</v>
      </c>
      <c r="AO94" s="1606" t="s">
        <v>1794</v>
      </c>
      <c r="AP94" s="1606" t="s">
        <v>885</v>
      </c>
      <c r="AQ94" s="1606" t="s">
        <v>10774</v>
      </c>
      <c r="AR94" s="1606" t="s">
        <v>10775</v>
      </c>
      <c r="AS94" s="1606" t="s">
        <v>2222</v>
      </c>
      <c r="AT94" s="1606" t="s">
        <v>10776</v>
      </c>
      <c r="AU94" s="1606" t="s">
        <v>10777</v>
      </c>
      <c r="AV94" s="1421" t="str">
        <f t="shared" si="1"/>
        <v>3:40</v>
      </c>
      <c r="AW94" s="1655" t="s">
        <v>10778</v>
      </c>
    </row>
    <row r="95">
      <c r="A95" s="1557" t="s">
        <v>5237</v>
      </c>
      <c r="B95" s="1545" t="s">
        <v>8825</v>
      </c>
      <c r="C95" s="1503">
        <v>0.05482638888888889</v>
      </c>
      <c r="D95" s="1534" t="s">
        <v>10779</v>
      </c>
      <c r="E95" s="1534" t="s">
        <v>9461</v>
      </c>
      <c r="F95" s="1534" t="s">
        <v>10780</v>
      </c>
      <c r="G95" s="1534" t="s">
        <v>10781</v>
      </c>
      <c r="H95" s="1534" t="s">
        <v>10782</v>
      </c>
      <c r="I95" s="1534">
        <v>50.26</v>
      </c>
      <c r="J95" s="1534" t="s">
        <v>10760</v>
      </c>
      <c r="K95" s="1534" t="s">
        <v>10783</v>
      </c>
      <c r="L95" s="1534" t="s">
        <v>10784</v>
      </c>
      <c r="M95" s="1534" t="s">
        <v>2251</v>
      </c>
      <c r="N95" s="1534" t="s">
        <v>10785</v>
      </c>
      <c r="O95" s="1534" t="s">
        <v>10786</v>
      </c>
      <c r="P95" s="1534">
        <v>49.15</v>
      </c>
      <c r="Q95" s="1534" t="s">
        <v>10787</v>
      </c>
      <c r="R95" s="1534" t="s">
        <v>3397</v>
      </c>
      <c r="S95" s="1534" t="s">
        <v>10788</v>
      </c>
      <c r="T95" s="1534" t="s">
        <v>5066</v>
      </c>
      <c r="U95" s="1534" t="s">
        <v>3256</v>
      </c>
      <c r="V95" s="1534" t="s">
        <v>10789</v>
      </c>
      <c r="W95" s="1534" t="s">
        <v>10790</v>
      </c>
      <c r="X95" s="1534" t="s">
        <v>10791</v>
      </c>
      <c r="Y95" s="1534">
        <v>51.87</v>
      </c>
      <c r="Z95" s="1534" t="s">
        <v>6322</v>
      </c>
      <c r="AA95" s="1534" t="s">
        <v>6579</v>
      </c>
      <c r="AB95" s="1534" t="s">
        <v>6555</v>
      </c>
      <c r="AC95" s="1534">
        <v>49.75</v>
      </c>
      <c r="AD95" s="1534" t="s">
        <v>10792</v>
      </c>
      <c r="AE95" s="1534">
        <v>50.16</v>
      </c>
      <c r="AF95" s="1534" t="s">
        <v>10793</v>
      </c>
      <c r="AG95" s="1534" t="s">
        <v>10794</v>
      </c>
      <c r="AH95" s="1534" t="s">
        <v>6411</v>
      </c>
      <c r="AI95" s="1534" t="s">
        <v>6803</v>
      </c>
      <c r="AJ95" s="1534" t="s">
        <v>10795</v>
      </c>
      <c r="AK95" s="1534" t="s">
        <v>10713</v>
      </c>
      <c r="AL95" s="1534">
        <v>59.29</v>
      </c>
      <c r="AM95" s="1534" t="s">
        <v>4459</v>
      </c>
      <c r="AN95" s="1534" t="s">
        <v>625</v>
      </c>
      <c r="AO95" s="1534" t="s">
        <v>10796</v>
      </c>
      <c r="AP95" s="1534" t="s">
        <v>10797</v>
      </c>
      <c r="AQ95" s="1534" t="s">
        <v>10798</v>
      </c>
      <c r="AR95" s="1534" t="s">
        <v>6869</v>
      </c>
      <c r="AS95" s="1534">
        <v>47.7</v>
      </c>
      <c r="AT95" s="1534" t="s">
        <v>10799</v>
      </c>
      <c r="AU95" s="1538" t="s">
        <v>10800</v>
      </c>
      <c r="AV95" s="1421" t="str">
        <f t="shared" si="1"/>
        <v>5:51</v>
      </c>
      <c r="AW95" s="1640" t="s">
        <v>10801</v>
      </c>
    </row>
    <row r="96">
      <c r="A96" s="1557" t="s">
        <v>5491</v>
      </c>
      <c r="B96" s="1555" t="s">
        <v>8825</v>
      </c>
      <c r="C96" s="1503">
        <v>0.05559027777777778</v>
      </c>
      <c r="D96" s="1632" t="s">
        <v>10802</v>
      </c>
      <c r="E96" s="1606" t="s">
        <v>10803</v>
      </c>
      <c r="F96" s="1606" t="s">
        <v>10804</v>
      </c>
      <c r="G96" s="1606" t="s">
        <v>10805</v>
      </c>
      <c r="H96" s="1606" t="s">
        <v>5932</v>
      </c>
      <c r="I96" s="1606" t="s">
        <v>1846</v>
      </c>
      <c r="J96" s="1606" t="s">
        <v>10806</v>
      </c>
      <c r="K96" s="1606" t="s">
        <v>6326</v>
      </c>
      <c r="L96" s="1606" t="s">
        <v>8665</v>
      </c>
      <c r="M96" s="1606" t="s">
        <v>6824</v>
      </c>
      <c r="N96" s="1606" t="s">
        <v>10807</v>
      </c>
      <c r="O96" s="1606" t="s">
        <v>10808</v>
      </c>
      <c r="P96" s="1606" t="s">
        <v>191</v>
      </c>
      <c r="Q96" s="1606" t="s">
        <v>1758</v>
      </c>
      <c r="R96" s="1606" t="s">
        <v>10809</v>
      </c>
      <c r="S96" s="1606" t="s">
        <v>5218</v>
      </c>
      <c r="T96" s="1606" t="s">
        <v>10810</v>
      </c>
      <c r="U96" s="1606" t="s">
        <v>10811</v>
      </c>
      <c r="V96" s="1606" t="s">
        <v>6600</v>
      </c>
      <c r="W96" s="1606" t="s">
        <v>9591</v>
      </c>
      <c r="X96" s="1606" t="s">
        <v>5007</v>
      </c>
      <c r="Y96" s="1606" t="s">
        <v>101</v>
      </c>
      <c r="Z96" s="1606" t="s">
        <v>10812</v>
      </c>
      <c r="AA96" s="1606" t="s">
        <v>10577</v>
      </c>
      <c r="AB96" s="1606" t="s">
        <v>3501</v>
      </c>
      <c r="AC96" s="1606" t="s">
        <v>4719</v>
      </c>
      <c r="AD96" s="1606" t="s">
        <v>6148</v>
      </c>
      <c r="AE96" s="1606" t="s">
        <v>860</v>
      </c>
      <c r="AF96" s="1606" t="s">
        <v>10813</v>
      </c>
      <c r="AG96" s="1606" t="s">
        <v>10814</v>
      </c>
      <c r="AH96" s="1606" t="s">
        <v>4089</v>
      </c>
      <c r="AI96" s="1606" t="s">
        <v>10815</v>
      </c>
      <c r="AJ96" s="1606" t="s">
        <v>10816</v>
      </c>
      <c r="AK96" s="1606" t="s">
        <v>4550</v>
      </c>
      <c r="AL96" s="1606" t="s">
        <v>128</v>
      </c>
      <c r="AM96" s="1606" t="s">
        <v>10817</v>
      </c>
      <c r="AN96" s="1606" t="s">
        <v>10818</v>
      </c>
      <c r="AO96" s="1606" t="s">
        <v>1035</v>
      </c>
      <c r="AP96" s="1606" t="s">
        <v>10819</v>
      </c>
      <c r="AQ96" s="1606" t="s">
        <v>10820</v>
      </c>
      <c r="AR96" s="1606" t="s">
        <v>10821</v>
      </c>
      <c r="AS96" s="1606" t="s">
        <v>830</v>
      </c>
      <c r="AT96" s="1606" t="s">
        <v>10822</v>
      </c>
      <c r="AU96" s="1606" t="s">
        <v>10823</v>
      </c>
      <c r="AV96" s="1421" t="str">
        <f t="shared" si="1"/>
        <v>5:05</v>
      </c>
      <c r="AW96" s="1655" t="s">
        <v>10824</v>
      </c>
    </row>
    <row r="97">
      <c r="A97" s="1557" t="s">
        <v>4945</v>
      </c>
      <c r="B97" s="1555" t="s">
        <v>8853</v>
      </c>
      <c r="C97" s="1587">
        <v>0.05565972222222222</v>
      </c>
      <c r="D97" s="1606" t="s">
        <v>10825</v>
      </c>
      <c r="E97" s="1606" t="s">
        <v>3205</v>
      </c>
      <c r="F97" s="1606" t="s">
        <v>10826</v>
      </c>
      <c r="G97" s="1606" t="s">
        <v>10827</v>
      </c>
      <c r="H97" s="950" t="s">
        <v>9354</v>
      </c>
      <c r="I97" s="1606" t="s">
        <v>3498</v>
      </c>
      <c r="J97" s="1606" t="s">
        <v>9598</v>
      </c>
      <c r="K97" s="1606" t="s">
        <v>806</v>
      </c>
      <c r="L97" s="1606" t="s">
        <v>10828</v>
      </c>
      <c r="M97" s="1606" t="s">
        <v>10829</v>
      </c>
      <c r="N97" s="1606" t="s">
        <v>6431</v>
      </c>
      <c r="O97" s="1606" t="s">
        <v>10830</v>
      </c>
      <c r="P97" s="1606" t="s">
        <v>10271</v>
      </c>
      <c r="Q97" s="1606" t="s">
        <v>10831</v>
      </c>
      <c r="R97" s="1606" t="s">
        <v>10046</v>
      </c>
      <c r="S97" s="1606" t="s">
        <v>420</v>
      </c>
      <c r="T97" s="1606" t="s">
        <v>10832</v>
      </c>
      <c r="U97" s="1606" t="s">
        <v>10833</v>
      </c>
      <c r="V97" s="1606" t="s">
        <v>10834</v>
      </c>
      <c r="W97" s="1606" t="s">
        <v>10835</v>
      </c>
      <c r="X97" s="1606" t="s">
        <v>10836</v>
      </c>
      <c r="Y97" s="1606" t="s">
        <v>2445</v>
      </c>
      <c r="Z97" s="1606" t="s">
        <v>5368</v>
      </c>
      <c r="AA97" s="1606" t="s">
        <v>10208</v>
      </c>
      <c r="AB97" s="1606" t="s">
        <v>10524</v>
      </c>
      <c r="AC97" s="1606" t="s">
        <v>10051</v>
      </c>
      <c r="AD97" s="1606" t="s">
        <v>10837</v>
      </c>
      <c r="AE97" s="1606" t="s">
        <v>5560</v>
      </c>
      <c r="AF97" s="1606" t="s">
        <v>10838</v>
      </c>
      <c r="AG97" s="1606" t="s">
        <v>10839</v>
      </c>
      <c r="AH97" s="1606" t="s">
        <v>10840</v>
      </c>
      <c r="AI97" s="1606" t="s">
        <v>10841</v>
      </c>
      <c r="AJ97" s="1606" t="s">
        <v>10842</v>
      </c>
      <c r="AK97" s="1606" t="s">
        <v>6761</v>
      </c>
      <c r="AL97" s="1606" t="s">
        <v>3756</v>
      </c>
      <c r="AM97" s="1606" t="s">
        <v>4859</v>
      </c>
      <c r="AN97" s="1606" t="s">
        <v>10843</v>
      </c>
      <c r="AO97" s="1606" t="s">
        <v>2055</v>
      </c>
      <c r="AP97" s="1606" t="s">
        <v>10844</v>
      </c>
      <c r="AQ97" s="1606" t="s">
        <v>10845</v>
      </c>
      <c r="AR97" s="1606" t="s">
        <v>10846</v>
      </c>
      <c r="AS97" s="1606" t="s">
        <v>2170</v>
      </c>
      <c r="AT97" s="1606" t="s">
        <v>10847</v>
      </c>
      <c r="AU97" s="1606" t="s">
        <v>10848</v>
      </c>
      <c r="AV97" s="1421" t="str">
        <f t="shared" si="1"/>
        <v>8:24</v>
      </c>
      <c r="AW97" s="1655" t="s">
        <v>9912</v>
      </c>
    </row>
    <row r="98">
      <c r="A98" s="932" t="s">
        <v>5801</v>
      </c>
      <c r="B98" s="1673" t="s">
        <v>10849</v>
      </c>
      <c r="C98" s="1674">
        <v>0.05614583333333333</v>
      </c>
      <c r="D98" s="950" t="s">
        <v>10850</v>
      </c>
      <c r="E98" s="1025" t="s">
        <v>10078</v>
      </c>
      <c r="F98" s="1025" t="s">
        <v>10851</v>
      </c>
      <c r="G98" s="1025" t="s">
        <v>10852</v>
      </c>
      <c r="H98" s="1675" t="s">
        <v>1365</v>
      </c>
      <c r="I98" s="1025" t="s">
        <v>9553</v>
      </c>
      <c r="J98" s="1025" t="s">
        <v>10853</v>
      </c>
      <c r="K98" s="1025" t="s">
        <v>10854</v>
      </c>
      <c r="L98" s="1025" t="s">
        <v>4763</v>
      </c>
      <c r="M98" s="1025" t="s">
        <v>7184</v>
      </c>
      <c r="N98" s="1025" t="s">
        <v>10104</v>
      </c>
      <c r="O98" s="1025" t="s">
        <v>10855</v>
      </c>
      <c r="P98" s="1025" t="s">
        <v>8978</v>
      </c>
      <c r="Q98" s="1025" t="s">
        <v>10856</v>
      </c>
      <c r="R98" s="1025" t="s">
        <v>4011</v>
      </c>
      <c r="S98" s="1025" t="s">
        <v>5373</v>
      </c>
      <c r="T98" s="1025" t="s">
        <v>1741</v>
      </c>
      <c r="U98" s="1025" t="s">
        <v>9119</v>
      </c>
      <c r="V98" s="1025" t="s">
        <v>2797</v>
      </c>
      <c r="W98" s="1025" t="s">
        <v>10857</v>
      </c>
      <c r="X98" s="1025" t="s">
        <v>10858</v>
      </c>
      <c r="Y98" s="1025" t="s">
        <v>10859</v>
      </c>
      <c r="Z98" s="1025" t="s">
        <v>10860</v>
      </c>
      <c r="AA98" s="1084" t="s">
        <v>2129</v>
      </c>
      <c r="AB98" s="1025" t="s">
        <v>10580</v>
      </c>
      <c r="AC98" s="1025" t="s">
        <v>786</v>
      </c>
      <c r="AD98" s="1025" t="s">
        <v>9062</v>
      </c>
      <c r="AE98" s="1025" t="s">
        <v>538</v>
      </c>
      <c r="AF98" s="1025" t="s">
        <v>10861</v>
      </c>
      <c r="AG98" s="1025" t="s">
        <v>10862</v>
      </c>
      <c r="AH98" s="1025" t="s">
        <v>9609</v>
      </c>
      <c r="AI98" s="1025" t="s">
        <v>10863</v>
      </c>
      <c r="AJ98" s="1025" t="s">
        <v>10864</v>
      </c>
      <c r="AK98" s="1025" t="s">
        <v>10865</v>
      </c>
      <c r="AL98" s="1025" t="s">
        <v>10369</v>
      </c>
      <c r="AM98" s="1025" t="s">
        <v>9645</v>
      </c>
      <c r="AN98" s="1025" t="s">
        <v>10866</v>
      </c>
      <c r="AO98" s="1025" t="s">
        <v>10867</v>
      </c>
      <c r="AP98" s="1025" t="s">
        <v>10868</v>
      </c>
      <c r="AQ98" s="1025" t="s">
        <v>2749</v>
      </c>
      <c r="AR98" s="1025" t="s">
        <v>10312</v>
      </c>
      <c r="AS98" s="1025" t="s">
        <v>10869</v>
      </c>
      <c r="AT98" s="1025" t="s">
        <v>10870</v>
      </c>
      <c r="AU98" s="1025" t="s">
        <v>10871</v>
      </c>
      <c r="AV98" s="1001" t="str">
        <f t="shared" si="1"/>
        <v>8:47</v>
      </c>
      <c r="AW98" s="1556" t="s">
        <v>10872</v>
      </c>
    </row>
    <row r="99">
      <c r="A99" s="1607" t="s">
        <v>10873</v>
      </c>
      <c r="B99" s="1590" t="s">
        <v>8853</v>
      </c>
      <c r="C99" s="1626">
        <v>0.057881944444444444</v>
      </c>
      <c r="D99" s="1606" t="s">
        <v>10874</v>
      </c>
      <c r="E99" s="334" t="s">
        <v>10875</v>
      </c>
      <c r="F99" s="1606" t="s">
        <v>10876</v>
      </c>
      <c r="G99" s="1606" t="s">
        <v>10877</v>
      </c>
      <c r="H99" s="334" t="s">
        <v>10878</v>
      </c>
      <c r="I99" s="334" t="s">
        <v>1024</v>
      </c>
      <c r="J99" s="334" t="s">
        <v>10879</v>
      </c>
      <c r="K99" s="334" t="s">
        <v>3710</v>
      </c>
      <c r="L99" s="334" t="s">
        <v>10880</v>
      </c>
      <c r="M99" s="334" t="s">
        <v>7764</v>
      </c>
      <c r="N99" s="334" t="s">
        <v>10881</v>
      </c>
      <c r="O99" s="334" t="s">
        <v>10882</v>
      </c>
      <c r="P99" s="334" t="s">
        <v>3810</v>
      </c>
      <c r="Q99" s="334" t="s">
        <v>10883</v>
      </c>
      <c r="R99" s="334" t="s">
        <v>10884</v>
      </c>
      <c r="S99" s="334" t="s">
        <v>10885</v>
      </c>
      <c r="T99" s="334" t="s">
        <v>1766</v>
      </c>
      <c r="U99" s="334" t="s">
        <v>10886</v>
      </c>
      <c r="V99" s="334" t="s">
        <v>10887</v>
      </c>
      <c r="W99" s="334" t="s">
        <v>10888</v>
      </c>
      <c r="X99" s="334" t="s">
        <v>10889</v>
      </c>
      <c r="Y99" s="334" t="s">
        <v>2972</v>
      </c>
      <c r="Z99" s="334" t="s">
        <v>10890</v>
      </c>
      <c r="AA99" s="1606" t="s">
        <v>10891</v>
      </c>
      <c r="AB99" s="334" t="s">
        <v>9386</v>
      </c>
      <c r="AC99" s="334" t="s">
        <v>3465</v>
      </c>
      <c r="AD99" s="334" t="s">
        <v>5330</v>
      </c>
      <c r="AE99" s="334" t="s">
        <v>2607</v>
      </c>
      <c r="AF99" s="334" t="s">
        <v>10892</v>
      </c>
      <c r="AG99" s="334" t="s">
        <v>5860</v>
      </c>
      <c r="AH99" s="334" t="s">
        <v>10893</v>
      </c>
      <c r="AI99" s="334" t="s">
        <v>4893</v>
      </c>
      <c r="AJ99" s="334" t="s">
        <v>10894</v>
      </c>
      <c r="AK99" s="334" t="s">
        <v>10895</v>
      </c>
      <c r="AL99" s="334" t="s">
        <v>4026</v>
      </c>
      <c r="AM99" s="334" t="s">
        <v>4901</v>
      </c>
      <c r="AN99" s="334" t="s">
        <v>10896</v>
      </c>
      <c r="AO99" s="334" t="s">
        <v>10272</v>
      </c>
      <c r="AP99" s="334" t="s">
        <v>10897</v>
      </c>
      <c r="AQ99" s="334" t="s">
        <v>6778</v>
      </c>
      <c r="AR99" s="334" t="s">
        <v>10898</v>
      </c>
      <c r="AS99" s="334" t="s">
        <v>620</v>
      </c>
      <c r="AT99" s="334" t="s">
        <v>10899</v>
      </c>
      <c r="AU99" s="334" t="s">
        <v>10900</v>
      </c>
      <c r="AV99" s="1421" t="str">
        <f t="shared" si="1"/>
        <v>2:11</v>
      </c>
      <c r="AW99" s="1659" t="s">
        <v>10901</v>
      </c>
    </row>
    <row r="100">
      <c r="A100" s="1617" t="s">
        <v>6526</v>
      </c>
      <c r="B100" s="1676" t="s">
        <v>10849</v>
      </c>
      <c r="C100" s="1677">
        <v>0.0609375</v>
      </c>
      <c r="D100" s="1678" t="s">
        <v>10902</v>
      </c>
      <c r="E100" s="1679" t="s">
        <v>3581</v>
      </c>
      <c r="F100" s="1679" t="s">
        <v>10903</v>
      </c>
      <c r="G100" s="1679" t="s">
        <v>10904</v>
      </c>
      <c r="H100" s="1678" t="s">
        <v>10905</v>
      </c>
      <c r="I100" s="1680" t="s">
        <v>9106</v>
      </c>
      <c r="J100" s="1681" t="s">
        <v>10906</v>
      </c>
      <c r="K100" s="1681" t="s">
        <v>1762</v>
      </c>
      <c r="L100" s="1681" t="s">
        <v>6923</v>
      </c>
      <c r="M100" s="1681" t="s">
        <v>10907</v>
      </c>
      <c r="N100" s="1681" t="s">
        <v>6913</v>
      </c>
      <c r="O100" s="1681" t="s">
        <v>10908</v>
      </c>
      <c r="P100" s="1681" t="s">
        <v>5435</v>
      </c>
      <c r="Q100" s="1682" t="s">
        <v>10909</v>
      </c>
      <c r="R100" s="1682" t="s">
        <v>10910</v>
      </c>
      <c r="S100" s="1682" t="s">
        <v>10911</v>
      </c>
      <c r="T100" s="1682" t="s">
        <v>10912</v>
      </c>
      <c r="U100" s="1682" t="s">
        <v>10913</v>
      </c>
      <c r="V100" s="1682" t="s">
        <v>10914</v>
      </c>
      <c r="W100" s="1683" t="s">
        <v>10915</v>
      </c>
      <c r="X100" s="1683" t="s">
        <v>10891</v>
      </c>
      <c r="Y100" s="1683" t="s">
        <v>10618</v>
      </c>
      <c r="Z100" s="1683" t="s">
        <v>6943</v>
      </c>
      <c r="AA100" s="1684" t="s">
        <v>10821</v>
      </c>
      <c r="AB100" s="1683" t="s">
        <v>10916</v>
      </c>
      <c r="AC100" s="1683" t="s">
        <v>9183</v>
      </c>
      <c r="AD100" s="1679" t="s">
        <v>10917</v>
      </c>
      <c r="AE100" s="1679" t="s">
        <v>1374</v>
      </c>
      <c r="AF100" s="1685" t="s">
        <v>10918</v>
      </c>
      <c r="AG100" s="1685" t="s">
        <v>10919</v>
      </c>
      <c r="AH100" s="1685" t="s">
        <v>10920</v>
      </c>
      <c r="AI100" s="1685" t="s">
        <v>6799</v>
      </c>
      <c r="AJ100" s="1685" t="s">
        <v>10921</v>
      </c>
      <c r="AK100" s="1685" t="s">
        <v>10352</v>
      </c>
      <c r="AL100" s="1685" t="s">
        <v>1820</v>
      </c>
      <c r="AM100" s="1686" t="s">
        <v>8676</v>
      </c>
      <c r="AN100" s="1686" t="s">
        <v>10922</v>
      </c>
      <c r="AO100" s="1686" t="s">
        <v>4480</v>
      </c>
      <c r="AP100" s="1686" t="s">
        <v>10923</v>
      </c>
      <c r="AQ100" s="1686" t="s">
        <v>6428</v>
      </c>
      <c r="AR100" s="1686" t="s">
        <v>10924</v>
      </c>
      <c r="AS100" s="1686" t="s">
        <v>9609</v>
      </c>
      <c r="AT100" s="1681" t="s">
        <v>10925</v>
      </c>
      <c r="AU100" s="1687" t="s">
        <v>10926</v>
      </c>
      <c r="AV100" s="1421" t="str">
        <f t="shared" si="1"/>
        <v>7:58</v>
      </c>
      <c r="AW100" s="1548" t="s">
        <v>10927</v>
      </c>
    </row>
    <row r="101" ht="15.75" customHeight="1">
      <c r="A101" s="1557" t="s">
        <v>6396</v>
      </c>
      <c r="B101" s="1590" t="s">
        <v>8853</v>
      </c>
      <c r="C101" s="1503">
        <v>0.06635416666666667</v>
      </c>
      <c r="D101" s="950" t="s">
        <v>10928</v>
      </c>
      <c r="E101" s="950" t="s">
        <v>8720</v>
      </c>
      <c r="F101" s="950" t="s">
        <v>10929</v>
      </c>
      <c r="G101" s="950" t="s">
        <v>10930</v>
      </c>
      <c r="H101" s="950" t="s">
        <v>10931</v>
      </c>
      <c r="I101" s="950" t="s">
        <v>3474</v>
      </c>
      <c r="J101" s="950" t="s">
        <v>10932</v>
      </c>
      <c r="K101" s="950" t="s">
        <v>3995</v>
      </c>
      <c r="L101" s="950" t="s">
        <v>6825</v>
      </c>
      <c r="M101" s="950" t="s">
        <v>936</v>
      </c>
      <c r="N101" s="950" t="s">
        <v>10933</v>
      </c>
      <c r="O101" s="950" t="s">
        <v>10934</v>
      </c>
      <c r="P101" s="950" t="s">
        <v>10935</v>
      </c>
      <c r="Q101" s="950" t="s">
        <v>10936</v>
      </c>
      <c r="R101" s="950" t="s">
        <v>4566</v>
      </c>
      <c r="S101" s="950" t="s">
        <v>10937</v>
      </c>
      <c r="T101" s="950" t="s">
        <v>6463</v>
      </c>
      <c r="U101" s="950" t="s">
        <v>10938</v>
      </c>
      <c r="V101" s="950" t="s">
        <v>7423</v>
      </c>
      <c r="W101" s="950" t="s">
        <v>10939</v>
      </c>
      <c r="X101" s="950" t="s">
        <v>10940</v>
      </c>
      <c r="Y101" s="950" t="s">
        <v>758</v>
      </c>
      <c r="Z101" s="950" t="s">
        <v>10941</v>
      </c>
      <c r="AA101" s="334"/>
      <c r="AB101" s="950" t="s">
        <v>10942</v>
      </c>
      <c r="AC101" s="950" t="s">
        <v>178</v>
      </c>
      <c r="AD101" s="950" t="s">
        <v>10943</v>
      </c>
      <c r="AE101" s="950" t="s">
        <v>10944</v>
      </c>
      <c r="AF101" s="950" t="s">
        <v>10945</v>
      </c>
      <c r="AG101" s="950" t="s">
        <v>10946</v>
      </c>
      <c r="AH101" s="950" t="s">
        <v>10947</v>
      </c>
      <c r="AI101" s="950" t="s">
        <v>10948</v>
      </c>
      <c r="AJ101" s="950" t="s">
        <v>10949</v>
      </c>
      <c r="AK101" s="950" t="s">
        <v>10950</v>
      </c>
      <c r="AL101" s="950" t="s">
        <v>10951</v>
      </c>
      <c r="AM101" s="950" t="s">
        <v>10952</v>
      </c>
      <c r="AN101" s="950" t="s">
        <v>9466</v>
      </c>
      <c r="AO101" s="950" t="s">
        <v>2328</v>
      </c>
      <c r="AP101" s="950" t="s">
        <v>10953</v>
      </c>
      <c r="AQ101" s="950" t="s">
        <v>132</v>
      </c>
      <c r="AR101" s="950" t="s">
        <v>10954</v>
      </c>
      <c r="AS101" s="950" t="s">
        <v>4077</v>
      </c>
      <c r="AT101" s="950" t="s">
        <v>10955</v>
      </c>
      <c r="AU101" s="1349" t="s">
        <v>10956</v>
      </c>
      <c r="AV101" s="1421" t="str">
        <f t="shared" si="1"/>
        <v>9:53</v>
      </c>
      <c r="AW101" s="1640" t="s">
        <v>10957</v>
      </c>
    </row>
    <row r="102">
      <c r="A102" s="1557" t="s">
        <v>6957</v>
      </c>
      <c r="B102" s="1555" t="s">
        <v>8853</v>
      </c>
      <c r="C102" s="1626"/>
      <c r="D102" s="1534"/>
      <c r="E102" s="1538"/>
      <c r="F102" s="1534"/>
      <c r="G102" s="1534"/>
      <c r="H102" s="1534"/>
      <c r="I102" s="1534"/>
      <c r="J102" s="1534"/>
      <c r="K102" s="1534"/>
      <c r="L102" s="1534"/>
      <c r="M102" s="1534"/>
      <c r="N102" s="1534"/>
      <c r="O102" s="1534"/>
      <c r="P102" s="1534"/>
      <c r="Q102" s="1534"/>
      <c r="R102" s="1534"/>
      <c r="S102" s="1534"/>
      <c r="T102" s="1534"/>
      <c r="U102" s="1534"/>
      <c r="V102" s="1534"/>
      <c r="W102" s="1509" t="s">
        <v>9345</v>
      </c>
      <c r="X102" s="1534"/>
      <c r="Y102" s="1534"/>
      <c r="Z102" s="1534"/>
      <c r="AA102" s="1534"/>
      <c r="AB102" s="1688" t="s">
        <v>2980</v>
      </c>
      <c r="AC102" s="1534"/>
      <c r="AD102" s="1534"/>
      <c r="AE102" s="1538"/>
      <c r="AF102" s="1534"/>
      <c r="AG102" s="1534"/>
      <c r="AH102" s="1534"/>
      <c r="AI102" s="1534"/>
      <c r="AJ102" s="1534"/>
      <c r="AK102" s="1534"/>
      <c r="AL102" s="1534"/>
      <c r="AM102" s="1541" t="s">
        <v>2399</v>
      </c>
      <c r="AN102" s="1534"/>
      <c r="AO102" s="1534"/>
      <c r="AP102" s="1534"/>
      <c r="AQ102" s="1534"/>
      <c r="AR102" s="1534"/>
      <c r="AS102" s="1534"/>
      <c r="AT102" s="1534"/>
      <c r="AU102" s="1421"/>
      <c r="AV102" s="1421"/>
      <c r="AW102" s="1589"/>
    </row>
    <row r="103">
      <c r="A103" s="1557" t="s">
        <v>4647</v>
      </c>
      <c r="B103" s="1545" t="s">
        <v>8853</v>
      </c>
      <c r="C103" s="1503"/>
      <c r="D103" s="1580"/>
      <c r="E103" s="1580"/>
      <c r="F103" s="1580"/>
      <c r="G103" s="1580"/>
      <c r="H103" s="950"/>
      <c r="I103" s="812"/>
      <c r="J103" s="1564"/>
      <c r="K103" s="1564"/>
      <c r="L103" s="1564"/>
      <c r="M103" s="1564"/>
      <c r="N103" s="1564"/>
      <c r="O103" s="1564"/>
      <c r="P103" s="1564"/>
      <c r="Q103" s="1567"/>
      <c r="R103" s="1567"/>
      <c r="S103" s="1567"/>
      <c r="T103" s="1567"/>
      <c r="U103" s="1567"/>
      <c r="V103" s="1567"/>
      <c r="W103" s="1582"/>
      <c r="X103" s="1582"/>
      <c r="Y103" s="1582"/>
      <c r="Z103" s="1582"/>
      <c r="AA103" s="1516"/>
      <c r="AB103" s="1582"/>
      <c r="AC103" s="1582"/>
      <c r="AD103" s="1580"/>
      <c r="AE103" s="1580"/>
      <c r="AF103" s="1573" t="s">
        <v>8869</v>
      </c>
      <c r="AG103" s="1583"/>
      <c r="AH103" s="1583"/>
      <c r="AI103" s="1583"/>
      <c r="AJ103" s="1583"/>
      <c r="AK103" s="1583"/>
      <c r="AL103" s="1583"/>
      <c r="AM103" s="1585"/>
      <c r="AN103" s="1585"/>
      <c r="AO103" s="1585"/>
      <c r="AP103" s="1585"/>
      <c r="AQ103" s="1585"/>
      <c r="AR103" s="1585"/>
      <c r="AS103" s="1585"/>
      <c r="AT103" s="1564"/>
      <c r="AU103" s="1547"/>
      <c r="AV103" s="1547"/>
      <c r="AW103" s="1548"/>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9"/>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9"/>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9"/>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9"/>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9"/>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9"/>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9"/>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9"/>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9"/>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9"/>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9"/>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9"/>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9"/>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9"/>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9"/>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9"/>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9"/>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9"/>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9"/>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9"/>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9"/>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9"/>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9"/>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9"/>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9"/>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9"/>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9"/>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9"/>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9"/>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9"/>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9"/>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9"/>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9"/>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9"/>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9"/>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9"/>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9"/>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9"/>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9"/>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9"/>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9"/>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9"/>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9"/>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9"/>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9"/>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9"/>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9"/>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8787</v>
      </c>
      <c r="C1" s="1434" t="s">
        <v>8788</v>
      </c>
      <c r="D1" s="1696" t="s">
        <v>10958</v>
      </c>
      <c r="E1" s="1697" t="s">
        <v>7683</v>
      </c>
      <c r="F1" s="1698" t="s">
        <v>7985</v>
      </c>
      <c r="G1" s="1699" t="s">
        <v>38</v>
      </c>
      <c r="H1" s="1700" t="s">
        <v>36</v>
      </c>
      <c r="I1" s="1696" t="s">
        <v>10959</v>
      </c>
      <c r="J1" s="1701" t="s">
        <v>39</v>
      </c>
      <c r="K1" s="1702" t="s">
        <v>7921</v>
      </c>
      <c r="L1" s="1442" t="s">
        <v>8820</v>
      </c>
      <c r="M1" s="1443" t="s">
        <v>8821</v>
      </c>
      <c r="N1" s="1703" t="s">
        <v>8822</v>
      </c>
      <c r="O1" s="1704" t="s">
        <v>8823</v>
      </c>
    </row>
    <row r="2" ht="15.75" customHeight="1">
      <c r="A2" s="1705" t="s">
        <v>8824</v>
      </c>
      <c r="B2" s="1706" t="s">
        <v>8825</v>
      </c>
      <c r="C2" s="1707">
        <v>0.0496875</v>
      </c>
      <c r="D2" s="1708" t="s">
        <v>10960</v>
      </c>
      <c r="E2" s="1709" t="s">
        <v>10961</v>
      </c>
      <c r="F2" s="1710" t="s">
        <v>10962</v>
      </c>
      <c r="G2" s="1711" t="s">
        <v>10963</v>
      </c>
      <c r="H2" s="1712" t="s">
        <v>10964</v>
      </c>
      <c r="I2" s="1713" t="s">
        <v>10965</v>
      </c>
      <c r="J2" s="1714" t="s">
        <v>10966</v>
      </c>
      <c r="K2" s="1715" t="s">
        <v>10967</v>
      </c>
      <c r="L2" s="1716" t="s">
        <v>8850</v>
      </c>
      <c r="M2" s="1707">
        <v>0.05042824074074074</v>
      </c>
      <c r="N2" s="1717" t="str">
        <f t="shared" ref="N2:N40" si="1">TEXT(M2-C2, "m:ss")</f>
        <v>1:04</v>
      </c>
      <c r="O2" s="1718"/>
    </row>
    <row r="3" ht="15.75" customHeight="1">
      <c r="A3" s="1719" t="s">
        <v>8852</v>
      </c>
      <c r="B3" s="1720" t="s">
        <v>8853</v>
      </c>
      <c r="C3" s="1721">
        <v>0.051458333333333335</v>
      </c>
      <c r="D3" s="1472" t="s">
        <v>10968</v>
      </c>
      <c r="E3" s="1473" t="s">
        <v>10969</v>
      </c>
      <c r="F3" s="1474" t="s">
        <v>10970</v>
      </c>
      <c r="G3" s="1475" t="s">
        <v>10971</v>
      </c>
      <c r="H3" s="1477" t="s">
        <v>10972</v>
      </c>
      <c r="I3" s="1472" t="s">
        <v>10973</v>
      </c>
      <c r="J3" s="1479" t="s">
        <v>10974</v>
      </c>
      <c r="K3" s="1482" t="s">
        <v>10975</v>
      </c>
      <c r="L3" s="1474" t="s">
        <v>8876</v>
      </c>
      <c r="M3" s="1721">
        <v>0.05236111111111111</v>
      </c>
      <c r="N3" s="1722" t="str">
        <f t="shared" si="1"/>
        <v>1:18</v>
      </c>
      <c r="O3" s="1723"/>
    </row>
    <row r="4" ht="15.75" customHeight="1">
      <c r="A4" s="1724" t="s">
        <v>8878</v>
      </c>
      <c r="B4" s="1725" t="s">
        <v>8879</v>
      </c>
      <c r="C4" s="1726">
        <f>C25</f>
        <v>0.05158564815</v>
      </c>
      <c r="D4" s="1727" t="s">
        <v>10976</v>
      </c>
      <c r="E4" s="1728" t="s">
        <v>10977</v>
      </c>
      <c r="F4" s="1729" t="s">
        <v>10978</v>
      </c>
      <c r="G4" s="1730" t="s">
        <v>10979</v>
      </c>
      <c r="H4" s="1731" t="s">
        <v>10980</v>
      </c>
      <c r="I4" s="1727" t="s">
        <v>10981</v>
      </c>
      <c r="J4" s="1732" t="s">
        <v>10982</v>
      </c>
      <c r="K4" s="1733" t="s">
        <v>10983</v>
      </c>
      <c r="L4" s="1734" t="s">
        <v>8907</v>
      </c>
      <c r="M4" s="1735">
        <f>M25</f>
        <v>0.0521412037</v>
      </c>
      <c r="N4" s="1735" t="str">
        <f t="shared" si="1"/>
        <v>0:48</v>
      </c>
      <c r="O4" s="1718"/>
    </row>
    <row r="5" ht="15.75" customHeight="1">
      <c r="A5" s="932" t="s">
        <v>1058</v>
      </c>
      <c r="B5" s="1641" t="s">
        <v>8825</v>
      </c>
      <c r="C5" s="1736">
        <v>0.04981481481481481</v>
      </c>
      <c r="D5" s="1737" t="s">
        <v>10960</v>
      </c>
      <c r="E5" s="1535" t="s">
        <v>10984</v>
      </c>
      <c r="F5" s="1737" t="s">
        <v>10962</v>
      </c>
      <c r="G5" s="1737" t="s">
        <v>10963</v>
      </c>
      <c r="H5" s="1737" t="s">
        <v>10964</v>
      </c>
      <c r="I5" s="1737" t="s">
        <v>10965</v>
      </c>
      <c r="J5" s="1738" t="s">
        <v>10985</v>
      </c>
      <c r="K5" s="1737" t="s">
        <v>10967</v>
      </c>
      <c r="L5" s="1505" t="s">
        <v>10986</v>
      </c>
      <c r="M5" s="1739">
        <v>0.05042824074074074</v>
      </c>
      <c r="N5" s="1740" t="str">
        <f t="shared" si="1"/>
        <v>0:53</v>
      </c>
      <c r="O5" s="1586" t="s">
        <v>10987</v>
      </c>
    </row>
    <row r="6" ht="15.75" customHeight="1">
      <c r="A6" s="1689" t="s">
        <v>1809</v>
      </c>
      <c r="B6" s="1502" t="s">
        <v>8825</v>
      </c>
      <c r="C6" s="1741">
        <v>0.0499537037037037</v>
      </c>
      <c r="D6" s="1522" t="s">
        <v>10988</v>
      </c>
      <c r="E6" s="1522" t="s">
        <v>10989</v>
      </c>
      <c r="F6" s="1522" t="s">
        <v>10990</v>
      </c>
      <c r="G6" s="1522" t="s">
        <v>10991</v>
      </c>
      <c r="H6" s="1522" t="s">
        <v>10992</v>
      </c>
      <c r="I6" s="1522" t="s">
        <v>10993</v>
      </c>
      <c r="J6" s="1522" t="s">
        <v>10994</v>
      </c>
      <c r="K6" s="1522" t="s">
        <v>10995</v>
      </c>
      <c r="L6" s="1506" t="s">
        <v>8850</v>
      </c>
      <c r="M6" s="1742">
        <v>0.05056712962962963</v>
      </c>
      <c r="N6" s="1743" t="str">
        <f t="shared" si="1"/>
        <v>0:53</v>
      </c>
      <c r="O6" s="1586" t="s">
        <v>10996</v>
      </c>
    </row>
    <row r="7" ht="15.75" customHeight="1">
      <c r="A7" s="1744" t="s">
        <v>437</v>
      </c>
      <c r="B7" s="1502" t="s">
        <v>8825</v>
      </c>
      <c r="C7" s="1745">
        <v>0.04998842592592593</v>
      </c>
      <c r="D7" s="1522" t="s">
        <v>10997</v>
      </c>
      <c r="E7" s="1746" t="s">
        <v>10961</v>
      </c>
      <c r="F7" s="1522" t="s">
        <v>10998</v>
      </c>
      <c r="G7" s="1522" t="s">
        <v>10999</v>
      </c>
      <c r="H7" s="1522" t="s">
        <v>11000</v>
      </c>
      <c r="I7" s="1522" t="s">
        <v>11001</v>
      </c>
      <c r="J7" s="1747" t="s">
        <v>10966</v>
      </c>
      <c r="K7" s="1522" t="s">
        <v>11002</v>
      </c>
      <c r="L7" s="1522" t="s">
        <v>8938</v>
      </c>
      <c r="M7" s="1742">
        <v>0.0508912037037037</v>
      </c>
      <c r="N7" s="1743" t="str">
        <f t="shared" si="1"/>
        <v>1:18</v>
      </c>
      <c r="O7" s="1586" t="s">
        <v>10996</v>
      </c>
    </row>
    <row r="8">
      <c r="A8" s="1748" t="s">
        <v>2538</v>
      </c>
      <c r="B8" s="1749" t="s">
        <v>8825</v>
      </c>
      <c r="C8" s="1745">
        <v>0.05008587962962963</v>
      </c>
      <c r="D8" s="1750" t="s">
        <v>11003</v>
      </c>
      <c r="E8" s="1751" t="s">
        <v>11004</v>
      </c>
      <c r="F8" s="1738" t="s">
        <v>11005</v>
      </c>
      <c r="G8" s="1738" t="s">
        <v>11006</v>
      </c>
      <c r="H8" s="1738" t="s">
        <v>11007</v>
      </c>
      <c r="I8" s="1738" t="s">
        <v>11008</v>
      </c>
      <c r="J8" s="1738" t="s">
        <v>11009</v>
      </c>
      <c r="K8" s="1738" t="s">
        <v>11010</v>
      </c>
      <c r="L8" s="1738" t="s">
        <v>8963</v>
      </c>
      <c r="M8" s="1742">
        <v>0.05085648148148148</v>
      </c>
      <c r="N8" s="1742" t="str">
        <f t="shared" si="1"/>
        <v>1:07</v>
      </c>
      <c r="O8" s="1586"/>
    </row>
    <row r="9" ht="15.75" customHeight="1">
      <c r="A9" s="1744" t="s">
        <v>6594</v>
      </c>
      <c r="B9" s="1559" t="s">
        <v>8825</v>
      </c>
      <c r="C9" s="1741">
        <v>0.05025462962962963</v>
      </c>
      <c r="D9" s="1021" t="s">
        <v>11011</v>
      </c>
      <c r="E9" s="1533" t="s">
        <v>11012</v>
      </c>
      <c r="F9" s="1522" t="s">
        <v>11013</v>
      </c>
      <c r="G9" s="1522" t="s">
        <v>11014</v>
      </c>
      <c r="H9" s="1522" t="s">
        <v>11015</v>
      </c>
      <c r="I9" s="1522" t="s">
        <v>10737</v>
      </c>
      <c r="J9" s="1522" t="s">
        <v>11016</v>
      </c>
      <c r="K9" s="1522" t="s">
        <v>11017</v>
      </c>
      <c r="L9" s="1522" t="s">
        <v>9075</v>
      </c>
      <c r="M9" s="1742">
        <v>0.0506712962962963</v>
      </c>
      <c r="N9" s="1743" t="str">
        <f t="shared" si="1"/>
        <v>0:36</v>
      </c>
      <c r="O9" s="1586"/>
    </row>
    <row r="10" ht="15.75" customHeight="1">
      <c r="A10" s="1689" t="s">
        <v>6704</v>
      </c>
      <c r="B10" s="1502" t="s">
        <v>8825</v>
      </c>
      <c r="C10" s="1741">
        <v>0.050416666666666665</v>
      </c>
      <c r="D10" s="1522" t="s">
        <v>11018</v>
      </c>
      <c r="E10" s="1533" t="s">
        <v>11019</v>
      </c>
      <c r="F10" s="1535" t="s">
        <v>11020</v>
      </c>
      <c r="G10" s="1535" t="s">
        <v>11021</v>
      </c>
      <c r="H10" s="1522" t="s">
        <v>11022</v>
      </c>
      <c r="I10" s="1522" t="s">
        <v>11023</v>
      </c>
      <c r="J10" s="1522" t="s">
        <v>11024</v>
      </c>
      <c r="K10" s="1522" t="s">
        <v>11025</v>
      </c>
      <c r="L10" s="1535" t="s">
        <v>11026</v>
      </c>
      <c r="M10" s="1742">
        <v>0.0512037037037037</v>
      </c>
      <c r="N10" s="1743" t="str">
        <f t="shared" si="1"/>
        <v>1:08</v>
      </c>
      <c r="O10" s="1586" t="s">
        <v>10996</v>
      </c>
    </row>
    <row r="11">
      <c r="A11" s="1752" t="s">
        <v>827</v>
      </c>
      <c r="B11" s="1753" t="s">
        <v>8825</v>
      </c>
      <c r="C11" s="1741">
        <v>0.05047453703703704</v>
      </c>
      <c r="D11" s="1025" t="s">
        <v>11027</v>
      </c>
      <c r="E11" s="1533" t="s">
        <v>11028</v>
      </c>
      <c r="F11" s="1738" t="s">
        <v>11029</v>
      </c>
      <c r="G11" s="1738" t="s">
        <v>11030</v>
      </c>
      <c r="H11" s="1738" t="s">
        <v>11031</v>
      </c>
      <c r="I11" s="1522" t="s">
        <v>11032</v>
      </c>
      <c r="J11" s="1522" t="s">
        <v>11033</v>
      </c>
      <c r="K11" s="1738" t="s">
        <v>11034</v>
      </c>
      <c r="L11" s="1522" t="s">
        <v>3671</v>
      </c>
      <c r="M11" s="1742">
        <v>0.051076388888888886</v>
      </c>
      <c r="N11" s="1743" t="str">
        <f t="shared" si="1"/>
        <v>0:52</v>
      </c>
      <c r="O11" s="1586" t="s">
        <v>11035</v>
      </c>
    </row>
    <row r="12">
      <c r="A12" s="1617" t="s">
        <v>1879</v>
      </c>
      <c r="B12" s="1753" t="s">
        <v>8825</v>
      </c>
      <c r="C12" s="1745">
        <v>0.05059429398148148</v>
      </c>
      <c r="D12" s="1021" t="s">
        <v>11036</v>
      </c>
      <c r="E12" s="1533" t="s">
        <v>11037</v>
      </c>
      <c r="F12" s="1522" t="s">
        <v>11038</v>
      </c>
      <c r="G12" s="1522" t="s">
        <v>11039</v>
      </c>
      <c r="H12" s="1522" t="s">
        <v>11040</v>
      </c>
      <c r="I12" s="1522" t="s">
        <v>11041</v>
      </c>
      <c r="J12" s="1522" t="s">
        <v>11042</v>
      </c>
      <c r="K12" s="1522" t="s">
        <v>11043</v>
      </c>
      <c r="L12" s="1522" t="s">
        <v>11044</v>
      </c>
      <c r="M12" s="1742">
        <v>0.051319444444444445</v>
      </c>
      <c r="N12" s="1743" t="str">
        <f t="shared" si="1"/>
        <v>1:03</v>
      </c>
      <c r="O12" s="1586"/>
    </row>
    <row r="13" ht="15.75" customHeight="1">
      <c r="A13" s="932" t="s">
        <v>1553</v>
      </c>
      <c r="B13" s="1754" t="s">
        <v>8825</v>
      </c>
      <c r="C13" s="1741">
        <v>0.05061342592592592</v>
      </c>
      <c r="D13" s="1755" t="s">
        <v>11045</v>
      </c>
      <c r="E13" s="1533" t="s">
        <v>11046</v>
      </c>
      <c r="F13" s="1756" t="s">
        <v>11047</v>
      </c>
      <c r="G13" s="1522" t="s">
        <v>11048</v>
      </c>
      <c r="H13" s="1756" t="s">
        <v>11049</v>
      </c>
      <c r="I13" s="1756" t="s">
        <v>11050</v>
      </c>
      <c r="J13" s="1522" t="s">
        <v>11051</v>
      </c>
      <c r="K13" s="1522" t="s">
        <v>11052</v>
      </c>
      <c r="L13" s="1522" t="s">
        <v>3508</v>
      </c>
      <c r="M13" s="1742">
        <v>0.05122685185185185</v>
      </c>
      <c r="N13" s="1743" t="str">
        <f t="shared" si="1"/>
        <v>0:53</v>
      </c>
      <c r="O13" s="1586" t="s">
        <v>11053</v>
      </c>
    </row>
    <row r="14" ht="15.75" customHeight="1">
      <c r="A14" s="1693" t="s">
        <v>2085</v>
      </c>
      <c r="B14" s="1502" t="s">
        <v>8825</v>
      </c>
      <c r="C14" s="1745">
        <v>0.05061342592592592</v>
      </c>
      <c r="D14" s="1025" t="s">
        <v>11054</v>
      </c>
      <c r="E14" s="1757" t="s">
        <v>11055</v>
      </c>
      <c r="F14" s="1522" t="s">
        <v>11056</v>
      </c>
      <c r="G14" s="1522" t="s">
        <v>11057</v>
      </c>
      <c r="H14" s="1522" t="s">
        <v>11058</v>
      </c>
      <c r="I14" s="1522" t="s">
        <v>11059</v>
      </c>
      <c r="J14" s="1522" t="s">
        <v>11060</v>
      </c>
      <c r="K14" s="1522" t="s">
        <v>11061</v>
      </c>
      <c r="L14" s="1522" t="s">
        <v>6574</v>
      </c>
      <c r="M14" s="1742">
        <v>0.05153935185185185</v>
      </c>
      <c r="N14" s="1743" t="str">
        <f t="shared" si="1"/>
        <v>1:20</v>
      </c>
      <c r="O14" s="1586" t="s">
        <v>10996</v>
      </c>
    </row>
    <row r="15" ht="15.75" customHeight="1">
      <c r="A15" s="1744" t="s">
        <v>332</v>
      </c>
      <c r="B15" s="1502" t="s">
        <v>8825</v>
      </c>
      <c r="C15" s="1745">
        <v>0.05068287037037037</v>
      </c>
      <c r="D15" s="1522" t="s">
        <v>11062</v>
      </c>
      <c r="E15" s="1757" t="s">
        <v>11063</v>
      </c>
      <c r="F15" s="1522" t="s">
        <v>11064</v>
      </c>
      <c r="G15" s="1522" t="s">
        <v>11065</v>
      </c>
      <c r="H15" s="1522" t="s">
        <v>11066</v>
      </c>
      <c r="I15" s="1522" t="s">
        <v>6519</v>
      </c>
      <c r="J15" s="1522" t="s">
        <v>11067</v>
      </c>
      <c r="K15" s="1522" t="s">
        <v>11068</v>
      </c>
      <c r="L15" s="1522" t="s">
        <v>9054</v>
      </c>
      <c r="M15" s="1742">
        <v>0.05164351851851852</v>
      </c>
      <c r="N15" s="1743" t="str">
        <f t="shared" si="1"/>
        <v>1:23</v>
      </c>
      <c r="O15" s="1586" t="s">
        <v>10996</v>
      </c>
    </row>
    <row r="16" ht="15.75" customHeight="1">
      <c r="A16" s="1617" t="s">
        <v>2150</v>
      </c>
      <c r="B16" s="1641" t="s">
        <v>8853</v>
      </c>
      <c r="C16" s="1758">
        <v>0.05092592592592592</v>
      </c>
      <c r="D16" s="1021" t="s">
        <v>11069</v>
      </c>
      <c r="E16" s="1759" t="s">
        <v>10969</v>
      </c>
      <c r="F16" s="1759" t="s">
        <v>10970</v>
      </c>
      <c r="G16" s="1759" t="s">
        <v>10971</v>
      </c>
      <c r="H16" s="1759" t="s">
        <v>11070</v>
      </c>
      <c r="I16" s="1759" t="s">
        <v>10973</v>
      </c>
      <c r="J16" s="1759" t="s">
        <v>11071</v>
      </c>
      <c r="K16" s="1759" t="s">
        <v>10975</v>
      </c>
      <c r="L16" s="1760" t="s">
        <v>8876</v>
      </c>
      <c r="M16" s="1742">
        <v>0.052662037037037035</v>
      </c>
      <c r="N16" s="1743" t="str">
        <f t="shared" si="1"/>
        <v>2:30</v>
      </c>
      <c r="O16" s="1586" t="s">
        <v>10996</v>
      </c>
    </row>
    <row r="17" ht="15.75" customHeight="1">
      <c r="A17" s="1761" t="s">
        <v>2705</v>
      </c>
      <c r="B17" s="1502" t="s">
        <v>8825</v>
      </c>
      <c r="C17" s="1762">
        <v>0.05103009259259259</v>
      </c>
      <c r="D17" s="1522" t="s">
        <v>11072</v>
      </c>
      <c r="E17" s="1757" t="s">
        <v>10552</v>
      </c>
      <c r="F17" s="1522" t="s">
        <v>11073</v>
      </c>
      <c r="G17" s="1522" t="s">
        <v>11074</v>
      </c>
      <c r="H17" s="1738" t="s">
        <v>11075</v>
      </c>
      <c r="I17" s="1522" t="s">
        <v>8501</v>
      </c>
      <c r="J17" s="1522" t="s">
        <v>11076</v>
      </c>
      <c r="K17" s="1522" t="s">
        <v>11077</v>
      </c>
      <c r="L17" s="1522" t="s">
        <v>11078</v>
      </c>
      <c r="M17" s="1742">
        <v>0.051909722222222225</v>
      </c>
      <c r="N17" s="1743" t="str">
        <f t="shared" si="1"/>
        <v>1:16</v>
      </c>
      <c r="O17" s="1586" t="s">
        <v>10996</v>
      </c>
    </row>
    <row r="18" ht="15.75" customHeight="1">
      <c r="A18" s="1617" t="s">
        <v>2263</v>
      </c>
      <c r="B18" s="1559" t="s">
        <v>8825</v>
      </c>
      <c r="C18" s="1745">
        <v>0.051145833333333335</v>
      </c>
      <c r="D18" s="1025" t="s">
        <v>11079</v>
      </c>
      <c r="E18" s="1533" t="s">
        <v>11080</v>
      </c>
      <c r="F18" s="1522" t="s">
        <v>11081</v>
      </c>
      <c r="G18" s="1522" t="s">
        <v>11082</v>
      </c>
      <c r="H18" s="1522" t="s">
        <v>11083</v>
      </c>
      <c r="I18" s="1522" t="s">
        <v>11084</v>
      </c>
      <c r="J18" s="1522" t="s">
        <v>11085</v>
      </c>
      <c r="K18" s="1522" t="s">
        <v>11086</v>
      </c>
      <c r="L18" s="1522" t="s">
        <v>3115</v>
      </c>
      <c r="M18" s="1742">
        <v>0.05228009259259259</v>
      </c>
      <c r="N18" s="1743" t="str">
        <f t="shared" si="1"/>
        <v>1:38</v>
      </c>
      <c r="O18" s="1586" t="s">
        <v>11087</v>
      </c>
    </row>
    <row r="19" ht="15.75" customHeight="1">
      <c r="A19" s="1744" t="s">
        <v>1416</v>
      </c>
      <c r="B19" s="1502" t="s">
        <v>8825</v>
      </c>
      <c r="C19" s="1745">
        <v>0.05122685185185185</v>
      </c>
      <c r="D19" s="1522" t="s">
        <v>11088</v>
      </c>
      <c r="E19" s="1757" t="s">
        <v>8883</v>
      </c>
      <c r="F19" s="1522" t="s">
        <v>11089</v>
      </c>
      <c r="G19" s="1522" t="s">
        <v>11090</v>
      </c>
      <c r="H19" s="1522" t="s">
        <v>11091</v>
      </c>
      <c r="I19" s="1522" t="s">
        <v>11092</v>
      </c>
      <c r="J19" s="1522" t="s">
        <v>11093</v>
      </c>
      <c r="K19" s="1522" t="s">
        <v>11094</v>
      </c>
      <c r="L19" s="1522" t="s">
        <v>11095</v>
      </c>
      <c r="M19" s="1742">
        <v>0.052037037037037034</v>
      </c>
      <c r="N19" s="1743" t="str">
        <f t="shared" si="1"/>
        <v>1:10</v>
      </c>
      <c r="O19" s="1586" t="s">
        <v>10996</v>
      </c>
    </row>
    <row r="20" ht="15.75" customHeight="1">
      <c r="A20" s="1617" t="s">
        <v>1724</v>
      </c>
      <c r="B20" s="1559" t="s">
        <v>8825</v>
      </c>
      <c r="C20" s="1745">
        <v>0.05122685185185185</v>
      </c>
      <c r="D20" s="1021" t="s">
        <v>11096</v>
      </c>
      <c r="E20" s="1533" t="s">
        <v>11097</v>
      </c>
      <c r="F20" s="1522" t="s">
        <v>11098</v>
      </c>
      <c r="G20" s="1522" t="s">
        <v>11099</v>
      </c>
      <c r="H20" s="1522" t="s">
        <v>11100</v>
      </c>
      <c r="I20" s="1522" t="s">
        <v>11101</v>
      </c>
      <c r="J20" s="1522" t="s">
        <v>11102</v>
      </c>
      <c r="K20" s="1522" t="s">
        <v>11103</v>
      </c>
      <c r="L20" s="1522" t="s">
        <v>6102</v>
      </c>
      <c r="M20" s="1742">
        <v>0.05224537037037037</v>
      </c>
      <c r="N20" s="1743" t="str">
        <f t="shared" si="1"/>
        <v>1:28</v>
      </c>
      <c r="O20" s="1586" t="s">
        <v>11104</v>
      </c>
    </row>
    <row r="21" ht="15.75" customHeight="1">
      <c r="A21" s="1617" t="s">
        <v>6957</v>
      </c>
      <c r="B21" s="1559" t="s">
        <v>8825</v>
      </c>
      <c r="C21" s="1745">
        <v>0.05133101851851852</v>
      </c>
      <c r="D21" s="1522" t="s">
        <v>11105</v>
      </c>
      <c r="E21" s="1533" t="s">
        <v>11106</v>
      </c>
      <c r="F21" s="1522" t="s">
        <v>11107</v>
      </c>
      <c r="G21" s="1535" t="s">
        <v>11108</v>
      </c>
      <c r="H21" s="1535" t="s">
        <v>11109</v>
      </c>
      <c r="I21" s="1522" t="s">
        <v>11110</v>
      </c>
      <c r="J21" s="1522" t="s">
        <v>11111</v>
      </c>
      <c r="K21" s="1522" t="s">
        <v>11112</v>
      </c>
      <c r="L21" s="1522" t="s">
        <v>11113</v>
      </c>
      <c r="M21" s="1742">
        <v>0.05197916666666667</v>
      </c>
      <c r="N21" s="1743" t="str">
        <f t="shared" si="1"/>
        <v>0:56</v>
      </c>
      <c r="O21" s="1586" t="s">
        <v>11114</v>
      </c>
    </row>
    <row r="22" ht="15.75" customHeight="1">
      <c r="A22" s="1689" t="s">
        <v>9282</v>
      </c>
      <c r="B22" s="1502" t="s">
        <v>8825</v>
      </c>
      <c r="C22" s="1741">
        <v>0.05144675925925926</v>
      </c>
      <c r="D22" s="1522" t="s">
        <v>11115</v>
      </c>
      <c r="E22" s="1757" t="s">
        <v>11116</v>
      </c>
      <c r="F22" s="1522" t="s">
        <v>11117</v>
      </c>
      <c r="G22" s="1522" t="s">
        <v>11118</v>
      </c>
      <c r="H22" s="1522" t="s">
        <v>11119</v>
      </c>
      <c r="I22" s="1522" t="s">
        <v>11120</v>
      </c>
      <c r="J22" s="1522" t="s">
        <v>11121</v>
      </c>
      <c r="K22" s="1522" t="s">
        <v>11122</v>
      </c>
      <c r="L22" s="1211" t="s">
        <v>9182</v>
      </c>
      <c r="M22" s="1742">
        <v>0.05258101851851852</v>
      </c>
      <c r="N22" s="1743" t="str">
        <f t="shared" si="1"/>
        <v>1:38</v>
      </c>
      <c r="O22" s="1586" t="s">
        <v>10996</v>
      </c>
    </row>
    <row r="23" ht="15.75" customHeight="1">
      <c r="A23" s="1617" t="s">
        <v>9443</v>
      </c>
      <c r="B23" s="1559" t="s">
        <v>8853</v>
      </c>
      <c r="C23" s="1745">
        <v>0.05146990740740741</v>
      </c>
      <c r="D23" s="1759" t="s">
        <v>10968</v>
      </c>
      <c r="E23" s="1533" t="s">
        <v>10384</v>
      </c>
      <c r="F23" s="1533" t="s">
        <v>11123</v>
      </c>
      <c r="G23" s="1533" t="s">
        <v>11124</v>
      </c>
      <c r="H23" s="1533" t="s">
        <v>11125</v>
      </c>
      <c r="I23" s="1522" t="s">
        <v>11126</v>
      </c>
      <c r="J23" s="1025" t="s">
        <v>11127</v>
      </c>
      <c r="K23" s="1522" t="s">
        <v>11128</v>
      </c>
      <c r="L23" s="1025" t="s">
        <v>9457</v>
      </c>
      <c r="M23" s="1763">
        <v>0.05236111111111111</v>
      </c>
      <c r="N23" s="1743" t="str">
        <f t="shared" si="1"/>
        <v>1:17</v>
      </c>
      <c r="O23" s="1586" t="s">
        <v>10996</v>
      </c>
    </row>
    <row r="24" ht="15.75" customHeight="1">
      <c r="A24" s="1744" t="s">
        <v>899</v>
      </c>
      <c r="B24" s="1502" t="s">
        <v>8825</v>
      </c>
      <c r="C24" s="1741">
        <v>0.051550925925925924</v>
      </c>
      <c r="D24" s="1522" t="s">
        <v>11129</v>
      </c>
      <c r="E24" s="1757" t="s">
        <v>10368</v>
      </c>
      <c r="F24" s="1522" t="s">
        <v>11130</v>
      </c>
      <c r="G24" s="1522" t="s">
        <v>11131</v>
      </c>
      <c r="H24" s="1522" t="s">
        <v>11132</v>
      </c>
      <c r="I24" s="1522" t="s">
        <v>11133</v>
      </c>
      <c r="J24" s="1522" t="s">
        <v>11134</v>
      </c>
      <c r="K24" s="1522" t="s">
        <v>11135</v>
      </c>
      <c r="L24" s="1211" t="s">
        <v>11136</v>
      </c>
      <c r="M24" s="1742">
        <v>0.05229166666666667</v>
      </c>
      <c r="N24" s="1743" t="str">
        <f t="shared" si="1"/>
        <v>1:04</v>
      </c>
      <c r="O24" s="1586" t="s">
        <v>10996</v>
      </c>
    </row>
    <row r="25">
      <c r="A25" s="1748" t="s">
        <v>1809</v>
      </c>
      <c r="B25" s="1641" t="s">
        <v>8879</v>
      </c>
      <c r="C25" s="1764">
        <v>0.05158564814814815</v>
      </c>
      <c r="D25" s="1765" t="s">
        <v>10976</v>
      </c>
      <c r="E25" s="1766" t="s">
        <v>10977</v>
      </c>
      <c r="F25" s="1765" t="s">
        <v>10978</v>
      </c>
      <c r="G25" s="1765" t="s">
        <v>10979</v>
      </c>
      <c r="H25" s="1765" t="s">
        <v>10980</v>
      </c>
      <c r="I25" s="1765" t="s">
        <v>10981</v>
      </c>
      <c r="J25" s="1765" t="s">
        <v>10982</v>
      </c>
      <c r="K25" s="1765" t="s">
        <v>10983</v>
      </c>
      <c r="L25" s="1765" t="s">
        <v>8907</v>
      </c>
      <c r="M25" s="1767">
        <v>0.052141203703703703</v>
      </c>
      <c r="N25" s="1743" t="str">
        <f t="shared" si="1"/>
        <v>0:48</v>
      </c>
      <c r="O25" s="1586" t="s">
        <v>11137</v>
      </c>
    </row>
    <row r="26" ht="15.75" customHeight="1">
      <c r="A26" s="932" t="s">
        <v>2817</v>
      </c>
      <c r="B26" s="1559" t="s">
        <v>8825</v>
      </c>
      <c r="C26" s="1741">
        <v>0.051706365740740744</v>
      </c>
      <c r="D26" s="1025" t="s">
        <v>11138</v>
      </c>
      <c r="E26" s="1533" t="s">
        <v>11139</v>
      </c>
      <c r="F26" s="1522" t="s">
        <v>11140</v>
      </c>
      <c r="G26" s="1522" t="s">
        <v>11141</v>
      </c>
      <c r="H26" s="1522" t="s">
        <v>11142</v>
      </c>
      <c r="I26" s="1522" t="s">
        <v>11143</v>
      </c>
      <c r="J26" s="1522" t="s">
        <v>11144</v>
      </c>
      <c r="K26" s="1522" t="s">
        <v>11145</v>
      </c>
      <c r="L26" s="1522" t="s">
        <v>9747</v>
      </c>
      <c r="M26" s="1742">
        <v>0.0525</v>
      </c>
      <c r="N26" s="1742" t="str">
        <f t="shared" si="1"/>
        <v>1:09</v>
      </c>
      <c r="O26" s="1586"/>
    </row>
    <row r="27" ht="15.75" customHeight="1">
      <c r="A27" s="1768" t="s">
        <v>2103</v>
      </c>
      <c r="B27" s="1633" t="s">
        <v>8825</v>
      </c>
      <c r="C27" s="1741">
        <v>0.05171296296296296</v>
      </c>
      <c r="D27" s="1769" t="s">
        <v>11146</v>
      </c>
      <c r="E27" s="1769" t="s">
        <v>11147</v>
      </c>
      <c r="F27" s="1769" t="s">
        <v>11148</v>
      </c>
      <c r="G27" s="1769" t="s">
        <v>11149</v>
      </c>
      <c r="H27" s="1025" t="s">
        <v>11150</v>
      </c>
      <c r="I27" s="1769" t="s">
        <v>11151</v>
      </c>
      <c r="J27" s="1025" t="s">
        <v>11152</v>
      </c>
      <c r="K27" s="1769" t="s">
        <v>11153</v>
      </c>
      <c r="L27" s="1025" t="s">
        <v>8288</v>
      </c>
      <c r="M27" s="1742">
        <v>0.054375</v>
      </c>
      <c r="N27" s="1743" t="str">
        <f t="shared" si="1"/>
        <v>3:50</v>
      </c>
      <c r="O27" s="1586" t="s">
        <v>11154</v>
      </c>
    </row>
    <row r="28" ht="15.75" customHeight="1">
      <c r="A28" s="1617" t="s">
        <v>3090</v>
      </c>
      <c r="B28" s="1559" t="s">
        <v>8825</v>
      </c>
      <c r="C28" s="1745">
        <v>0.05180160879629629</v>
      </c>
      <c r="D28" s="1025" t="s">
        <v>11155</v>
      </c>
      <c r="E28" s="1533" t="s">
        <v>11156</v>
      </c>
      <c r="F28" s="1522" t="s">
        <v>11157</v>
      </c>
      <c r="G28" s="1522" t="s">
        <v>11158</v>
      </c>
      <c r="H28" s="1522" t="s">
        <v>11159</v>
      </c>
      <c r="I28" s="1522" t="s">
        <v>11160</v>
      </c>
      <c r="J28" s="1522" t="s">
        <v>11161</v>
      </c>
      <c r="K28" s="1522" t="s">
        <v>11162</v>
      </c>
      <c r="L28" s="1522" t="s">
        <v>11163</v>
      </c>
      <c r="M28" s="1742">
        <v>0.05303240740740741</v>
      </c>
      <c r="N28" s="1743" t="str">
        <f t="shared" si="1"/>
        <v>1:46</v>
      </c>
      <c r="O28" s="1586"/>
    </row>
    <row r="29" ht="15.75" customHeight="1">
      <c r="A29" s="932" t="s">
        <v>1347</v>
      </c>
      <c r="B29" s="1641" t="s">
        <v>8879</v>
      </c>
      <c r="C29" s="1741">
        <v>0.052088194444444444</v>
      </c>
      <c r="D29" s="1025" t="s">
        <v>11164</v>
      </c>
      <c r="E29" s="1533" t="s">
        <v>11165</v>
      </c>
      <c r="F29" s="1522" t="s">
        <v>11166</v>
      </c>
      <c r="G29" s="1522" t="s">
        <v>11167</v>
      </c>
      <c r="H29" s="1522" t="s">
        <v>11168</v>
      </c>
      <c r="I29" s="1522" t="s">
        <v>11169</v>
      </c>
      <c r="J29" s="1522" t="s">
        <v>11170</v>
      </c>
      <c r="K29" s="1522" t="s">
        <v>11171</v>
      </c>
      <c r="L29" s="1522" t="s">
        <v>10056</v>
      </c>
      <c r="M29" s="1742">
        <v>0.053043981481481484</v>
      </c>
      <c r="N29" s="1743" t="str">
        <f t="shared" si="1"/>
        <v>1:23</v>
      </c>
      <c r="O29" s="1586" t="s">
        <v>10996</v>
      </c>
    </row>
    <row r="30" ht="15.75" customHeight="1">
      <c r="A30" s="932" t="s">
        <v>2572</v>
      </c>
      <c r="B30" s="1559" t="s">
        <v>8853</v>
      </c>
      <c r="C30" s="1741">
        <v>0.05215277777777778</v>
      </c>
      <c r="D30" s="1522" t="s">
        <v>11172</v>
      </c>
      <c r="E30" s="1522" t="s">
        <v>6025</v>
      </c>
      <c r="F30" s="1522" t="s">
        <v>11173</v>
      </c>
      <c r="G30" s="1522" t="s">
        <v>11174</v>
      </c>
      <c r="H30" s="1522" t="s">
        <v>11175</v>
      </c>
      <c r="I30" s="1522" t="s">
        <v>11046</v>
      </c>
      <c r="J30" s="1522" t="s">
        <v>11176</v>
      </c>
      <c r="K30" s="1522" t="s">
        <v>11177</v>
      </c>
      <c r="L30" s="1522" t="s">
        <v>9796</v>
      </c>
      <c r="M30" s="1742">
        <v>0.05399305555555556</v>
      </c>
      <c r="N30" s="1743" t="str">
        <f t="shared" si="1"/>
        <v>2:39</v>
      </c>
      <c r="O30" s="1586" t="s">
        <v>11178</v>
      </c>
    </row>
    <row r="31" ht="15.75" customHeight="1">
      <c r="A31" s="1617" t="s">
        <v>2986</v>
      </c>
      <c r="B31" s="1559" t="s">
        <v>8825</v>
      </c>
      <c r="C31" s="1745">
        <v>0.05216435185185185</v>
      </c>
      <c r="D31" s="1522" t="s">
        <v>11179</v>
      </c>
      <c r="E31" s="1533" t="s">
        <v>11180</v>
      </c>
      <c r="F31" s="1522" t="s">
        <v>11181</v>
      </c>
      <c r="G31" s="1522" t="s">
        <v>11182</v>
      </c>
      <c r="H31" s="1522" t="s">
        <v>11183</v>
      </c>
      <c r="I31" s="1522" t="s">
        <v>11184</v>
      </c>
      <c r="J31" s="1522" t="s">
        <v>11185</v>
      </c>
      <c r="K31" s="1522" t="s">
        <v>11186</v>
      </c>
      <c r="L31" s="1522" t="s">
        <v>11187</v>
      </c>
      <c r="M31" s="1742">
        <v>0.05337962962962963</v>
      </c>
      <c r="N31" s="1743" t="str">
        <f t="shared" si="1"/>
        <v>1:45</v>
      </c>
      <c r="O31" s="1586" t="s">
        <v>11188</v>
      </c>
    </row>
    <row r="32" ht="15.75" customHeight="1">
      <c r="A32" s="932" t="s">
        <v>741</v>
      </c>
      <c r="B32" s="1559" t="s">
        <v>8853</v>
      </c>
      <c r="C32" s="1741">
        <v>0.05224537037037037</v>
      </c>
      <c r="D32" s="1522" t="s">
        <v>11189</v>
      </c>
      <c r="E32" s="1770" t="s">
        <v>11190</v>
      </c>
      <c r="F32" s="1522" t="s">
        <v>11191</v>
      </c>
      <c r="G32" s="1522" t="s">
        <v>11192</v>
      </c>
      <c r="H32" s="1522" t="s">
        <v>11193</v>
      </c>
      <c r="I32" s="1522" t="s">
        <v>11194</v>
      </c>
      <c r="J32" s="1522" t="s">
        <v>11195</v>
      </c>
      <c r="K32" s="1535" t="s">
        <v>11196</v>
      </c>
      <c r="L32" s="1522" t="s">
        <v>11197</v>
      </c>
      <c r="M32" s="1742">
        <v>0.053043981481481484</v>
      </c>
      <c r="N32" s="1743" t="str">
        <f t="shared" si="1"/>
        <v>1:09</v>
      </c>
      <c r="O32" s="1586" t="s">
        <v>11198</v>
      </c>
    </row>
    <row r="33" ht="15.75" customHeight="1">
      <c r="A33" s="1617" t="s">
        <v>3090</v>
      </c>
      <c r="B33" s="1641" t="s">
        <v>8853</v>
      </c>
      <c r="C33" s="1745">
        <v>0.052316898148148154</v>
      </c>
      <c r="D33" s="1025" t="s">
        <v>11199</v>
      </c>
      <c r="E33" s="1533" t="s">
        <v>11200</v>
      </c>
      <c r="F33" s="1522" t="s">
        <v>11201</v>
      </c>
      <c r="G33" s="1522" t="s">
        <v>11202</v>
      </c>
      <c r="H33" s="1522" t="s">
        <v>11203</v>
      </c>
      <c r="I33" s="1522" t="s">
        <v>11204</v>
      </c>
      <c r="J33" s="1522" t="s">
        <v>11205</v>
      </c>
      <c r="K33" s="1522" t="s">
        <v>11206</v>
      </c>
      <c r="L33" s="1522" t="s">
        <v>9533</v>
      </c>
      <c r="M33" s="1742">
        <v>0.05376157407407407</v>
      </c>
      <c r="N33" s="1743" t="str">
        <f t="shared" si="1"/>
        <v>2:05</v>
      </c>
      <c r="O33" s="1586" t="s">
        <v>10996</v>
      </c>
    </row>
    <row r="34" ht="15.75" customHeight="1">
      <c r="A34" s="932" t="s">
        <v>4046</v>
      </c>
      <c r="B34" s="1559" t="s">
        <v>8825</v>
      </c>
      <c r="C34" s="1741">
        <v>0.05238425925925926</v>
      </c>
      <c r="D34" s="1021" t="s">
        <v>11207</v>
      </c>
      <c r="E34" s="1533" t="s">
        <v>11180</v>
      </c>
      <c r="F34" s="1522" t="s">
        <v>11208</v>
      </c>
      <c r="G34" s="1771" t="s">
        <v>11209</v>
      </c>
      <c r="H34" s="1522" t="s">
        <v>11210</v>
      </c>
      <c r="I34" s="1522" t="s">
        <v>11211</v>
      </c>
      <c r="J34" s="1522" t="s">
        <v>11212</v>
      </c>
      <c r="K34" s="1522" t="s">
        <v>11213</v>
      </c>
      <c r="L34" s="1522" t="s">
        <v>10074</v>
      </c>
      <c r="M34" s="1742">
        <v>0.05340277777777778</v>
      </c>
      <c r="N34" s="1743" t="str">
        <f t="shared" si="1"/>
        <v>1:28</v>
      </c>
      <c r="O34" s="1586" t="s">
        <v>11214</v>
      </c>
    </row>
    <row r="35" ht="15.75" customHeight="1">
      <c r="A35" s="932" t="s">
        <v>2756</v>
      </c>
      <c r="B35" s="1559" t="s">
        <v>8825</v>
      </c>
      <c r="C35" s="1741">
        <v>0.0525</v>
      </c>
      <c r="D35" s="1025" t="s">
        <v>11215</v>
      </c>
      <c r="E35" s="1533" t="s">
        <v>11216</v>
      </c>
      <c r="F35" s="1522" t="s">
        <v>11217</v>
      </c>
      <c r="G35" s="1522" t="s">
        <v>11218</v>
      </c>
      <c r="H35" s="1522" t="s">
        <v>11219</v>
      </c>
      <c r="I35" s="1522" t="s">
        <v>11220</v>
      </c>
      <c r="J35" s="1522" t="s">
        <v>11221</v>
      </c>
      <c r="K35" s="1522" t="s">
        <v>11222</v>
      </c>
      <c r="L35" s="1522" t="s">
        <v>700</v>
      </c>
      <c r="M35" s="1742">
        <v>0.053773148148148146</v>
      </c>
      <c r="N35" s="1743" t="str">
        <f t="shared" si="1"/>
        <v>1:50</v>
      </c>
      <c r="O35" s="1586" t="s">
        <v>11223</v>
      </c>
    </row>
    <row r="36" ht="15.75" customHeight="1">
      <c r="A36" s="1617" t="s">
        <v>10101</v>
      </c>
      <c r="B36" s="1559" t="s">
        <v>8825</v>
      </c>
      <c r="C36" s="1745">
        <v>0.05268518518518518</v>
      </c>
      <c r="D36" s="1025" t="s">
        <v>11224</v>
      </c>
      <c r="E36" s="1533" t="s">
        <v>11225</v>
      </c>
      <c r="F36" s="1522" t="s">
        <v>11226</v>
      </c>
      <c r="G36" s="1522" t="s">
        <v>11227</v>
      </c>
      <c r="H36" s="1522" t="s">
        <v>11228</v>
      </c>
      <c r="I36" s="1522" t="s">
        <v>7399</v>
      </c>
      <c r="J36" s="1522" t="s">
        <v>11229</v>
      </c>
      <c r="K36" s="1522" t="s">
        <v>11230</v>
      </c>
      <c r="L36" s="1522" t="s">
        <v>10119</v>
      </c>
      <c r="M36" s="1742">
        <v>0.05331018518518518</v>
      </c>
      <c r="N36" s="1743" t="str">
        <f t="shared" si="1"/>
        <v>0:54</v>
      </c>
      <c r="O36" s="1586" t="s">
        <v>11231</v>
      </c>
    </row>
    <row r="37" ht="15.75" customHeight="1">
      <c r="A37" s="1617" t="s">
        <v>3744</v>
      </c>
      <c r="B37" s="1753" t="s">
        <v>8825</v>
      </c>
      <c r="C37" s="1745">
        <v>0.05270034722222223</v>
      </c>
      <c r="D37" s="1021" t="s">
        <v>11232</v>
      </c>
      <c r="E37" s="1533" t="s">
        <v>11233</v>
      </c>
      <c r="F37" s="1522" t="s">
        <v>11234</v>
      </c>
      <c r="G37" s="1522" t="s">
        <v>11235</v>
      </c>
      <c r="H37" s="1522" t="s">
        <v>11236</v>
      </c>
      <c r="I37" s="1522" t="s">
        <v>11237</v>
      </c>
      <c r="J37" s="1522" t="s">
        <v>11238</v>
      </c>
      <c r="K37" s="1522" t="s">
        <v>11239</v>
      </c>
      <c r="L37" s="1522" t="s">
        <v>11240</v>
      </c>
      <c r="M37" s="1742">
        <v>0.05425925925925926</v>
      </c>
      <c r="N37" s="1743" t="str">
        <f t="shared" si="1"/>
        <v>2:15</v>
      </c>
      <c r="O37" s="1586" t="s">
        <v>10996</v>
      </c>
    </row>
    <row r="38">
      <c r="A38" s="1772" t="s">
        <v>3435</v>
      </c>
      <c r="B38" s="1753" t="s">
        <v>8825</v>
      </c>
      <c r="C38" s="1745">
        <v>0.053009259259259256</v>
      </c>
      <c r="D38" s="1021" t="s">
        <v>11241</v>
      </c>
      <c r="E38" s="1533" t="s">
        <v>11242</v>
      </c>
      <c r="F38" s="1522" t="s">
        <v>11243</v>
      </c>
      <c r="G38" s="1522" t="s">
        <v>11244</v>
      </c>
      <c r="H38" s="1522" t="s">
        <v>11245</v>
      </c>
      <c r="I38" s="1522" t="s">
        <v>11246</v>
      </c>
      <c r="J38" s="1522" t="s">
        <v>11247</v>
      </c>
      <c r="K38" s="1522" t="s">
        <v>11248</v>
      </c>
      <c r="L38" s="1522" t="s">
        <v>11249</v>
      </c>
      <c r="M38" s="1742">
        <v>0.05372685185185185</v>
      </c>
      <c r="N38" s="1743" t="str">
        <f t="shared" si="1"/>
        <v>1:02</v>
      </c>
      <c r="O38" s="1586" t="s">
        <v>10996</v>
      </c>
    </row>
    <row r="39" ht="15.75" customHeight="1">
      <c r="A39" s="932" t="s">
        <v>981</v>
      </c>
      <c r="B39" s="1720" t="s">
        <v>8853</v>
      </c>
      <c r="C39" s="1741">
        <v>0.05378472222222222</v>
      </c>
      <c r="D39" s="1025" t="s">
        <v>11250</v>
      </c>
      <c r="E39" s="1533" t="s">
        <v>11251</v>
      </c>
      <c r="F39" s="1522" t="s">
        <v>11252</v>
      </c>
      <c r="G39" s="1522" t="s">
        <v>11253</v>
      </c>
      <c r="H39" s="1522" t="s">
        <v>11254</v>
      </c>
      <c r="I39" s="1522" t="s">
        <v>8401</v>
      </c>
      <c r="J39" s="1522" t="s">
        <v>11255</v>
      </c>
      <c r="K39" s="1522" t="s">
        <v>11256</v>
      </c>
      <c r="L39" s="1522" t="s">
        <v>9845</v>
      </c>
      <c r="M39" s="1742">
        <v>0.054560185185185184</v>
      </c>
      <c r="N39" s="1743" t="str">
        <f t="shared" si="1"/>
        <v>1:07</v>
      </c>
      <c r="O39" s="1586"/>
    </row>
    <row r="40" ht="15.75" customHeight="1">
      <c r="A40" s="932" t="s">
        <v>4945</v>
      </c>
      <c r="B40" s="1641" t="s">
        <v>8853</v>
      </c>
      <c r="C40" s="1741">
        <v>0.05748842592592593</v>
      </c>
      <c r="D40" s="1533" t="s">
        <v>11257</v>
      </c>
      <c r="E40" s="1533" t="s">
        <v>11258</v>
      </c>
      <c r="F40" s="1522" t="s">
        <v>11259</v>
      </c>
      <c r="G40" s="1522" t="s">
        <v>11260</v>
      </c>
      <c r="H40" s="1522" t="s">
        <v>11261</v>
      </c>
      <c r="I40" s="1522" t="s">
        <v>11262</v>
      </c>
      <c r="J40" s="1522" t="s">
        <v>11263</v>
      </c>
      <c r="K40" s="1522" t="s">
        <v>11264</v>
      </c>
      <c r="L40" s="1522" t="s">
        <v>10847</v>
      </c>
      <c r="M40" s="1742">
        <v>0.06149305555555556</v>
      </c>
      <c r="N40" s="1743" t="str">
        <f t="shared" si="1"/>
        <v>5:46</v>
      </c>
      <c r="O40" s="1586" t="s">
        <v>10996</v>
      </c>
    </row>
    <row r="41" ht="15.75" customHeight="1">
      <c r="A41" s="932" t="s">
        <v>6526</v>
      </c>
      <c r="B41" s="1676" t="s">
        <v>10849</v>
      </c>
      <c r="C41" s="1773">
        <v>0.0609375</v>
      </c>
      <c r="D41" s="1684" t="s">
        <v>11265</v>
      </c>
      <c r="E41" s="1774" t="s">
        <v>8739</v>
      </c>
      <c r="F41" s="1774" t="s">
        <v>11266</v>
      </c>
      <c r="G41" s="1774" t="s">
        <v>11267</v>
      </c>
      <c r="H41" s="1774" t="s">
        <v>11268</v>
      </c>
      <c r="I41" s="1774" t="s">
        <v>8393</v>
      </c>
      <c r="J41" s="1774" t="s">
        <v>11269</v>
      </c>
      <c r="K41" s="1774" t="s">
        <v>11270</v>
      </c>
      <c r="L41" s="1774" t="s">
        <v>11271</v>
      </c>
      <c r="M41" s="1775">
        <v>0.06646990740740741</v>
      </c>
      <c r="N41" s="1774" t="s">
        <v>11272</v>
      </c>
      <c r="O41" s="1586" t="s">
        <v>11273</v>
      </c>
    </row>
    <row r="42" ht="15.75" customHeight="1">
      <c r="A42" s="1617"/>
      <c r="B42" s="1559"/>
      <c r="C42" s="1776"/>
      <c r="D42" s="1021"/>
      <c r="E42" s="1757"/>
      <c r="F42" s="1522"/>
      <c r="G42" s="1522"/>
      <c r="H42" s="1522"/>
      <c r="I42" s="1522"/>
      <c r="J42" s="1522"/>
      <c r="K42" s="1522"/>
      <c r="L42" s="1522"/>
      <c r="M42" s="1522"/>
      <c r="N42" s="1742"/>
      <c r="O42" s="1586"/>
    </row>
    <row r="43">
      <c r="A43" s="1748"/>
      <c r="B43" s="1749"/>
      <c r="C43" s="1776"/>
      <c r="D43" s="1001"/>
      <c r="E43" s="1757"/>
      <c r="F43" s="1522"/>
      <c r="G43" s="1522"/>
      <c r="H43" s="1522"/>
      <c r="I43" s="1522"/>
      <c r="J43" s="1522"/>
      <c r="K43" s="1522"/>
      <c r="L43" s="1522"/>
      <c r="M43" s="1522"/>
      <c r="N43" s="1742"/>
      <c r="O43" s="1586"/>
    </row>
    <row r="44" ht="15.75" customHeight="1">
      <c r="A44" s="1617"/>
      <c r="B44" s="1559"/>
      <c r="C44" s="1776"/>
      <c r="D44" s="997"/>
      <c r="E44" s="1757"/>
      <c r="F44" s="1522"/>
      <c r="G44" s="1522"/>
      <c r="H44" s="1522"/>
      <c r="I44" s="1522"/>
      <c r="J44" s="1522"/>
      <c r="K44" s="1522"/>
      <c r="L44" s="1522"/>
      <c r="M44" s="1522"/>
      <c r="N44" s="1742"/>
      <c r="O44" s="1586"/>
    </row>
    <row r="45" ht="15.75" customHeight="1">
      <c r="A45" s="1693"/>
      <c r="B45" s="1645"/>
      <c r="C45" s="1777"/>
      <c r="D45" s="1001"/>
      <c r="E45" s="1757"/>
      <c r="F45" s="1522"/>
      <c r="G45" s="1522"/>
      <c r="H45" s="1522"/>
      <c r="I45" s="1522"/>
      <c r="J45" s="1522"/>
      <c r="K45" s="1522"/>
      <c r="L45" s="1522"/>
      <c r="M45" s="1522"/>
      <c r="N45" s="1742"/>
      <c r="O45" s="1586"/>
    </row>
    <row r="46">
      <c r="A46" s="1772"/>
      <c r="B46" s="1753"/>
      <c r="C46" s="1778"/>
      <c r="D46" s="997"/>
      <c r="E46" s="1757"/>
      <c r="F46" s="1522"/>
      <c r="G46" s="1522"/>
      <c r="H46" s="1522"/>
      <c r="I46" s="1522"/>
      <c r="J46" s="1522"/>
      <c r="K46" s="1522"/>
      <c r="L46" s="1522"/>
      <c r="M46" s="1522"/>
      <c r="N46" s="1742"/>
      <c r="O46" s="1586"/>
    </row>
    <row r="47" ht="15.75" customHeight="1">
      <c r="A47" s="1689"/>
      <c r="B47" s="1502"/>
      <c r="C47" s="1779"/>
      <c r="D47" s="1001"/>
      <c r="E47" s="1757"/>
      <c r="F47" s="1522"/>
      <c r="G47" s="1522"/>
      <c r="H47" s="1522"/>
      <c r="I47" s="1522"/>
      <c r="J47" s="1522"/>
      <c r="K47" s="1522"/>
      <c r="L47" s="1522"/>
      <c r="M47" s="1522"/>
      <c r="N47" s="1742"/>
      <c r="O47" s="1586"/>
    </row>
    <row r="48" ht="15.75" customHeight="1">
      <c r="A48" s="1693"/>
      <c r="B48" s="1502"/>
      <c r="C48" s="1777"/>
      <c r="D48" s="997"/>
      <c r="E48" s="1757"/>
      <c r="F48" s="1522"/>
      <c r="G48" s="1522"/>
      <c r="H48" s="1522"/>
      <c r="I48" s="1522"/>
      <c r="J48" s="1522"/>
      <c r="K48" s="1522"/>
      <c r="L48" s="1522"/>
      <c r="M48" s="1522"/>
      <c r="N48" s="1742"/>
      <c r="O48" s="1586"/>
    </row>
    <row r="49" ht="15.75" customHeight="1">
      <c r="A49" s="1748"/>
      <c r="B49" s="1749"/>
      <c r="C49" s="1776"/>
      <c r="D49" s="1001"/>
      <c r="E49" s="1757"/>
      <c r="F49" s="1522"/>
      <c r="G49" s="1522"/>
      <c r="H49" s="1522"/>
      <c r="I49" s="1522"/>
      <c r="J49" s="1522"/>
      <c r="K49" s="1522"/>
      <c r="L49" s="1522"/>
      <c r="M49" s="1522"/>
      <c r="N49" s="1742"/>
      <c r="O49" s="1586"/>
    </row>
    <row r="50" ht="15.75" customHeight="1">
      <c r="A50" s="1689"/>
      <c r="B50" s="1590"/>
      <c r="C50" s="1779"/>
      <c r="D50" s="997"/>
      <c r="E50" s="1757"/>
      <c r="F50" s="1522"/>
      <c r="G50" s="1522"/>
      <c r="H50" s="1522"/>
      <c r="I50" s="1522"/>
      <c r="J50" s="1522"/>
      <c r="K50" s="1522"/>
      <c r="L50" s="1522"/>
      <c r="M50" s="1522"/>
      <c r="N50" s="1742"/>
      <c r="O50" s="1586"/>
    </row>
    <row r="51" ht="15.75" customHeight="1">
      <c r="A51" s="1693"/>
      <c r="B51" s="1645"/>
      <c r="C51" s="1777"/>
      <c r="D51" s="1001"/>
      <c r="E51" s="1757"/>
      <c r="F51" s="1522"/>
      <c r="G51" s="1522"/>
      <c r="H51" s="1522"/>
      <c r="I51" s="1522"/>
      <c r="J51" s="1522"/>
      <c r="K51" s="1522"/>
      <c r="L51" s="1522"/>
      <c r="M51" s="1522"/>
      <c r="N51" s="1742"/>
      <c r="O51" s="1586"/>
    </row>
    <row r="52" ht="15.75" customHeight="1">
      <c r="A52" s="1748"/>
      <c r="B52" s="1559"/>
      <c r="C52" s="1776"/>
      <c r="D52" s="997"/>
      <c r="E52" s="1757"/>
      <c r="F52" s="1522"/>
      <c r="G52" s="1522"/>
      <c r="H52" s="1522"/>
      <c r="I52" s="1522"/>
      <c r="J52" s="1522"/>
      <c r="K52" s="1522"/>
      <c r="L52" s="1522"/>
      <c r="M52" s="1522"/>
      <c r="N52" s="1742"/>
      <c r="O52" s="1586"/>
    </row>
    <row r="53" ht="15.75" customHeight="1">
      <c r="A53" s="1617"/>
      <c r="B53" s="1641"/>
      <c r="C53" s="1776"/>
      <c r="D53" s="1001"/>
      <c r="E53" s="1757"/>
      <c r="F53" s="1522"/>
      <c r="G53" s="1522"/>
      <c r="H53" s="1522"/>
      <c r="I53" s="1522"/>
      <c r="J53" s="1522"/>
      <c r="K53" s="1522"/>
      <c r="L53" s="1522"/>
      <c r="M53" s="1522"/>
      <c r="N53" s="1742"/>
      <c r="O53" s="1586"/>
    </row>
    <row r="54" ht="15.75" customHeight="1">
      <c r="A54" s="1748"/>
      <c r="B54" s="1749"/>
      <c r="C54" s="1776"/>
      <c r="D54" s="997"/>
      <c r="E54" s="1757"/>
      <c r="F54" s="1522"/>
      <c r="G54" s="1522"/>
      <c r="H54" s="1522"/>
      <c r="I54" s="1522"/>
      <c r="J54" s="1522"/>
      <c r="K54" s="1522"/>
      <c r="L54" s="1522"/>
      <c r="M54" s="1522"/>
      <c r="N54" s="1742"/>
      <c r="O54" s="1586"/>
    </row>
    <row r="55" ht="15.75" customHeight="1">
      <c r="A55" s="1693"/>
      <c r="B55" s="1645"/>
      <c r="C55" s="1777"/>
      <c r="D55" s="1001"/>
      <c r="E55" s="1757"/>
      <c r="F55" s="1522"/>
      <c r="G55" s="1522"/>
      <c r="H55" s="1522"/>
      <c r="I55" s="1522"/>
      <c r="J55" s="1522"/>
      <c r="K55" s="1522"/>
      <c r="L55" s="1522"/>
      <c r="M55" s="1522"/>
      <c r="N55" s="1742"/>
      <c r="O55" s="1586"/>
    </row>
    <row r="56" ht="16.5" customHeight="1">
      <c r="A56" s="1689"/>
      <c r="B56" s="1645"/>
      <c r="C56" s="1779"/>
      <c r="D56" s="997"/>
      <c r="E56" s="1757"/>
      <c r="F56" s="1522"/>
      <c r="G56" s="1522"/>
      <c r="H56" s="1522"/>
      <c r="I56" s="1522"/>
      <c r="J56" s="1522"/>
      <c r="K56" s="1522"/>
      <c r="L56" s="1522"/>
      <c r="M56" s="1522"/>
      <c r="N56" s="1742"/>
      <c r="O56" s="1586"/>
    </row>
    <row r="57">
      <c r="A57" s="1748"/>
      <c r="B57" s="1749"/>
      <c r="C57" s="1780"/>
      <c r="D57" s="1001"/>
      <c r="E57" s="1757"/>
      <c r="F57" s="1522"/>
      <c r="G57" s="1522"/>
      <c r="H57" s="1522"/>
      <c r="I57" s="1522"/>
      <c r="J57" s="1522"/>
      <c r="K57" s="1522"/>
      <c r="L57" s="1522"/>
      <c r="M57" s="1522"/>
      <c r="N57" s="1742"/>
      <c r="O57" s="1586"/>
    </row>
    <row r="58">
      <c r="A58" s="1772"/>
      <c r="B58" s="1633"/>
      <c r="C58" s="1780"/>
      <c r="D58" s="1001"/>
      <c r="E58" s="1757"/>
      <c r="F58" s="1522"/>
      <c r="G58" s="1522"/>
      <c r="H58" s="1522"/>
      <c r="I58" s="1522"/>
      <c r="J58" s="1522"/>
      <c r="K58" s="1522"/>
      <c r="L58" s="1522"/>
      <c r="M58" s="1522"/>
      <c r="N58" s="1742"/>
      <c r="O58" s="1586"/>
    </row>
    <row r="59">
      <c r="A59" s="1748"/>
      <c r="B59" s="1749"/>
      <c r="C59" s="1776"/>
      <c r="D59" s="1522"/>
      <c r="E59" s="1757"/>
      <c r="F59" s="1522"/>
      <c r="G59" s="1522"/>
      <c r="H59" s="1522"/>
      <c r="I59" s="1522"/>
      <c r="J59" s="1522"/>
      <c r="K59" s="1522"/>
      <c r="L59" s="1522"/>
      <c r="M59" s="1522"/>
      <c r="N59" s="1742"/>
      <c r="O59" s="1586"/>
    </row>
    <row r="60">
      <c r="A60" s="1693"/>
      <c r="B60" s="1590"/>
      <c r="C60" s="1777"/>
      <c r="D60" s="1522"/>
      <c r="E60" s="1757"/>
      <c r="F60" s="1522"/>
      <c r="G60" s="1522"/>
      <c r="H60" s="1522"/>
      <c r="I60" s="1522"/>
      <c r="J60" s="1522"/>
      <c r="K60" s="1522"/>
      <c r="L60" s="1522"/>
      <c r="M60" s="1522"/>
      <c r="N60" s="1742"/>
      <c r="O60" s="1586"/>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8787</v>
      </c>
      <c r="C1" s="1801" t="s">
        <v>10958</v>
      </c>
      <c r="D1" s="1802" t="s">
        <v>7683</v>
      </c>
      <c r="E1" s="1803" t="s">
        <v>7985</v>
      </c>
      <c r="F1" s="1804" t="s">
        <v>38</v>
      </c>
      <c r="G1" s="1805" t="s">
        <v>36</v>
      </c>
      <c r="H1" s="1801" t="s">
        <v>10959</v>
      </c>
      <c r="I1" s="1806" t="s">
        <v>39</v>
      </c>
      <c r="J1" s="1702" t="s">
        <v>7921</v>
      </c>
      <c r="K1" s="1443" t="s">
        <v>8821</v>
      </c>
      <c r="L1" s="1704" t="s">
        <v>8823</v>
      </c>
    </row>
    <row r="2" ht="15.75" customHeight="1">
      <c r="A2" s="1705" t="s">
        <v>8824</v>
      </c>
      <c r="B2" s="1706" t="s">
        <v>8825</v>
      </c>
      <c r="C2" s="1708" t="s">
        <v>11274</v>
      </c>
      <c r="D2" s="1807" t="s">
        <v>11275</v>
      </c>
      <c r="E2" s="1808" t="s">
        <v>11276</v>
      </c>
      <c r="F2" s="1809" t="s">
        <v>11277</v>
      </c>
      <c r="G2" s="1712" t="s">
        <v>11278</v>
      </c>
      <c r="H2" s="1708" t="s">
        <v>11279</v>
      </c>
      <c r="I2" s="1810" t="s">
        <v>11280</v>
      </c>
      <c r="J2" s="1715" t="s">
        <v>11281</v>
      </c>
      <c r="K2" s="1811" t="s">
        <v>8916</v>
      </c>
      <c r="L2" s="1812"/>
    </row>
    <row r="3" ht="15.75" customHeight="1">
      <c r="A3" s="1719" t="s">
        <v>8852</v>
      </c>
      <c r="B3" s="1720" t="s">
        <v>8853</v>
      </c>
      <c r="C3" s="1472" t="s">
        <v>11172</v>
      </c>
      <c r="D3" s="1480" t="s">
        <v>11282</v>
      </c>
      <c r="E3" s="1474" t="s">
        <v>11283</v>
      </c>
      <c r="F3" s="1475" t="s">
        <v>11284</v>
      </c>
      <c r="G3" s="1477" t="s">
        <v>11285</v>
      </c>
      <c r="H3" s="1472" t="s">
        <v>11286</v>
      </c>
      <c r="I3" s="1479" t="s">
        <v>11287</v>
      </c>
      <c r="J3" s="1482" t="s">
        <v>11288</v>
      </c>
      <c r="K3" s="1721">
        <v>0.053043981481481484</v>
      </c>
      <c r="L3" s="1813"/>
    </row>
    <row r="4" ht="15.75" customHeight="1">
      <c r="A4" s="1724" t="s">
        <v>8878</v>
      </c>
      <c r="B4" s="1725" t="s">
        <v>8879</v>
      </c>
      <c r="C4" s="1727" t="s">
        <v>11164</v>
      </c>
      <c r="D4" s="1814" t="s">
        <v>11289</v>
      </c>
      <c r="E4" s="1729" t="s">
        <v>11290</v>
      </c>
      <c r="F4" s="1730" t="s">
        <v>11291</v>
      </c>
      <c r="G4" s="1731" t="s">
        <v>11292</v>
      </c>
      <c r="H4" s="1727" t="s">
        <v>11293</v>
      </c>
      <c r="I4" s="1732" t="s">
        <v>11294</v>
      </c>
      <c r="J4" s="1733" t="s">
        <v>11295</v>
      </c>
      <c r="K4" s="1726">
        <v>0.053043981481481484</v>
      </c>
      <c r="L4" s="1812"/>
    </row>
    <row r="5" ht="15.75" customHeight="1">
      <c r="A5" s="932" t="s">
        <v>1058</v>
      </c>
      <c r="B5" s="1559" t="s">
        <v>8825</v>
      </c>
      <c r="C5" s="1737" t="s">
        <v>11274</v>
      </c>
      <c r="D5" s="1737" t="s">
        <v>11275</v>
      </c>
      <c r="E5" s="1737" t="s">
        <v>11276</v>
      </c>
      <c r="F5" s="1737" t="s">
        <v>11277</v>
      </c>
      <c r="G5" s="1815" t="s">
        <v>11278</v>
      </c>
      <c r="H5" s="1815" t="s">
        <v>11279</v>
      </c>
      <c r="I5" s="1815" t="s">
        <v>11280</v>
      </c>
      <c r="J5" s="1815" t="s">
        <v>11281</v>
      </c>
      <c r="K5" s="1816" t="s">
        <v>8916</v>
      </c>
      <c r="L5" s="1586" t="s">
        <v>11296</v>
      </c>
    </row>
    <row r="6" ht="15.75" customHeight="1">
      <c r="A6" s="1689" t="s">
        <v>1809</v>
      </c>
      <c r="B6" s="1817" t="s">
        <v>8825</v>
      </c>
      <c r="C6" s="1818" t="s">
        <v>10988</v>
      </c>
      <c r="D6" s="1819" t="s">
        <v>11297</v>
      </c>
      <c r="E6" s="1820" t="s">
        <v>11298</v>
      </c>
      <c r="F6" s="1821" t="s">
        <v>11299</v>
      </c>
      <c r="G6" s="1822" t="s">
        <v>11300</v>
      </c>
      <c r="H6" s="1823" t="s">
        <v>11301</v>
      </c>
      <c r="I6" s="1824" t="s">
        <v>11302</v>
      </c>
      <c r="J6" s="1825" t="s">
        <v>11303</v>
      </c>
      <c r="K6" s="1522" t="s">
        <v>9008</v>
      </c>
      <c r="L6" s="1826" t="s">
        <v>11304</v>
      </c>
    </row>
    <row r="7" ht="15.75" customHeight="1">
      <c r="A7" s="1827" t="s">
        <v>6594</v>
      </c>
      <c r="B7" s="1559" t="s">
        <v>8825</v>
      </c>
      <c r="C7" s="1665" t="s">
        <v>11011</v>
      </c>
      <c r="D7" s="1522" t="s">
        <v>11305</v>
      </c>
      <c r="E7" s="1522" t="s">
        <v>11306</v>
      </c>
      <c r="F7" s="1522" t="s">
        <v>11307</v>
      </c>
      <c r="G7" s="1828" t="s">
        <v>11308</v>
      </c>
      <c r="H7" s="1828" t="s">
        <v>11309</v>
      </c>
      <c r="I7" s="1828" t="s">
        <v>11310</v>
      </c>
      <c r="J7" s="1828" t="s">
        <v>11311</v>
      </c>
      <c r="K7" s="1522" t="s">
        <v>9076</v>
      </c>
      <c r="L7" s="1586"/>
    </row>
    <row r="8" ht="15.75" customHeight="1">
      <c r="A8" s="932" t="s">
        <v>2538</v>
      </c>
      <c r="B8" s="1559" t="s">
        <v>8825</v>
      </c>
      <c r="C8" s="1750" t="s">
        <v>11003</v>
      </c>
      <c r="D8" s="1738" t="s">
        <v>11312</v>
      </c>
      <c r="E8" s="1738" t="s">
        <v>11313</v>
      </c>
      <c r="F8" s="1738" t="s">
        <v>11314</v>
      </c>
      <c r="G8" s="1829" t="s">
        <v>11315</v>
      </c>
      <c r="H8" s="1830" t="s">
        <v>11316</v>
      </c>
      <c r="I8" s="1831" t="s">
        <v>11317</v>
      </c>
      <c r="J8" s="1832" t="s">
        <v>11318</v>
      </c>
      <c r="K8" s="1738" t="s">
        <v>8964</v>
      </c>
      <c r="L8" s="1586"/>
    </row>
    <row r="9" ht="15.75" customHeight="1">
      <c r="A9" s="1744" t="s">
        <v>437</v>
      </c>
      <c r="B9" s="1502" t="s">
        <v>8825</v>
      </c>
      <c r="C9" s="1665" t="s">
        <v>10997</v>
      </c>
      <c r="D9" s="1522" t="s">
        <v>11319</v>
      </c>
      <c r="E9" s="1522" t="s">
        <v>11320</v>
      </c>
      <c r="F9" s="1522" t="s">
        <v>11321</v>
      </c>
      <c r="G9" s="1828" t="s">
        <v>11322</v>
      </c>
      <c r="H9" s="1828" t="s">
        <v>11323</v>
      </c>
      <c r="I9" s="1828" t="s">
        <v>11324</v>
      </c>
      <c r="J9" s="1828" t="s">
        <v>11325</v>
      </c>
      <c r="K9" s="1522" t="s">
        <v>8939</v>
      </c>
      <c r="L9" s="1586"/>
    </row>
    <row r="10" ht="15.75" customHeight="1">
      <c r="A10" s="1689" t="s">
        <v>6704</v>
      </c>
      <c r="B10" s="1502" t="s">
        <v>8825</v>
      </c>
      <c r="C10" s="1522" t="s">
        <v>11326</v>
      </c>
      <c r="D10" s="1522" t="s">
        <v>11327</v>
      </c>
      <c r="E10" s="1522" t="s">
        <v>11328</v>
      </c>
      <c r="F10" s="1535" t="s">
        <v>11329</v>
      </c>
      <c r="G10" s="1833" t="s">
        <v>11330</v>
      </c>
      <c r="H10" s="1834" t="s">
        <v>11331</v>
      </c>
      <c r="I10" s="1835" t="s">
        <v>11332</v>
      </c>
      <c r="J10" s="787" t="s">
        <v>11333</v>
      </c>
      <c r="K10" s="1522" t="s">
        <v>8987</v>
      </c>
      <c r="L10" s="1586"/>
    </row>
    <row r="11" ht="15.75" customHeight="1">
      <c r="A11" s="932" t="s">
        <v>1553</v>
      </c>
      <c r="B11" s="1559" t="s">
        <v>8825</v>
      </c>
      <c r="C11" s="1836" t="s">
        <v>11045</v>
      </c>
      <c r="D11" s="1756" t="s">
        <v>11334</v>
      </c>
      <c r="E11" s="1756" t="s">
        <v>11335</v>
      </c>
      <c r="F11" s="1522" t="s">
        <v>11336</v>
      </c>
      <c r="G11" s="1837" t="s">
        <v>11337</v>
      </c>
      <c r="H11" s="1837" t="s">
        <v>11338</v>
      </c>
      <c r="I11" s="1837" t="s">
        <v>11339</v>
      </c>
      <c r="J11" s="1837" t="s">
        <v>11340</v>
      </c>
      <c r="K11" s="1771" t="s">
        <v>9239</v>
      </c>
      <c r="L11" s="1586" t="s">
        <v>11341</v>
      </c>
    </row>
    <row r="12" ht="15.75" customHeight="1">
      <c r="A12" s="1617" t="s">
        <v>827</v>
      </c>
      <c r="B12" s="1641" t="s">
        <v>8825</v>
      </c>
      <c r="C12" s="1838" t="s">
        <v>11027</v>
      </c>
      <c r="D12" s="1522" t="s">
        <v>11342</v>
      </c>
      <c r="E12" s="1522" t="s">
        <v>11343</v>
      </c>
      <c r="F12" s="1522" t="s">
        <v>11344</v>
      </c>
      <c r="G12" s="797" t="s">
        <v>11345</v>
      </c>
      <c r="H12" s="1818" t="s">
        <v>11346</v>
      </c>
      <c r="I12" s="1824" t="s">
        <v>11347</v>
      </c>
      <c r="J12" s="1825" t="s">
        <v>11348</v>
      </c>
      <c r="K12" s="1522" t="s">
        <v>11349</v>
      </c>
      <c r="L12" s="1586" t="s">
        <v>11350</v>
      </c>
    </row>
    <row r="13" ht="15.75" customHeight="1">
      <c r="A13" s="1693" t="s">
        <v>2085</v>
      </c>
      <c r="B13" s="1502" t="s">
        <v>8825</v>
      </c>
      <c r="C13" s="1836" t="s">
        <v>11054</v>
      </c>
      <c r="D13" s="1522" t="s">
        <v>11351</v>
      </c>
      <c r="E13" s="1522" t="s">
        <v>11352</v>
      </c>
      <c r="F13" s="1522" t="s">
        <v>11353</v>
      </c>
      <c r="G13" s="1828" t="s">
        <v>11354</v>
      </c>
      <c r="H13" s="1828" t="s">
        <v>11355</v>
      </c>
      <c r="I13" s="1828" t="s">
        <v>11356</v>
      </c>
      <c r="J13" s="1828" t="s">
        <v>11357</v>
      </c>
      <c r="K13" s="1522" t="s">
        <v>9217</v>
      </c>
      <c r="L13" s="1586"/>
    </row>
    <row r="14" ht="15.75" customHeight="1">
      <c r="A14" s="1744" t="s">
        <v>332</v>
      </c>
      <c r="B14" s="1502" t="s">
        <v>8825</v>
      </c>
      <c r="C14" s="1522" t="s">
        <v>11358</v>
      </c>
      <c r="D14" s="1522" t="s">
        <v>11359</v>
      </c>
      <c r="E14" s="1522" t="s">
        <v>11360</v>
      </c>
      <c r="F14" s="1522" t="s">
        <v>11361</v>
      </c>
      <c r="G14" s="797" t="s">
        <v>11362</v>
      </c>
      <c r="H14" s="1818" t="s">
        <v>11363</v>
      </c>
      <c r="I14" s="1824" t="s">
        <v>11364</v>
      </c>
      <c r="J14" s="1825" t="s">
        <v>11365</v>
      </c>
      <c r="K14" s="1522" t="s">
        <v>9055</v>
      </c>
      <c r="L14" s="1586"/>
    </row>
    <row r="15" ht="16.5" customHeight="1">
      <c r="A15" s="1761" t="s">
        <v>2705</v>
      </c>
      <c r="B15" s="1502" t="s">
        <v>8825</v>
      </c>
      <c r="C15" s="1522" t="s">
        <v>11072</v>
      </c>
      <c r="D15" s="1522" t="s">
        <v>11366</v>
      </c>
      <c r="E15" s="1522" t="s">
        <v>11367</v>
      </c>
      <c r="F15" s="1522" t="s">
        <v>11368</v>
      </c>
      <c r="G15" s="1828" t="s">
        <v>11369</v>
      </c>
      <c r="H15" s="1828" t="s">
        <v>11370</v>
      </c>
      <c r="I15" s="1828" t="s">
        <v>11371</v>
      </c>
      <c r="J15" s="1828" t="s">
        <v>11372</v>
      </c>
      <c r="K15" s="1522" t="s">
        <v>11373</v>
      </c>
      <c r="L15" s="1586" t="s">
        <v>11374</v>
      </c>
    </row>
    <row r="16" ht="15.0" customHeight="1">
      <c r="A16" s="1768" t="s">
        <v>1635</v>
      </c>
      <c r="B16" s="1633" t="s">
        <v>8825</v>
      </c>
      <c r="C16" s="1838" t="s">
        <v>11375</v>
      </c>
      <c r="D16" s="1522" t="s">
        <v>11376</v>
      </c>
      <c r="E16" s="1522" t="s">
        <v>11377</v>
      </c>
      <c r="F16" s="1522" t="s">
        <v>11378</v>
      </c>
      <c r="G16" s="797" t="s">
        <v>11379</v>
      </c>
      <c r="H16" s="1818" t="s">
        <v>11380</v>
      </c>
      <c r="I16" s="1824" t="s">
        <v>11381</v>
      </c>
      <c r="J16" s="1825" t="s">
        <v>11382</v>
      </c>
      <c r="K16" s="1522" t="s">
        <v>9513</v>
      </c>
      <c r="L16" s="1586"/>
    </row>
    <row r="17" ht="15.75" customHeight="1">
      <c r="A17" s="932" t="s">
        <v>6957</v>
      </c>
      <c r="B17" s="1502" t="s">
        <v>8825</v>
      </c>
      <c r="C17" s="1522" t="s">
        <v>11105</v>
      </c>
      <c r="D17" s="1522" t="s">
        <v>11383</v>
      </c>
      <c r="E17" s="1522" t="s">
        <v>11384</v>
      </c>
      <c r="F17" s="1522" t="s">
        <v>11385</v>
      </c>
      <c r="G17" s="1828" t="s">
        <v>11386</v>
      </c>
      <c r="H17" s="1828" t="s">
        <v>11387</v>
      </c>
      <c r="I17" s="1828" t="s">
        <v>11388</v>
      </c>
      <c r="J17" s="1828" t="s">
        <v>11389</v>
      </c>
      <c r="K17" s="1522" t="s">
        <v>9395</v>
      </c>
      <c r="L17" s="1586" t="s">
        <v>11390</v>
      </c>
    </row>
    <row r="18" ht="15.75" customHeight="1">
      <c r="A18" s="1744" t="s">
        <v>1416</v>
      </c>
      <c r="B18" s="1502" t="s">
        <v>8825</v>
      </c>
      <c r="C18" s="1522" t="s">
        <v>11391</v>
      </c>
      <c r="D18" s="1522" t="s">
        <v>11392</v>
      </c>
      <c r="E18" s="1522" t="s">
        <v>11393</v>
      </c>
      <c r="F18" s="1522" t="s">
        <v>11394</v>
      </c>
      <c r="G18" s="797" t="s">
        <v>11395</v>
      </c>
      <c r="H18" s="1818" t="s">
        <v>11396</v>
      </c>
      <c r="I18" s="1824" t="s">
        <v>11397</v>
      </c>
      <c r="J18" s="1825" t="s">
        <v>11398</v>
      </c>
      <c r="K18" s="1522" t="s">
        <v>9374</v>
      </c>
      <c r="L18" s="1586"/>
    </row>
    <row r="19" ht="15.75" customHeight="1">
      <c r="A19" s="932" t="s">
        <v>2263</v>
      </c>
      <c r="B19" s="1641" t="s">
        <v>8825</v>
      </c>
      <c r="C19" s="1838" t="s">
        <v>11079</v>
      </c>
      <c r="D19" s="1522" t="s">
        <v>11399</v>
      </c>
      <c r="E19" s="1522" t="s">
        <v>11400</v>
      </c>
      <c r="F19" s="1522" t="s">
        <v>11401</v>
      </c>
      <c r="G19" s="1828" t="s">
        <v>11402</v>
      </c>
      <c r="H19" s="1828" t="s">
        <v>11403</v>
      </c>
      <c r="I19" s="1828" t="s">
        <v>11404</v>
      </c>
      <c r="J19" s="1828" t="s">
        <v>11405</v>
      </c>
      <c r="K19" s="1522" t="s">
        <v>9280</v>
      </c>
      <c r="L19" s="1586" t="s">
        <v>11406</v>
      </c>
    </row>
    <row r="20" ht="15.75" customHeight="1">
      <c r="A20" s="1744" t="s">
        <v>899</v>
      </c>
      <c r="B20" s="1502" t="s">
        <v>8825</v>
      </c>
      <c r="C20" s="1522" t="s">
        <v>11407</v>
      </c>
      <c r="D20" s="1522" t="s">
        <v>11408</v>
      </c>
      <c r="E20" s="1522" t="s">
        <v>11409</v>
      </c>
      <c r="F20" s="1522" t="s">
        <v>11410</v>
      </c>
      <c r="G20" s="797" t="s">
        <v>11411</v>
      </c>
      <c r="H20" s="1818" t="s">
        <v>11412</v>
      </c>
      <c r="I20" s="1824" t="s">
        <v>11413</v>
      </c>
      <c r="J20" s="1825" t="s">
        <v>11414</v>
      </c>
      <c r="K20" s="1522" t="s">
        <v>9659</v>
      </c>
      <c r="L20" s="1586"/>
    </row>
    <row r="21" ht="15.75" customHeight="1">
      <c r="A21" s="932" t="s">
        <v>1724</v>
      </c>
      <c r="B21" s="1559" t="s">
        <v>8825</v>
      </c>
      <c r="C21" s="1522" t="s">
        <v>11415</v>
      </c>
      <c r="D21" s="1522" t="s">
        <v>11416</v>
      </c>
      <c r="E21" s="1771" t="s">
        <v>11417</v>
      </c>
      <c r="F21" s="1522" t="s">
        <v>11418</v>
      </c>
      <c r="G21" s="1828" t="s">
        <v>11419</v>
      </c>
      <c r="H21" s="1828" t="s">
        <v>11420</v>
      </c>
      <c r="I21" s="1828" t="s">
        <v>11421</v>
      </c>
      <c r="J21" s="1828" t="s">
        <v>11422</v>
      </c>
      <c r="K21" s="1522" t="s">
        <v>9420</v>
      </c>
      <c r="L21" s="1586"/>
    </row>
    <row r="22" ht="15.75" customHeight="1">
      <c r="A22" s="1689" t="s">
        <v>9282</v>
      </c>
      <c r="B22" s="1502" t="s">
        <v>8825</v>
      </c>
      <c r="C22" s="1522" t="s">
        <v>11115</v>
      </c>
      <c r="D22" s="1522" t="s">
        <v>11423</v>
      </c>
      <c r="E22" s="1522" t="s">
        <v>11424</v>
      </c>
      <c r="F22" s="1522" t="s">
        <v>11425</v>
      </c>
      <c r="G22" s="797" t="s">
        <v>11426</v>
      </c>
      <c r="H22" s="1818" t="s">
        <v>11427</v>
      </c>
      <c r="I22" s="1824" t="s">
        <v>11428</v>
      </c>
      <c r="J22" s="1825" t="s">
        <v>11429</v>
      </c>
      <c r="K22" s="1522" t="s">
        <v>9296</v>
      </c>
      <c r="L22" s="1586"/>
    </row>
    <row r="23">
      <c r="A23" s="1748" t="s">
        <v>2150</v>
      </c>
      <c r="B23" s="1641" t="s">
        <v>8853</v>
      </c>
      <c r="C23" s="1522" t="s">
        <v>11069</v>
      </c>
      <c r="D23" s="1522" t="s">
        <v>11430</v>
      </c>
      <c r="E23" s="1522" t="s">
        <v>11431</v>
      </c>
      <c r="F23" s="1522" t="s">
        <v>11432</v>
      </c>
      <c r="G23" s="1828" t="s">
        <v>11433</v>
      </c>
      <c r="H23" s="1828" t="s">
        <v>11434</v>
      </c>
      <c r="I23" s="1828" t="s">
        <v>11435</v>
      </c>
      <c r="J23" s="1828" t="s">
        <v>11436</v>
      </c>
      <c r="K23" s="1522" t="s">
        <v>11437</v>
      </c>
      <c r="L23" s="1586" t="s">
        <v>11438</v>
      </c>
    </row>
    <row r="24" ht="15.75" customHeight="1">
      <c r="A24" s="932" t="s">
        <v>741</v>
      </c>
      <c r="B24" s="1559" t="s">
        <v>8853</v>
      </c>
      <c r="C24" s="1522" t="s">
        <v>11439</v>
      </c>
      <c r="D24" s="1759" t="s">
        <v>11282</v>
      </c>
      <c r="E24" s="1759" t="s">
        <v>11283</v>
      </c>
      <c r="F24" s="1759" t="s">
        <v>11284</v>
      </c>
      <c r="G24" s="1839" t="s">
        <v>11285</v>
      </c>
      <c r="H24" s="1840" t="s">
        <v>11286</v>
      </c>
      <c r="I24" s="1841" t="s">
        <v>11287</v>
      </c>
      <c r="J24" s="1842" t="s">
        <v>11288</v>
      </c>
      <c r="K24" s="1759" t="s">
        <v>9259</v>
      </c>
      <c r="L24" s="1586" t="s">
        <v>11440</v>
      </c>
    </row>
    <row r="25" ht="15.75" customHeight="1">
      <c r="A25" s="1617" t="s">
        <v>1347</v>
      </c>
      <c r="B25" s="1559" t="s">
        <v>8879</v>
      </c>
      <c r="C25" s="1635" t="s">
        <v>11164</v>
      </c>
      <c r="D25" s="1635" t="s">
        <v>11289</v>
      </c>
      <c r="E25" s="1635" t="s">
        <v>11290</v>
      </c>
      <c r="F25" s="1635" t="s">
        <v>11291</v>
      </c>
      <c r="G25" s="1843" t="s">
        <v>11292</v>
      </c>
      <c r="H25" s="1843" t="s">
        <v>11293</v>
      </c>
      <c r="I25" s="1843" t="s">
        <v>11294</v>
      </c>
      <c r="J25" s="1843" t="s">
        <v>11295</v>
      </c>
      <c r="K25" s="1635" t="s">
        <v>9259</v>
      </c>
      <c r="L25" s="1586"/>
    </row>
    <row r="26" ht="16.5" customHeight="1">
      <c r="A26" s="1617" t="s">
        <v>11441</v>
      </c>
      <c r="B26" s="1559" t="s">
        <v>8825</v>
      </c>
      <c r="C26" s="1769" t="s">
        <v>11146</v>
      </c>
      <c r="D26" s="1522" t="s">
        <v>11442</v>
      </c>
      <c r="E26" s="1522" t="s">
        <v>11443</v>
      </c>
      <c r="F26" s="1522" t="s">
        <v>11444</v>
      </c>
      <c r="G26" s="797" t="s">
        <v>11426</v>
      </c>
      <c r="H26" s="1818" t="s">
        <v>11445</v>
      </c>
      <c r="I26" s="1824" t="s">
        <v>11446</v>
      </c>
      <c r="J26" s="1825" t="s">
        <v>11447</v>
      </c>
      <c r="K26" s="1522" t="s">
        <v>9820</v>
      </c>
      <c r="L26" s="1586"/>
    </row>
    <row r="27" ht="15.75" customHeight="1">
      <c r="A27" s="1617" t="s">
        <v>2986</v>
      </c>
      <c r="B27" s="1559" t="s">
        <v>8825</v>
      </c>
      <c r="C27" s="1522" t="s">
        <v>11448</v>
      </c>
      <c r="D27" s="1522" t="s">
        <v>11449</v>
      </c>
      <c r="E27" s="1522" t="s">
        <v>11450</v>
      </c>
      <c r="F27" s="1522" t="s">
        <v>11451</v>
      </c>
      <c r="G27" s="1828" t="s">
        <v>11452</v>
      </c>
      <c r="H27" s="1828" t="s">
        <v>11453</v>
      </c>
      <c r="I27" s="1828" t="s">
        <v>11454</v>
      </c>
      <c r="J27" s="1828" t="s">
        <v>11455</v>
      </c>
      <c r="K27" s="1522" t="s">
        <v>11456</v>
      </c>
      <c r="L27" s="1586" t="s">
        <v>11457</v>
      </c>
    </row>
    <row r="28">
      <c r="A28" s="1772" t="s">
        <v>3090</v>
      </c>
      <c r="B28" s="1753" t="s">
        <v>8853</v>
      </c>
      <c r="C28" s="1838" t="s">
        <v>11458</v>
      </c>
      <c r="D28" s="1522"/>
      <c r="E28" s="1522" t="s">
        <v>11459</v>
      </c>
      <c r="F28" s="1522" t="s">
        <v>11460</v>
      </c>
      <c r="G28" s="797"/>
      <c r="H28" s="1818"/>
      <c r="I28" s="1824"/>
      <c r="J28" s="1825"/>
      <c r="K28" s="1522" t="s">
        <v>9955</v>
      </c>
      <c r="L28" s="1586"/>
    </row>
    <row r="29" ht="15.75" customHeight="1">
      <c r="A29" s="1617" t="s">
        <v>2756</v>
      </c>
      <c r="B29" s="1559" t="s">
        <v>8825</v>
      </c>
      <c r="C29" s="1838" t="s">
        <v>11461</v>
      </c>
      <c r="D29" s="1522" t="s">
        <v>11462</v>
      </c>
      <c r="E29" s="1522" t="s">
        <v>11463</v>
      </c>
      <c r="F29" s="1522" t="s">
        <v>11464</v>
      </c>
      <c r="G29" s="1828" t="s">
        <v>11465</v>
      </c>
      <c r="H29" s="1828" t="s">
        <v>11466</v>
      </c>
      <c r="I29" s="1828" t="s">
        <v>11467</v>
      </c>
      <c r="J29" s="1828" t="s">
        <v>11468</v>
      </c>
      <c r="K29" s="1522" t="s">
        <v>9886</v>
      </c>
      <c r="L29" s="1586" t="s">
        <v>11469</v>
      </c>
    </row>
    <row r="30" ht="15.75" customHeight="1">
      <c r="A30" s="932" t="s">
        <v>2572</v>
      </c>
      <c r="B30" s="1633" t="s">
        <v>8853</v>
      </c>
      <c r="C30" s="1759" t="s">
        <v>11172</v>
      </c>
      <c r="D30" s="1522" t="s">
        <v>11470</v>
      </c>
      <c r="E30" s="1522" t="s">
        <v>11471</v>
      </c>
      <c r="F30" s="1522" t="s">
        <v>11472</v>
      </c>
      <c r="G30" s="797" t="s">
        <v>11473</v>
      </c>
      <c r="H30" s="1818" t="s">
        <v>11474</v>
      </c>
      <c r="I30" s="1824" t="s">
        <v>11475</v>
      </c>
      <c r="J30" s="1825" t="s">
        <v>11476</v>
      </c>
      <c r="K30" s="1522" t="s">
        <v>9797</v>
      </c>
      <c r="L30" s="1586"/>
    </row>
    <row r="31" ht="15.75" customHeight="1">
      <c r="A31" s="1617" t="s">
        <v>5237</v>
      </c>
      <c r="B31" s="1559" t="s">
        <v>8825</v>
      </c>
      <c r="C31" s="1838" t="s">
        <v>11477</v>
      </c>
      <c r="D31" s="1522" t="s">
        <v>11478</v>
      </c>
      <c r="E31" s="1522" t="s">
        <v>11479</v>
      </c>
      <c r="F31" s="1522" t="s">
        <v>11480</v>
      </c>
      <c r="G31" s="1828" t="s">
        <v>11481</v>
      </c>
      <c r="H31" s="1828" t="s">
        <v>11482</v>
      </c>
      <c r="I31" s="1828" t="s">
        <v>11483</v>
      </c>
      <c r="J31" s="1828" t="s">
        <v>11484</v>
      </c>
      <c r="K31" s="1522" t="s">
        <v>11485</v>
      </c>
      <c r="L31" s="1586" t="s">
        <v>11486</v>
      </c>
    </row>
    <row r="32" ht="15.75" customHeight="1">
      <c r="A32" s="1617" t="s">
        <v>4945</v>
      </c>
      <c r="B32" s="1559" t="s">
        <v>8853</v>
      </c>
      <c r="C32" s="1838" t="s">
        <v>11257</v>
      </c>
      <c r="D32" s="1522" t="s">
        <v>11487</v>
      </c>
      <c r="E32" s="1522" t="s">
        <v>11488</v>
      </c>
      <c r="F32" s="1522" t="s">
        <v>11489</v>
      </c>
      <c r="G32" s="797" t="s">
        <v>11490</v>
      </c>
      <c r="H32" s="1818" t="s">
        <v>11491</v>
      </c>
      <c r="I32" s="1824" t="s">
        <v>11492</v>
      </c>
      <c r="J32" s="1825" t="s">
        <v>11493</v>
      </c>
      <c r="K32" s="1522" t="s">
        <v>10848</v>
      </c>
      <c r="L32" s="1586" t="s">
        <v>11494</v>
      </c>
    </row>
    <row r="33" ht="15.75" customHeight="1">
      <c r="A33" s="932" t="s">
        <v>5801</v>
      </c>
      <c r="B33" s="1676" t="s">
        <v>10849</v>
      </c>
      <c r="C33" s="1844" t="s">
        <v>11495</v>
      </c>
      <c r="D33" s="1774" t="s">
        <v>11496</v>
      </c>
      <c r="E33" s="1774" t="s">
        <v>11497</v>
      </c>
      <c r="F33" s="1774" t="s">
        <v>11498</v>
      </c>
      <c r="G33" s="1845" t="s">
        <v>11499</v>
      </c>
      <c r="H33" s="1845" t="s">
        <v>11500</v>
      </c>
      <c r="I33" s="1845" t="s">
        <v>11501</v>
      </c>
      <c r="J33" s="1845" t="s">
        <v>11502</v>
      </c>
      <c r="K33" s="1774" t="s">
        <v>11503</v>
      </c>
      <c r="L33" s="1586" t="s">
        <v>11504</v>
      </c>
    </row>
    <row r="34" ht="15.75" customHeight="1">
      <c r="A34" s="1617" t="s">
        <v>6526</v>
      </c>
      <c r="B34" s="1676" t="s">
        <v>10849</v>
      </c>
      <c r="C34" s="1846" t="s">
        <v>11505</v>
      </c>
      <c r="D34" s="1847" t="s">
        <v>11506</v>
      </c>
      <c r="E34" s="1847" t="s">
        <v>11507</v>
      </c>
      <c r="F34" s="1847" t="s">
        <v>11508</v>
      </c>
      <c r="G34" s="1848" t="s">
        <v>11509</v>
      </c>
      <c r="K34" s="1847" t="s">
        <v>10926</v>
      </c>
      <c r="L34" s="1586" t="s">
        <v>11510</v>
      </c>
    </row>
    <row r="35" ht="15.75" customHeight="1">
      <c r="A35" s="1689"/>
      <c r="B35" s="1502"/>
      <c r="C35" s="1849"/>
      <c r="D35" s="1522"/>
      <c r="E35" s="1522"/>
      <c r="F35" s="1522"/>
      <c r="G35" s="1828"/>
      <c r="H35" s="1828"/>
      <c r="I35" s="1828"/>
      <c r="J35" s="1828"/>
      <c r="K35" s="1522"/>
      <c r="L35" s="1586"/>
    </row>
    <row r="36">
      <c r="A36" s="1748"/>
      <c r="B36" s="1749"/>
      <c r="C36" s="1849"/>
      <c r="D36" s="1522"/>
      <c r="E36" s="1522"/>
      <c r="F36" s="1522"/>
      <c r="G36" s="797"/>
      <c r="H36" s="1818"/>
      <c r="I36" s="1824"/>
      <c r="J36" s="1825"/>
      <c r="K36" s="1522"/>
      <c r="L36" s="1586"/>
    </row>
    <row r="37" ht="15.75" customHeight="1">
      <c r="A37" s="1617"/>
      <c r="B37" s="1645"/>
      <c r="C37" s="1849"/>
      <c r="D37" s="1522"/>
      <c r="E37" s="1522"/>
      <c r="F37" s="1522"/>
      <c r="G37" s="1828"/>
      <c r="H37" s="1828"/>
      <c r="I37" s="1828"/>
      <c r="J37" s="1828"/>
      <c r="K37" s="1522"/>
      <c r="L37" s="1586"/>
    </row>
    <row r="38" ht="15.75" customHeight="1">
      <c r="A38" s="932"/>
      <c r="B38" s="1590"/>
      <c r="C38" s="1849"/>
      <c r="D38" s="1522"/>
      <c r="E38" s="1522"/>
      <c r="F38" s="1522"/>
      <c r="G38" s="797"/>
      <c r="H38" s="1818"/>
      <c r="I38" s="1824"/>
      <c r="J38" s="1825"/>
      <c r="K38" s="1522"/>
      <c r="L38" s="1586"/>
    </row>
    <row r="39">
      <c r="A39" s="1772"/>
      <c r="B39" s="1753"/>
      <c r="C39" s="1849"/>
      <c r="D39" s="1522"/>
      <c r="E39" s="1522"/>
      <c r="F39" s="1522"/>
      <c r="G39" s="1828"/>
      <c r="H39" s="1828"/>
      <c r="I39" s="1828"/>
      <c r="J39" s="1828"/>
      <c r="K39" s="1522"/>
      <c r="L39" s="1586"/>
    </row>
    <row r="40" ht="15.75" customHeight="1">
      <c r="A40" s="1693"/>
      <c r="B40" s="1590"/>
      <c r="C40" s="1849"/>
      <c r="D40" s="1522"/>
      <c r="E40" s="1522"/>
      <c r="F40" s="1522"/>
      <c r="G40" s="797"/>
      <c r="H40" s="1818"/>
      <c r="I40" s="1824"/>
      <c r="J40" s="1825"/>
      <c r="K40" s="1522"/>
      <c r="L40" s="1586"/>
    </row>
    <row r="41">
      <c r="A41" s="1617"/>
      <c r="B41" s="1850"/>
      <c r="C41" s="1849"/>
      <c r="D41" s="1522"/>
      <c r="E41" s="1522"/>
      <c r="F41" s="1522"/>
      <c r="G41" s="1828"/>
      <c r="H41" s="1828"/>
      <c r="I41" s="1828"/>
      <c r="J41" s="1828"/>
      <c r="K41" s="1522"/>
      <c r="L41" s="1586"/>
    </row>
    <row r="42" ht="15.75" customHeight="1">
      <c r="A42" s="1689"/>
      <c r="B42" s="1590"/>
      <c r="C42" s="1849"/>
      <c r="D42" s="1522"/>
      <c r="E42" s="1522"/>
      <c r="F42" s="1522"/>
      <c r="G42" s="797"/>
      <c r="H42" s="1818"/>
      <c r="I42" s="1824"/>
      <c r="J42" s="1825"/>
      <c r="K42" s="1522"/>
      <c r="L42" s="1586"/>
    </row>
    <row r="43" ht="15.75" customHeight="1">
      <c r="A43" s="1693"/>
      <c r="B43" s="1502"/>
      <c r="C43" s="1849"/>
      <c r="D43" s="1522"/>
      <c r="E43" s="1522"/>
      <c r="F43" s="1522"/>
      <c r="G43" s="1828"/>
      <c r="H43" s="1828"/>
      <c r="I43" s="1828"/>
      <c r="J43" s="1828"/>
      <c r="K43" s="1522"/>
      <c r="L43" s="1586"/>
    </row>
    <row r="44">
      <c r="A44" s="1748"/>
      <c r="B44" s="1749"/>
      <c r="C44" s="1849"/>
      <c r="D44" s="1522"/>
      <c r="E44" s="1522"/>
      <c r="F44" s="1522"/>
      <c r="G44" s="797"/>
      <c r="H44" s="1818"/>
      <c r="I44" s="1824"/>
      <c r="J44" s="1825"/>
      <c r="K44" s="1522"/>
      <c r="L44" s="1586"/>
    </row>
    <row r="45" ht="15.75" customHeight="1">
      <c r="A45" s="1693"/>
      <c r="B45" s="1502"/>
      <c r="C45" s="1849"/>
      <c r="D45" s="1522"/>
      <c r="E45" s="1522"/>
      <c r="F45" s="1522"/>
      <c r="G45" s="1828"/>
      <c r="H45" s="1828"/>
      <c r="I45" s="1828"/>
      <c r="J45" s="1828"/>
      <c r="K45" s="1522"/>
      <c r="L45" s="1586"/>
    </row>
    <row r="46" ht="15.75" customHeight="1">
      <c r="A46" s="1689"/>
      <c r="B46" s="1502"/>
      <c r="C46" s="1849"/>
      <c r="D46" s="1522"/>
      <c r="E46" s="1522"/>
      <c r="F46" s="1522"/>
      <c r="G46" s="797"/>
      <c r="H46" s="1818"/>
      <c r="I46" s="1824"/>
      <c r="J46" s="1825"/>
      <c r="K46" s="1522"/>
      <c r="L46" s="1586"/>
    </row>
    <row r="47" ht="15.75" customHeight="1">
      <c r="A47" s="1693"/>
      <c r="B47" s="1590"/>
      <c r="C47" s="1849"/>
      <c r="D47" s="1522"/>
      <c r="E47" s="1522"/>
      <c r="F47" s="1522"/>
      <c r="G47" s="1828"/>
      <c r="H47" s="1828"/>
      <c r="I47" s="1828"/>
      <c r="J47" s="1828"/>
      <c r="K47" s="1522"/>
      <c r="L47" s="1586"/>
    </row>
    <row r="48" ht="15.0" customHeight="1">
      <c r="A48" s="1689"/>
      <c r="B48" s="1590"/>
      <c r="C48" s="1849"/>
      <c r="D48" s="1522"/>
      <c r="E48" s="1522"/>
      <c r="F48" s="1522"/>
      <c r="G48" s="797"/>
      <c r="H48" s="1818"/>
      <c r="I48" s="1824"/>
      <c r="J48" s="1825"/>
      <c r="K48" s="1522"/>
      <c r="L48" s="1586"/>
    </row>
    <row r="49" ht="15.75" customHeight="1">
      <c r="A49" s="1617"/>
      <c r="B49" s="1559"/>
      <c r="C49" s="1849"/>
      <c r="D49" s="1522"/>
      <c r="E49" s="1522"/>
      <c r="F49" s="1522"/>
      <c r="G49" s="1828"/>
      <c r="H49" s="1828"/>
      <c r="I49" s="1828"/>
      <c r="J49" s="1828"/>
      <c r="K49" s="1522"/>
      <c r="L49" s="1586"/>
    </row>
    <row r="50" ht="15.75" customHeight="1">
      <c r="A50" s="1693"/>
      <c r="B50" s="1645"/>
      <c r="C50" s="1849"/>
      <c r="D50" s="1522"/>
      <c r="E50" s="1522"/>
      <c r="F50" s="1522"/>
      <c r="G50" s="797"/>
      <c r="H50" s="1818"/>
      <c r="I50" s="1824"/>
      <c r="J50" s="1825"/>
      <c r="K50" s="1522"/>
      <c r="L50" s="1586"/>
    </row>
    <row r="51">
      <c r="A51" s="1772"/>
      <c r="B51" s="1753"/>
      <c r="C51" s="1849"/>
      <c r="D51" s="1522"/>
      <c r="E51" s="1522"/>
      <c r="F51" s="1522"/>
      <c r="G51" s="1828"/>
      <c r="H51" s="1828"/>
      <c r="I51" s="1828"/>
      <c r="J51" s="1828"/>
      <c r="K51" s="1522"/>
      <c r="L51" s="1586"/>
    </row>
    <row r="52" ht="15.75" customHeight="1">
      <c r="A52" s="1689"/>
      <c r="B52" s="1502"/>
      <c r="C52" s="1849"/>
      <c r="D52" s="1522"/>
      <c r="E52" s="1522"/>
      <c r="F52" s="1522"/>
      <c r="G52" s="797"/>
      <c r="H52" s="1818"/>
      <c r="I52" s="1824"/>
      <c r="J52" s="1825"/>
      <c r="K52" s="1522"/>
      <c r="L52" s="1586"/>
    </row>
    <row r="53" ht="15.75" customHeight="1">
      <c r="A53" s="1693"/>
      <c r="B53" s="1502"/>
      <c r="C53" s="1849"/>
      <c r="D53" s="1522"/>
      <c r="E53" s="1522"/>
      <c r="F53" s="1522"/>
      <c r="G53" s="1828"/>
      <c r="H53" s="1828"/>
      <c r="I53" s="1828"/>
      <c r="J53" s="1828"/>
      <c r="K53" s="1522"/>
      <c r="L53" s="1586"/>
    </row>
    <row r="54" ht="15.75" customHeight="1">
      <c r="A54" s="1748"/>
      <c r="B54" s="1749"/>
      <c r="C54" s="1849"/>
      <c r="D54" s="1522"/>
      <c r="E54" s="1522"/>
      <c r="F54" s="1522"/>
      <c r="G54" s="797"/>
      <c r="H54" s="1818"/>
      <c r="I54" s="1824"/>
      <c r="J54" s="1825"/>
      <c r="K54" s="1522"/>
      <c r="L54" s="1586"/>
    </row>
    <row r="55" ht="15.75" customHeight="1">
      <c r="A55" s="1689"/>
      <c r="B55" s="1590"/>
      <c r="C55" s="1849"/>
      <c r="D55" s="1522"/>
      <c r="E55" s="1522"/>
      <c r="F55" s="1522"/>
      <c r="G55" s="1828"/>
      <c r="H55" s="1828"/>
      <c r="I55" s="1828"/>
      <c r="J55" s="1828"/>
      <c r="K55" s="1522"/>
      <c r="L55" s="1586"/>
    </row>
    <row r="56" ht="15.75" customHeight="1">
      <c r="A56" s="1693"/>
      <c r="B56" s="1645"/>
      <c r="C56" s="1849"/>
      <c r="D56" s="1522"/>
      <c r="E56" s="1522"/>
      <c r="F56" s="1522"/>
      <c r="G56" s="797"/>
      <c r="H56" s="1818"/>
      <c r="I56" s="1824"/>
      <c r="J56" s="1825"/>
      <c r="K56" s="1522"/>
      <c r="L56" s="1586"/>
    </row>
    <row r="57" ht="15.75" customHeight="1">
      <c r="A57" s="1748"/>
      <c r="B57" s="1559"/>
      <c r="C57" s="1849"/>
      <c r="D57" s="1522"/>
      <c r="E57" s="1522"/>
      <c r="F57" s="1522"/>
      <c r="G57" s="1828"/>
      <c r="H57" s="1828"/>
      <c r="I57" s="1828"/>
      <c r="J57" s="1828"/>
      <c r="K57" s="1522"/>
      <c r="L57" s="1586"/>
    </row>
    <row r="58" ht="15.75" customHeight="1">
      <c r="A58" s="1617"/>
      <c r="B58" s="1641"/>
      <c r="C58" s="1849"/>
      <c r="D58" s="1522"/>
      <c r="E58" s="1522"/>
      <c r="F58" s="1522"/>
      <c r="G58" s="797"/>
      <c r="H58" s="1818"/>
      <c r="I58" s="1824"/>
      <c r="J58" s="1825"/>
      <c r="K58" s="1522"/>
      <c r="L58" s="1586"/>
    </row>
    <row r="59" ht="15.75" customHeight="1">
      <c r="A59" s="1748"/>
      <c r="B59" s="1749"/>
      <c r="C59" s="1849"/>
      <c r="D59" s="1522"/>
      <c r="E59" s="1522"/>
      <c r="F59" s="1522"/>
      <c r="G59" s="1828"/>
      <c r="H59" s="1828"/>
      <c r="I59" s="1828"/>
      <c r="J59" s="1828"/>
      <c r="K59" s="1522"/>
      <c r="L59" s="1586"/>
    </row>
    <row r="60" ht="15.75" customHeight="1">
      <c r="A60" s="1693"/>
      <c r="B60" s="1645"/>
      <c r="C60" s="1849"/>
      <c r="D60" s="1522"/>
      <c r="E60" s="1522"/>
      <c r="F60" s="1522"/>
      <c r="G60" s="797"/>
      <c r="H60" s="1818"/>
      <c r="I60" s="1824"/>
      <c r="J60" s="1825"/>
      <c r="K60" s="1522"/>
      <c r="L60" s="1586"/>
    </row>
    <row r="61" ht="16.5" customHeight="1">
      <c r="A61" s="1689"/>
      <c r="B61" s="1645"/>
      <c r="C61" s="1849"/>
      <c r="D61" s="1522"/>
      <c r="E61" s="1522"/>
      <c r="F61" s="1522"/>
      <c r="G61" s="1828"/>
      <c r="H61" s="1828"/>
      <c r="I61" s="1828"/>
      <c r="J61" s="1828"/>
      <c r="K61" s="1522"/>
      <c r="L61" s="1586"/>
    </row>
    <row r="62">
      <c r="A62" s="1748"/>
      <c r="B62" s="1749"/>
      <c r="C62" s="1522"/>
      <c r="D62" s="1522"/>
      <c r="E62" s="1522"/>
      <c r="F62" s="1522"/>
      <c r="G62" s="797"/>
      <c r="H62" s="1818"/>
      <c r="I62" s="1824"/>
      <c r="J62" s="1825"/>
      <c r="K62" s="1522"/>
      <c r="L62" s="1586"/>
    </row>
    <row r="63" ht="17.25" customHeight="1">
      <c r="A63" s="932"/>
      <c r="B63" s="1641"/>
      <c r="C63" s="1522"/>
      <c r="D63" s="1522"/>
      <c r="E63" s="1522"/>
      <c r="F63" s="1522"/>
      <c r="G63" s="1828"/>
      <c r="H63" s="1828"/>
      <c r="I63" s="1828"/>
      <c r="J63" s="1828"/>
      <c r="K63" s="1522"/>
      <c r="L63" s="1586"/>
    </row>
    <row r="64">
      <c r="A64" s="1772"/>
      <c r="B64" s="1633"/>
      <c r="C64" s="1522"/>
      <c r="D64" s="1522"/>
      <c r="E64" s="1522"/>
      <c r="F64" s="1522"/>
      <c r="G64" s="797"/>
      <c r="H64" s="1818"/>
      <c r="I64" s="1824"/>
      <c r="J64" s="1825"/>
      <c r="K64" s="1522"/>
      <c r="L64" s="1586"/>
    </row>
    <row r="65">
      <c r="A65" s="1748"/>
      <c r="B65" s="1749"/>
      <c r="C65" s="1522"/>
      <c r="D65" s="1522"/>
      <c r="E65" s="1522"/>
      <c r="F65" s="1522"/>
      <c r="G65" s="1828"/>
      <c r="H65" s="1828"/>
      <c r="I65" s="1828"/>
      <c r="J65" s="1828"/>
      <c r="K65" s="1522"/>
      <c r="L65" s="1586"/>
    </row>
    <row r="66">
      <c r="A66" s="1693"/>
      <c r="B66" s="1590"/>
      <c r="C66" s="1522"/>
      <c r="D66" s="1522"/>
      <c r="E66" s="1522"/>
      <c r="F66" s="1522"/>
      <c r="G66" s="797"/>
      <c r="H66" s="1818"/>
      <c r="I66" s="1824"/>
      <c r="J66" s="1825"/>
      <c r="K66" s="1522"/>
      <c r="L66" s="1586"/>
    </row>
    <row r="67">
      <c r="A67" s="1617"/>
      <c r="B67" s="1633"/>
      <c r="C67" s="1522"/>
      <c r="D67" s="1522"/>
      <c r="E67" s="1522"/>
      <c r="F67" s="1522"/>
      <c r="G67" s="1828"/>
      <c r="H67" s="1828"/>
      <c r="I67" s="1828"/>
      <c r="J67" s="1828"/>
      <c r="K67" s="1522"/>
      <c r="L67" s="1586"/>
    </row>
    <row r="68" ht="17.25" customHeight="1">
      <c r="A68" s="1772"/>
      <c r="B68" s="1590"/>
      <c r="C68" s="1522"/>
      <c r="D68" s="1522"/>
      <c r="E68" s="1522"/>
      <c r="F68" s="1522"/>
      <c r="G68" s="797"/>
      <c r="H68" s="1818"/>
      <c r="I68" s="1824"/>
      <c r="J68" s="1825"/>
      <c r="K68" s="1522"/>
      <c r="L68" s="1586"/>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11511</v>
      </c>
      <c r="C1" s="1859" t="s">
        <v>43</v>
      </c>
      <c r="D1" s="1860" t="s">
        <v>11512</v>
      </c>
      <c r="E1" s="1859" t="s">
        <v>11513</v>
      </c>
      <c r="F1" s="1861" t="s">
        <v>11514</v>
      </c>
    </row>
    <row r="2">
      <c r="A2" s="1862"/>
      <c r="B2" s="1863"/>
      <c r="C2" s="1863"/>
      <c r="D2" s="1863"/>
      <c r="E2" s="1863"/>
      <c r="F2" s="1863"/>
    </row>
    <row r="3">
      <c r="A3" s="1862"/>
      <c r="B3" s="1863"/>
      <c r="C3" s="1863"/>
      <c r="D3" s="1863"/>
      <c r="E3" s="1863"/>
      <c r="F3" s="1863"/>
    </row>
    <row r="4">
      <c r="A4" s="1864" t="s">
        <v>11515</v>
      </c>
      <c r="B4" s="1865" t="s">
        <v>11516</v>
      </c>
      <c r="C4" s="1866"/>
      <c r="D4" s="1866"/>
      <c r="E4" s="1866"/>
      <c r="F4" s="1867"/>
    </row>
    <row r="5">
      <c r="A5" s="1863"/>
      <c r="B5" s="1868"/>
      <c r="C5" s="1869"/>
      <c r="D5" s="1869"/>
      <c r="E5" s="1869"/>
      <c r="F5" s="1870"/>
    </row>
    <row r="6">
      <c r="A6" s="1871" t="s">
        <v>11516</v>
      </c>
      <c r="B6" s="1872" t="s">
        <v>11517</v>
      </c>
      <c r="C6" s="1873" t="s">
        <v>4341</v>
      </c>
      <c r="D6" s="1874" t="s">
        <v>11518</v>
      </c>
      <c r="E6" s="1873" t="s">
        <v>11519</v>
      </c>
      <c r="F6" s="1875">
        <v>44233.0</v>
      </c>
    </row>
    <row r="7">
      <c r="A7" s="1871" t="s">
        <v>11520</v>
      </c>
      <c r="B7" s="1876" t="s">
        <v>11521</v>
      </c>
      <c r="C7" s="1873" t="s">
        <v>899</v>
      </c>
      <c r="D7" s="1874" t="s">
        <v>11522</v>
      </c>
      <c r="E7" s="1873" t="s">
        <v>11519</v>
      </c>
      <c r="F7" s="1875">
        <v>43878.0</v>
      </c>
    </row>
    <row r="8">
      <c r="A8" s="1871" t="s">
        <v>11523</v>
      </c>
      <c r="B8" s="1877" t="s">
        <v>11524</v>
      </c>
      <c r="C8" s="1873" t="s">
        <v>332</v>
      </c>
      <c r="D8" s="1874" t="s">
        <v>11525</v>
      </c>
      <c r="E8" s="1873" t="s">
        <v>11519</v>
      </c>
      <c r="F8" s="1875">
        <v>43879.0</v>
      </c>
    </row>
    <row r="9">
      <c r="A9" s="1871" t="s">
        <v>11526</v>
      </c>
      <c r="B9" s="1878" t="s">
        <v>11527</v>
      </c>
      <c r="C9" s="1873" t="s">
        <v>4046</v>
      </c>
      <c r="D9" s="1874" t="s">
        <v>11528</v>
      </c>
      <c r="E9" s="1873" t="s">
        <v>11529</v>
      </c>
      <c r="F9" s="1875">
        <v>44084.0</v>
      </c>
    </row>
    <row r="10">
      <c r="A10" s="1871" t="s">
        <v>11530</v>
      </c>
      <c r="B10" s="1878" t="s">
        <v>11531</v>
      </c>
      <c r="C10" s="1879"/>
      <c r="D10" s="1880"/>
      <c r="E10" s="1879"/>
      <c r="F10" s="1879"/>
    </row>
    <row r="11">
      <c r="A11" s="1871" t="s">
        <v>11532</v>
      </c>
      <c r="B11" s="1865" t="s">
        <v>11520</v>
      </c>
      <c r="C11" s="1866"/>
      <c r="D11" s="1866"/>
      <c r="E11" s="1866"/>
      <c r="F11" s="1867"/>
    </row>
    <row r="12">
      <c r="A12" s="1871" t="s">
        <v>11533</v>
      </c>
      <c r="B12" s="1868"/>
      <c r="C12" s="1869"/>
      <c r="D12" s="1869"/>
      <c r="E12" s="1869"/>
      <c r="F12" s="1870"/>
    </row>
    <row r="13">
      <c r="A13" s="1871" t="s">
        <v>11534</v>
      </c>
      <c r="B13" s="1872" t="s">
        <v>11517</v>
      </c>
      <c r="C13" s="1873" t="s">
        <v>4341</v>
      </c>
      <c r="D13" s="1874" t="s">
        <v>11535</v>
      </c>
      <c r="E13" s="1873" t="s">
        <v>11519</v>
      </c>
      <c r="F13" s="1875">
        <v>44250.0</v>
      </c>
    </row>
    <row r="14" ht="15.75" customHeight="1">
      <c r="A14" s="1871" t="s">
        <v>11536</v>
      </c>
      <c r="B14" s="1876" t="s">
        <v>11521</v>
      </c>
      <c r="C14" s="1873" t="s">
        <v>4257</v>
      </c>
      <c r="D14" s="1874" t="s">
        <v>11537</v>
      </c>
      <c r="E14" s="1873" t="s">
        <v>11519</v>
      </c>
      <c r="F14" s="1875">
        <v>43364.0</v>
      </c>
    </row>
    <row r="15">
      <c r="A15" s="1871" t="s">
        <v>11538</v>
      </c>
      <c r="B15" s="1877" t="s">
        <v>11524</v>
      </c>
      <c r="C15" s="1873" t="s">
        <v>11539</v>
      </c>
      <c r="D15" s="1874" t="s">
        <v>11540</v>
      </c>
      <c r="E15" s="1873" t="s">
        <v>11529</v>
      </c>
      <c r="F15" s="1875">
        <v>43757.0</v>
      </c>
    </row>
    <row r="16">
      <c r="A16" s="1871" t="s">
        <v>11541</v>
      </c>
      <c r="B16" s="1878" t="s">
        <v>11527</v>
      </c>
      <c r="C16" s="1873" t="s">
        <v>11542</v>
      </c>
      <c r="D16" s="1874" t="s">
        <v>11543</v>
      </c>
      <c r="E16" s="1873" t="s">
        <v>11529</v>
      </c>
      <c r="F16" s="1875">
        <v>43438.0</v>
      </c>
    </row>
    <row r="17">
      <c r="A17" s="1871" t="s">
        <v>11544</v>
      </c>
      <c r="B17" s="1878" t="s">
        <v>11531</v>
      </c>
      <c r="C17" s="1879"/>
      <c r="D17" s="1880"/>
      <c r="E17" s="1879"/>
      <c r="F17" s="1879"/>
    </row>
    <row r="18">
      <c r="A18" s="1871" t="s">
        <v>11545</v>
      </c>
      <c r="B18" s="1881" t="s">
        <v>11523</v>
      </c>
      <c r="C18" s="1866"/>
      <c r="D18" s="1866"/>
      <c r="E18" s="1866"/>
      <c r="F18" s="1867"/>
    </row>
    <row r="19">
      <c r="A19" s="1871" t="s">
        <v>11546</v>
      </c>
      <c r="B19" s="1869"/>
      <c r="C19" s="1869"/>
      <c r="D19" s="1869"/>
      <c r="E19" s="1869"/>
      <c r="F19" s="1870"/>
    </row>
    <row r="20">
      <c r="A20" s="1882"/>
      <c r="B20" s="1872" t="s">
        <v>11517</v>
      </c>
      <c r="C20" s="1873" t="s">
        <v>11547</v>
      </c>
      <c r="D20" s="1874" t="s">
        <v>11548</v>
      </c>
      <c r="E20" s="1873" t="s">
        <v>11519</v>
      </c>
      <c r="F20" s="1875">
        <v>44021.0</v>
      </c>
    </row>
    <row r="21">
      <c r="A21" s="1882"/>
      <c r="B21" s="1876" t="s">
        <v>11521</v>
      </c>
      <c r="C21" s="1873" t="s">
        <v>5301</v>
      </c>
      <c r="D21" s="1874" t="s">
        <v>11549</v>
      </c>
      <c r="E21" s="1873" t="s">
        <v>11529</v>
      </c>
      <c r="F21" s="1875">
        <v>44022.0</v>
      </c>
    </row>
    <row r="22">
      <c r="A22" s="1883"/>
      <c r="B22" s="1877" t="s">
        <v>11524</v>
      </c>
      <c r="C22" s="1873" t="s">
        <v>11550</v>
      </c>
      <c r="D22" s="1874" t="s">
        <v>11551</v>
      </c>
      <c r="E22" s="1873" t="s">
        <v>11552</v>
      </c>
      <c r="F22" s="1875">
        <v>43884.0</v>
      </c>
    </row>
    <row r="23">
      <c r="A23" s="1883"/>
      <c r="B23" s="1878" t="s">
        <v>11527</v>
      </c>
      <c r="C23" s="1873" t="s">
        <v>5237</v>
      </c>
      <c r="D23" s="1874" t="s">
        <v>11553</v>
      </c>
      <c r="E23" s="1873" t="s">
        <v>11519</v>
      </c>
      <c r="F23" s="1875">
        <v>43892.0</v>
      </c>
    </row>
    <row r="24">
      <c r="A24" s="1883"/>
      <c r="B24" s="1878" t="s">
        <v>11531</v>
      </c>
      <c r="C24" s="1879"/>
      <c r="D24" s="1880"/>
      <c r="E24" s="1879"/>
      <c r="F24" s="1879"/>
    </row>
    <row r="25">
      <c r="A25" s="1883"/>
      <c r="B25" s="1865" t="s">
        <v>11526</v>
      </c>
      <c r="C25" s="1866"/>
      <c r="D25" s="1866"/>
      <c r="E25" s="1866"/>
      <c r="F25" s="1867"/>
    </row>
    <row r="26">
      <c r="A26" s="1883"/>
      <c r="B26" s="1868"/>
      <c r="C26" s="1869"/>
      <c r="D26" s="1869"/>
      <c r="E26" s="1869"/>
      <c r="F26" s="1870"/>
    </row>
    <row r="27">
      <c r="A27" s="1883"/>
      <c r="B27" s="1884" t="s">
        <v>11554</v>
      </c>
      <c r="C27" s="1866"/>
      <c r="D27" s="1866"/>
      <c r="E27" s="1866"/>
      <c r="F27" s="1867"/>
    </row>
    <row r="28">
      <c r="A28" s="1883"/>
      <c r="B28" s="1868"/>
      <c r="C28" s="1869"/>
      <c r="D28" s="1869"/>
      <c r="E28" s="1869"/>
      <c r="F28" s="1870"/>
    </row>
    <row r="29">
      <c r="A29" s="1883"/>
      <c r="B29" s="1872" t="s">
        <v>11517</v>
      </c>
      <c r="C29" s="1885" t="s">
        <v>437</v>
      </c>
      <c r="D29" s="1874" t="s">
        <v>11555</v>
      </c>
      <c r="E29" s="1873" t="s">
        <v>11519</v>
      </c>
      <c r="F29" s="1875">
        <v>43659.0</v>
      </c>
    </row>
    <row r="30">
      <c r="A30" s="1883"/>
      <c r="B30" s="1876" t="s">
        <v>11521</v>
      </c>
      <c r="C30" s="1873" t="s">
        <v>1635</v>
      </c>
      <c r="D30" s="1874" t="s">
        <v>11556</v>
      </c>
      <c r="E30" s="1873" t="s">
        <v>11519</v>
      </c>
      <c r="F30" s="1875">
        <v>43228.0</v>
      </c>
    </row>
    <row r="31">
      <c r="A31" s="1883"/>
      <c r="B31" s="1877" t="s">
        <v>11524</v>
      </c>
      <c r="C31" s="1879"/>
      <c r="D31" s="1886"/>
      <c r="E31" s="1879"/>
      <c r="F31" s="1879"/>
    </row>
    <row r="32">
      <c r="A32" s="1883"/>
      <c r="B32" s="1878" t="s">
        <v>11527</v>
      </c>
      <c r="C32" s="1879"/>
      <c r="D32" s="1886"/>
      <c r="E32" s="1879"/>
      <c r="F32" s="1879"/>
    </row>
    <row r="33">
      <c r="A33" s="1883"/>
      <c r="B33" s="1878" t="s">
        <v>11531</v>
      </c>
      <c r="C33" s="1879"/>
      <c r="D33" s="1886"/>
      <c r="E33" s="1879"/>
      <c r="F33" s="1879"/>
    </row>
    <row r="34">
      <c r="A34" s="1883"/>
      <c r="B34" s="1884" t="s">
        <v>11557</v>
      </c>
      <c r="C34" s="1866"/>
      <c r="D34" s="1866"/>
      <c r="E34" s="1866"/>
      <c r="F34" s="1867"/>
    </row>
    <row r="35">
      <c r="A35" s="1883"/>
      <c r="B35" s="1868"/>
      <c r="C35" s="1869"/>
      <c r="D35" s="1869"/>
      <c r="E35" s="1869"/>
      <c r="F35" s="1870"/>
    </row>
    <row r="36">
      <c r="A36" s="1883"/>
      <c r="B36" s="1872" t="s">
        <v>11517</v>
      </c>
      <c r="C36" s="1873" t="s">
        <v>1635</v>
      </c>
      <c r="D36" s="1874" t="s">
        <v>11558</v>
      </c>
      <c r="E36" s="1873" t="s">
        <v>11519</v>
      </c>
      <c r="F36" s="1875">
        <v>43352.0</v>
      </c>
    </row>
    <row r="37">
      <c r="A37" s="1883"/>
      <c r="B37" s="1876" t="s">
        <v>11521</v>
      </c>
      <c r="C37" s="1873" t="s">
        <v>11559</v>
      </c>
      <c r="D37" s="1874" t="s">
        <v>11560</v>
      </c>
      <c r="E37" s="1873" t="s">
        <v>11519</v>
      </c>
      <c r="F37" s="1875">
        <v>43799.0</v>
      </c>
    </row>
    <row r="38">
      <c r="A38" s="1883"/>
      <c r="B38" s="1877" t="s">
        <v>11524</v>
      </c>
      <c r="C38" s="1879"/>
      <c r="D38" s="1880"/>
      <c r="E38" s="1879"/>
      <c r="F38" s="1879"/>
    </row>
    <row r="39">
      <c r="A39" s="1883"/>
      <c r="B39" s="1878" t="s">
        <v>11527</v>
      </c>
      <c r="C39" s="1879"/>
      <c r="D39" s="1880"/>
      <c r="E39" s="1879"/>
      <c r="F39" s="1879"/>
    </row>
    <row r="40">
      <c r="A40" s="1883"/>
      <c r="B40" s="1878" t="s">
        <v>11531</v>
      </c>
      <c r="C40" s="1879"/>
      <c r="D40" s="1880"/>
      <c r="E40" s="1879"/>
      <c r="F40" s="1879"/>
    </row>
    <row r="41">
      <c r="A41" s="1883"/>
      <c r="B41" s="1865" t="s">
        <v>11530</v>
      </c>
      <c r="C41" s="1866"/>
      <c r="D41" s="1866"/>
      <c r="E41" s="1866"/>
      <c r="F41" s="1867"/>
    </row>
    <row r="42">
      <c r="A42" s="1883"/>
      <c r="B42" s="1868"/>
      <c r="C42" s="1869"/>
      <c r="D42" s="1869"/>
      <c r="E42" s="1869"/>
      <c r="F42" s="1870"/>
    </row>
    <row r="43">
      <c r="A43" s="1883"/>
      <c r="B43" s="1872" t="s">
        <v>11517</v>
      </c>
      <c r="C43" s="1873" t="s">
        <v>6676</v>
      </c>
      <c r="D43" s="1887" t="s">
        <v>11561</v>
      </c>
      <c r="E43" s="1873" t="s">
        <v>11519</v>
      </c>
      <c r="F43" s="1888">
        <v>44511.0</v>
      </c>
    </row>
    <row r="44">
      <c r="A44" s="1883"/>
      <c r="B44" s="1876" t="s">
        <v>11521</v>
      </c>
      <c r="C44" s="1873" t="s">
        <v>11559</v>
      </c>
      <c r="D44" s="1887" t="s">
        <v>11562</v>
      </c>
      <c r="E44" s="1873" t="s">
        <v>11519</v>
      </c>
      <c r="F44" s="1888">
        <v>43740.0</v>
      </c>
    </row>
    <row r="45">
      <c r="A45" s="1883"/>
      <c r="B45" s="1877" t="s">
        <v>11524</v>
      </c>
      <c r="C45" s="1873" t="s">
        <v>10540</v>
      </c>
      <c r="D45" s="1887" t="s">
        <v>11563</v>
      </c>
      <c r="E45" s="1873" t="s">
        <v>11519</v>
      </c>
      <c r="F45" s="1888">
        <v>42098.0</v>
      </c>
    </row>
    <row r="46">
      <c r="A46" s="1883"/>
      <c r="B46" s="1878" t="s">
        <v>11527</v>
      </c>
      <c r="C46" s="1873"/>
      <c r="D46" s="1887"/>
      <c r="E46" s="1873"/>
      <c r="F46" s="1888"/>
    </row>
    <row r="47">
      <c r="A47" s="1883"/>
      <c r="B47" s="1878" t="s">
        <v>11531</v>
      </c>
      <c r="C47" s="1879"/>
      <c r="D47" s="1889"/>
      <c r="E47" s="1879"/>
      <c r="F47" s="1883"/>
    </row>
    <row r="48">
      <c r="A48" s="1883"/>
      <c r="B48" s="1865" t="s">
        <v>11532</v>
      </c>
      <c r="C48" s="1866"/>
      <c r="D48" s="1866"/>
      <c r="E48" s="1866"/>
      <c r="F48" s="1867"/>
    </row>
    <row r="49">
      <c r="A49" s="1883"/>
      <c r="B49" s="1868"/>
      <c r="C49" s="1869"/>
      <c r="D49" s="1869"/>
      <c r="E49" s="1869"/>
      <c r="F49" s="1870"/>
    </row>
    <row r="50">
      <c r="A50" s="1883"/>
      <c r="B50" s="1872" t="s">
        <v>11517</v>
      </c>
      <c r="C50" s="1873" t="s">
        <v>11564</v>
      </c>
      <c r="D50" s="1887" t="s">
        <v>11565</v>
      </c>
      <c r="E50" s="1873" t="s">
        <v>11566</v>
      </c>
      <c r="F50" s="1888">
        <v>43395.0</v>
      </c>
    </row>
    <row r="51">
      <c r="A51" s="1883"/>
      <c r="B51" s="1876" t="s">
        <v>11521</v>
      </c>
      <c r="C51" s="1873" t="s">
        <v>2263</v>
      </c>
      <c r="D51" s="1887" t="s">
        <v>11567</v>
      </c>
      <c r="E51" s="1873" t="s">
        <v>11529</v>
      </c>
      <c r="F51" s="1888">
        <v>43376.0</v>
      </c>
    </row>
    <row r="52">
      <c r="A52" s="1883"/>
      <c r="B52" s="1877" t="s">
        <v>11524</v>
      </c>
      <c r="C52" s="1879"/>
      <c r="D52" s="1889"/>
      <c r="E52" s="1879"/>
      <c r="F52" s="1883"/>
    </row>
    <row r="53">
      <c r="A53" s="1883"/>
      <c r="B53" s="1878" t="s">
        <v>11527</v>
      </c>
      <c r="C53" s="1879"/>
      <c r="D53" s="1889"/>
      <c r="E53" s="1879"/>
      <c r="F53" s="1883"/>
    </row>
    <row r="54">
      <c r="A54" s="1883"/>
      <c r="B54" s="1878" t="s">
        <v>11531</v>
      </c>
      <c r="C54" s="1879"/>
      <c r="D54" s="1889"/>
      <c r="E54" s="1879"/>
      <c r="F54" s="1883"/>
    </row>
    <row r="55">
      <c r="A55" s="1883"/>
      <c r="B55" s="1865" t="s">
        <v>11533</v>
      </c>
      <c r="C55" s="1866"/>
      <c r="D55" s="1866"/>
      <c r="E55" s="1866"/>
      <c r="F55" s="1867"/>
    </row>
    <row r="56">
      <c r="A56" s="1883"/>
      <c r="B56" s="1868"/>
      <c r="C56" s="1869"/>
      <c r="D56" s="1869"/>
      <c r="E56" s="1869"/>
      <c r="F56" s="1870"/>
    </row>
    <row r="57">
      <c r="A57" s="1883"/>
      <c r="B57" s="1890" t="s">
        <v>11568</v>
      </c>
      <c r="C57" s="1866"/>
      <c r="D57" s="1866"/>
      <c r="E57" s="1866"/>
      <c r="F57" s="1867"/>
    </row>
    <row r="58">
      <c r="A58" s="1883"/>
      <c r="B58" s="1868"/>
      <c r="C58" s="1869"/>
      <c r="D58" s="1869"/>
      <c r="E58" s="1869"/>
      <c r="F58" s="1870"/>
    </row>
    <row r="59">
      <c r="A59" s="1883"/>
      <c r="B59" s="1872" t="s">
        <v>11517</v>
      </c>
      <c r="C59" s="1891" t="s">
        <v>437</v>
      </c>
      <c r="D59" s="1887" t="s">
        <v>11569</v>
      </c>
      <c r="E59" s="1873" t="s">
        <v>11519</v>
      </c>
      <c r="F59" s="1888">
        <v>43758.0</v>
      </c>
    </row>
    <row r="60">
      <c r="A60" s="1883"/>
      <c r="B60" s="1876" t="s">
        <v>11521</v>
      </c>
      <c r="C60" s="1879"/>
      <c r="D60" s="1889"/>
      <c r="E60" s="1879"/>
      <c r="F60" s="1883"/>
    </row>
    <row r="61">
      <c r="A61" s="1883"/>
      <c r="B61" s="1877" t="s">
        <v>11524</v>
      </c>
      <c r="C61" s="1879"/>
      <c r="D61" s="1889"/>
      <c r="E61" s="1879"/>
      <c r="F61" s="1883"/>
    </row>
    <row r="62">
      <c r="A62" s="1883"/>
      <c r="B62" s="1878" t="s">
        <v>11527</v>
      </c>
      <c r="C62" s="1879"/>
      <c r="D62" s="1889"/>
      <c r="E62" s="1879"/>
      <c r="F62" s="1883"/>
    </row>
    <row r="63">
      <c r="A63" s="1883"/>
      <c r="B63" s="1878" t="s">
        <v>11531</v>
      </c>
      <c r="C63" s="1879"/>
      <c r="D63" s="1889"/>
      <c r="E63" s="1879"/>
      <c r="F63" s="1883"/>
    </row>
    <row r="64">
      <c r="A64" s="1883"/>
      <c r="B64" s="1890" t="s">
        <v>11557</v>
      </c>
      <c r="C64" s="1866"/>
      <c r="D64" s="1866"/>
      <c r="E64" s="1866"/>
      <c r="F64" s="1867"/>
    </row>
    <row r="65">
      <c r="A65" s="1883"/>
      <c r="B65" s="1868"/>
      <c r="C65" s="1869"/>
      <c r="D65" s="1869"/>
      <c r="E65" s="1869"/>
      <c r="F65" s="1870"/>
    </row>
    <row r="66">
      <c r="A66" s="1883"/>
      <c r="B66" s="1872" t="s">
        <v>11517</v>
      </c>
      <c r="C66" s="1873" t="s">
        <v>11570</v>
      </c>
      <c r="D66" s="1892" t="s">
        <v>11571</v>
      </c>
      <c r="E66" s="1873" t="s">
        <v>11519</v>
      </c>
      <c r="F66" s="1888">
        <v>44805.0</v>
      </c>
    </row>
    <row r="67">
      <c r="A67" s="1883"/>
      <c r="B67" s="1876" t="s">
        <v>11521</v>
      </c>
      <c r="C67" s="1873" t="s">
        <v>11572</v>
      </c>
      <c r="D67" s="1887" t="s">
        <v>11573</v>
      </c>
      <c r="E67" s="1873" t="s">
        <v>11519</v>
      </c>
      <c r="F67" s="1888">
        <v>43307.0</v>
      </c>
    </row>
    <row r="68">
      <c r="A68" s="1883"/>
      <c r="B68" s="1877" t="s">
        <v>11524</v>
      </c>
      <c r="C68" s="1879"/>
      <c r="D68" s="1889"/>
      <c r="E68" s="1879"/>
      <c r="F68" s="1883"/>
    </row>
    <row r="69">
      <c r="A69" s="1883"/>
      <c r="B69" s="1878" t="s">
        <v>11527</v>
      </c>
      <c r="C69" s="1879"/>
      <c r="D69" s="1889"/>
      <c r="E69" s="1879"/>
      <c r="F69" s="1883"/>
    </row>
    <row r="70">
      <c r="A70" s="1883"/>
      <c r="B70" s="1878" t="s">
        <v>11531</v>
      </c>
      <c r="C70" s="1879"/>
      <c r="D70" s="1889"/>
      <c r="E70" s="1879"/>
      <c r="F70" s="1883"/>
    </row>
    <row r="71">
      <c r="A71" s="1883"/>
      <c r="B71" s="1865" t="s">
        <v>11534</v>
      </c>
      <c r="C71" s="1866"/>
      <c r="D71" s="1866"/>
      <c r="E71" s="1866"/>
      <c r="F71" s="1867"/>
    </row>
    <row r="72">
      <c r="A72" s="1883"/>
      <c r="B72" s="1868"/>
      <c r="C72" s="1869"/>
      <c r="D72" s="1869"/>
      <c r="E72" s="1869"/>
      <c r="F72" s="1870"/>
    </row>
    <row r="73">
      <c r="A73" s="1883"/>
      <c r="B73" s="1890" t="s">
        <v>11574</v>
      </c>
      <c r="C73" s="1866"/>
      <c r="D73" s="1866"/>
      <c r="E73" s="1866"/>
      <c r="F73" s="1867"/>
    </row>
    <row r="74">
      <c r="A74" s="1883"/>
      <c r="B74" s="1868"/>
      <c r="C74" s="1869"/>
      <c r="D74" s="1869"/>
      <c r="E74" s="1869"/>
      <c r="F74" s="1870"/>
    </row>
    <row r="75">
      <c r="A75" s="1883"/>
      <c r="B75" s="1872" t="s">
        <v>11517</v>
      </c>
      <c r="C75" s="1873" t="s">
        <v>4341</v>
      </c>
      <c r="D75" s="1887" t="s">
        <v>11575</v>
      </c>
      <c r="E75" s="1873" t="s">
        <v>11519</v>
      </c>
      <c r="F75" s="1888">
        <v>44246.0</v>
      </c>
    </row>
    <row r="76">
      <c r="A76" s="1883"/>
      <c r="B76" s="1876" t="s">
        <v>11521</v>
      </c>
      <c r="C76" s="1873" t="s">
        <v>11564</v>
      </c>
      <c r="D76" s="1887" t="s">
        <v>11576</v>
      </c>
      <c r="E76" s="1873" t="s">
        <v>11566</v>
      </c>
      <c r="F76" s="1888">
        <v>43637.0</v>
      </c>
    </row>
    <row r="77">
      <c r="A77" s="1883"/>
      <c r="B77" s="1877" t="s">
        <v>11524</v>
      </c>
      <c r="C77" s="1879"/>
      <c r="D77" s="1889"/>
      <c r="E77" s="1879"/>
      <c r="F77" s="1883"/>
    </row>
    <row r="78">
      <c r="A78" s="1883"/>
      <c r="B78" s="1878" t="s">
        <v>11527</v>
      </c>
      <c r="C78" s="1879"/>
      <c r="D78" s="1889"/>
      <c r="E78" s="1879"/>
      <c r="F78" s="1883"/>
    </row>
    <row r="79">
      <c r="A79" s="1883"/>
      <c r="B79" s="1878" t="s">
        <v>11531</v>
      </c>
      <c r="C79" s="1879"/>
      <c r="D79" s="1889"/>
      <c r="E79" s="1879"/>
      <c r="F79" s="1883"/>
    </row>
    <row r="80">
      <c r="A80" s="1883"/>
      <c r="B80" s="1890" t="s">
        <v>11577</v>
      </c>
      <c r="C80" s="1866"/>
      <c r="D80" s="1866"/>
      <c r="E80" s="1866"/>
      <c r="F80" s="1867"/>
    </row>
    <row r="81">
      <c r="A81" s="1883"/>
      <c r="B81" s="1868"/>
      <c r="C81" s="1869"/>
      <c r="D81" s="1869"/>
      <c r="E81" s="1869"/>
      <c r="F81" s="1870"/>
    </row>
    <row r="82">
      <c r="A82" s="1883"/>
      <c r="B82" s="1872" t="s">
        <v>11517</v>
      </c>
      <c r="C82" s="1873" t="s">
        <v>6392</v>
      </c>
      <c r="D82" s="1887" t="s">
        <v>11578</v>
      </c>
      <c r="E82" s="1873" t="s">
        <v>11519</v>
      </c>
      <c r="F82" s="1888">
        <v>43592.0</v>
      </c>
    </row>
    <row r="83">
      <c r="A83" s="1883"/>
      <c r="B83" s="1876" t="s">
        <v>11521</v>
      </c>
      <c r="C83" s="1873" t="s">
        <v>11579</v>
      </c>
      <c r="D83" s="1887" t="s">
        <v>11580</v>
      </c>
      <c r="E83" s="1873" t="s">
        <v>11519</v>
      </c>
      <c r="F83" s="1888">
        <v>43396.0</v>
      </c>
    </row>
    <row r="84">
      <c r="A84" s="1883"/>
      <c r="B84" s="1877" t="s">
        <v>11524</v>
      </c>
      <c r="C84" s="1879"/>
      <c r="D84" s="1889"/>
      <c r="E84" s="1879"/>
      <c r="F84" s="1883"/>
    </row>
    <row r="85">
      <c r="A85" s="1883"/>
      <c r="B85" s="1878" t="s">
        <v>11527</v>
      </c>
      <c r="C85" s="1879"/>
      <c r="D85" s="1889"/>
      <c r="E85" s="1879"/>
      <c r="F85" s="1883"/>
    </row>
    <row r="86">
      <c r="A86" s="1883"/>
      <c r="B86" s="1878" t="s">
        <v>11531</v>
      </c>
      <c r="C86" s="1879"/>
      <c r="D86" s="1889"/>
      <c r="E86" s="1879"/>
      <c r="F86" s="1883"/>
    </row>
    <row r="87">
      <c r="A87" s="1883"/>
      <c r="B87" s="1865" t="s">
        <v>11536</v>
      </c>
      <c r="C87" s="1866"/>
      <c r="D87" s="1866"/>
      <c r="E87" s="1866"/>
      <c r="F87" s="1867"/>
    </row>
    <row r="88">
      <c r="A88" s="1883"/>
      <c r="B88" s="1868"/>
      <c r="C88" s="1869"/>
      <c r="D88" s="1869"/>
      <c r="E88" s="1869"/>
      <c r="F88" s="1870"/>
    </row>
    <row r="89">
      <c r="A89" s="1883"/>
      <c r="B89" s="1872" t="s">
        <v>11517</v>
      </c>
      <c r="C89" s="1891" t="s">
        <v>437</v>
      </c>
      <c r="D89" s="1887" t="s">
        <v>11581</v>
      </c>
      <c r="E89" s="1873" t="s">
        <v>11519</v>
      </c>
      <c r="F89" s="1888">
        <v>43457.0</v>
      </c>
    </row>
    <row r="90">
      <c r="A90" s="1883"/>
      <c r="B90" s="1876" t="s">
        <v>11521</v>
      </c>
      <c r="C90" s="1873" t="s">
        <v>2457</v>
      </c>
      <c r="D90" s="1887" t="s">
        <v>11582</v>
      </c>
      <c r="E90" s="1873" t="s">
        <v>11519</v>
      </c>
      <c r="F90" s="1888">
        <v>43925.0</v>
      </c>
    </row>
    <row r="91">
      <c r="A91" s="1883"/>
      <c r="B91" s="1877" t="s">
        <v>11524</v>
      </c>
      <c r="C91" s="1873" t="s">
        <v>4794</v>
      </c>
      <c r="D91" s="1887" t="s">
        <v>11583</v>
      </c>
      <c r="E91" s="1873" t="s">
        <v>11552</v>
      </c>
      <c r="F91" s="1888">
        <v>43433.0</v>
      </c>
    </row>
    <row r="92">
      <c r="A92" s="1883"/>
      <c r="B92" s="1878" t="s">
        <v>11527</v>
      </c>
      <c r="C92" s="1879"/>
      <c r="D92" s="1889"/>
      <c r="E92" s="1879"/>
      <c r="F92" s="1883"/>
    </row>
    <row r="93">
      <c r="A93" s="1883"/>
      <c r="B93" s="1878" t="s">
        <v>11531</v>
      </c>
      <c r="C93" s="1879"/>
      <c r="D93" s="1889"/>
      <c r="E93" s="1879"/>
      <c r="F93" s="1883"/>
    </row>
    <row r="94">
      <c r="A94" s="1883"/>
      <c r="B94" s="1865" t="s">
        <v>11538</v>
      </c>
      <c r="C94" s="1866"/>
      <c r="D94" s="1866"/>
      <c r="E94" s="1866"/>
      <c r="F94" s="1867"/>
    </row>
    <row r="95">
      <c r="A95" s="1883"/>
      <c r="B95" s="1868"/>
      <c r="C95" s="1869"/>
      <c r="D95" s="1869"/>
      <c r="E95" s="1869"/>
      <c r="F95" s="1870"/>
    </row>
    <row r="96">
      <c r="A96" s="1883"/>
      <c r="B96" s="1890" t="s">
        <v>11584</v>
      </c>
      <c r="C96" s="1866"/>
      <c r="D96" s="1866"/>
      <c r="E96" s="1866"/>
      <c r="F96" s="1867"/>
    </row>
    <row r="97">
      <c r="A97" s="1883"/>
      <c r="B97" s="1868"/>
      <c r="C97" s="1869"/>
      <c r="D97" s="1869"/>
      <c r="E97" s="1869"/>
      <c r="F97" s="1870"/>
    </row>
    <row r="98">
      <c r="A98" s="1883"/>
      <c r="B98" s="1872" t="s">
        <v>11517</v>
      </c>
      <c r="C98" s="1873" t="s">
        <v>11559</v>
      </c>
      <c r="D98" s="1887" t="s">
        <v>11585</v>
      </c>
      <c r="E98" s="1873" t="s">
        <v>11519</v>
      </c>
      <c r="F98" s="1888">
        <v>43862.0</v>
      </c>
    </row>
    <row r="99">
      <c r="A99" s="1883"/>
      <c r="B99" s="1876" t="s">
        <v>11521</v>
      </c>
      <c r="C99" s="1879"/>
      <c r="D99" s="1889"/>
      <c r="E99" s="1879"/>
      <c r="F99" s="1883"/>
    </row>
    <row r="100">
      <c r="A100" s="1883"/>
      <c r="B100" s="1877" t="s">
        <v>11524</v>
      </c>
      <c r="C100" s="1879"/>
      <c r="D100" s="1889"/>
      <c r="E100" s="1879"/>
      <c r="F100" s="1883"/>
    </row>
    <row r="101">
      <c r="A101" s="1883"/>
      <c r="B101" s="1878" t="s">
        <v>11527</v>
      </c>
      <c r="C101" s="1879"/>
      <c r="D101" s="1889"/>
      <c r="E101" s="1879"/>
      <c r="F101" s="1883"/>
    </row>
    <row r="102">
      <c r="A102" s="1883"/>
      <c r="B102" s="1878" t="s">
        <v>11531</v>
      </c>
      <c r="C102" s="1879"/>
      <c r="D102" s="1889"/>
      <c r="E102" s="1879"/>
      <c r="F102" s="1883"/>
    </row>
    <row r="103">
      <c r="A103" s="1883"/>
      <c r="B103" s="1890" t="s">
        <v>11586</v>
      </c>
      <c r="C103" s="1866"/>
      <c r="D103" s="1866"/>
      <c r="E103" s="1866"/>
      <c r="F103" s="1867"/>
    </row>
    <row r="104">
      <c r="A104" s="1883"/>
      <c r="B104" s="1868"/>
      <c r="C104" s="1869"/>
      <c r="D104" s="1869"/>
      <c r="E104" s="1869"/>
      <c r="F104" s="1870"/>
    </row>
    <row r="105">
      <c r="A105" s="1883"/>
      <c r="B105" s="1872" t="s">
        <v>11517</v>
      </c>
      <c r="C105" s="1873" t="s">
        <v>11559</v>
      </c>
      <c r="D105" s="1887" t="s">
        <v>11587</v>
      </c>
      <c r="E105" s="1873" t="s">
        <v>11519</v>
      </c>
      <c r="F105" s="1888">
        <v>43862.0</v>
      </c>
    </row>
    <row r="106">
      <c r="A106" s="1883"/>
      <c r="B106" s="1876" t="s">
        <v>11521</v>
      </c>
      <c r="C106" s="1893" t="s">
        <v>6315</v>
      </c>
      <c r="D106" s="1887" t="s">
        <v>11588</v>
      </c>
      <c r="E106" s="1873" t="s">
        <v>11566</v>
      </c>
      <c r="F106" s="1888">
        <v>43630.0</v>
      </c>
    </row>
    <row r="107">
      <c r="A107" s="1883"/>
      <c r="B107" s="1877" t="s">
        <v>11524</v>
      </c>
      <c r="C107" s="1879"/>
      <c r="D107" s="1889"/>
      <c r="E107" s="1879"/>
      <c r="F107" s="1883"/>
    </row>
    <row r="108">
      <c r="A108" s="1883"/>
      <c r="B108" s="1878" t="s">
        <v>11527</v>
      </c>
      <c r="C108" s="1879"/>
      <c r="D108" s="1889"/>
      <c r="E108" s="1879"/>
      <c r="F108" s="1883"/>
    </row>
    <row r="109">
      <c r="A109" s="1883"/>
      <c r="B109" s="1878" t="s">
        <v>11531</v>
      </c>
      <c r="C109" s="1879"/>
      <c r="D109" s="1889"/>
      <c r="E109" s="1879"/>
      <c r="F109" s="1883"/>
    </row>
    <row r="110">
      <c r="A110" s="1883"/>
      <c r="B110" s="1865" t="s">
        <v>11541</v>
      </c>
      <c r="C110" s="1866"/>
      <c r="D110" s="1866"/>
      <c r="E110" s="1866"/>
      <c r="F110" s="1867"/>
    </row>
    <row r="111">
      <c r="A111" s="1883"/>
      <c r="B111" s="1868"/>
      <c r="C111" s="1869"/>
      <c r="D111" s="1869"/>
      <c r="E111" s="1869"/>
      <c r="F111" s="1870"/>
    </row>
    <row r="112">
      <c r="A112" s="1883"/>
      <c r="B112" s="1872" t="s">
        <v>11517</v>
      </c>
      <c r="C112" s="1873" t="s">
        <v>5301</v>
      </c>
      <c r="D112" s="1887" t="s">
        <v>11589</v>
      </c>
      <c r="E112" s="1873" t="s">
        <v>11529</v>
      </c>
      <c r="F112" s="1888">
        <v>44132.0</v>
      </c>
    </row>
    <row r="113">
      <c r="A113" s="1883"/>
      <c r="B113" s="1876" t="s">
        <v>11521</v>
      </c>
      <c r="C113" s="1879"/>
      <c r="D113" s="1889"/>
      <c r="E113" s="1879"/>
      <c r="F113" s="1883"/>
    </row>
    <row r="114">
      <c r="A114" s="1883"/>
      <c r="B114" s="1877" t="s">
        <v>11524</v>
      </c>
      <c r="C114" s="1879"/>
      <c r="D114" s="1889"/>
      <c r="E114" s="1879"/>
      <c r="F114" s="1883"/>
    </row>
    <row r="115">
      <c r="A115" s="1883"/>
      <c r="B115" s="1878" t="s">
        <v>11527</v>
      </c>
      <c r="C115" s="1879"/>
      <c r="D115" s="1889"/>
      <c r="E115" s="1879"/>
      <c r="F115" s="1883"/>
    </row>
    <row r="116">
      <c r="A116" s="1883"/>
      <c r="B116" s="1878" t="s">
        <v>11531</v>
      </c>
      <c r="C116" s="1879"/>
      <c r="D116" s="1889"/>
      <c r="E116" s="1879"/>
      <c r="F116" s="1883"/>
    </row>
    <row r="117">
      <c r="A117" s="1883"/>
      <c r="B117" s="1865" t="s">
        <v>11544</v>
      </c>
      <c r="C117" s="1866"/>
      <c r="D117" s="1866"/>
      <c r="E117" s="1866"/>
      <c r="F117" s="1867"/>
    </row>
    <row r="118">
      <c r="A118" s="1883"/>
      <c r="B118" s="1868"/>
      <c r="C118" s="1869"/>
      <c r="D118" s="1869"/>
      <c r="E118" s="1869"/>
      <c r="F118" s="1870"/>
    </row>
    <row r="119">
      <c r="A119" s="1883"/>
      <c r="B119" s="1872" t="s">
        <v>11517</v>
      </c>
      <c r="C119" s="1873" t="s">
        <v>6377</v>
      </c>
      <c r="D119" s="1887" t="s">
        <v>11590</v>
      </c>
      <c r="E119" s="1873" t="s">
        <v>11519</v>
      </c>
      <c r="F119" s="1888">
        <v>43741.0</v>
      </c>
    </row>
    <row r="120">
      <c r="A120" s="1883"/>
      <c r="B120" s="1876" t="s">
        <v>11521</v>
      </c>
      <c r="C120" s="1873" t="s">
        <v>11591</v>
      </c>
      <c r="D120" s="1887" t="s">
        <v>11592</v>
      </c>
      <c r="E120" s="1873" t="s">
        <v>11552</v>
      </c>
      <c r="F120" s="1888">
        <v>43748.0</v>
      </c>
    </row>
    <row r="121">
      <c r="A121" s="1883"/>
      <c r="B121" s="1877" t="s">
        <v>11524</v>
      </c>
      <c r="C121" s="1873" t="s">
        <v>2188</v>
      </c>
      <c r="D121" s="1887" t="s">
        <v>11593</v>
      </c>
      <c r="E121" s="1873" t="s">
        <v>11566</v>
      </c>
      <c r="F121" s="1888">
        <v>43729.0</v>
      </c>
    </row>
    <row r="122">
      <c r="A122" s="1883"/>
      <c r="B122" s="1878" t="s">
        <v>11527</v>
      </c>
      <c r="C122" s="1891" t="s">
        <v>437</v>
      </c>
      <c r="D122" s="1887" t="s">
        <v>11594</v>
      </c>
      <c r="E122" s="1873" t="s">
        <v>11519</v>
      </c>
      <c r="F122" s="1888">
        <v>44470.0</v>
      </c>
    </row>
    <row r="123">
      <c r="A123" s="1883"/>
      <c r="B123" s="1878" t="s">
        <v>11531</v>
      </c>
      <c r="C123" s="1873" t="s">
        <v>5301</v>
      </c>
      <c r="D123" s="1887" t="s">
        <v>11595</v>
      </c>
      <c r="E123" s="1873" t="s">
        <v>11529</v>
      </c>
      <c r="F123" s="1888">
        <v>44020.0</v>
      </c>
    </row>
    <row r="124">
      <c r="A124" s="1894" t="s">
        <v>11596</v>
      </c>
      <c r="B124" s="1865" t="s">
        <v>11545</v>
      </c>
      <c r="C124" s="1866"/>
      <c r="D124" s="1866"/>
      <c r="E124" s="1866"/>
      <c r="F124" s="1867"/>
    </row>
    <row r="125">
      <c r="A125" s="1894" t="s">
        <v>11597</v>
      </c>
      <c r="B125" s="1868"/>
      <c r="C125" s="1869"/>
      <c r="D125" s="1869"/>
      <c r="E125" s="1869"/>
      <c r="F125" s="1870"/>
    </row>
    <row r="126">
      <c r="A126" s="1895"/>
      <c r="B126" s="1872" t="s">
        <v>11517</v>
      </c>
      <c r="C126" s="1873" t="s">
        <v>981</v>
      </c>
      <c r="D126" s="1896">
        <v>0.06525462962962963</v>
      </c>
      <c r="E126" s="1873" t="s">
        <v>11529</v>
      </c>
      <c r="F126" s="1875">
        <v>44652.0</v>
      </c>
    </row>
    <row r="127">
      <c r="A127" s="1895"/>
      <c r="B127" s="1876" t="s">
        <v>11521</v>
      </c>
      <c r="C127" s="1873" t="s">
        <v>4126</v>
      </c>
      <c r="D127" s="1896">
        <v>0.06892361111111112</v>
      </c>
      <c r="E127" s="1873" t="s">
        <v>11529</v>
      </c>
      <c r="F127" s="1875">
        <v>44652.0</v>
      </c>
    </row>
    <row r="128">
      <c r="A128" s="1895"/>
      <c r="B128" s="1877" t="s">
        <v>11524</v>
      </c>
      <c r="C128" s="1882" t="s">
        <v>5402</v>
      </c>
      <c r="D128" s="1897">
        <v>0.07195601851851852</v>
      </c>
      <c r="E128" s="1882" t="s">
        <v>11529</v>
      </c>
      <c r="F128" s="1888">
        <v>44652.0</v>
      </c>
    </row>
    <row r="129">
      <c r="A129" s="1895"/>
      <c r="B129" s="1878" t="s">
        <v>11527</v>
      </c>
      <c r="C129" s="1879" t="s">
        <v>11598</v>
      </c>
      <c r="D129" s="1898">
        <v>0.07211805555555556</v>
      </c>
      <c r="E129" s="1899" t="s">
        <v>11599</v>
      </c>
      <c r="F129" s="1888">
        <v>44652.0</v>
      </c>
    </row>
    <row r="130">
      <c r="A130" s="1895"/>
      <c r="B130" s="1878" t="s">
        <v>11531</v>
      </c>
      <c r="C130" s="1879"/>
      <c r="D130" s="1879"/>
      <c r="E130" s="1879"/>
      <c r="F130" s="1879"/>
    </row>
    <row r="131">
      <c r="A131" s="1900" t="s">
        <v>11546</v>
      </c>
      <c r="B131" s="1865" t="s">
        <v>11546</v>
      </c>
      <c r="C131" s="1866"/>
      <c r="D131" s="1866"/>
      <c r="E131" s="1866"/>
      <c r="F131" s="1867"/>
    </row>
    <row r="132">
      <c r="A132" s="1895"/>
      <c r="B132" s="1868"/>
      <c r="C132" s="1869"/>
      <c r="D132" s="1869"/>
      <c r="E132" s="1869"/>
      <c r="F132" s="1870"/>
    </row>
    <row r="133">
      <c r="A133" s="1895"/>
      <c r="B133" s="1872" t="s">
        <v>11517</v>
      </c>
      <c r="C133" s="1873" t="s">
        <v>2457</v>
      </c>
      <c r="D133" s="1901" t="s">
        <v>11600</v>
      </c>
      <c r="E133" s="1873" t="s">
        <v>11519</v>
      </c>
      <c r="F133" s="1875">
        <v>45152.0</v>
      </c>
    </row>
    <row r="134">
      <c r="A134" s="1895"/>
      <c r="B134" s="1876" t="s">
        <v>11521</v>
      </c>
      <c r="C134" s="1873" t="s">
        <v>4257</v>
      </c>
      <c r="D134" s="1901" t="s">
        <v>11601</v>
      </c>
      <c r="E134" s="1873" t="s">
        <v>11519</v>
      </c>
      <c r="F134" s="1875">
        <v>44866.0</v>
      </c>
    </row>
    <row r="135">
      <c r="A135" s="1895"/>
      <c r="B135" s="1877" t="s">
        <v>11524</v>
      </c>
      <c r="C135" s="1879"/>
      <c r="D135" s="1898"/>
      <c r="E135" s="1899"/>
      <c r="F135" s="1888"/>
    </row>
    <row r="136">
      <c r="A136" s="1895"/>
      <c r="B136" s="1878" t="s">
        <v>11527</v>
      </c>
      <c r="C136" s="1879"/>
      <c r="D136" s="1898"/>
      <c r="E136" s="1899"/>
      <c r="F136" s="1888"/>
    </row>
    <row r="137">
      <c r="A137" s="1895"/>
      <c r="B137" s="1878" t="s">
        <v>11531</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