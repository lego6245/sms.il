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<sst xmlns="http://schemas.openxmlformats.org/spreadsheetml/2006/main" count="26769" uniqueCount="11218">
  <si>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</si>
  <si>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</si>
  <si>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</si>
  <si>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</si>
  <si>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</si>
  <si>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</si>
  <si>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</si>
  <si>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</si>
  <si>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</si>
  <si>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</si>
  <si>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</si>
  <si>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</si>
  <si>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</si>
  <si>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</si>
  <si>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</si>
  <si>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</si>
  <si>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</si>
  <si>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</si>
  <si>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</si>
  <si>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</si>
  <si>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</si>
  <si>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</si>
  <si>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</si>
  <si>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</si>
  <si>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</si>
  <si>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</si>
  <si>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</si>
  <si>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</si>
  <si>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</si>
  <si>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</si>
  <si>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</si>
  <si>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</si>
  <si>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</si>
  <si>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</si>
  <si>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</si>
  <si>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</si>
  <si>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</si>
  <si>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</si>
  <si>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</si>
  <si>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</si>
  <si>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</si>
  <si>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</si>
  <si>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</si>
  <si>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</si>
  <si>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</si>
  <si>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</si>
  <si>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</si>
  <si>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</si>
  <si>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</si>
  <si>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</si>
  <si>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</si>
  <si>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</si>
  <si>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</si>
  <si>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</si>
  <si>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</si>
  <si>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</si>
  <si>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</si>
  <si>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</si>
  <si>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</si>
  <si>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</si>
  <si>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</si>
  <si>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</si>
  <si>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</si>
  <si>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</si>
  <si>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</si>
  <si>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</si>
  <si>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</si>
  <si>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</si>
  <si>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</si>
  <si>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</si>
  <si>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</si>
  <si>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</si>
  <si>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</si>
  <si>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</si>
  <si>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</si>
  <si>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</si>
  <si>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</si>
  <si>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</si>
  <si>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</si>
  <si>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</si>
  <si>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</si>
  <si>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</si>
  <si>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</si>
  <si>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</si>
  <si>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</si>
  <si>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</si>
  <si>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</si>
  <si>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</si>
  <si>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</si>
  <si>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</si>
  <si>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</si>
  <si>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</si>
  <si>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</si>
  <si>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</si>
  <si>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</si>
  <si>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</si>
  <si>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</si>
  <si>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</si>
  <si>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</si>
  <si>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</si>
  <si>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</si>
  <si>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</si>
  <si>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</si>
  <si>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</si>
  <si>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</si>
  <si>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</si>
  <si>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</si>
  <si>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</si>
  <si>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</si>
  <si>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</si>
  <si>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</si>
  <si>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</si>
  <si>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</si>
  <si>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</si>
  <si>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</si>
  <si>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</si>
  <si>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</si>
  <si>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</si>
  <si>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</si>
  <si>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</si>
  <si>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</si>
  <si>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</si>
  <si>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</si>
  <si>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</si>
  <si>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</si>
  <si>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</si>
  <si>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</si>
  <si>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</si>
  <si>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</si>
  <si>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</si>
  <si>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</si>
  <si>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</si>
  <si>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</si>
  <si>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</si>
  <si>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</si>
  <si>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</si>
  <si>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</si>
  <si>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</si>
  <si>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</si>
  <si>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</si>
  <si>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</si>
  <si>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</si>
  <si>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</si>
  <si>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</si>
  <si>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</si>
  <si>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</si>
  <si>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</si>
  <si>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</si>
  <si>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</si>
  <si>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</si>
  <si>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</si>
  <si>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</si>
  <si>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</si>
  <si>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</si>
  <si>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</si>
  <si>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</si>
  <si>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</si>
  <si>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</si>
  <si>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</si>
  <si>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</si>
  <si>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</si>
  <si>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</si>
  <si>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</si>
  <si>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</si>
  <si>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</si>
  <si>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</si>
  <si>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</si>
  <si>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</si>
  <si>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</si>
  <si>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</si>
  <si>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</si>
  <si>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</si>
  <si>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</si>
  <si>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</si>
  <si>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</si>
  <si>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</si>
  <si>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</si>
  <si>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</si>
  <si>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</si>
  <si>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</si>
  <si>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</si>
  <si>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</si>
  <si>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</si>
  <si>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</si>
  <si>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</si>
  <si>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</si>
  <si>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</si>
  <si>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</si>
  <si>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</si>
  <si>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</si>
  <si>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</si>
  <si>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</si>
  <si>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</si>
  <si>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</si>
  <si>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</si>
  <si>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</si>
  <si>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</si>
  <si>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</si>
  <si>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</si>
  <si>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</si>
  <si>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</si>
  <si>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</si>
  <si>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</si>
  <si>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</si>
  <si>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</si>
  <si>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</si>
  <si>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</si>
  <si>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</si>
  <si>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</si>
  <si>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</si>
  <si>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</si>
  <si>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</si>
  <si>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</si>
  <si>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</si>
  <si>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</si>
  <si>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</si>
  <si>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</si>
  <si>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</si>
  <si>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</si>
  <si>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</si>
  <si>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</si>
  <si>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</si>
  <si>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</si>
  <si>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</si>
  <si>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</si>
  <si>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</si>
  <si>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</si>
  <si>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</si>
  <si>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</si>
  <si>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</si>
  <si>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</si>
  <si>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</si>
  <si>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</si>
  <si>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</si>
  <si>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</si>
  <si>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</si>
  <si>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</si>
  <si>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</si>
  <si>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</si>
  <si>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</si>
  <si>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</si>
  <si>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</si>
  <si>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</si>
  <si>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</si>
  <si>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</si>
  <si>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</si>
  <si>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</si>
  <si>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</si>
  <si>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</si>
  <si>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</si>
  <si>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</si>
  <si>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</si>
  <si>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</si>
  <si>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</si>
  <si>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</si>
  <si>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</si>
  <si>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</si>
  <si>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</si>
  <si>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</si>
  <si>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</si>
  <si>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</si>
  <si>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</si>
  <si>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</si>
  <si>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</si>
  <si>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</si>
  <si>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</si>
  <si>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</si>
  <si>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</si>
  <si>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</si>
  <si>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</si>
  <si>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</si>
  <si>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</si>
  <si>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</si>
  <si>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</si>
  <si>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</si>
  <si>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</si>
  <si>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</si>
  <si>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</si>
  <si>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</si>
  <si>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</si>
  <si>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</si>
  <si>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</si>
  <si>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</si>
  <si>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</si>
  <si>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</si>
  <si>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</si>
  <si>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</si>
  <si>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</si>
  <si>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</si>
  <si>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</si>
  <si>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</si>
  <si>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</si>
  <si>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</si>
  <si>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</si>
  <si>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</si>
  <si>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</si>
  <si>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</si>
  <si>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</si>
  <si>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</si>
  <si>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</si>
  <si>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</si>
  <si>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</si>
  <si>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</si>
  <si>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</si>
  <si>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</si>
  <si>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</si>
  <si>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</si>
  <si>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</si>
  <si>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</si>
  <si>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</si>
  <si>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</si>
  <si>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</si>
  <si>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</si>
  <si>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</si>
  <si>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</si>
  <si>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</si>
  <si>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</si>
  <si>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</si>
  <si>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</si>
  <si>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</si>
  <si>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</si>
  <si>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</si>
  <si>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</si>
  <si>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</si>
  <si>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</si>
  <si>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</si>
  <si>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</si>
  <si>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</si>
  <si>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</si>
  <si>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</si>
  <si>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</si>
  <si>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</si>
  <si>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</si>
  <si>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</si>
  <si>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</si>
  <si>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</si>
  <si>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</si>
  <si>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</si>
  <si>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</si>
  <si>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</si>
  <si>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</si>
  <si>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</si>
  <si>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</si>
  <si>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</si>
  <si>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</si>
  <si>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</si>
  <si>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</si>
  <si>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</si>
  <si>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</si>
  <si>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</si>
  <si>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</si>
  <si>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</si>
  <si>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</si>
  <si>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</si>
  <si>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</si>
  <si>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</si>
  <si>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</si>
  <si>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</si>
  <si>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</si>
  <si>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</si>
  <si>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</si>
  <si>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</si>
  <si>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</si>
  <si>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</si>
  <si>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</si>
  <si>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</si>
  <si>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</si>
  <si>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</si>
  <si>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</si>
  <si>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</si>
  <si>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</si>
  <si>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</si>
  <si>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</si>
  <si>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</si>
  <si>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</si>
  <si>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</si>
  <si>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</si>
  <si>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</si>
  <si>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</si>
  <si>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</si>
  <si>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</si>
  <si>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</si>
  <si>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</si>
  <si>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</si>
  <si>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</si>
  <si>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</si>
  <si>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</si>
  <si>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</si>
  <si>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</si>
  <si>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</si>
  <si>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</si>
  <si>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</si>
  <si>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</si>
  <si>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</si>
  <si>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</si>
  <si>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</si>
  <si>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</si>
  <si>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</si>
  <si>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</si>
  <si>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</si>
  <si>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</si>
  <si>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</si>
  <si>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</si>
  <si>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</si>
  <si>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</si>
  <si>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</si>
  <si>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</si>
  <si>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</si>
  <si>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</si>
  <si>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</si>
  <si>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</si>
  <si>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</si>
  <si>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</si>
  <si>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</si>
  <si>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</si>
  <si>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</si>
  <si>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</si>
  <si>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</si>
  <si>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</si>
  <si>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</si>
  <si>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</si>
  <si>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</si>
  <si>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</si>
  <si>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</si>
  <si>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</si>
  <si>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</si>
  <si>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</si>
  <si>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</si>
  <si>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</si>
  <si>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</si>
  <si>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</si>
  <si>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</si>
  <si>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</si>
  <si>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</si>
  <si>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</si>
  <si>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</si>
  <si>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</si>
  <si>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</si>
  <si>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</si>
  <si>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</si>
  <si>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</si>
  <si>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</si>
  <si>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</si>
  <si>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</si>
  <si>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</si>
  <si>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</si>
  <si>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</si>
  <si>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</si>
  <si>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</si>
  <si>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</si>
  <si>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</si>
  <si>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</si>
  <si>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</si>
  <si>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</si>
  <si>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</si>
  <si>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</si>
  <si>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</si>
  <si>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</si>
  <si>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</si>
  <si>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</si>
  <si>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</si>
  <si>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</si>
  <si>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</si>
  <si>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</si>
  <si>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</si>
  <si>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</si>
  <si>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</si>
  <si>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</si>
  <si>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</si>
  <si>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</si>
  <si>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</si>
  <si>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</si>
  <si>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</si>
  <si>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</si>
  <si>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</si>
  <si>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</si>
  <si>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</si>
  <si>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</si>
  <si>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</si>
  <si>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</si>
  <si>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</si>
  <si>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</si>
  <si>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</si>
  <si>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</si>
  <si>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</si>
  <si>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</si>
  <si>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</si>
  <si>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</si>
  <si>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</si>
  <si>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</si>
  <si>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</si>
  <si>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</si>
  <si>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</si>
  <si>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</si>
  <si>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</si>
  <si>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</si>
  <si>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</si>
  <si>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</si>
  <si>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</si>
  <si>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</si>
  <si>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</si>
  <si>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</si>
  <si>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</si>
  <si>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</si>
  <si>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</si>
  <si>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</si>
  <si>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</si>
  <si>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</si>
  <si>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</si>
  <si>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</si>
  <si>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</si>
  <si>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</si>
  <si>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</si>
  <si>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</si>
  <si>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</si>
  <si>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</si>
  <si>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</si>
  <si>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</si>
  <si>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</si>
  <si>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</si>
  <si>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</si>
  <si>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</si>
  <si>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</si>
  <si>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</si>
  <si>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</si>
  <si>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</si>
  <si>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</si>
  <si>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</si>
  <si>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</si>
  <si>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</si>
  <si>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</si>
  <si>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</si>
  <si>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</si>
  <si>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</si>
  <si>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</si>
  <si>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</si>
  <si>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</si>
  <si>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</si>
  <si>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</si>
  <si>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</si>
  <si>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</si>
  <si>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</si>
  <si>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</si>
  <si>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</si>
  <si>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</si>
  <si>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</si>
  <si>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</si>
  <si>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</si>
  <si>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</si>
  <si>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</si>
  <si>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</si>
  <si>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</si>
  <si>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</si>
  <si>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</si>
  <si>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</si>
  <si>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</si>
  <si>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</si>
  <si>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</si>
  <si>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</si>
  <si>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</si>
  <si>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</si>
  <si>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8915</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</si>
  <si>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</si>
  <si>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</si>
  <si>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</si>
  <si>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</si>
  <si>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</si>
  <si>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</si>
  <si>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</si>
  <si>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</si>
  <si>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</si>
  <si>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</si>
  <si>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</si>
  <si>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</si>
  <si>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</si>
  <si>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</si>
  <si>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</si>
  <si>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</si>
  <si>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</si>
  <si>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</si>
  <si>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</si>
  <si>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</si>
  <si>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</si>
  <si>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</si>
  <si>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</si>
  <si>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</si>
  <si>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</si>
  <si>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</si>
  <si>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</si>
  <si>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</si>
  <si>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</si>
  <si>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</si>
  <si>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</si>
  <si>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</si>
  <si>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</si>
  <si>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</si>
  <si>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</si>
  <si>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</si>
  <si>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</si>
  <si>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</si>
  <si>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</si>
  <si>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</si>
  <si>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</si>
  <si>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</si>
  <si>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</si>
  <si>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</si>
  <si>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</si>
  <si>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</si>
  <si>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</si>
  <si>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</si>
  <si>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</si>
  <si>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</si>
  <si>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</si>
  <si>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</si>
  <si>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</si>
  <si>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</si>
  <si>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</si>
  <si>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</si>
  <si>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</si>
  <si>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</si>
  <si>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</si>
  <si>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</si>
  <si>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</si>
  <si>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</si>
  <si>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</si>
  <si>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</si>
  <si>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</si>
  <si>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</si>
  <si>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</si>
  <si>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</si>
  <si>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</si>
  <si>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</si>
  <si>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</si>
  <si>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</si>
  <si>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</si>
  <si>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</si>
  <si>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</si>
  <si>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</si>
  <si>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</si>
  <si>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</si>
  <si>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</si>
  <si>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</si>
  <si>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</si>
  <si>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</si>
  <si>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</si>
  <si>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</si>
  <si>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</si>
  <si>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</si>
  <si>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</si>
  <si>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</si>
  <si>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</si>
  <si>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</si>
  <si>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</si>
  <si>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</si>
  <si>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</si>
  <si>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</si>
  <si>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</si>
  <si>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</si>
  <si>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</si>
  <si>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</si>
  <si>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</si>
  <si>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</si>
  <si>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</si>
  <si>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</si>
  <si>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</si>
  <si>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</si>
  <si>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</si>
  <si>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</si>
  <si>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</si>
  <si>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</si>
  <si>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</si>
  <si>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</si>
  <si>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</si>
  <si>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</si>
  <si>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</si>
  <si>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</si>
  <si>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</si>
  <si>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</si>
  <si>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</si>
  <si>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</si>
  <si>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</si>
  <si>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</si>
  <si>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</si>
  <si>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</si>
  <si>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</si>
  <si>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</si>
  <si>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</si>
  <si>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</si>
  <si>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</si>
  <si>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</si>
  <si>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</si>
  <si>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</si>
  <si>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</si>
  <si>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</si>
  <si>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</si>
  <si>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</si>
  <si>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</si>
  <si>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</si>
  <si>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</si>
  <si>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</si>
  <si>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</si>
  <si>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</si>
  <si>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</si>
  <si>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</si>
  <si>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</si>
  <si>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</si>
  <si>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</si>
  <si>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</si>
  <si>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</si>
  <si>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</si>
  <si>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</si>
  <si>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</si>
  <si>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</si>
  <si>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</si>
  <si>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</si>
  <si>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</si>
  <si>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</si>
  <si>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</si>
  <si>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</si>
  <si>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</si>
  <si>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</si>
  <si>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</si>
  <si>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</si>
  <si>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</si>
  <si>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</si>
  <si>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</si>
  <si>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</si>
  <si>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</si>
  <si>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</si>
  <si>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</si>
  <si>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</si>
  <si>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</si>
  <si>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</si>
  <si>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</si>
  <si>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</si>
  <si>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</si>
  <si>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</si>
  <si>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</si>
  <si>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</si>
  <si>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</si>
  <si>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</si>
  <si>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</si>
  <si>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</si>
  <si>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</si>
  <si>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</si>
  <si>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</si>
  <si>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</si>
  <si>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</si>
  <si>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</si>
  <si>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</si>
  <si>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</si>
  <si>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</si>
  <si>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</si>
  <si>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</si>
  <si>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</si>
  <si>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</si>
  <si>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</si>
  <si>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</si>
  <si>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</si>
  <si>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</si>
  <si>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</si>
  <si>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</si>
  <si>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</si>
  <si>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</si>
  <si>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</si>
  <si>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</si>
  <si>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</si>
  <si>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</si>
  <si>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</si>
  <si>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</si>
  <si>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</si>
  <si>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</si>
  <si>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</si>
  <si>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</si>
  <si>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</si>
  <si>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</si>
  <si>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</si>
  <si>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</si>
  <si>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</si>
  <si>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</si>
  <si>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</si>
  <si>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</si>
  <si>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</si>
  <si>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</si>
  <si>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</si>
  <si>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</si>
  <si>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</si>
  <si>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</si>
  <si>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</si>
  <si>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</si>
  <si>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</si>
  <si>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</si>
  <si>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</si>
  <si>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</si>
  <si>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</si>
  <si>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</si>
  <si>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</si>
  <si>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</si>
  <si>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</si>
  <si>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</si>
  <si>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</si>
  <si>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</si>
  <si>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</si>
  <si>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</si>
  <si>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</si>
  <si>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</si>
  <si>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</si>
  <si>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</si>
  <si>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</si>
  <si>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</si>
  <si>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</si>
  <si>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</si>
  <si>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</si>
  <si>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</si>
  <si>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</si>
  <si>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</si>
  <si>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</si>
  <si>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</si>
  <si>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</si>
  <si>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</si>
  <si>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</si>
  <si>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</si>
  <si>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</si>
  <si>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</si>
  <si>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</si>
  <si>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</si>
  <si>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</si>
  <si>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</si>
  <si>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</si>
  <si>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</si>
  <si>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</si>
  <si>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</si>
  <si>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</si>
  <si>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</si>
  <si>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</si>
  <si>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</si>
  <si>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</si>
  <si>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</si>
  <si>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</si>
  <si>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</si>
  <si>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</si>
  <si>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</si>
  <si>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</si>
  <si>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</si>
  <si>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</si>
  <si>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</si>
  <si>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</si>
  <si>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</si>
  <si>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</si>
  <si>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</si>
  <si>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</si>
  <si>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</si>
  <si>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</si>
  <si>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</si>
  <si>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</si>
  <si>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</si>
  <si>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</si>
  <si>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</si>
  <si>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</si>
  <si>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</si>
  <si>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8493</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</si>
  <si>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</si>
  <si>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</si>
  <si>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</si>
  <si>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</si>
  <si>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</si>
  <si>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</si>
  <si>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</si>
  <si>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</si>
  <si>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</si>
  <si>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</si>
  <si>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</si>
  <si>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</si>
  <si>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</si>
  <si>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</si>
  <si>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</si>
  <si>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</si>
  <si>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</si>
  <si>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</si>
  <si>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</si>
  <si>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</si>
  <si>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</si>
  <si>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</si>
  <si>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</si>
  <si>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</si>
  <si>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</si>
  <si>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</si>
  <si>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</si>
  <si>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</si>
  <si>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</si>
  <si>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</si>
  <si>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</si>
  <si>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</si>
  <si>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</si>
  <si>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</si>
  <si>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</si>
  <si>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</si>
  <si>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</si>
  <si>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</si>
  <si>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</si>
  <si>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</si>
  <si>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</si>
  <si>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</si>
  <si>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</si>
  <si>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</si>
  <si>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</si>
  <si>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</si>
  <si>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</si>
  <si>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</si>
  <si>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</si>
  <si>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</si>
  <si>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</si>
  <si>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</si>
  <si>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</si>
  <si>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</si>
  <si>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</si>
  <si>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</si>
  <si>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</si>
  <si>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</si>
  <si>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</si>
  <si>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</si>
  <si>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</si>
  <si>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</si>
  <si>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</si>
  <si>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</si>
  <si>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</si>
  <si>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</si>
  <si>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</si>
  <si>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</si>
  <si>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</si>
  <si>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</si>
  <si>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</si>
  <si>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</si>
  <si>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</si>
  <si>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</si>
  <si>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</si>
  <si>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</si>
  <si>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</si>
  <si>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</si>
  <si>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</si>
  <si>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</si>
  <si>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</si>
  <si>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</si>
  <si>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</si>
  <si>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</si>
  <si>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</si>
  <si>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</si>
  <si>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</si>
  <si>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</si>
  <si>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</si>
  <si>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</si>
  <si>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</si>
  <si>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</si>
  <si>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</si>
  <si>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</si>
  <si>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</si>
  <si>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</si>
  <si>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</si>
  <si>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</si>
  <si>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</si>
  <si>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</si>
  <si>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</si>
  <si>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</si>
  <si>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</si>
  <si>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</si>
  <si>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</si>
  <si>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</si>
  <si>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</si>
  <si>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</si>
  <si>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</si>
  <si>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</si>
  <si>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</si>
  <si>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</si>
  <si>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</si>
  <si>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</si>
  <si>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</si>
  <si>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</si>
  <si>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</si>
  <si>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</si>
  <si>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</si>
  <si>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</si>
  <si>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</si>
  <si>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</si>
  <si>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</si>
  <si>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</si>
  <si>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</si>
  <si>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</si>
  <si>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</si>
  <si>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</si>
  <si>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</si>
  <si>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</si>
  <si>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</si>
  <si>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</si>
  <si>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</si>
  <si>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</si>
  <si>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</si>
  <si>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</si>
  <si>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</si>
  <si>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</si>
  <si>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</si>
  <si>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</si>
  <si>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</si>
  <si>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</si>
  <si>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</si>
  <si>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</si>
  <si>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</si>
  <si>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</si>
  <si>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</si>
  <si>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</si>
  <si>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</si>
  <si>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</si>
  <si>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</si>
  <si>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</si>
  <si>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</si>
  <si>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</si>
  <si>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</si>
  <si>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</si>
  <si>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</si>
  <si>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</si>
  <si>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</si>
  <si>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</si>
  <si>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</si>
  <si>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</si>
  <si>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</si>
  <si>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</si>
  <si>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</si>
  <si>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</si>
  <si>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</si>
  <si>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</si>
  <si>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</si>
  <si>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</si>
  <si>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</si>
  <si>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</si>
  <si>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</si>
  <si>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</si>
  <si>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</si>
  <si>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</si>
  <si>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</si>
  <si>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</si>
  <si>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</si>
  <si>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</si>
  <si>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</si>
  <si>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</si>
  <si>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</si>
  <si>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</si>
  <si>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</si>
  <si>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</si>
  <si>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</si>
  <si>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</si>
  <si>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</si>
  <si>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</si>
  <si>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</si>
  <si>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</si>
  <si>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</si>
  <si>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</si>
  <si>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</si>
  <si>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</si>
  <si>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</si>
  <si>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</si>
  <si>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</si>
  <si>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</si>
  <si>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</si>
  <si>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</si>
  <si>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</si>
  <si>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</si>
  <si>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</si>
  <si>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</si>
  <si>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</si>
  <si>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</si>
  <si>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</si>
  <si>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</si>
  <si>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</si>
  <si>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</si>
  <si>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</si>
  <si>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</si>
  <si>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</si>
  <si>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</si>
  <si>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</si>
  <si>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</si>
  <si>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</si>
  <si>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</si>
  <si>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</si>
  <si>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</si>
  <si>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</si>
  <si>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</si>
  <si>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</si>
  <si>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</si>
  <si>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</si>
  <si>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</si>
  <si>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</si>
  <si>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</si>
  <si>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</si>
  <si>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</si>
  <si>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</si>
  <si>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</si>
  <si>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</si>
  <si>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</si>
  <si>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</si>
  <si>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</si>
  <si>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</si>
  <si>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</si>
  <si>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</si>
  <si>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</si>
  <si>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</si>
  <si>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</si>
  <si>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</si>
  <si>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</si>
  <si>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</si>
  <si>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</si>
  <si>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</si>
  <si>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</si>
  <si>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</si>
  <si>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</si>
  <si>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</si>
  <si>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</si>
  <si>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</si>
  <si>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</si>
  <si>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</si>
  <si>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</si>
  <si>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</si>
  <si>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</si>
  <si>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</si>
  <si>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</si>
  <si>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</si>
  <si>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</si>
  <si>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</si>
  <si>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</si>
  <si>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</si>
  <si>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</si>
  <si>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</si>
  <si>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</si>
  <si>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</si>
  <si>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</si>
  <si>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</si>
  <si>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</si>
  <si>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</si>
  <si>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</si>
  <si>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</si>
  <si>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</si>
  <si>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</si>
  <si>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</si>
  <si>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</si>
  <si>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</si>
  <si>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</si>
  <si>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</si>
  <si>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</si>
  <si>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</si>
  <si>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</si>
  <si>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</si>
  <si>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</si>
  <si>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</si>
  <si>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</si>
  <si>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</si>
  <si>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</si>
  <si>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</si>
  <si>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</si>
  <si>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</si>
  <si>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</si>
  <si>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</si>
  <si>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</si>
  <si>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</si>
  <si>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</si>
  <si>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</si>
  <si>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</si>
  <si>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</si>
  <si>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</si>
  <si>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</si>
  <si>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</si>
  <si>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</si>
  <si>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</si>
  <si>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</si>
  <si>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</si>
  <si>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</si>
  <si>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</si>
  <si>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</si>
  <si>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</si>
  <si>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</si>
  <si>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</si>
  <si>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</si>
  <si>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</si>
  <si>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</si>
  <si>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</si>
  <si>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</si>
  <si>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</si>
  <si>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</si>
  <si>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</si>
  <si>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</si>
  <si>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</si>
  <si>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</si>
  <si>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</si>
  <si>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</si>
  <si>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</si>
  <si>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</si>
  <si>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</si>
  <si>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</si>
  <si>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</si>
  <si>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</si>
  <si>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</si>
  <si>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</si>
  <si>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</si>
  <si>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</si>
  <si>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</si>
  <si>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</si>
  <si>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</si>
  <si>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</si>
  <si>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</si>
  <si>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</si>
  <si>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</si>
  <si>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</si>
  <si>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</si>
  <si>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</si>
  <si>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</si>
  <si>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</si>
  <si>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</si>
  <si>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</si>
  <si>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</si>
  <si>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</si>
  <si>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</si>
  <si>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</si>
  <si>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</si>
  <si>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</si>
  <si>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</si>
  <si>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</si>
  <si>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</si>
  <si>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</si>
  <si>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</si>
  <si>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</si>
  <si>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</si>
  <si>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</si>
  <si>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</si>
  <si>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</si>
  <si>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</si>
  <si>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</si>
  <si>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</si>
  <si>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</si>
  <si>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</si>
  <si>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</si>
  <si>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</si>
  <si>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</si>
  <si>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</si>
  <si>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</si>
  <si>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</si>
  <si>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</si>
  <si>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</si>
  <si>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</si>
  <si>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</si>
  <si>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</si>
  <si>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</si>
  <si>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</si>
  <si>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</si>
  <si>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</si>
  <si>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</si>
  <si>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</si>
  <si>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</si>
  <si>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</si>
  <si>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</si>
  <si>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</si>
  <si>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</si>
  <si>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</si>
  <si>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</si>
  <si>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</si>
  <si>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</si>
  <si>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</si>
  <si>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</si>
  <si>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</si>
  <si>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</si>
  <si>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</si>
  <si>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</si>
  <si>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</si>
  <si>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</si>
  <si>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</si>
  <si>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</si>
  <si>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</si>
  <si>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</si>
  <si>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</si>
  <si>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</si>
  <si>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</si>
  <si>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</si>
  <si>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</si>
  <si>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</si>
  <si>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</si>
  <si>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</si>
  <si>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</si>
  <si>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</si>
  <si>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</si>
  <si>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</si>
  <si>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</si>
  <si>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</si>
  <si>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</si>
  <si>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</si>
  <si>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</si>
  <si>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</si>
  <si>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</si>
  <si>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</si>
  <si>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</si>
  <si>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</si>
  <si>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</si>
  <si>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</si>
  <si>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</si>
  <si>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</si>
  <si>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</si>
  <si>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</si>
  <si>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</si>
  <si>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</si>
  <si>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</si>
  <si>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</si>
  <si>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</si>
  <si>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</si>
  <si>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</si>
  <si>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</si>
  <si>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</si>
  <si>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</si>
  <si>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</si>
  <si>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</si>
  <si>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</si>
  <si>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</si>
  <si>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</si>
  <si>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</si>
  <si>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</si>
  <si>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</si>
  <si>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</si>
  <si>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</si>
  <si>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</si>
  <si>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</si>
  <si>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</si>
  <si>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</si>
  <si>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</si>
  <si>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</si>
  <si>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</si>
  <si>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</si>
  <si>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</si>
  <si>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</si>
  <si>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</si>
  <si>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</si>
  <si>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</si>
  <si>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</si>
  <si>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</si>
  <si>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</si>
  <si>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</si>
  <si>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</si>
  <si>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</si>
  <si>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</si>
  <si>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</si>
  <si>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</si>
  <si>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</si>
  <si>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</si>
  <si>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</si>
  <si>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</si>
  <si>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</si>
  <si>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</si>
  <si>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</si>
  <si>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</si>
  <si>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</si>
  <si>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</si>
  <si>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</si>
  <si>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</si>
  <si>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</si>
  <si>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</si>
  <si>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</si>
  <si>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</si>
  <si>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</si>
  <si>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</si>
  <si>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</si>
  <si>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</si>
  <si>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</si>
  <si>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</si>
  <si>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</si>
  <si>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</si>
  <si>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</si>
  <si>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</si>
  <si>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</si>
  <si>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</si>
  <si>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</si>
  <si>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</si>
  <si>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</si>
  <si>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</si>
  <si>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</si>
  <si>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</si>
  <si>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</si>
  <si>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</si>
  <si>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</si>
  <si>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</si>
  <si>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</si>
  <si>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</si>
  <si>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</si>
  <si>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</si>
  <si>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</si>
  <si>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</si>
  <si>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</si>
  <si>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</si>
  <si>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</si>
  <si>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</si>
  <si>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</si>
  <si>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</si>
  <si>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</si>
  <si>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</si>
  <si>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</si>
  <si>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</si>
  <si>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</si>
  <si>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</si>
  <si>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</si>
  <si>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</si>
  <si>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</si>
  <si>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</si>
  <si>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</si>
  <si>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</si>
  <si>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</si>
  <si>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</si>
  <si>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</si>
  <si>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</si>
  <si>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</si>
  <si>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</si>
  <si>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</si>
  <si>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</si>
  <si>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</si>
  <si>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</si>
  <si>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</si>
  <si>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</si>
  <si>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</si>
  <si>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</si>
  <si>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</si>
  <si>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</si>
  <si>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</si>
  <si>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</si>
  <si>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</si>
  <si>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</si>
  <si>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</si>
  <si>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</si>
  <si>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</si>
  <si>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</si>
  <si>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</si>
  <si>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</si>
  <si>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</si>
  <si>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</si>
  <si>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</si>
  <si>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</si>
  <si>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</si>
  <si>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</si>
  <si>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</si>
  <si>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</si>
  <si>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</si>
  <si>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</si>
  <si>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</si>
  <si>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</si>
  <si>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</si>
  <si>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</si>
  <si>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</si>
  <si>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</si>
  <si>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</si>
  <si>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</si>
  <si>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</si>
  <si>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</si>
  <si>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</si>
  <si>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</si>
  <si>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</si>
  <si>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</si>
  <si>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</si>
  <si>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</si>
  <si>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</si>
  <si>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</si>
  <si>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</si>
  <si>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</si>
  <si>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</si>
  <si>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</si>
  <si>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</si>
  <si>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</si>
  <si>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</si>
  <si>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</si>
  <si>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</si>
  <si>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</si>
  <si>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</si>
  <si>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</si>
  <si>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</si>
  <si>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</si>
  <si>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</si>
  <si>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</si>
  <si>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</si>
  <si>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</si>
  <si>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</si>
  <si>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</si>
  <si>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</si>
  <si>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</si>
  <si>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</si>
  <si>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</si>
  <si>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</si>
  <si>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</si>
  <si>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</si>
  <si>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</si>
  <si>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</si>
  <si>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</si>
  <si>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</si>
  <si>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</si>
  <si>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</si>
  <si>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</si>
  <si>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</si>
  <si>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</si>
  <si>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</si>
  <si>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</si>
  <si>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</si>
  <si>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</si>
  <si>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</si>
  <si>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</si>
  <si>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</si>
  <si>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</si>
  <si>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</si>
  <si>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</si>
  <si>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</si>
  <si>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</si>
  <si>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</si>
  <si>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</si>
  <si>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</si>
  <si>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</si>
  <si>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</si>
  <si>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</si>
  <si>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</si>
  <si>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</si>
  <si>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</si>
  <si>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</si>
  <si>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</si>
  <si>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</si>
  <si>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</si>
  <si>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</si>
  <si>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</si>
  <si>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</si>
  <si>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</si>
  <si>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</si>
  <si>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</si>
  <si>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</si>
  <si>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</si>
  <si>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</si>
  <si>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</si>
  <si>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</si>
  <si>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</si>
  <si>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</si>
  <si>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</si>
  <si>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</si>
  <si>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</si>
  <si>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</si>
  <si>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</si>
  <si>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</si>
  <si>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</si>
  <si>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</si>
  <si>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</si>
  <si>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</si>
  <si>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</si>
  <si>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</si>
  <si>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</si>
  <si>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</si>
  <si>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</si>
  <si>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</si>
  <si>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</si>
  <si>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</si>
  <si>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</si>
  <si>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</si>
  <si>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</si>
  <si>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</si>
  <si>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</si>
  <si>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</si>
  <si>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</si>
  <si>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</si>
  <si>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</si>
  <si>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</si>
  <si>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</si>
  <si>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</si>
  <si>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</si>
  <si>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</si>
  <si>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</si>
  <si>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</si>
  <si>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</si>
  <si>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</si>
  <si>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</si>
  <si>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</si>
  <si>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</si>
  <si>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</si>
  <si>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</si>
  <si>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</si>
  <si>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</si>
  <si>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</si>
  <si>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</si>
  <si>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</si>
  <si>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</si>
  <si>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</si>
  <si>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</si>
  <si>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</si>
  <si>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</si>
  <si>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</si>
  <si>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</si>
  <si>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</si>
  <si>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</si>
  <si>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</si>
  <si>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</si>
  <si>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</si>
  <si>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</si>
  <si>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</si>
  <si>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</si>
  <si>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</si>
  <si>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</si>
  <si>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</si>
  <si>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</si>
  <si>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</si>
  <si>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</si>
  <si>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</si>
  <si>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</si>
  <si>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</si>
  <si>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</si>
  <si>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</si>
  <si>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</si>
  <si>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</si>
  <si>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</si>
  <si>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</si>
  <si>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</si>
  <si>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</si>
  <si>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</si>
  <si>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</si>
  <si>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</si>
  <si>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</si>
  <si>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</si>
  <si>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</si>
  <si>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</si>
  <si>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</si>
  <si>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</si>
  <si>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</si>
  <si>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</si>
  <si>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</si>
  <si>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</si>
  <si>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</si>
  <si>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</si>
  <si>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</si>
  <si>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</si>
  <si>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</si>
  <si>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</si>
  <si>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</si>
  <si>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</si>
  <si>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</si>
  <si>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</si>
  <si>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</si>
  <si>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</si>
  <si>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</si>
  <si>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</si>
  <si>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</si>
  <si>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</si>
  <si>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</si>
  <si>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</si>
  <si>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</si>
  <si>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</si>
  <si>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</si>
  <si>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</si>
  <si>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</si>
  <si>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</si>
  <si>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</si>
  <si>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</si>
  <si>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</si>
  <si>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</si>
  <si>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</si>
  <si>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</si>
  <si>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</si>
  <si>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</si>
  <si>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</si>
  <si>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</si>
  <si>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</si>
  <si>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</si>
  <si>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</si>
  <si>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</si>
  <si>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</si>
  <si>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</si>
  <si>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</si>
  <si>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</si>
  <si>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</si>
  <si>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</si>
  <si>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</si>
  <si>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</si>
  <si>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</si>
  <si>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</si>
  <si>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</si>
  <si>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</si>
  <si>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</si>
  <si>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</si>
  <si>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</si>
  <si>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</si>
  <si>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</si>
  <si>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</si>
  <si>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</si>
  <si>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</si>
  <si>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</si>
  <si>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</si>
  <si>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</si>
  <si>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</si>
  <si>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</si>
  <si>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</si>
  <si>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</si>
  <si>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</si>
  <si>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</si>
  <si>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</si>
  <si>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</si>
  <si>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</si>
  <si>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</si>
  <si>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</si>
  <si>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</si>
  <si>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</si>
  <si>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</si>
  <si>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</si>
  <si>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</si>
  <si>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</si>
  <si>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</si>
  <si>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</si>
  <si>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</si>
  <si>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</si>
  <si>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</si>
  <si>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</si>
  <si>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</si>
  <si>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</si>
  <si>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</si>
  <si>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</si>
  <si>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</si>
  <si>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</si>
  <si>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</si>
  <si>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</si>
  <si>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</si>
  <si>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</si>
  <si>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</si>
  <si>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</si>
  <si>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</si>
  <si>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</si>
  <si>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</si>
  <si>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</si>
  <si>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</si>
  <si>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</si>
  <si>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</si>
  <si>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</si>
  <si>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</si>
  <si>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</si>
  <si>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</si>
  <si>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</si>
  <si>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</si>
  <si>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</si>
  <si>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</si>
  <si>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</si>
  <si>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</si>
  <si>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</si>
  <si>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</si>
  <si>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</si>
  <si>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</si>
  <si>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</si>
  <si>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</si>
  <si>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</si>
  <si>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</si>
  <si>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</si>
  <si>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</si>
  <si>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</si>
  <si>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</si>
  <si>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</si>
  <si>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</si>
  <si>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</si>
  <si>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</si>
  <si>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</si>
  <si>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</si>
  <si>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</si>
  <si>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</si>
  <si>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</si>
  <si>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</si>
  <si>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</si>
  <si>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</si>
  <si>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</si>
  <si>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</si>
  <si>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</si>
  <si>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</si>
  <si>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</si>
  <si>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</si>
  <si>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</si>
  <si>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</si>
  <si>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</si>
  <si>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</si>
  <si>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</si>
  <si>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</si>
  <si>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</si>
  <si>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</si>
  <si>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</si>
  <si>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</si>
  <si>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</si>
  <si>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</si>
  <si>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</si>
  <si>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</si>
  <si>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</si>
  <si>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</si>
  <si>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</si>
  <si>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</si>
  <si>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</si>
  <si>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</si>
  <si>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</si>
  <si>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</si>
  <si>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</si>
  <si>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</si>
  <si>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</si>
  <si>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</si>
  <si>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</si>
  <si>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</si>
  <si>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</si>
  <si>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</si>
  <si>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</si>
  <si>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</si>
  <si>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</si>
  <si>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</si>
  <si>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</si>
  <si>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</si>
  <si>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</si>
  <si>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</si>
  <si>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</si>
  <si>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</si>
  <si>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</si>
  <si>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</si>
  <si>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</si>
  <si>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</si>
  <si>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</si>
  <si>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</si>
  <si>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</si>
  <si>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</si>
  <si>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</si>
  <si>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</si>
  <si>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</si>
  <si>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</si>
  <si>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</si>
  <si>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</si>
  <si>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</si>
  <si>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</si>
  <si>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</si>
  <si>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</si>
  <si>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</si>
  <si>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</si>
  <si>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</si>
  <si>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</si>
  <si>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</si>
  <si>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</si>
  <si>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</si>
  <si>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</si>
  <si>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</si>
  <si>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</si>
  <si>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</si>
  <si>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</si>
  <si>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</si>
  <si>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</si>
  <si>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</si>
  <si>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</si>
  <si>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</si>
  <si>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</si>
  <si>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</si>
  <si>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</si>
  <si>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</si>
  <si>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</si>
  <si>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</si>
  <si>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</si>
  <si>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</si>
  <si>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</si>
  <si>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</si>
  <si>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</si>
  <si>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</si>
  <si>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</si>
  <si>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</si>
  <si>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</si>
  <si>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</si>
  <si>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</si>
  <si>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</si>
  <si>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</si>
  <si>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</si>
  <si>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</si>
  <si>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</si>
  <si>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</si>
  <si>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</si>
  <si>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</si>
  <si>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</si>
  <si>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</si>
  <si>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</si>
  <si>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</si>
  <si>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</si>
  <si>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</si>
  <si>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</si>
  <si>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</si>
  <si>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</si>
  <si>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</si>
  <si>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</si>
  <si>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</si>
  <si>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</si>
  <si>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</si>
  <si>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</si>
  <si>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</si>
  <si>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</si>
  <si>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</si>
  <si>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</si>
  <si>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</si>
  <si>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</si>
  <si>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</si>
  <si>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</si>
  <si>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</si>
  <si>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</si>
  <si>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</si>
  <si>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</si>
  <si>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</si>
  <si>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</si>
  <si>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</si>
  <si>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</si>
  <si>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</si>
  <si>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</si>
  <si>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</si>
  <si>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</si>
  <si>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</si>
  <si>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</si>
  <si>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</si>
  <si>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</si>
  <si>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</si>
  <si>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</si>
  <si>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</si>
  <si>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</si>
  <si>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</si>
  <si>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</si>
  <si>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</si>
  <si>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</si>
  <si>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</si>
  <si>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</si>
  <si>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</si>
  <si>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</si>
  <si>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</si>
  <si>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</si>
  <si>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</si>
  <si>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</si>
  <si>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</si>
  <si>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</si>
  <si>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</si>
  <si>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</si>
  <si>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</si>
  <si>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</si>
  <si>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</si>
  <si>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</si>
  <si>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</si>
  <si>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</si>
  <si>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</si>
  <si>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</si>
  <si>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</si>
  <si>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</si>
  <si>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</si>
  <si>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</si>
  <si>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</si>
  <si>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</si>
  <si>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</si>
  <si>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</si>
  <si>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</si>
  <si>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</si>
  <si>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</si>
  <si>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</si>
  <si>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</si>
  <si>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</si>
  <si>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</si>
  <si>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</si>
  <si>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</si>
  <si>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</si>
  <si>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</si>
  <si>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</si>
  <si>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</si>
  <si>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</si>
  <si>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</si>
  <si>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</si>
  <si>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</si>
  <si>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</si>
  <si>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</si>
  <si>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</si>
  <si>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</si>
  <si>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</si>
  <si>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</si>
  <si>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</si>
  <si>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</si>
  <si>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</si>
  <si>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</si>
  <si>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</si>
  <si>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</si>
  <si>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</si>
  <si>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</si>
  <si>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</si>
  <si>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</si>
  <si>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</si>
  <si>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</si>
  <si>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</si>
  <si>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</si>
  <si>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</si>
  <si>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</si>
  <si>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</si>
  <si>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</si>
  <si>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</si>
  <si>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</si>
  <si>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</si>
  <si>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</si>
  <si>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</si>
  <si>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</si>
  <si>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</si>
  <si>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</si>
  <si>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</si>
  <si>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</si>
  <si>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</si>
  <si>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</si>
  <si>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</si>
  <si>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</si>
  <si>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</si>
  <si>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</si>
  <si>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</si>
  <si>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</si>
  <si>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</si>
  <si>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</si>
  <si>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</si>
  <si>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</si>
  <si>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</si>
  <si>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</si>
  <si>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</si>
  <si>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</si>
  <si>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</si>
  <si>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</si>
  <si>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</si>
  <si>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</si>
  <si>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</si>
  <si>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</si>
  <si>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</si>
  <si>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</si>
  <si>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</si>
  <si>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</si>
  <si>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</si>
  <si>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</si>
  <si>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</si>
  <si>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</si>
  <si>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</si>
  <si>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</si>
  <si>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</si>
  <si>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</si>
  <si>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</si>
  <si>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</si>
  <si>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</si>
  <si>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</si>
  <si>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</si>
  <si>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</si>
  <si>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</si>
  <si>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</si>
  <si>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</si>
  <si>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</si>
  <si>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</si>
  <si>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</si>
  <si>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</si>
  <si>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</si>
  <si>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</si>
  <si>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</si>
  <si>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</si>
  <si>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</si>
  <si>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</si>
  <si>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</si>
  <si>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</si>
  <si>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</si>
  <si>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</si>
  <si>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</si>
  <si>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</si>
  <si>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</si>
  <si>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</si>
  <si>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</si>
  <si>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</si>
  <si>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</si>
  <si>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</si>
  <si>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</si>
  <si>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</si>
  <si>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</si>
  <si>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</si>
  <si>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</si>
  <si>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</si>
  <si>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</si>
  <si>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</si>
  <si>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</si>
  <si>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</si>
  <si>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</si>
  <si>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</si>
  <si>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</si>
  <si>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</si>
  <si>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</si>
  <si>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</si>
  <si>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</si>
  <si>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</si>
  <si>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</si>
  <si>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</si>
  <si>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</si>
  <si>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</si>
  <si>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</si>
  <si>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</si>
  <si>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</si>
  <si>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</si>
  <si>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</si>
  <si>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</si>
  <si>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</si>
  <si>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</si>
  <si>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</si>
  <si>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</si>
  <si>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</si>
  <si>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</si>
  <si>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</si>
  <si>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</si>
  <si>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</si>
  <si>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</si>
  <si>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</si>
  <si>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</si>
  <si>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</si>
  <si>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</si>
  <si>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</si>
  <si>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</si>
  <si>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</si>
  <si>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</si>
  <si>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</si>
  <si>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</si>
  <si>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</si>
  <si>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</si>
  <si>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</si>
  <si>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</si>
  <si>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</si>
  <si>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</si>
  <si>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</si>
  <si>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</si>
  <si>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</si>
  <si>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</si>
  <si>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</si>
  <si>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</si>
  <si>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</si>
  <si>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</si>
  <si>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</si>
  <si>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</si>
  <si>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</si>
  <si>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</si>
  <si>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</si>
  <si>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</si>
  <si>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</si>
  <si>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</si>
  <si>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</si>
  <si>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</si>
  <si>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</si>
  <si>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</si>
  <si>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</si>
  <si>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</si>
  <si>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</si>
  <si>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</si>
  <si>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</si>
  <si>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</si>
  <si>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</si>
  <si>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</si>
  <si>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</si>
  <si>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</si>
  <si>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</si>
  <si>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</si>
  <si>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</si>
  <si>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</si>
  <si>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</si>
  <si>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</si>
  <si>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</si>
  <si>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</si>
  <si>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</si>
  <si>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</si>
  <si>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</si>
  <si>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</si>
  <si>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</si>
  <si>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</si>
  <si>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</si>
  <si>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</si>
  <si>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</si>
  <si>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</si>
  <si>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</si>
  <si>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</si>
  <si>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</si>
  <si>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</si>
  <si>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</si>
  <si>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</si>
  <si>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</si>
  <si>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</si>
  <si>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</si>
  <si>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</si>
  <si>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</si>
  <si>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</si>
  <si>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</si>
  <si>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</si>
  <si>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</si>
  <si>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</si>
  <si>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</si>
  <si>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</si>
  <si>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</si>
  <si>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</si>
  <si>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</si>
  <si>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</si>
  <si>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</si>
  <si>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</si>
  <si>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</si>
  <si>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</si>
  <si>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</si>
  <si>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</si>
  <si>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</si>
  <si>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</si>
  <si>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</si>
  <si>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</si>
  <si>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</si>
  <si>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</si>
  <si>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</si>
  <si>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</si>
  <si>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</si>
  <si>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</si>
  <si>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</si>
  <si>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</si>
  <si>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</si>
  <si>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</si>
  <si>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</si>
  <si>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</si>
  <si>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</si>
  <si>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</si>
  <si>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</si>
  <si>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</si>
  <si>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</si>
  <si>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</si>
  <si>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</si>
  <si>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</si>
  <si>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</si>
  <si>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</si>
  <si>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</si>
  <si>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</si>
  <si>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</si>
  <si>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</si>
  <si>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</si>
  <si>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</si>
  <si>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</si>
  <si>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</si>
  <si>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</si>
  <si>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</si>
  <si>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</si>
  <si>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</si>
  <si>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</si>
  <si>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</si>
  <si>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</si>
  <si>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</si>
  <si>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</si>
  <si>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</si>
  <si>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</si>
  <si>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</si>
  <si>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</si>
  <si>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</si>
  <si>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</si>
  <si>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</si>
  <si>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</si>
  <si>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</si>
  <si>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</si>
  <si>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</si>
  <si>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</si>
  <si>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</si>
  <si>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</si>
  <si>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</si>
  <si>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</si>
  <si>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</si>
  <si>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</si>
  <si>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</si>
  <si>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</si>
  <si>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</si>
  <si>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</si>
  <si>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</si>
  <si>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</si>
  <si>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</si>
  <si>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</si>
  <si>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</si>
  <si>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</si>
  <si>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</si>
  <si>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</si>
  <si>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</si>
  <si>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</si>
  <si>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</si>
  <si>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</si>
  <si>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</si>
  <si>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</si>
  <si>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</si>
  <si>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</si>
  <si>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</si>
  <si>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</si>
  <si>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</si>
  <si>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</si>
  <si>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</si>
  <si>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</si>
  <si>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</si>
  <si>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</si>
  <si>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</si>
  <si>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</si>
  <si>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</si>
  <si>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</si>
  <si>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</si>
  <si>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</si>
  <si>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</si>
  <si>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</si>
  <si>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</si>
  <si>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</si>
  <si>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</si>
  <si>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</si>
  <si>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</si>
  <si>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</si>
  <si>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</si>
  <si>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</si>
  <si>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</si>
  <si>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</si>
  <si>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</si>
  <si>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</si>
  <si>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</si>
  <si>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</si>
  <si>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</si>
  <si>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</si>
  <si>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</si>
  <si>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</si>
  <si>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</si>
  <si>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</si>
  <si>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</si>
  <si>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</si>
  <si>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</si>
  <si>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</si>
  <si>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</si>
  <si>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</si>
  <si>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</si>
  <si>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</si>
  <si>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</si>
  <si>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</si>
  <si>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</si>
  <si>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</si>
  <si>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</si>
  <si>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</si>
  <si>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</si>
  <si>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</si>
  <si>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</si>
  <si>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</si>
  <si>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</si>
  <si>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</si>
  <si>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</si>
  <si>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</si>
  <si>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</si>
  <si>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</si>
  <si>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</si>
  <si>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</si>
  <si>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</si>
  <si>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</si>
  <si>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</si>
  <si>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</si>
  <si>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</si>
  <si>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</si>
  <si>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</si>
  <si>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</si>
  <si>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</si>
  <si>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</si>
  <si>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</si>
  <si>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</si>
  <si>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</si>
  <si>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</si>
  <si>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</si>
  <si>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</si>
  <si>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</si>
  <si>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</si>
  <si>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</si>
  <si>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</si>
  <si>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</si>
  <si>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</si>
  <si>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</si>
  <si>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</si>
  <si>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</si>
  <si>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</si>
  <si>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</si>
  <si>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</si>
  <si>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</si>
  <si>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</si>
  <si>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</si>
  <si>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</si>
  <si>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</si>
  <si>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</si>
  <si>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</si>
  <si>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</si>
  <si>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</si>
  <si>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</si>
  <si>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</si>
  <si>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</si>
  <si>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</si>
  <si>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</si>
  <si>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</si>
  <si>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</si>
  <si>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</si>
  <si>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</si>
  <si>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</si>
  <si>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</si>
  <si>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</si>
  <si>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</si>
  <si>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</si>
  <si>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</si>
  <si>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</si>
  <si>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</si>
  <si>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</si>
  <si>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</si>
  <si>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</si>
  <si>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</si>
  <si>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</si>
  <si>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</si>
  <si>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</si>
  <si>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</si>
  <si>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</si>
  <si>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</si>
  <si>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</si>
  <si>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</si>
  <si>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</si>
  <si>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</si>
  <si>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</si>
  <si>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</si>
  <si>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</si>
  <si>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</si>
  <si>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</si>
  <si>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</si>
  <si>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</si>
  <si>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</si>
  <si>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</si>
  <si>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</si>
  <si>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</si>
  <si>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</si>
  <si>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</si>
  <si>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</si>
  <si>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</si>
  <si>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</si>
  <si>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</si>
  <si>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</si>
  <si>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</si>
  <si>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</si>
  <si>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</si>
  <si>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</si>
  <si>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</si>
  <si>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</si>
  <si>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</si>
  <si>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</si>
  <si>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</si>
  <si>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</si>
  <si>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</si>
  <si>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</si>
  <si>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</si>
  <si>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</si>
  <si>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</si>
  <si>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</si>
  <si>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</si>
  <si>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</si>
  <si>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</si>
  <si>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</si>
  <si>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</si>
  <si>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</si>
  <si>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</si>
  <si>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</si>
  <si>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</si>
  <si>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</si>
  <si>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</si>
  <si>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</si>
  <si>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</si>
  <si>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</si>
  <si>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</si>
  <si>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</si>
  <si>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</si>
  <si>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</si>
  <si>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</si>
  <si>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</si>
  <si>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</si>
  <si>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</si>
  <si>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</si>
  <si>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</si>
  <si>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</si>
  <si>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</si>
  <si>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</si>
  <si>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</si>
  <si>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</si>
  <si>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</si>
  <si>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</si>
  <si>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</si>
  <si>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</si>
  <si>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</si>
  <si>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</si>
  <si>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</si>
  <si>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</si>
  <si>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</si>
  <si>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</si>
  <si>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</si>
  <si>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</si>
  <si>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</si>
  <si>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</si>
  <si>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</si>
  <si>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</si>
  <si>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</si>
  <si>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</si>
  <si>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</si>
  <si>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</si>
  <si>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</si>
  <si>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</si>
  <si>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</si>
  <si>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</si>
  <si>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</si>
  <si>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</si>
  <si>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</si>
  <si>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</si>
  <si>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</si>
  <si>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</si>
  <si>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</si>
  <si>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</si>
  <si>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</si>
  <si>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</si>
  <si>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</si>
  <si>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</si>
  <si>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</si>
  <si>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</si>
  <si>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</si>
  <si>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</si>
  <si>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</si>
  <si>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</si>
  <si>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</si>
  <si>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</si>
  <si>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</si>
  <si>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</si>
  <si>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</si>
  <si>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</si>
  <si>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</si>
  <si>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</si>
  <si>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</si>
  <si>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</si>
  <si>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</si>
  <si>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</si>
  <si>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</si>
  <si>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</si>
  <si>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</si>
  <si>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</si>
  <si>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</si>
  <si>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</si>
  <si>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</si>
  <si>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</si>
  <si>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</si>
  <si>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</si>
  <si>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</si>
  <si>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</si>
  <si>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</si>
  <si>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</si>
  <si>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</si>
  <si>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</si>
  <si>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</si>
  <si>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</si>
  <si>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</si>
  <si>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</si>
  <si>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</si>
  <si>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</si>
  <si>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</si>
  <si>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</si>
  <si>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</si>
  <si>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</si>
  <si>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</si>
  <si>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</si>
  <si>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</si>
  <si>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</si>
  <si>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</si>
  <si>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</si>
  <si>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</si>
  <si>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</si>
  <si>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</si>
  <si>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</si>
  <si>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</si>
  <si>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</si>
  <si>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</si>
  <si>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</si>
  <si>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</si>
  <si>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</si>
  <si>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</si>
  <si>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</si>
  <si>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</si>
  <si>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</si>
  <si>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</si>
  <si>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</si>
  <si>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</si>
  <si>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</si>
  <si>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</si>
  <si>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</si>
  <si>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</si>
  <si>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</si>
  <si>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</si>
  <si>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</si>
  <si>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</si>
  <si>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</si>
  <si>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</si>
  <si>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</si>
  <si>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</si>
  <si>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</si>
  <si>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</si>
  <si>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</si>
  <si>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</si>
  <si>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</si>
  <si>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</si>
  <si>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</si>
  <si>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</si>
  <si>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</si>
  <si>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</si>
  <si>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</si>
  <si>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</si>
  <si>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</si>
  <si>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</si>
  <si>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</si>
  <si>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</si>
  <si>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</si>
  <si>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</si>
  <si>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</si>
  <si>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</si>
  <si>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</si>
  <si>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</si>
  <si>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</si>
  <si>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</si>
  <si>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</si>
  <si>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</si>
  <si>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</si>
  <si>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</si>
  <si>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</si>
  <si>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</si>
  <si>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</si>
  <si>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</si>
  <si>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</si>
  <si>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</si>
  <si>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</si>
  <si>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</si>
  <si>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</si>
  <si>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</si>
  <si>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</si>
  <si>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</si>
  <si>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</si>
  <si>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</si>
  <si>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</si>
  <si>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</si>
  <si>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</si>
  <si>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</si>
  <si>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</si>
  <si>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</si>
  <si>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</si>
  <si>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</si>
  <si>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</si>
  <si>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</si>
  <si>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</si>
  <si>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</si>
  <si>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</si>
  <si>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</si>
  <si>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</si>
  <si>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</si>
  <si>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</si>
  <si>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</si>
  <si>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</si>
  <si>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</si>
  <si>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</si>
  <si>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</si>
  <si>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</si>
  <si>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</si>
  <si>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</si>
  <si>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</si>
  <si>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</si>
  <si>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</si>
  <si>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</si>
  <si>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</si>
  <si>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</si>
  <si>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</si>
  <si>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</si>
  <si>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</si>
  <si>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</si>
  <si>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</si>
  <si>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</si>
  <si>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</si>
  <si>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</si>
  <si>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</si>
  <si>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</si>
  <si>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</si>
  <si>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</si>
  <si>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</si>
  <si>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</si>
  <si>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</si>
  <si>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</si>
  <si>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</si>
  <si>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</si>
  <si>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</si>
  <si>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</si>
  <si>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</si>
  <si>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</si>
  <si>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</si>
  <si>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</si>
  <si>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</si>
  <si>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</si>
  <si>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</si>
  <si>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</si>
  <si>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</si>
  <si>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</si>
  <si>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</si>
  <si>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</si>
  <si>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</si>
  <si>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</si>
  <si>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</si>
  <si>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</si>
  <si>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</si>
  <si>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</si>
  <si>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</si>
  <si>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</si>
  <si>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</si>
  <si>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</si>
  <si>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</si>
  <si>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</si>
  <si>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</si>
  <si>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</si>
  <si>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</si>
  <si>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</si>
  <si>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</si>
  <si>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</si>
  <si>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</si>
  <si>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</si>
  <si>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</si>
  <si>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</si>
  <si>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</si>
  <si>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</si>
  <si>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</si>
  <si>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</si>
  <si>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</si>
  <si>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</si>
  <si>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</si>
  <si>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</si>
  <si>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</si>
  <si>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</si>
  <si>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</si>
  <si>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</si>
  <si>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</si>
  <si>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</si>
  <si>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</si>
  <si>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</si>
  <si>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</si>
  <si>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</si>
  <si>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</si>
  <si>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</si>
  <si>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</si>
  <si>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</si>
  <si>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</si>
  <si>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</si>
  <si>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</si>
  <si>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</si>
  <si>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</si>
  <si>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</si>
  <si>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</si>
  <si>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</si>
  <si>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</si>
  <si>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</si>
  <si>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</si>
  <si>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</si>
  <si>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</si>
  <si>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</si>
  <si>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</si>
  <si>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</si>
  <si>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</si>
  <si>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</si>
  <si>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</si>
  <si>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</si>
  <si>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</si>
  <si>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</si>
  <si>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</si>
  <si>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</si>
  <si>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</si>
  <si>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</si>
  <si>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</si>
  <si>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</si>
  <si>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</si>
  <si>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</si>
  <si>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</si>
  <si>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</si>
  <si>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</si>
  <si>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</si>
  <si>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</si>
  <si>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</si>
  <si>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</si>
  <si>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</si>
  <si>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</si>
  <si>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</si>
  <si>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</si>
  <si>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</si>
  <si>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</si>
  <si>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</si>
  <si>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</si>
  <si>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</si>
  <si>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</si>
  <si>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</si>
  <si>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</si>
  <si>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</si>
  <si>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</si>
  <si>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</si>
  <si>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</si>
  <si>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</si>
  <si>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</si>
  <si>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</si>
  <si>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</si>
  <si>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</si>
  <si>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</si>
  <si>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</si>
  <si>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</si>
  <si>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</si>
  <si>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</si>
  <si>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</si>
  <si>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</si>
  <si>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</si>
  <si>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</si>
  <si>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</si>
  <si>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</si>
  <si>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</si>
  <si>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</si>
  <si>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</si>
  <si>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</si>
  <si>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</si>
  <si>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</si>
  <si>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</si>
  <si>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</si>
  <si>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</si>
  <si>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</si>
  <si>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</si>
  <si>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</si>
  <si>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</si>
  <si>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</si>
  <si>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</si>
  <si>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</si>
  <si>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</si>
  <si>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</si>
  <si>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</si>
  <si>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</si>
  <si>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</si>
  <si>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</si>
  <si>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</si>
  <si>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</si>
  <si>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</si>
  <si>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</si>
  <si>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</si>
  <si>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</si>
  <si>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</si>
  <si>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</si>
  <si>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</si>
  <si>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</si>
  <si>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</si>
  <si>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</si>
  <si>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</si>
  <si>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</si>
  <si>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</si>
  <si>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</si>
  <si>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</si>
  <si>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</si>
  <si>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</si>
  <si>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</si>
  <si>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</si>
  <si>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</si>
  <si>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</si>
  <si>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</si>
  <si>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</si>
  <si>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</si>
  <si>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</si>
  <si>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</si>
  <si>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</si>
  <si>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</si>
  <si>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</si>
  <si>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</si>
  <si>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</si>
  <si>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</si>
  <si>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</si>
  <si>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</si>
  <si>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</si>
  <si>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</si>
  <si>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</si>
  <si>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</si>
  <si>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</si>
  <si>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</si>
  <si>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</si>
  <si>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</si>
  <si>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</si>
  <si>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</si>
  <si>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</si>
  <si>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</si>
  <si>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</si>
  <si>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</si>
  <si>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</si>
  <si>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</si>
  <si>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</si>
  <si>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</si>
  <si>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</si>
  <si>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</si>
  <si>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</si>
  <si>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</si>
  <si>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</si>
  <si>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</si>
  <si>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</si>
  <si>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</si>
  <si>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</si>
  <si>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</si>
  <si>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</si>
  <si>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</si>
  <si>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</si>
  <si>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</si>
  <si>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</si>
  <si>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</si>
  <si>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</si>
  <si>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</si>
  <si>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</si>
  <si>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</si>
  <si>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</si>
  <si>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</si>
  <si>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</si>
  <si>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</si>
  <si>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</si>
  <si>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</si>
  <si>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</si>
  <si>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</si>
  <si>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</si>
  <si>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</si>
  <si>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</si>
  <si>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</si>
  <si>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</si>
  <si>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</si>
  <si>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</si>
  <si>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</si>
  <si>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</si>
  <si>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</si>
  <si>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</si>
  <si>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</si>
  <si>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</si>
  <si>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</si>
  <si>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</si>
  <si>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</si>
  <si>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</si>
  <si>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</si>
  <si>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</si>
  <si>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</si>
  <si>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</si>
  <si>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</si>
  <si>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</si>
  <si>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</si>
  <si>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</si>
  <si>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</si>
  <si>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</si>
  <si>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</si>
  <si>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</si>
  <si>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</si>
  <si>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</si>
  <si>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</si>
  <si>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</si>
  <si>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</si>
  <si>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</si>
  <si>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</si>
  <si>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</si>
  <si>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</si>
  <si>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</si>
  <si>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</si>
  <si>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</si>
  <si>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</si>
  <si>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</si>
  <si>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</si>
  <si>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</si>
  <si>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</si>
  <si>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</si>
  <si>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</si>
  <si>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</si>
  <si>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</si>
  <si>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</si>
  <si>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</si>
  <si>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</si>
  <si>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</si>
  <si>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</si>
  <si>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</si>
  <si>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</si>
  <si>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</si>
  <si>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</si>
  <si>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</si>
  <si>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</si>
  <si>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</si>
  <si>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</si>
  <si>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</si>
  <si>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</si>
  <si>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</si>
  <si>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</si>
  <si>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</si>
  <si>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</si>
  <si>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</si>
  <si>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</si>
  <si>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</si>
  <si>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</si>
  <si>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</si>
  <si>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</si>
  <si>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</si>
  <si>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</si>
  <si>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</si>
  <si>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</si>
  <si>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</si>
  <si>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</si>
  <si>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</si>
  <si>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</si>
  <si>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</si>
  <si>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</si>
  <si>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</si>
  <si>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</si>
  <si>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</si>
  <si>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</si>
  <si>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</si>
  <si>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</si>
  <si>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</si>
  <si>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</si>
  <si>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</si>
  <si>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</si>
  <si>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</si>
  <si>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</si>
  <si>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</si>
  <si>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</si>
  <si>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</si>
  <si>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</si>
  <si>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</si>
  <si>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</si>
  <si>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</si>
  <si>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</si>
  <si>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</si>
  <si>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</si>
  <si>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</si>
  <si>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</si>
  <si>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</si>
  <si>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</si>
  <si>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</si>
  <si>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</si>
  <si>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</si>
  <si>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</si>
  <si>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</si>
  <si>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</si>
  <si>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</si>
  <si>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</si>
  <si>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</si>
  <si>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</si>
  <si>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</si>
  <si>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</si>
  <si>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</si>
  <si>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</si>
  <si>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</si>
  <si>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</si>
  <si>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</si>
  <si>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</si>
  <si>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</si>
  <si>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</si>
  <si>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</si>
  <si>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</si>
  <si>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</si>
  <si>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</si>
  <si>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</si>
  <si>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</si>
  <si>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</si>
  <si>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</si>
  <si>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</si>
  <si>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</si>
  <si>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</si>
  <si>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</si>
  <si>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</si>
  <si>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</si>
  <si>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</si>
  <si>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</si>
  <si>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</si>
  <si>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</si>
  <si>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</si>
  <si>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</si>
  <si>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</si>
  <si>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</si>
  <si>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</si>
  <si>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</si>
  <si>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</si>
  <si>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</si>
  <si>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</si>
  <si>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</si>
  <si>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</si>
  <si>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</si>
  <si>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</si>
  <si>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</si>
  <si>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</si>
  <si>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</si>
  <si>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</si>
  <si>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</si>
  <si>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</si>
  <si>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</si>
  <si>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</si>
  <si>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</si>
  <si>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</si>
  <si>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</si>
  <si>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</si>
  <si>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</si>
  <si>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</si>
  <si>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</si>
  <si>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</si>
  <si>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</si>
  <si>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</si>
  <si>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</si>
  <si>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</si>
  <si>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</si>
  <si>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</si>
  <si>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</si>
  <si>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</si>
  <si>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</si>
  <si>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</si>
  <si>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</si>
  <si>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</si>
  <si>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</si>
  <si>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</si>
  <si>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</si>
  <si>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</si>
  <si>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</si>
  <si>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</si>
  <si>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</si>
  <si>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</si>
  <si>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</si>
  <si>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</si>
  <si>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</si>
  <si>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</si>
  <si>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</si>
  <si>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</si>
  <si>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</si>
  <si>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</si>
  <si>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</si>
  <si>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</si>
  <si>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</si>
  <si>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</si>
  <si>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</si>
  <si>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</si>
  <si>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</si>
  <si>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</si>
  <si>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</si>
  <si>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</si>
  <si>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</si>
  <si>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</si>
  <si>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</si>
  <si>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</si>
  <si>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</si>
  <si>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</si>
  <si>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</si>
  <si>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</si>
  <si>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</si>
  <si>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</si>
  <si>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</si>
  <si>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</si>
  <si>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</si>
  <si>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</si>
  <si>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</si>
  <si>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</si>
  <si>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</si>
  <si>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</si>
  <si>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</si>
  <si>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</si>
  <si>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</si>
  <si>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</si>
  <si>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</si>
  <si>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</si>
  <si>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</si>
  <si>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</si>
  <si>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</si>
  <si>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</si>
  <si>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</si>
  <si>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</si>
  <si>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</si>
  <si>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</si>
  <si>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</si>
  <si>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</si>
  <si>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</si>
  <si>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</si>
  <si>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</si>
  <si>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</si>
  <si>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</si>
  <si>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</si>
  <si>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</si>
  <si>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</si>
  <si>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</si>
  <si>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</si>
  <si>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</si>
  <si>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</si>
  <si>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</si>
  <si>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</si>
  <si>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</si>
  <si>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</si>
  <si>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</si>
  <si>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</si>
  <si>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</si>
  <si>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</si>
  <si>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</si>
  <si>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</si>
  <si>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</si>
  <si>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</si>
  <si>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</si>
  <si>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</si>
  <si>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</si>
  <si>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</si>
  <si>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</si>
  <si>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</si>
  <si>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</si>
  <si>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</si>
  <si>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</si>
  <si>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</si>
  <si>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</si>
  <si>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</si>
  <si>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</si>
  <si>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</si>
  <si>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</si>
  <si>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</si>
  <si>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</si>
  <si>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</si>
  <si>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</si>
  <si>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</si>
  <si>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</si>
  <si>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</si>
  <si>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</si>
  <si>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</si>
  <si>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</si>
  <si>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</si>
  <si>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</si>
  <si>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</si>
  <si>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</si>
  <si>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</si>
  <si>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</si>
  <si>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</si>
  <si>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</si>
  <si>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</si>
  <si>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</si>
  <si>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</si>
  <si>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</si>
  <si>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</si>
  <si>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</si>
  <si>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</si>
  <si>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</si>
  <si>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</si>
  <si>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</si>
  <si>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</si>
  <si>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</si>
  <si>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</si>
  <si>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</si>
  <si>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</si>
  <si>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</si>
  <si>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</si>
  <si>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</si>
  <si>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</si>
  <si>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</si>
  <si>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</si>
  <si>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</si>
  <si>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</si>
  <si>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</si>
  <si>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</si>
  <si>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</si>
  <si>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</si>
  <si>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</si>
  <si>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</si>
  <si>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</si>
  <si>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</si>
  <si>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</si>
  <si>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</si>
  <si>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</si>
  <si>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</si>
  <si>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</si>
  <si>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</si>
  <si>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</si>
  <si>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</si>
  <si>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</si>
  <si>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</si>
  <si>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</si>
  <si>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</si>
  <si>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</si>
  <si>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</si>
  <si>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</si>
  <si>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</si>
  <si>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</si>
  <si>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</si>
  <si>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</si>
  <si>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</si>
  <si>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</si>
  <si>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</si>
  <si>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</si>
  <si>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</si>
  <si>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</si>
  <si>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</si>
  <si>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</si>
  <si>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</si>
  <si>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</si>
  <si>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</si>
  <si>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</si>
  <si>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</si>
  <si>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</si>
  <si>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</si>
  <si>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</si>
  <si>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</si>
  <si>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</si>
  <si>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</si>
  <si>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</si>
  <si>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</si>
  <si>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</si>
  <si>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</si>
  <si>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</si>
  <si>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</si>
  <si>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</si>
  <si>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</si>
  <si>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</si>
  <si>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</si>
  <si>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</si>
  <si>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</si>
  <si>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</si>
  <si>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</si>
  <si>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</si>
  <si>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</si>
  <si>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</si>
  <si>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</si>
  <si>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</si>
  <si>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</si>
  <si>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</si>
  <si>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</si>
  <si>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</si>
  <si>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</si>
  <si>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</si>
  <si>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</si>
  <si>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</si>
  <si>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</si>
  <si>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</si>
  <si>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</si>
  <si>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</si>
  <si>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</si>
  <si>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</si>
  <si>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</si>
  <si>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</si>
  <si>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</si>
  <si>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</si>
  <si>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</si>
  <si>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</si>
  <si>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</si>
  <si>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</si>
  <si>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</si>
  <si>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</si>
  <si>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</si>
  <si>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</si>
  <si>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</si>
  <si>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</si>
  <si>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</si>
  <si>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</si>
  <si>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</si>
  <si>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</si>
  <si>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</si>
  <si>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</si>
  <si>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</si>
  <si>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</si>
  <si>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</si>
  <si>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</si>
  <si>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</si>
  <si>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</si>
  <si>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</si>
  <si>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</si>
  <si>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</si>
  <si>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</si>
  <si>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</si>
  <si>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</si>
  <si>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</si>
  <si>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</si>
  <si>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</si>
  <si>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</si>
  <si>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</si>
  <si>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</si>
  <si>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</si>
  <si>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</si>
  <si>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</si>
  <si>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</si>
  <si>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</si>
  <si>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</si>
  <si>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</si>
  <si>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</si>
  <si>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</si>
  <si>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</si>
  <si>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</si>
  <si>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</si>
  <si>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</si>
  <si>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</si>
  <si>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</si>
  <si>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</si>
  <si>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</si>
  <si>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</si>
  <si>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</si>
  <si>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</si>
  <si>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</si>
  <si>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</si>
  <si>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</si>
  <si>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</si>
  <si>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</si>
  <si>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</si>
  <si>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</si>
  <si>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</si>
  <si>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</si>
  <si>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</si>
  <si>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</si>
  <si>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</si>
  <si>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</si>
  <si>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</si>
  <si>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</si>
  <si>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</si>
  <si>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</si>
  <si>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</si>
  <si>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</si>
  <si>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</si>
  <si>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</si>
  <si>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</si>
  <si>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</si>
  <si>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</si>
  <si>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</si>
  <si>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</si>
  <si>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</si>
  <si>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</si>
  <si>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</si>
  <si>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</si>
  <si>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</si>
  <si>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</si>
  <si>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</si>
  <si>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</si>
  <si>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</si>
  <si>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</si>
  <si>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</si>
  <si>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</si>
  <si>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</si>
  <si>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</si>
  <si>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4586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</si>
  <si>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</si>
  <si>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</si>
  <si>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</si>
  <si>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</si>
  <si>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</si>
  <si>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</si>
  <si>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</si>
  <si>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</si>
  <si>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</si>
  <si>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</si>
  <si>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</si>
  <si>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</si>
  <si>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</si>
  <si>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</si>
  <si>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</si>
  <si>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</si>
  <si>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</si>
  <si>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</si>
  <si>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</si>
  <si>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</si>
  <si>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</si>
  <si>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</si>
  <si>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</si>
  <si>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</si>
  <si>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</si>
  <si>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</si>
  <si>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</si>
  <si>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</si>
  <si>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</si>
  <si>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</si>
  <si>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</si>
  <si>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</si>
  <si>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</si>
  <si>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</si>
  <si>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</si>
  <si>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</si>
  <si>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</si>
  <si>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</si>
  <si>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</si>
  <si>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</si>
  <si>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</si>
  <si>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</si>
  <si>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</si>
  <si>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</si>
  <si>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</si>
  <si>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</si>
  <si>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</si>
  <si>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</si>
  <si>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</si>
  <si>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</si>
  <si>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</si>
  <si>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</si>
  <si>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</si>
  <si>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</si>
  <si>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</si>
  <si>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</si>
  <si>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</si>
  <si>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</si>
  <si>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</si>
  <si>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</si>
  <si>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</si>
  <si>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</si>
  <si>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</si>
  <si>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</si>
  <si>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</si>
  <si>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</si>
  <si>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</si>
  <si>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</si>
  <si>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</si>
  <si>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</si>
  <si>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</si>
  <si>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</si>
  <si>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</si>
  <si>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</si>
  <si>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</si>
  <si>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</si>
  <si>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</si>
  <si>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</si>
  <si>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</si>
  <si>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</si>
  <si>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</si>
  <si>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</si>
  <si>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</si>
  <si>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</si>
  <si>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</si>
  <si>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</si>
  <si>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</si>
  <si>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</si>
  <si>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</si>
  <si>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</si>
  <si>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</si>
  <si>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</si>
  <si>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</si>
  <si>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</si>
  <si>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</si>
  <si>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</si>
  <si>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</si>
  <si>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</si>
  <si>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</si>
  <si>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</si>
  <si>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</si>
  <si>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</si>
  <si>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</si>
  <si>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</si>
  <si>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</si>
  <si>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</si>
  <si>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</si>
  <si>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</si>
  <si>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</si>
  <si>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</si>
  <si>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</si>
  <si>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</si>
  <si>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</si>
  <si>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</si>
  <si>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</si>
  <si>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</si>
  <si>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</si>
  <si>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</si>
  <si>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</si>
  <si>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</si>
  <si>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</si>
  <si>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</si>
  <si>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</si>
  <si>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</si>
  <si>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</si>
  <si>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</si>
  <si>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</si>
  <si>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</si>
  <si>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</si>
  <si>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</si>
  <si>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</si>
  <si>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</si>
  <si>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</si>
  <si>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</si>
  <si>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</si>
  <si>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</si>
  <si>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</si>
  <si>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</si>
  <si>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4539</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</si>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</sst>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49" fontId="85" numFmtId="49" xfId="0" applyAlignment="1" applyFont="1" applyNumberFormat="1">
      <alignment vertical="center"/>
    </xf>
    <xf borderId="0" fillId="30" fontId="370"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6" fillId="46" fontId="382" numFmtId="49" xfId="0" applyAlignment="1" applyBorder="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6" fillId="48" fontId="388"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0"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5" numFmtId="49" xfId="0" applyAlignment="1" applyFont="1" applyNumberFormat="1">
      <alignment horizontal="center" vertical="center"/>
    </xf>
    <xf borderId="0" fillId="50" fontId="85" numFmtId="49" xfId="0" applyAlignment="1" applyFont="1" applyNumberFormat="1">
      <alignment horizontal="center" vertical="center"/>
    </xf>
    <xf borderId="0" fillId="50" fontId="396"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2" fontId="410"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4" numFmtId="49" xfId="0" applyAlignment="1" applyBorder="1" applyFont="1" applyNumberFormat="1">
      <alignment horizontal="center" readingOrder="0" vertical="center"/>
    </xf>
    <xf borderId="0" fillId="37" fontId="42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37" fontId="43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442" numFmtId="49" xfId="0" applyAlignment="1" applyFont="1" applyNumberFormat="1">
      <alignment horizontal="center" vertical="center"/>
    </xf>
    <xf borderId="0" fillId="42" fontId="443" numFmtId="49" xfId="0" applyAlignment="1" applyFont="1" applyNumberFormat="1">
      <alignment horizontal="center" vertical="center"/>
    </xf>
    <xf borderId="0" fillId="43" fontId="444" numFmtId="49" xfId="0" applyAlignment="1" applyFont="1" applyNumberFormat="1">
      <alignment horizontal="center" vertical="center"/>
    </xf>
    <xf borderId="0" fillId="51" fontId="44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6" fillId="0" fontId="471"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6" fillId="30" fontId="486" numFmtId="49" xfId="0" applyAlignment="1" applyBorder="1" applyFont="1" applyNumberFormat="1">
      <alignment horizontal="center" vertical="center"/>
    </xf>
    <xf borderId="0" fillId="30" fontId="487" numFmtId="49" xfId="0" applyAlignment="1" applyFont="1" applyNumberFormat="1">
      <alignment horizontal="center" vertical="center"/>
    </xf>
    <xf borderId="0" fillId="30" fontId="35" numFmtId="49" xfId="0" applyAlignment="1" applyFont="1" applyNumberFormat="1">
      <alignment horizontal="center" vertical="center"/>
    </xf>
    <xf borderId="6" fillId="0" fontId="48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1"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0" fontId="49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3" numFmtId="49" xfId="0" applyAlignment="1" applyFont="1" applyNumberFormat="1">
      <alignment horizontal="center" vertical="center"/>
    </xf>
    <xf borderId="0" fillId="46" fontId="49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8" numFmtId="49" xfId="0" applyAlignment="1" applyFont="1" applyNumberFormat="1">
      <alignment horizontal="center" readingOrder="0" vertical="center"/>
    </xf>
    <xf borderId="0" fillId="44" fontId="49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4" numFmtId="49" xfId="0" applyAlignment="1" applyFont="1" applyNumberFormat="1">
      <alignment horizontal="center" readingOrder="0" vertical="center"/>
    </xf>
    <xf borderId="0" fillId="71" fontId="496" numFmtId="49" xfId="0" applyAlignment="1" applyFill="1" applyFont="1" applyNumberFormat="1">
      <alignment horizontal="center" readingOrder="0" vertical="center"/>
    </xf>
    <xf borderId="0" fillId="71" fontId="496" numFmtId="49" xfId="0" applyAlignment="1" applyFont="1" applyNumberFormat="1">
      <alignment horizontal="center" vertical="center"/>
    </xf>
    <xf borderId="0" fillId="71" fontId="496"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496"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496" numFmtId="49" xfId="0" applyAlignment="1" applyFont="1" applyNumberFormat="1">
      <alignment horizontal="center" readingOrder="0" vertical="center"/>
    </xf>
    <xf borderId="0" fillId="71" fontId="496" numFmtId="49" xfId="0" applyAlignment="1" applyFont="1" applyNumberFormat="1">
      <alignment readingOrder="0" vertical="center"/>
    </xf>
    <xf borderId="0" fillId="48" fontId="496" numFmtId="49" xfId="0" applyAlignment="1" applyFont="1" applyNumberFormat="1">
      <alignment horizontal="right" vertical="center"/>
    </xf>
    <xf borderId="0" fillId="48" fontId="49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7"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73"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496" numFmtId="49" xfId="0" applyAlignment="1" applyFont="1" applyNumberFormat="1">
      <alignment horizontal="right" vertical="center"/>
    </xf>
    <xf borderId="0" fillId="43" fontId="496"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6" numFmtId="49" xfId="0" applyAlignment="1" applyFont="1" applyNumberFormat="1">
      <alignment horizontal="right" vertical="center"/>
    </xf>
    <xf borderId="0" fillId="42" fontId="49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6" numFmtId="49" xfId="0" applyAlignment="1" applyFont="1" applyNumberFormat="1">
      <alignment horizontal="right" vertical="center"/>
    </xf>
    <xf borderId="0" fillId="48" fontId="496"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0" fontId="532" numFmtId="49" xfId="0" applyAlignment="1" applyFont="1" applyNumberFormat="1">
      <alignment horizontal="center" vertical="center"/>
    </xf>
    <xf borderId="0" fillId="30" fontId="104" numFmtId="49" xfId="0" applyAlignment="1" applyFont="1" applyNumberFormat="1">
      <alignment vertical="center"/>
    </xf>
    <xf borderId="10" fillId="0" fontId="533"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6"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6"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0" fontId="529"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48" fontId="49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0" xfId="0" applyAlignment="1" applyFont="1">
      <alignment horizontal="center" vertical="center"/>
    </xf>
    <xf borderId="0" fillId="36"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39"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5"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78" fontId="496"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6" numFmtId="49"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6"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6"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6"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0" fontId="588" numFmtId="49" xfId="0" applyAlignment="1" applyFont="1" applyNumberFormat="1">
      <alignment horizontal="center" readingOrder="0" vertical="bottom"/>
    </xf>
    <xf borderId="0" fillId="4" fontId="496"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6"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6"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496"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48" fontId="496"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06" numFmtId="4"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06"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43" fontId="496"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42" fontId="49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6"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9" numFmtId="49" xfId="0" applyAlignment="1" applyFont="1" applyNumberFormat="1">
      <alignment horizontal="right" readingOrder="0" vertical="center"/>
    </xf>
    <xf borderId="0" fillId="4" fontId="496"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496"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496" numFmtId="49" xfId="0" applyAlignment="1" applyFont="1" applyNumberFormat="1">
      <alignment horizontal="right"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5" numFmtId="46"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6"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6"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6" numFmtId="49" xfId="0" applyAlignment="1" applyFont="1" applyNumberFormat="1">
      <alignment horizontal="center" readingOrder="0" vertical="center"/>
    </xf>
    <xf borderId="0" fillId="30" fontId="496" numFmtId="46" xfId="0" applyAlignment="1" applyFont="1" applyNumberFormat="1">
      <alignment horizontal="center" vertical="center"/>
    </xf>
    <xf borderId="0" fillId="4" fontId="496"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496"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55"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30" fontId="496" numFmtId="49" xfId="0" applyAlignment="1" applyFont="1" applyNumberFormat="1">
      <alignment horizontal="center" vertical="center"/>
    </xf>
    <xf borderId="0" fillId="30" fontId="605" numFmtId="49" xfId="0" applyAlignment="1" applyFont="1" applyNumberFormat="1">
      <alignment horizontal="center"/>
    </xf>
    <xf borderId="0" fillId="30" fontId="104"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16"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rmFMoWKslE" TargetMode="External"/><Relationship Id="rId3512" Type="http://schemas.openxmlformats.org/officeDocument/2006/relationships/hyperlink" Target="https://www.youtube.com/watch?v=rWfGIEVvzD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54404870?t=00h13m35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_-vCzJ7BwD0" TargetMode="External"/><Relationship Id="rId44" Type="http://schemas.openxmlformats.org/officeDocument/2006/relationships/hyperlink" Target="https://youtu.be/qQGN1qDjyGc" TargetMode="External"/><Relationship Id="rId3517" Type="http://schemas.openxmlformats.org/officeDocument/2006/relationships/hyperlink" Target="https://youtu.be/BRbu8H2UIh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I8M3QDI7Ys" TargetMode="External"/><Relationship Id="rId46" Type="http://schemas.openxmlformats.org/officeDocument/2006/relationships/hyperlink" Target="https://youtu.be/HuZ6b_Zl2s8?t=13" TargetMode="External"/><Relationship Id="rId3519" Type="http://schemas.openxmlformats.org/officeDocument/2006/relationships/hyperlink" Target="https://youtu.be/NMknFeDydc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7836166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8w0PEk24j4" TargetMode="External"/><Relationship Id="rId3510" Type="http://schemas.openxmlformats.org/officeDocument/2006/relationships/hyperlink" Target="https://www.youtube.com/watch?v=3fqRcGfUd40" TargetMode="External"/><Relationship Id="rId3502" Type="http://schemas.openxmlformats.org/officeDocument/2006/relationships/hyperlink" Target="https://www.youtube.com/watch?v=CXysMP8sBxs" TargetMode="External"/><Relationship Id="rId3501" Type="http://schemas.openxmlformats.org/officeDocument/2006/relationships/hyperlink" Target="https://www.youtube.com/watch?v=mTXUY9xpR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SK0YPuxw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HBjmXQeIW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bLjbsRbEWJo"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gEIyUeIBVc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KOvNxVhYh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RkeXZsAEZAw" TargetMode="External"/><Relationship Id="rId3509" Type="http://schemas.openxmlformats.org/officeDocument/2006/relationships/hyperlink" Target="https://www.youtube.com/watch?v=MUPo8htAg-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QxWPg7mdDfE" TargetMode="External"/><Relationship Id="rId2203" Type="http://schemas.openxmlformats.org/officeDocument/2006/relationships/hyperlink" Target="https://youtu.be/heIYVyxaiZY" TargetMode="External"/><Relationship Id="rId3535" Type="http://schemas.openxmlformats.org/officeDocument/2006/relationships/hyperlink" Target="https://youtu.be/0aDb7ovTkt8"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5xLagqBHM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40610069"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8lvROe5a3F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nokC0JcIXs" TargetMode="External"/><Relationship Id="rId3524" Type="http://schemas.openxmlformats.org/officeDocument/2006/relationships/hyperlink" Target="https://youtu.be/FbhZuABeUno" TargetMode="External"/><Relationship Id="rId3523" Type="http://schemas.openxmlformats.org/officeDocument/2006/relationships/hyperlink" Target="https://youtu.be/DUApekPqVx0"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t9CAUQPah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xB7KPQD_bs8" TargetMode="External"/><Relationship Id="rId3521" Type="http://schemas.openxmlformats.org/officeDocument/2006/relationships/hyperlink" Target="https://youtu.be/F-2Vza5N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V5fX7jzM7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www.twitch.tv/quarters_no/clip/FrozenWealthyKleePeanutButterJellyTime-X-VX-sZ34T7fcx4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h8GIu7yIPE?t=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twitch.tv/quarters_no/clip/ResilientCalmPancake4Head-74KL9EEE9YwD_kv7"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9aBZWJvGU8" TargetMode="External"/><Relationship Id="rId2264" Type="http://schemas.openxmlformats.org/officeDocument/2006/relationships/hyperlink" Target="https://youtu.be/apTgxtJ_VOU" TargetMode="External"/><Relationship Id="rId3594" Type="http://schemas.openxmlformats.org/officeDocument/2006/relationships/hyperlink" Target="https://youtu.be/5Uc_VsYk4Po"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qz5HLTgw3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2UwbdYDVjk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0VoHWs-0TQ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3AOqHxOuW5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R_WzW5NJHN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JoIrstX6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T18zO3mkSFA"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qFebwt8ICn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dLppy_NAm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bcDvzV86e5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kcpgliFaAd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7M6KJaNmgj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ZAinYSFi65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F9fnwieEZ7E?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KV14OoM4Dw4"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d9DyDRTKOU8"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PVGqyyWrnS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TFIMcWwNG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Wm_9LlYO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COIMShAaKd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1X1H4tLcTu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3UELneIbRvU"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bINNm5Acee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4061006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NL7okSeY5iY"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2V-E1Ry_Ed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6mI4Vok80os"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2131507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o3BJ9s8uUxw" TargetMode="External"/><Relationship Id="rId2212" Type="http://schemas.openxmlformats.org/officeDocument/2006/relationships/hyperlink" Target="https://youtu.be/SMsD3PoVZ8w" TargetMode="External"/><Relationship Id="rId3544" Type="http://schemas.openxmlformats.org/officeDocument/2006/relationships/hyperlink" Target="https://youtu.be/XTDyoF4Y4nU"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H0jcgZhuSk" TargetMode="External"/><Relationship Id="rId2247" Type="http://schemas.openxmlformats.org/officeDocument/2006/relationships/hyperlink" Target="https://youtu.be/WZfTvH4o2Jg" TargetMode="External"/><Relationship Id="rId3579" Type="http://schemas.openxmlformats.org/officeDocument/2006/relationships/hyperlink" Target="https://youtu.be/RAW1TjecBxE?t=6"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cOth8i2Z9Jg"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GaMR2hFrw"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DsRdHr1gAQ"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HAcEFJYINY0"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ZNski5gWt3o?t=13"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w__8xHsdb0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knbwipIcL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VgxCCdax0x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94xFxpvkY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ucculentOutstandingStrawberryRlyTho"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KindAgitatedCarrotTF2John"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n0keiZRpt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2cUppv-m-M"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utk4BplKqE"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tHKISoTDxf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SourColdCardFutureMa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f7LO_ZZhj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ObliqueKawaiiPotJKanStyl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GeniusWildSoybeanCoolStoryBob-fzlUT-FtG5z80EmV"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ViscousBloodyCheeseSpicyBoy"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FriendlyAffluentTofuYouWHY-UP1xCokl0WqaQm4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rustworthyBoldFishGivePLZ-Po2fD7at-sek261_"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lumsyCrepuscularPlumageNerfBlueBlaster-heP3VC5LrNVyumj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altyCrispyIcecreamWoofer"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nappyPoorZebraTwitchRai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HomelyPlausibleFloofBCWarrior-sSytr9fCDheZ_hDo" TargetMode="External"/><Relationship Id="rId3630" Type="http://schemas.openxmlformats.org/officeDocument/2006/relationships/hyperlink" Target="https://clips.twitch.tv/EncouragingSecretiveLlamaDoggo-bwQ_C8eP-5aDg2tv"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twitch.tv/videos/95740945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RepleteGoldfishPanicBasket-YqdRyFXSK23tLcD3" TargetMode="External"/><Relationship Id="rId3623" Type="http://schemas.openxmlformats.org/officeDocument/2006/relationships/hyperlink" Target="https://clips.twitch.tv/FilthyTalentedQuailStinkyCheese" TargetMode="External"/><Relationship Id="rId3622" Type="http://schemas.openxmlformats.org/officeDocument/2006/relationships/hyperlink" Target="https://youtu.be/KpohDuuulIM" TargetMode="External"/><Relationship Id="rId3625" Type="http://schemas.openxmlformats.org/officeDocument/2006/relationships/hyperlink" Target="https://clips.twitch.tv/SassyBeautifulShrewSMOrc" TargetMode="External"/><Relationship Id="rId3624" Type="http://schemas.openxmlformats.org/officeDocument/2006/relationships/hyperlink" Target="https://clips.twitch.tv/WealthyIcyNeanderthalFreakinStinkin" TargetMode="External"/><Relationship Id="rId3627" Type="http://schemas.openxmlformats.org/officeDocument/2006/relationships/hyperlink" Target="https://clips.twitch.tv/HyperDaintyShallotCoolCat-ndROv_i6E4CKkm7N" TargetMode="External"/><Relationship Id="rId3626" Type="http://schemas.openxmlformats.org/officeDocument/2006/relationships/hyperlink" Target="https://clips.twitch.tv/RefinedSmallBobaOhMyDog" TargetMode="External"/><Relationship Id="rId3629" Type="http://schemas.openxmlformats.org/officeDocument/2006/relationships/hyperlink" Target="https://www.twitch.tv/videos/885940624" TargetMode="External"/><Relationship Id="rId3628" Type="http://schemas.openxmlformats.org/officeDocument/2006/relationships/hyperlink" Target="https://clips.twitch.tv/TenderUninterestedBisonEleGiggle-mdGTz9P-vvJ_SomS" TargetMode="External"/><Relationship Id="rId3621" Type="http://schemas.openxmlformats.org/officeDocument/2006/relationships/hyperlink" Target="https://youtu.be/5jM0EgimauY" TargetMode="External"/><Relationship Id="rId3620" Type="http://schemas.openxmlformats.org/officeDocument/2006/relationships/hyperlink" Target="https://www.twitch.tv/videos/2138466749"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LLV-ujq1yt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92326741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BlTsOFlPgM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CoweringAffluentGazelleMVGame-2lym0QMvFNPpiY4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avoryFrailDillRiPepperonis-_a-yQIVP6RrToBf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_h-Y9PTQCt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ameFaintBottleYee-IEkbSrtMvnFQwhHW"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TenuousPiercingMageGOWSkull-kGLgwfGlf3oOKCj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CILDpiFkyU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TallDistinctAniseFrankerZ-3S4o-2k1o4GqXMhX"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MoldyRelatedTrollBatChest-WcJP5jR_ykR-S_WD"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CrepuscularScrumptiousOtterTakeNRG-cxJP968a0d4wce-J"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tGRQrXio5s"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s7KwjQLw1kU" TargetMode="External"/><Relationship Id="rId3600" Type="http://schemas.openxmlformats.org/officeDocument/2006/relationships/hyperlink" Target="https://youtu.be/JA8zPb_sJUI" TargetMode="External"/><Relationship Id="rId3603" Type="http://schemas.openxmlformats.org/officeDocument/2006/relationships/hyperlink" Target="https://youtu.be/T9JOn5dgSlg?t=6" TargetMode="External"/><Relationship Id="rId3602" Type="http://schemas.openxmlformats.org/officeDocument/2006/relationships/hyperlink" Target="https://youtu.be/MGFeKWE-RkA" TargetMode="External"/><Relationship Id="rId3605" Type="http://schemas.openxmlformats.org/officeDocument/2006/relationships/hyperlink" Target="https://youtu.be/wP71syAMx4g" TargetMode="External"/><Relationship Id="rId3604" Type="http://schemas.openxmlformats.org/officeDocument/2006/relationships/hyperlink" Target="https://youtu.be/lPkvTZpTvMI?t=8" TargetMode="External"/><Relationship Id="rId3607" Type="http://schemas.openxmlformats.org/officeDocument/2006/relationships/hyperlink" Target="https://youtu.be/1DaDpONiHIE" TargetMode="External"/><Relationship Id="rId3606" Type="http://schemas.openxmlformats.org/officeDocument/2006/relationships/hyperlink" Target="https://youtu.be/xuC6ejNPnCo?t=10"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youtu.be/EvC-eEXii6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zlsxUCl28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www.youtube.com/watch?v=RjXUBXs_PiQ"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qCh1AR43cg"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ProductivePlausibleSageTinyFace-GuTRGs_oKypV63Ig"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learTangibleOryxOMGScoots-RUJeu6MdrRyS8XMp"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aI2boBx2egA"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S2yDCubR2o4"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Df8m_IV4vr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5NFV4JlVEh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fNVSKf4AXP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DependableWimpyPlumberNerfRedBlaster-l0N1ltNqN24DfqO-"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EmpathicBlitheMouseCclamChamp-vw9pV9yJ-0wMcIEx"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oDxj7CTWpx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BlindingWittySquidArsonNoSexy-an14cMVazpBQ8zTL"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3932467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8115"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681697534"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7985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5awgm4vADL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7ZgVTZnK5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L3JP_GvYE7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is_vY-Grcv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S2-pKof3dr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69ic33AvIa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gs6T_sN1V7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UbE6nG94rb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c0mzisGZg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qKz5kBAucj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nggxOuqniq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1zYoS5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xBwATUne_8"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74H20Y0ruuk"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Fwi1P8hhbE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Cr_xP8bgJe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9vpdi3lud8"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u-0TbF-x-y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0cqSvG8RrC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q-qecF2b-PI"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AuCtRTeOZQ" TargetMode="External"/><Relationship Id="rId2424" Type="http://schemas.openxmlformats.org/officeDocument/2006/relationships/hyperlink" Target="https://youtu.be/F5NfRzs9WmY" TargetMode="External"/><Relationship Id="rId3754" Type="http://schemas.openxmlformats.org/officeDocument/2006/relationships/hyperlink" Target="https://www.youtube.com/watch?v=traHO3RCMFc" TargetMode="External"/><Relationship Id="rId2425" Type="http://schemas.openxmlformats.org/officeDocument/2006/relationships/hyperlink" Target="https://youtu.be/zZ4xsh3x0VA" TargetMode="External"/><Relationship Id="rId3757" Type="http://schemas.openxmlformats.org/officeDocument/2006/relationships/hyperlink" Target="https://youtu.be/2fhIenEkLlY" TargetMode="External"/><Relationship Id="rId2426" Type="http://schemas.openxmlformats.org/officeDocument/2006/relationships/hyperlink" Target="https://youtu.be/m_ZBiqY_Nho" TargetMode="External"/><Relationship Id="rId3756" Type="http://schemas.openxmlformats.org/officeDocument/2006/relationships/hyperlink" Target="https://youtu.be/qgluFqR_tLI" TargetMode="External"/><Relationship Id="rId2427" Type="http://schemas.openxmlformats.org/officeDocument/2006/relationships/hyperlink" Target="https://youtu.be/abhI8pfN-HM" TargetMode="External"/><Relationship Id="rId3759" Type="http://schemas.openxmlformats.org/officeDocument/2006/relationships/hyperlink" Target="https://youtu.be/0XUpJc8IzRk" TargetMode="External"/><Relationship Id="rId2428" Type="http://schemas.openxmlformats.org/officeDocument/2006/relationships/hyperlink" Target="https://youtu.be/5o3N19-vMCQ" TargetMode="External"/><Relationship Id="rId3758" Type="http://schemas.openxmlformats.org/officeDocument/2006/relationships/hyperlink" Target="https://youtu.be/YB9LQDhmWDY"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pHdG2rZYIU" TargetMode="External"/><Relationship Id="rId2420" Type="http://schemas.openxmlformats.org/officeDocument/2006/relationships/hyperlink" Target="https://youtu.be/TLVlIuyOwrI" TargetMode="External"/><Relationship Id="rId3750" Type="http://schemas.openxmlformats.org/officeDocument/2006/relationships/hyperlink" Target="https://youtu.be/-EuPHAugnvU" TargetMode="External"/><Relationship Id="rId2421" Type="http://schemas.openxmlformats.org/officeDocument/2006/relationships/hyperlink" Target="https://youtu.be/0Ad-hocDWwg" TargetMode="External"/><Relationship Id="rId3753" Type="http://schemas.openxmlformats.org/officeDocument/2006/relationships/hyperlink" Target="https://youtu.be/FxAyf0hf3S4" TargetMode="External"/><Relationship Id="rId2422" Type="http://schemas.openxmlformats.org/officeDocument/2006/relationships/hyperlink" Target="https://youtu.be/aoIG8OwyKNU" TargetMode="External"/><Relationship Id="rId3752" Type="http://schemas.openxmlformats.org/officeDocument/2006/relationships/hyperlink" Target="https://youtu.be/3VT120o91Mg"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UnsightlyObservantCrabsKappaClaus-1ZkgEyeYp8b3WKgQ"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24432075"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64996095"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SarcasticJoyousMacaroniSaltBae-7jY8PhjdTlVbfUri" TargetMode="External"/><Relationship Id="rId2416" Type="http://schemas.openxmlformats.org/officeDocument/2006/relationships/hyperlink" Target="https://youtu.be/fLc4yFhnP6Q" TargetMode="External"/><Relationship Id="rId3748" Type="http://schemas.openxmlformats.org/officeDocument/2006/relationships/hyperlink" Target="https://youtu.be/zwrAxg51_j8"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52488021"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lURSmO_AyEw" TargetMode="External"/><Relationship Id="rId3740" Type="http://schemas.openxmlformats.org/officeDocument/2006/relationships/hyperlink" Target="https://clips.twitch.tv/AdorableAuspiciousPonyOMGScoots-cOHUPAy5-HX8cTlY"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30321696"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AmericanTardyDugongSpicyBoy-u5HRN4Pv98XlV4QZ"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562978554"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IH-4uKm6is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3UNx_t8T6EY"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ZezdHtroI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0zcfBzYqS0" TargetMode="External"/><Relationship Id="rId2440" Type="http://schemas.openxmlformats.org/officeDocument/2006/relationships/hyperlink" Target="https://youtu.be/lTLV2YNvtk0" TargetMode="External"/><Relationship Id="rId3770" Type="http://schemas.openxmlformats.org/officeDocument/2006/relationships/hyperlink" Target="https://youtu.be/zLRiS54kMLo"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ECoTk_c05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2pdrTGGpy2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umgWlwQvLl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7DKS_xqCH8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1dW06SPmkiU"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qhvHHeJ6c_8"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aROk5J96rU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WEi5En16ras"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P9VWSfZRdZ8"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DxHxNj6HV0"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_iXBKQwq-Y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LtLqTHqXY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o_9Tt8brsI"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v_H6xRBJa_g" TargetMode="External"/><Relationship Id="rId3711" Type="http://schemas.openxmlformats.org/officeDocument/2006/relationships/hyperlink" Target="https://www.youtube.com/watch?v=WYCGplnVh4A" TargetMode="External"/><Relationship Id="rId3710" Type="http://schemas.openxmlformats.org/officeDocument/2006/relationships/hyperlink" Target="https://youtu.be/_5EE7piEfdA" TargetMode="External"/><Relationship Id="rId3713" Type="http://schemas.openxmlformats.org/officeDocument/2006/relationships/hyperlink" Target="https://youtu.be/IA9rZ_hatPE" TargetMode="External"/><Relationship Id="rId3712" Type="http://schemas.openxmlformats.org/officeDocument/2006/relationships/hyperlink" Target="https://clips.twitch.tv/IgnorantInexpensiveWhaleAMPEnergyCherry-0_APFnMlwRxp93Up" TargetMode="External"/><Relationship Id="rId3715" Type="http://schemas.openxmlformats.org/officeDocument/2006/relationships/hyperlink" Target="https://youtu.be/3Ovu89Qc6hc" TargetMode="External"/><Relationship Id="rId3714" Type="http://schemas.openxmlformats.org/officeDocument/2006/relationships/hyperlink" Target="https://youtu.be/npPbGmcpwTg" TargetMode="External"/><Relationship Id="rId3717" Type="http://schemas.openxmlformats.org/officeDocument/2006/relationships/hyperlink" Target="https://youtu.be/YQQ0q65ToQQ" TargetMode="External"/><Relationship Id="rId3716" Type="http://schemas.openxmlformats.org/officeDocument/2006/relationships/hyperlink" Target="https://youtu.be/OSNXTmoonnM" TargetMode="External"/><Relationship Id="rId3719" Type="http://schemas.openxmlformats.org/officeDocument/2006/relationships/hyperlink" Target="https://youtu.be/MMo3ZBMPIrU" TargetMode="External"/><Relationship Id="rId3718" Type="http://schemas.openxmlformats.org/officeDocument/2006/relationships/hyperlink" Target="https://youtu.be/mEmDaTtNmiw" TargetMode="External"/><Relationship Id="rId3700" Type="http://schemas.openxmlformats.org/officeDocument/2006/relationships/hyperlink" Target="https://youtu.be/_yyE2bJP2Bk" TargetMode="External"/><Relationship Id="rId3702" Type="http://schemas.openxmlformats.org/officeDocument/2006/relationships/hyperlink" Target="https://youtu.be/6in2eMbJ0ow" TargetMode="External"/><Relationship Id="rId3701" Type="http://schemas.openxmlformats.org/officeDocument/2006/relationships/hyperlink" Target="https://youtu.be/K9g9bFufOgE" TargetMode="External"/><Relationship Id="rId3704" Type="http://schemas.openxmlformats.org/officeDocument/2006/relationships/hyperlink" Target="https://youtu.be/cMWcL3kLKVs" TargetMode="External"/><Relationship Id="rId3703" Type="http://schemas.openxmlformats.org/officeDocument/2006/relationships/hyperlink" Target="https://youtu.be/oJ7uiss0Fac" TargetMode="External"/><Relationship Id="rId3706" Type="http://schemas.openxmlformats.org/officeDocument/2006/relationships/hyperlink" Target="https://youtu.be/pTOrGSUJHWI" TargetMode="External"/><Relationship Id="rId3705" Type="http://schemas.openxmlformats.org/officeDocument/2006/relationships/hyperlink" Target="https://youtu.be/HhrXXa3_6QQ" TargetMode="External"/><Relationship Id="rId3708" Type="http://schemas.openxmlformats.org/officeDocument/2006/relationships/hyperlink" Target="https://youtu.be/gl9c1qhsTTo" TargetMode="External"/><Relationship Id="rId3707" Type="http://schemas.openxmlformats.org/officeDocument/2006/relationships/hyperlink" Target="https://youtu.be/vc2vKpA4W0o" TargetMode="External"/><Relationship Id="rId3709" Type="http://schemas.openxmlformats.org/officeDocument/2006/relationships/hyperlink" Target="https://www.youtube.com/watch?v=xILNN4X1Sug" TargetMode="External"/><Relationship Id="rId2401" Type="http://schemas.openxmlformats.org/officeDocument/2006/relationships/hyperlink" Target="https://youtu.be/t9drpBX9klU" TargetMode="External"/><Relationship Id="rId3733" Type="http://schemas.openxmlformats.org/officeDocument/2006/relationships/hyperlink" Target="https://youtu.be/-X-8cgwjxbo"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dRTrvAdi71A" TargetMode="External"/><Relationship Id="rId2403" Type="http://schemas.openxmlformats.org/officeDocument/2006/relationships/hyperlink" Target="https://youtu.be/chTeu9FixQo" TargetMode="External"/><Relationship Id="rId3735" Type="http://schemas.openxmlformats.org/officeDocument/2006/relationships/hyperlink" Target="https://youtu.be/XFv2JXpwzPA"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5ezTSko_BOU" TargetMode="External"/><Relationship Id="rId2405" Type="http://schemas.openxmlformats.org/officeDocument/2006/relationships/hyperlink" Target="https://youtu.be/4piPovOx8O4" TargetMode="External"/><Relationship Id="rId3737" Type="http://schemas.openxmlformats.org/officeDocument/2006/relationships/hyperlink" Target="https://youtu.be/H3JDwX7khMg" TargetMode="External"/><Relationship Id="rId2406" Type="http://schemas.openxmlformats.org/officeDocument/2006/relationships/hyperlink" Target="https://youtu.be/7PV_sbgZrbk" TargetMode="External"/><Relationship Id="rId3736" Type="http://schemas.openxmlformats.org/officeDocument/2006/relationships/hyperlink" Target="https://youtu.be/APN1OdPY83o"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OpenSwissHorseradishPlanking-F6U4Rdie9N3lGJTB" TargetMode="External"/><Relationship Id="rId2408" Type="http://schemas.openxmlformats.org/officeDocument/2006/relationships/hyperlink" Target="https://youtu.be/vtQd6-gbOy0" TargetMode="External"/><Relationship Id="rId3738" Type="http://schemas.openxmlformats.org/officeDocument/2006/relationships/hyperlink" Target="https://youtu.be/AlDJUqcUgNE"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CgWCSuJ5jnk" TargetMode="External"/><Relationship Id="rId2400" Type="http://schemas.openxmlformats.org/officeDocument/2006/relationships/hyperlink" Target="https://youtu.be/edbcwsAJJdQ" TargetMode="External"/><Relationship Id="rId3730" Type="http://schemas.openxmlformats.org/officeDocument/2006/relationships/hyperlink" Target="https://youtu.be/gsTC2weC5Ok" TargetMode="External"/><Relationship Id="rId3722" Type="http://schemas.openxmlformats.org/officeDocument/2006/relationships/hyperlink" Target="https://youtu.be/x4wUe8VzFL4" TargetMode="External"/><Relationship Id="rId3721" Type="http://schemas.openxmlformats.org/officeDocument/2006/relationships/hyperlink" Target="https://youtu.be/ewGQiYOg6F4" TargetMode="External"/><Relationship Id="rId3724" Type="http://schemas.openxmlformats.org/officeDocument/2006/relationships/hyperlink" Target="https://youtu.be/_BiWC77BP3o" TargetMode="External"/><Relationship Id="rId3723" Type="http://schemas.openxmlformats.org/officeDocument/2006/relationships/hyperlink" Target="https://youtu.be/hfxXpN4iAks" TargetMode="External"/><Relationship Id="rId3726" Type="http://schemas.openxmlformats.org/officeDocument/2006/relationships/hyperlink" Target="https://youtu.be/YAMDglE01Tg" TargetMode="External"/><Relationship Id="rId3725" Type="http://schemas.openxmlformats.org/officeDocument/2006/relationships/hyperlink" Target="https://youtu.be/PW3RefbTtj8" TargetMode="External"/><Relationship Id="rId3728" Type="http://schemas.openxmlformats.org/officeDocument/2006/relationships/hyperlink" Target="https://www.youtube.com/watch?v=NBnUp-T3fhc" TargetMode="External"/><Relationship Id="rId3727" Type="http://schemas.openxmlformats.org/officeDocument/2006/relationships/hyperlink" Target="https://youtu.be/djpRgtYWDDw" TargetMode="External"/><Relationship Id="rId3729" Type="http://schemas.openxmlformats.org/officeDocument/2006/relationships/hyperlink" Target="https://www.youtube.com/watch?v=odXAa6vbdas" TargetMode="External"/><Relationship Id="rId3720" Type="http://schemas.openxmlformats.org/officeDocument/2006/relationships/hyperlink" Target="https://youtu.be/BzPxFP5PIp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HZnBxf4JU_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Qym3rnWucfc"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wrHqU3R3n8s" TargetMode="External"/><Relationship Id="rId2460" Type="http://schemas.openxmlformats.org/officeDocument/2006/relationships/hyperlink" Target="https://youtu.be/Bn7k3tpxw3w" TargetMode="External"/><Relationship Id="rId3790" Type="http://schemas.openxmlformats.org/officeDocument/2006/relationships/hyperlink" Target="https://youtu.be/y0NuMK8xHq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5-gF0Swsi3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DZ8BfAN4c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MSMADxISL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SlWniPyjlm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tBNhb-7Um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4rPxyleozv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JNGeEHSpy7M"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RqUNHa6gnV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v8KAMn60Am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38636950" TargetMode="External"/><Relationship Id="rId2450" Type="http://schemas.openxmlformats.org/officeDocument/2006/relationships/hyperlink" Target="https://youtu.be/poDJMF6bwDc" TargetMode="External"/><Relationship Id="rId3782" Type="http://schemas.openxmlformats.org/officeDocument/2006/relationships/hyperlink" Target="https://youtu.be/BZgjhNOo-g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0Oc-Q4O40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dOp5piQQYq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X-ta1hc2wp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YkHffV7svTc"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CfDEkDG5HF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i70vEjIigs" TargetMode="External"/><Relationship Id="rId3812" Type="http://schemas.openxmlformats.org/officeDocument/2006/relationships/hyperlink" Target="https://youtu.be/ulLGhaW70TY" TargetMode="External"/><Relationship Id="rId3811" Type="http://schemas.openxmlformats.org/officeDocument/2006/relationships/hyperlink" Target="https://www.youtube.com/watch?v=vhL6kN-JE8k" TargetMode="External"/><Relationship Id="rId3814" Type="http://schemas.openxmlformats.org/officeDocument/2006/relationships/hyperlink" Target="https://youtu.be/_JChUmIMzx8" TargetMode="External"/><Relationship Id="rId3813" Type="http://schemas.openxmlformats.org/officeDocument/2006/relationships/hyperlink" Target="https://www.youtube.com/watch?v=GQMa4hZZByE" TargetMode="External"/><Relationship Id="rId3816" Type="http://schemas.openxmlformats.org/officeDocument/2006/relationships/hyperlink" Target="https://youtu.be/5H6ttD7tFYo" TargetMode="External"/><Relationship Id="rId3815" Type="http://schemas.openxmlformats.org/officeDocument/2006/relationships/hyperlink" Target="https://www.youtube.com/watch?v=UkTxsy8QDIE" TargetMode="External"/><Relationship Id="rId3818" Type="http://schemas.openxmlformats.org/officeDocument/2006/relationships/hyperlink" Target="https://www.youtube.com/watch?v=n6t3ryt15_M&amp;feature=youtu.be" TargetMode="External"/><Relationship Id="rId3817" Type="http://schemas.openxmlformats.org/officeDocument/2006/relationships/hyperlink" Target="https://www.youtube.com/watch?v=lGYLythfgVM&amp;feature=youtu.be" TargetMode="External"/><Relationship Id="rId3819" Type="http://schemas.openxmlformats.org/officeDocument/2006/relationships/hyperlink" Target="https://www.youtube.com/watch?v=dbu2Wi9biHM&amp;feature=youtu.be" TargetMode="External"/><Relationship Id="rId3801" Type="http://schemas.openxmlformats.org/officeDocument/2006/relationships/hyperlink" Target="https://www.youtube.com/watch?v=r_HuXdZOnmI" TargetMode="External"/><Relationship Id="rId3800" Type="http://schemas.openxmlformats.org/officeDocument/2006/relationships/hyperlink" Target="https://www.youtube.com/watch?v=HDY6lt3F9Uo" TargetMode="External"/><Relationship Id="rId3803" Type="http://schemas.openxmlformats.org/officeDocument/2006/relationships/hyperlink" Target="https://www.youtube.com/watch?v=6EsFfnuEY4Q" TargetMode="External"/><Relationship Id="rId3802" Type="http://schemas.openxmlformats.org/officeDocument/2006/relationships/hyperlink" Target="https://youtu.be/LUwqtTI4T1k" TargetMode="External"/><Relationship Id="rId3805" Type="http://schemas.openxmlformats.org/officeDocument/2006/relationships/hyperlink" Target="https://youtu.be/o57m9Wl80TA" TargetMode="External"/><Relationship Id="rId3804" Type="http://schemas.openxmlformats.org/officeDocument/2006/relationships/hyperlink" Target="https://www.youtube.com/watch?v=ztk8dAiWwug" TargetMode="External"/><Relationship Id="rId3807" Type="http://schemas.openxmlformats.org/officeDocument/2006/relationships/hyperlink" Target="https://youtu.be/hNY2YLYWw0A" TargetMode="External"/><Relationship Id="rId3806" Type="http://schemas.openxmlformats.org/officeDocument/2006/relationships/hyperlink" Target="https://youtu.be/sY5sBSU2oXc" TargetMode="External"/><Relationship Id="rId3809" Type="http://schemas.openxmlformats.org/officeDocument/2006/relationships/hyperlink" Target="https://www.youtube.com/watch?v=SIiCoZ2Xvrk" TargetMode="External"/><Relationship Id="rId3808" Type="http://schemas.openxmlformats.org/officeDocument/2006/relationships/hyperlink" Target="https://youtu.be/U6dEEcEm8Kg"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youtu.be/bGDn8Xgn3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92447112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youtu.be/_m4RGK97kEg"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6Nt3IRc9yTw"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VdsKTXs-UTY"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L4jVt_16yU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O5-I1f_Syo" TargetMode="External"/><Relationship Id="rId2560" Type="http://schemas.openxmlformats.org/officeDocument/2006/relationships/hyperlink" Target="https://youtu.be/J1J56aATSTk" TargetMode="External"/><Relationship Id="rId3892" Type="http://schemas.openxmlformats.org/officeDocument/2006/relationships/hyperlink" Target="https://twitter.com/zelpikukirby/status/1295234878305271808"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youtu.be/1HDBaMUS5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clips.twitch.tv/FantasticHumbleNuggetsAMPTropPunch-8vOucFusTrXlS3mn"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youtu.be/7fwDH3Vvugs"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SrUwkGFzCEE"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MqUb5dUiZM"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xWCGegw2YqQ"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PCcI6CIPGqk"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qIeCiYynvd4" TargetMode="External"/><Relationship Id="rId3880" Type="http://schemas.openxmlformats.org/officeDocument/2006/relationships/hyperlink" Target="https://youtu.be/m3di6ACAgl4"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youtu.be/7o-futAzycw"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hOM8hYJojHg"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youtu.be/1hiTwu9EL3A" TargetMode="External"/><Relationship Id="rId3836" Type="http://schemas.openxmlformats.org/officeDocument/2006/relationships/hyperlink" Target="https://youtu.be/PbuzEBssXKI"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xJuhZoiiATI" TargetMode="External"/><Relationship Id="rId2507" Type="http://schemas.openxmlformats.org/officeDocument/2006/relationships/hyperlink" Target="https://youtu.be/yXmPcOAAQU8"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otectiveSpookyDogCharlietheUnicorn-JXqs21stCUVSayku" TargetMode="External"/><Relationship Id="rId3830" Type="http://schemas.openxmlformats.org/officeDocument/2006/relationships/hyperlink" Target="https://www.twitch.tv/pksmg2_/clip/DoubtfulAmusedKleeSeemsGood-aazgfPoXoD59ojT1" TargetMode="External"/><Relationship Id="rId3821" Type="http://schemas.openxmlformats.org/officeDocument/2006/relationships/hyperlink" Target="https://streamable.com/ece2zm" TargetMode="External"/><Relationship Id="rId3820" Type="http://schemas.openxmlformats.org/officeDocument/2006/relationships/hyperlink" Target="https://www.youtube.com/watch?v=4lOtCb_AozM&amp;feature=youtu.be" TargetMode="External"/><Relationship Id="rId3823" Type="http://schemas.openxmlformats.org/officeDocument/2006/relationships/hyperlink" Target="https://www.youtube.com/watch?v=Z4wlm-YC5rk&amp;ab_channel=Trobbin" TargetMode="External"/><Relationship Id="rId3822" Type="http://schemas.openxmlformats.org/officeDocument/2006/relationships/hyperlink" Target="https://streamable.com/fsx42y" TargetMode="External"/><Relationship Id="rId3825" Type="http://schemas.openxmlformats.org/officeDocument/2006/relationships/hyperlink" Target="https://clips.twitch.tv/HelpfulRenownedMangoSoBayed-Zs9YC8cIaAL4tKOa" TargetMode="External"/><Relationship Id="rId3824" Type="http://schemas.openxmlformats.org/officeDocument/2006/relationships/hyperlink" Target="https://www.youtube.com/watch?v=u5aVDsE4yZs&amp;ab_channel=Trobbin" TargetMode="External"/><Relationship Id="rId3827" Type="http://schemas.openxmlformats.org/officeDocument/2006/relationships/hyperlink" Target="https://www.youtube.com/watch?v=dOCaFHQS77I&amp;ab_channel=Trobbin" TargetMode="External"/><Relationship Id="rId3826" Type="http://schemas.openxmlformats.org/officeDocument/2006/relationships/hyperlink" Target="https://www.youtube.com/watch?v=l-imREf_VJU&amp;list=PLH8CCpX902G8-DFOg7YgVOyqIefxKmrqU&amp;index=2&amp;ab_channel=Trobbin" TargetMode="External"/><Relationship Id="rId3829" Type="http://schemas.openxmlformats.org/officeDocument/2006/relationships/hyperlink" Target="https://www.youtube.com/watch?v=g9Q1066yuWk&amp;list=PLH8CCpX902G8-DFOg7YgVOyqIefxKmrqU&amp;index=12&amp;ab_channel=Trobbin" TargetMode="External"/><Relationship Id="rId3828" Type="http://schemas.openxmlformats.org/officeDocument/2006/relationships/hyperlink" Target="https://www.youtube.com/watch?v=bymG0fP87Kc&amp;list=PLH8CCpX902G8-DFOg7YgVOyqIefxKmrqU&amp;index=5&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27CxZIOvcHM"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youtu.be/StdVPvFpuLM" TargetMode="External"/><Relationship Id="rId3856" Type="http://schemas.openxmlformats.org/officeDocument/2006/relationships/hyperlink" Target="https://youtu.be/q-NdD4rXL5M" TargetMode="External"/><Relationship Id="rId2525" Type="http://schemas.openxmlformats.org/officeDocument/2006/relationships/hyperlink" Target="https://youtu.be/GiiCAj_mvOA"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FYglbuzFuu4" TargetMode="External"/><Relationship Id="rId2520" Type="http://schemas.openxmlformats.org/officeDocument/2006/relationships/hyperlink" Target="https://youtu.be/gA3Sy_9pfM0" TargetMode="External"/><Relationship Id="rId3852" Type="http://schemas.openxmlformats.org/officeDocument/2006/relationships/hyperlink" Target="https://youtu.be/RYYp3oKODso" TargetMode="External"/><Relationship Id="rId2521" Type="http://schemas.openxmlformats.org/officeDocument/2006/relationships/hyperlink" Target="https://youtu.be/eHK33N7Slqo" TargetMode="External"/><Relationship Id="rId3851" Type="http://schemas.openxmlformats.org/officeDocument/2006/relationships/hyperlink" Target="https://youtu.be/V5dg32r_sOg" TargetMode="External"/><Relationship Id="rId2511" Type="http://schemas.openxmlformats.org/officeDocument/2006/relationships/hyperlink" Target="https://youtu.be/WbZfdJB_tYQ" TargetMode="External"/><Relationship Id="rId3843" Type="http://schemas.openxmlformats.org/officeDocument/2006/relationships/hyperlink" Target="https://youtu.be/kySJxVHeP0U" TargetMode="External"/><Relationship Id="rId2512" Type="http://schemas.openxmlformats.org/officeDocument/2006/relationships/hyperlink" Target="https://youtu.be/T_knGg5IcRY" TargetMode="External"/><Relationship Id="rId3842" Type="http://schemas.openxmlformats.org/officeDocument/2006/relationships/hyperlink" Target="https://youtu.be/314rWkYHf6A" TargetMode="External"/><Relationship Id="rId2513" Type="http://schemas.openxmlformats.org/officeDocument/2006/relationships/hyperlink" Target="https://youtu.be/wXNk5xmg6kg" TargetMode="External"/><Relationship Id="rId3845" Type="http://schemas.openxmlformats.org/officeDocument/2006/relationships/hyperlink" Target="https://youtu.be/3TQw0AW_aJU" TargetMode="External"/><Relationship Id="rId2514" Type="http://schemas.openxmlformats.org/officeDocument/2006/relationships/hyperlink" Target="https://youtu.be/pHhJIhtpLLk" TargetMode="External"/><Relationship Id="rId3844" Type="http://schemas.openxmlformats.org/officeDocument/2006/relationships/hyperlink" Target="https://youtu.be/1xe-zs2KVf0" TargetMode="External"/><Relationship Id="rId2515" Type="http://schemas.openxmlformats.org/officeDocument/2006/relationships/hyperlink" Target="https://youtu.be/F8xItJ0i2OQ" TargetMode="External"/><Relationship Id="rId3847" Type="http://schemas.openxmlformats.org/officeDocument/2006/relationships/hyperlink" Target="https://youtu.be/vRD_ott4DpA" TargetMode="External"/><Relationship Id="rId2516" Type="http://schemas.openxmlformats.org/officeDocument/2006/relationships/hyperlink" Target="https://youtu.be/CkaxWZ7Wezw" TargetMode="External"/><Relationship Id="rId3846" Type="http://schemas.openxmlformats.org/officeDocument/2006/relationships/hyperlink" Target="https://youtu.be/A8KjkBjUfOk" TargetMode="External"/><Relationship Id="rId2517" Type="http://schemas.openxmlformats.org/officeDocument/2006/relationships/hyperlink" Target="https://youtu.be/ZpdtVeVUsHI" TargetMode="External"/><Relationship Id="rId3849" Type="http://schemas.openxmlformats.org/officeDocument/2006/relationships/hyperlink" Target="https://youtu.be/bIGrU1syHDY" TargetMode="External"/><Relationship Id="rId2518" Type="http://schemas.openxmlformats.org/officeDocument/2006/relationships/hyperlink" Target="https://youtu.be/-Ohqisa88zk" TargetMode="External"/><Relationship Id="rId3848" Type="http://schemas.openxmlformats.org/officeDocument/2006/relationships/hyperlink" Target="https://youtu.be/MRWKcNQGTvM"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www.twitch.tv/videos/1555345196" TargetMode="External"/><Relationship Id="rId3840" Type="http://schemas.openxmlformats.org/officeDocument/2006/relationships/hyperlink" Target="https://clips.twitch.tv/PricklyHelpfulOrangeRlyTho-klp6JQH6Wt_q38gr"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bLwqganoodE" TargetMode="External"/><Relationship Id="rId3902" Type="http://schemas.openxmlformats.org/officeDocument/2006/relationships/hyperlink" Target="https://www.twitch.tv/videos/1841251739" TargetMode="External"/><Relationship Id="rId3901" Type="http://schemas.openxmlformats.org/officeDocument/2006/relationships/hyperlink" Target="https://www.youtube.com/watch?v=OEN9ux8xfE4" TargetMode="External"/><Relationship Id="rId3904" Type="http://schemas.openxmlformats.org/officeDocument/2006/relationships/hyperlink" Target="https://www.youtube.com/watch?v=DxeBCVnAtNQ" TargetMode="External"/><Relationship Id="rId3903" Type="http://schemas.openxmlformats.org/officeDocument/2006/relationships/hyperlink" Target="https://www.youtube.com/watch?v=zuhk9lBcLvg" TargetMode="External"/><Relationship Id="rId3906" Type="http://schemas.openxmlformats.org/officeDocument/2006/relationships/hyperlink" Target="https://www.youtube.com/watch?v=caU8VP9BHrg" TargetMode="External"/><Relationship Id="rId3905" Type="http://schemas.openxmlformats.org/officeDocument/2006/relationships/hyperlink" Target="https://www.youtube.com/watch?v=laCHqyWs984" TargetMode="External"/><Relationship Id="rId3908" Type="http://schemas.openxmlformats.org/officeDocument/2006/relationships/hyperlink" Target="https://youtu.be/caU8VP9BHrg?t=34" TargetMode="External"/><Relationship Id="rId3907" Type="http://schemas.openxmlformats.org/officeDocument/2006/relationships/hyperlink" Target="https://youtu.be/caU8VP9BHrg?t=18" TargetMode="External"/><Relationship Id="rId3909" Type="http://schemas.openxmlformats.org/officeDocument/2006/relationships/hyperlink" Target="https://www.youtube.com/watch?v=gRryQt-bhA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ODIkTLwT8Jk" TargetMode="External"/><Relationship Id="rId2786" Type="http://schemas.openxmlformats.org/officeDocument/2006/relationships/hyperlink" Target="https://www.twitch.tv/videos/1175701247?t=00h00m15s" TargetMode="External"/><Relationship Id="rId1456" Type="http://schemas.openxmlformats.org/officeDocument/2006/relationships/hyperlink" Target="https://youtu.be/CixX2Xv4Qqw" TargetMode="External"/><Relationship Id="rId2787" Type="http://schemas.openxmlformats.org/officeDocument/2006/relationships/hyperlink" Target="https://www.twitch.tv/videos/1113067619" TargetMode="External"/><Relationship Id="rId1457" Type="http://schemas.openxmlformats.org/officeDocument/2006/relationships/hyperlink" Target="https://youtu.be/uphO1VmVpOw" TargetMode="External"/><Relationship Id="rId2788" Type="http://schemas.openxmlformats.org/officeDocument/2006/relationships/hyperlink" Target="https://www.twitch.tv/videos/1175701249" TargetMode="External"/><Relationship Id="rId1458" Type="http://schemas.openxmlformats.org/officeDocument/2006/relationships/hyperlink" Target="https://youtu.be/VKKPc5cQ5aU" TargetMode="External"/><Relationship Id="rId2789" Type="http://schemas.openxmlformats.org/officeDocument/2006/relationships/hyperlink" Target="https://twitter.com/Reborn_Frog/status/1620738511191306241"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LUCAOmDMOM" TargetMode="External"/><Relationship Id="rId1450" Type="http://schemas.openxmlformats.org/officeDocument/2006/relationships/hyperlink" Target="https://youtu.be/FhvAtgMe0NA" TargetMode="External"/><Relationship Id="rId2781" Type="http://schemas.openxmlformats.org/officeDocument/2006/relationships/hyperlink" Target="https://youtu.be/Q9zO6Ey-tu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CA9si0gN3zQ" TargetMode="External"/><Relationship Id="rId1452" Type="http://schemas.openxmlformats.org/officeDocument/2006/relationships/hyperlink" Target="https://youtu.be/m45SeeT15mk" TargetMode="External"/><Relationship Id="rId2783" Type="http://schemas.openxmlformats.org/officeDocument/2006/relationships/hyperlink" Target="https://youtu.be/qCn2ckp3j1Q" TargetMode="External"/><Relationship Id="rId1453" Type="http://schemas.openxmlformats.org/officeDocument/2006/relationships/hyperlink" Target="https://youtu.be/t9YQYIfgXoE" TargetMode="External"/><Relationship Id="rId2784" Type="http://schemas.openxmlformats.org/officeDocument/2006/relationships/hyperlink" Target="https://youtu.be/mnPxRyeakV0" TargetMode="External"/><Relationship Id="rId1454" Type="http://schemas.openxmlformats.org/officeDocument/2006/relationships/hyperlink" Target="https://youtu.be/qOGRg7jwEbU" TargetMode="External"/><Relationship Id="rId2785" Type="http://schemas.openxmlformats.org/officeDocument/2006/relationships/hyperlink" Target="https://youtu.be/tpGBiGHZxK0" TargetMode="External"/><Relationship Id="rId1444" Type="http://schemas.openxmlformats.org/officeDocument/2006/relationships/hyperlink" Target="https://youtu.be/N5ZBogC9UIs" TargetMode="External"/><Relationship Id="rId2775" Type="http://schemas.openxmlformats.org/officeDocument/2006/relationships/hyperlink" Target="https://youtu.be/uY90PjWR_MQ" TargetMode="External"/><Relationship Id="rId1445" Type="http://schemas.openxmlformats.org/officeDocument/2006/relationships/hyperlink" Target="https://youtu.be/5jJnXigEYDQ" TargetMode="External"/><Relationship Id="rId2776" Type="http://schemas.openxmlformats.org/officeDocument/2006/relationships/hyperlink" Target="https://youtu.be/i_ce-GWye7U"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A9P2CMHF3Ys" TargetMode="External"/><Relationship Id="rId1447" Type="http://schemas.openxmlformats.org/officeDocument/2006/relationships/hyperlink" Target="https://youtu.be/LaMvBuhMiVE" TargetMode="External"/><Relationship Id="rId2778" Type="http://schemas.openxmlformats.org/officeDocument/2006/relationships/hyperlink" Target="https://youtu.be/JKPEUYks_1s" TargetMode="External"/><Relationship Id="rId1448" Type="http://schemas.openxmlformats.org/officeDocument/2006/relationships/hyperlink" Target="https://youtu.be/thAQ0QN9CCI" TargetMode="External"/><Relationship Id="rId2779" Type="http://schemas.openxmlformats.org/officeDocument/2006/relationships/hyperlink" Target="https://youtu.be/ohMgslKKLzg"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AgcwcZyCSfI" TargetMode="External"/><Relationship Id="rId1440" Type="http://schemas.openxmlformats.org/officeDocument/2006/relationships/hyperlink" Target="https://youtu.be/VRFL3plmdHA" TargetMode="External"/><Relationship Id="rId2771" Type="http://schemas.openxmlformats.org/officeDocument/2006/relationships/hyperlink" Target="https://youtu.be/GdLrIFLMKmE" TargetMode="External"/><Relationship Id="rId1441" Type="http://schemas.openxmlformats.org/officeDocument/2006/relationships/hyperlink" Target="https://youtu.be/J3cnoF2WOOM" TargetMode="External"/><Relationship Id="rId2772" Type="http://schemas.openxmlformats.org/officeDocument/2006/relationships/hyperlink" Target="https://youtu.be/mzqUfdUISr8" TargetMode="External"/><Relationship Id="rId1442" Type="http://schemas.openxmlformats.org/officeDocument/2006/relationships/hyperlink" Target="https://youtu.be/r63vix6omi8" TargetMode="External"/><Relationship Id="rId2773" Type="http://schemas.openxmlformats.org/officeDocument/2006/relationships/hyperlink" Target="https://youtu.be/P2Ljvh9ZW7o" TargetMode="External"/><Relationship Id="rId1443" Type="http://schemas.openxmlformats.org/officeDocument/2006/relationships/hyperlink" Target="https://youtu.be/hgxqNrMqpxU" TargetMode="External"/><Relationship Id="rId2774" Type="http://schemas.openxmlformats.org/officeDocument/2006/relationships/hyperlink" Target="https://youtu.be/k6JbP64JkNs"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twitter.com/Reborn_Frog/status/1423669018343264258" TargetMode="External"/><Relationship Id="rId1467" Type="http://schemas.openxmlformats.org/officeDocument/2006/relationships/hyperlink" Target="https://youtu.be/t7D3CoBhB2Q" TargetMode="External"/><Relationship Id="rId2798" Type="http://schemas.openxmlformats.org/officeDocument/2006/relationships/hyperlink" Target="https://twitter.com/Reborn_Frog/status/1447962818146226180" TargetMode="External"/><Relationship Id="rId1468" Type="http://schemas.openxmlformats.org/officeDocument/2006/relationships/hyperlink" Target="https://youtu.be/8uRf1H32Zmc" TargetMode="External"/><Relationship Id="rId2799" Type="http://schemas.openxmlformats.org/officeDocument/2006/relationships/hyperlink" Target="https://twitter.com/Reborn_Frog/status/1400021630357688324"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551595028581355521" TargetMode="External"/><Relationship Id="rId1460" Type="http://schemas.openxmlformats.org/officeDocument/2006/relationships/hyperlink" Target="https://youtu.be/PU5uEqDv0vQ" TargetMode="External"/><Relationship Id="rId2791" Type="http://schemas.openxmlformats.org/officeDocument/2006/relationships/hyperlink" Target="https://www.twitch.tv/videos/1175701251" TargetMode="External"/><Relationship Id="rId1461" Type="http://schemas.openxmlformats.org/officeDocument/2006/relationships/hyperlink" Target="https://youtu.be/RMKSoa356Sg" TargetMode="External"/><Relationship Id="rId2792" Type="http://schemas.openxmlformats.org/officeDocument/2006/relationships/hyperlink" Target="https://www.twitch.tv/videos/103022026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www.twitch.tv/videos/117570124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www.twitch.tv/videos/1175701250" TargetMode="External"/><Relationship Id="rId1464" Type="http://schemas.openxmlformats.org/officeDocument/2006/relationships/hyperlink" Target="https://youtu.be/OouJvI7QFcE" TargetMode="External"/><Relationship Id="rId2795" Type="http://schemas.openxmlformats.org/officeDocument/2006/relationships/hyperlink" Target="https://www.twitch.tv/videos/1175701252" TargetMode="External"/><Relationship Id="rId1465" Type="http://schemas.openxmlformats.org/officeDocument/2006/relationships/hyperlink" Target="https://youtu.be/H1gHKKF0jUU" TargetMode="External"/><Relationship Id="rId2796" Type="http://schemas.openxmlformats.org/officeDocument/2006/relationships/hyperlink" Target="https://www.twitch.tv/videos/1175701252?t=00h00m21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WC4fgstw2I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6RkdOC38It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00oaSFgRa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sfFBuyhVz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_ca5My7vuk"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wjtk5aQl9rA"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SCeONtih5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OVLOMgv4lHM"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jksR7FORT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NOWSgC9zUa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4vsh8nXUJ4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YO-FLXpQqj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mIQE_b9u3T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RUgqny8h0s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YB5wKtwqOy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ZxwjwidcM2s" TargetMode="External"/><Relationship Id="rId1433" Type="http://schemas.openxmlformats.org/officeDocument/2006/relationships/hyperlink" Target="https://youtu.be/-Wn_nlaNiMQ" TargetMode="External"/><Relationship Id="rId2764" Type="http://schemas.openxmlformats.org/officeDocument/2006/relationships/hyperlink" Target="https://youtu.be/zwZeHlmEP2M" TargetMode="External"/><Relationship Id="rId1434" Type="http://schemas.openxmlformats.org/officeDocument/2006/relationships/hyperlink" Target="https://youtu.be/AA8mL8WCmkg" TargetMode="External"/><Relationship Id="rId2765" Type="http://schemas.openxmlformats.org/officeDocument/2006/relationships/hyperlink" Target="https://youtu.be/iuuLyEqTcAk"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987229986" TargetMode="External"/><Relationship Id="rId1436" Type="http://schemas.openxmlformats.org/officeDocument/2006/relationships/hyperlink" Target="https://youtu.be/tUhvMNmgg1k" TargetMode="External"/><Relationship Id="rId2767" Type="http://schemas.openxmlformats.org/officeDocument/2006/relationships/hyperlink" Target="https://youtu.be/poD_AfiGwrg" TargetMode="External"/><Relationship Id="rId1437" Type="http://schemas.openxmlformats.org/officeDocument/2006/relationships/hyperlink" Target="https://youtu.be/6B5W4qJZUQE" TargetMode="External"/><Relationship Id="rId2768" Type="http://schemas.openxmlformats.org/officeDocument/2006/relationships/hyperlink" Target="https://youtu.be/vOlk7kpc5u4" TargetMode="External"/><Relationship Id="rId1438" Type="http://schemas.openxmlformats.org/officeDocument/2006/relationships/hyperlink" Target="https://youtu.be/NdkNidR6JuA" TargetMode="External"/><Relationship Id="rId2769" Type="http://schemas.openxmlformats.org/officeDocument/2006/relationships/hyperlink" Target="https://youtu.be/VTU8txxlfCw"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8NGezkLAlk" TargetMode="External"/><Relationship Id="rId1430" Type="http://schemas.openxmlformats.org/officeDocument/2006/relationships/hyperlink" Target="https://youtu.be/2BymxhYd6-Y" TargetMode="External"/><Relationship Id="rId2761" Type="http://schemas.openxmlformats.org/officeDocument/2006/relationships/hyperlink" Target="https://youtu.be/a4ItpBSNA8Q" TargetMode="External"/><Relationship Id="rId1431" Type="http://schemas.openxmlformats.org/officeDocument/2006/relationships/hyperlink" Target="https://youtu.be/tPMViYriHd0" TargetMode="External"/><Relationship Id="rId2762" Type="http://schemas.openxmlformats.org/officeDocument/2006/relationships/hyperlink" Target="https://youtu.be/BwT0G0Js7bA" TargetMode="External"/><Relationship Id="rId1432" Type="http://schemas.openxmlformats.org/officeDocument/2006/relationships/hyperlink" Target="https://youtu.be/CBKn7DXTJGo" TargetMode="External"/><Relationship Id="rId2763" Type="http://schemas.openxmlformats.org/officeDocument/2006/relationships/hyperlink" Target="https://youtu.be/pawyESzE27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iw2QWgqAfaA"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ttyXEh8FKOQ"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6Ds4733b-o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IpqsOaHaN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LW_CzIdUod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e_xaTqVbvjk"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xxu8PlNJM6k" TargetMode="External"/><Relationship Id="rId1429" Type="http://schemas.openxmlformats.org/officeDocument/2006/relationships/hyperlink" Target="https://youtu.be/7uT0yfrrF-Q" TargetMode="External"/><Relationship Id="rId2750" Type="http://schemas.openxmlformats.org/officeDocument/2006/relationships/hyperlink" Target="https://youtu.be/gCtUuDALAN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vCWp4nv7kP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XCuw2OQP0gA"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twitter.com/Samura1man/status/1271734162496516096" TargetMode="External"/><Relationship Id="rId3250" Type="http://schemas.openxmlformats.org/officeDocument/2006/relationships/hyperlink" Target="https://youtu.be/MC2obL5aGuQ?si=Rowa582txwclwq-z" TargetMode="External"/><Relationship Id="rId3252" Type="http://schemas.openxmlformats.org/officeDocument/2006/relationships/hyperlink" Target="https://youtu.be/5Fb7NyRAVR4?si=TMfJuFsN97uy6mIt" TargetMode="External"/><Relationship Id="rId3251" Type="http://schemas.openxmlformats.org/officeDocument/2006/relationships/hyperlink" Target="https://youtu.be/wolelJpkmB4?si=VHWrIadIVhze9Yi4" TargetMode="External"/><Relationship Id="rId3254" Type="http://schemas.openxmlformats.org/officeDocument/2006/relationships/hyperlink" Target="https://youtu.be/ts2SmqPB6to?si=wcYtebU5-TxduPMX" TargetMode="External"/><Relationship Id="rId3253" Type="http://schemas.openxmlformats.org/officeDocument/2006/relationships/hyperlink" Target="https://youtu.be/H8UeSAC-sWk?si=LeXWMKHsBazFl6Da" TargetMode="External"/><Relationship Id="rId3256" Type="http://schemas.openxmlformats.org/officeDocument/2006/relationships/hyperlink" Target="https://youtu.be/5tNT76py6Wk?si=vJsCPy3IBliXh8Qk" TargetMode="External"/><Relationship Id="rId3255" Type="http://schemas.openxmlformats.org/officeDocument/2006/relationships/hyperlink" Target="https://youtu.be/bDy0q2TBExw?si=2XNdJyAk5tBiwhrn" TargetMode="External"/><Relationship Id="rId3258" Type="http://schemas.openxmlformats.org/officeDocument/2006/relationships/hyperlink" Target="https://www.youtube.com/watch?v=DIcjtHJf4AI" TargetMode="External"/><Relationship Id="rId3257" Type="http://schemas.openxmlformats.org/officeDocument/2006/relationships/hyperlink" Target="https://youtu.be/h3n62MI-loE?si=rePsiAvUque-RRxZ"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gzOBWrCUX4g" TargetMode="External"/><Relationship Id="rId3272" Type="http://schemas.openxmlformats.org/officeDocument/2006/relationships/hyperlink" Target="https://youtu.be/QWmK3VCxdP8" TargetMode="External"/><Relationship Id="rId3271" Type="http://schemas.openxmlformats.org/officeDocument/2006/relationships/hyperlink" Target="https://youtu.be/uQb2vYe8YII" TargetMode="External"/><Relationship Id="rId143" Type="http://schemas.openxmlformats.org/officeDocument/2006/relationships/hyperlink" Target="https://youtu.be/G7ZKRSLm7Ss" TargetMode="External"/><Relationship Id="rId3274" Type="http://schemas.openxmlformats.org/officeDocument/2006/relationships/hyperlink" Target="https://youtu.be/UDQz7kCJvR8" TargetMode="External"/><Relationship Id="rId142" Type="http://schemas.openxmlformats.org/officeDocument/2006/relationships/hyperlink" Target="https://youtu.be/sr8-35s3szM" TargetMode="External"/><Relationship Id="rId3273" Type="http://schemas.openxmlformats.org/officeDocument/2006/relationships/hyperlink" Target="https://youtu.be/mYzJU-sWJSo" TargetMode="External"/><Relationship Id="rId141" Type="http://schemas.openxmlformats.org/officeDocument/2006/relationships/hyperlink" Target="https://youtu.be/hrx6t6PsRec" TargetMode="External"/><Relationship Id="rId3276" Type="http://schemas.openxmlformats.org/officeDocument/2006/relationships/hyperlink" Target="https://youtu.be/9CE1fcOgskc" TargetMode="External"/><Relationship Id="rId140" Type="http://schemas.openxmlformats.org/officeDocument/2006/relationships/hyperlink" Target="https://youtu.be/KrettlTfhBY" TargetMode="External"/><Relationship Id="rId3275" Type="http://schemas.openxmlformats.org/officeDocument/2006/relationships/hyperlink" Target="https://youtu.be/UeQdaOSfhqQ" TargetMode="External"/><Relationship Id="rId147" Type="http://schemas.openxmlformats.org/officeDocument/2006/relationships/hyperlink" Target="https://youtu.be/_vR3jZU-bbA" TargetMode="External"/><Relationship Id="rId3278" Type="http://schemas.openxmlformats.org/officeDocument/2006/relationships/hyperlink" Target="https://youtu.be/miExYfqR64E" TargetMode="External"/><Relationship Id="rId146" Type="http://schemas.openxmlformats.org/officeDocument/2006/relationships/hyperlink" Target="https://youtu.be/y8VrWQkqapM" TargetMode="External"/><Relationship Id="rId3277" Type="http://schemas.openxmlformats.org/officeDocument/2006/relationships/hyperlink" Target="https://youtu.be/bEtJQK0rkx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q9jDB675A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KTeySuLwAI" TargetMode="External"/><Relationship Id="rId3260" Type="http://schemas.openxmlformats.org/officeDocument/2006/relationships/hyperlink" Target="https://www.youtube.com/watch?v=kPNwdDX3Bps" TargetMode="External"/><Relationship Id="rId132" Type="http://schemas.openxmlformats.org/officeDocument/2006/relationships/hyperlink" Target="https://youtu.be/MRr3K9-CgXA" TargetMode="External"/><Relationship Id="rId3263" Type="http://schemas.openxmlformats.org/officeDocument/2006/relationships/hyperlink" Target="https://youtu.be/ZmY_5WSb6yM" TargetMode="External"/><Relationship Id="rId131" Type="http://schemas.openxmlformats.org/officeDocument/2006/relationships/hyperlink" Target="https://youtu.be/axRUDJiOFdc" TargetMode="External"/><Relationship Id="rId3262" Type="http://schemas.openxmlformats.org/officeDocument/2006/relationships/hyperlink" Target="https://youtu.be/czwc5nX4nvk" TargetMode="External"/><Relationship Id="rId130" Type="http://schemas.openxmlformats.org/officeDocument/2006/relationships/hyperlink" Target="https://youtu.be/ZrUDpq5YIYk" TargetMode="External"/><Relationship Id="rId3265" Type="http://schemas.openxmlformats.org/officeDocument/2006/relationships/hyperlink" Target="https://youtu.be/prEpqvZQgLQ" TargetMode="External"/><Relationship Id="rId3264" Type="http://schemas.openxmlformats.org/officeDocument/2006/relationships/hyperlink" Target="https://youtu.be/5VwqykDW0oQ" TargetMode="External"/><Relationship Id="rId136" Type="http://schemas.openxmlformats.org/officeDocument/2006/relationships/hyperlink" Target="https://youtu.be/WdUb5ytzcy0" TargetMode="External"/><Relationship Id="rId3267" Type="http://schemas.openxmlformats.org/officeDocument/2006/relationships/hyperlink" Target="https://youtu.be/_DhWYRq0LwA" TargetMode="External"/><Relationship Id="rId135" Type="http://schemas.openxmlformats.org/officeDocument/2006/relationships/hyperlink" Target="https://youtu.be/-TFh1R9JRZU" TargetMode="External"/><Relationship Id="rId3266" Type="http://schemas.openxmlformats.org/officeDocument/2006/relationships/hyperlink" Target="https://youtu.be/mF124RG60nQ" TargetMode="External"/><Relationship Id="rId134" Type="http://schemas.openxmlformats.org/officeDocument/2006/relationships/hyperlink" Target="https://youtu.be/CG5OJeNOPn0" TargetMode="External"/><Relationship Id="rId3269" Type="http://schemas.openxmlformats.org/officeDocument/2006/relationships/hyperlink" Target="https://youtu.be/9oaIhANWDzo"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ftePd1cjf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IzlArMTv18" TargetMode="External"/><Relationship Id="rId3292" Type="http://schemas.openxmlformats.org/officeDocument/2006/relationships/hyperlink" Target="https://youtu.be/iMMzhLJFgX4" TargetMode="External"/><Relationship Id="rId3291" Type="http://schemas.openxmlformats.org/officeDocument/2006/relationships/hyperlink" Target="https://youtu.be/THguJsZpdGg" TargetMode="External"/><Relationship Id="rId3294" Type="http://schemas.openxmlformats.org/officeDocument/2006/relationships/hyperlink" Target="https://youtu.be/QaWlWaT7l7k" TargetMode="External"/><Relationship Id="rId3293" Type="http://schemas.openxmlformats.org/officeDocument/2006/relationships/hyperlink" Target="https://youtu.be/2Yd9N52a0y4" TargetMode="External"/><Relationship Id="rId165" Type="http://schemas.openxmlformats.org/officeDocument/2006/relationships/hyperlink" Target="https://youtu.be/ue0zvmBHqAg" TargetMode="External"/><Relationship Id="rId3296" Type="http://schemas.openxmlformats.org/officeDocument/2006/relationships/hyperlink" Target="https://youtu.be/7OAvWxNTvOI" TargetMode="External"/><Relationship Id="rId164" Type="http://schemas.openxmlformats.org/officeDocument/2006/relationships/hyperlink" Target="https://youtu.be/CbOKw_Wf8YY" TargetMode="External"/><Relationship Id="rId3295" Type="http://schemas.openxmlformats.org/officeDocument/2006/relationships/hyperlink" Target="https://youtu.be/IBrNUCftk2g" TargetMode="External"/><Relationship Id="rId163" Type="http://schemas.openxmlformats.org/officeDocument/2006/relationships/hyperlink" Target="https://youtu.be/FgS3d3bfVOQ" TargetMode="External"/><Relationship Id="rId3298" Type="http://schemas.openxmlformats.org/officeDocument/2006/relationships/hyperlink" Target="https://youtu.be/qz7q29iw0_A" TargetMode="External"/><Relationship Id="rId162" Type="http://schemas.openxmlformats.org/officeDocument/2006/relationships/hyperlink" Target="https://youtu.be/IONmc9QAwO4" TargetMode="External"/><Relationship Id="rId3297" Type="http://schemas.openxmlformats.org/officeDocument/2006/relationships/hyperlink" Target="https://youtu.be/2p8Y3AU75v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pqQOIm_K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VyD7rZ_lQY" TargetMode="External"/><Relationship Id="rId3280" Type="http://schemas.openxmlformats.org/officeDocument/2006/relationships/hyperlink" Target="https://youtu.be/9BdlAgvdzrY" TargetMode="External"/><Relationship Id="rId3283" Type="http://schemas.openxmlformats.org/officeDocument/2006/relationships/hyperlink" Target="https://youtu.be/TrxUurtXieo" TargetMode="External"/><Relationship Id="rId3282" Type="http://schemas.openxmlformats.org/officeDocument/2006/relationships/hyperlink" Target="https://youtu.be/fYoR2wp4hxQ" TargetMode="External"/><Relationship Id="rId154" Type="http://schemas.openxmlformats.org/officeDocument/2006/relationships/hyperlink" Target="https://youtu.be/5-9l1rH9mEw" TargetMode="External"/><Relationship Id="rId3285" Type="http://schemas.openxmlformats.org/officeDocument/2006/relationships/hyperlink" Target="https://youtu.be/XIuPXMHoVU0" TargetMode="External"/><Relationship Id="rId153" Type="http://schemas.openxmlformats.org/officeDocument/2006/relationships/hyperlink" Target="https://youtu.be/31FQiJUFINE" TargetMode="External"/><Relationship Id="rId3284" Type="http://schemas.openxmlformats.org/officeDocument/2006/relationships/hyperlink" Target="https://youtu.be/fvXb3xHb3Os" TargetMode="External"/><Relationship Id="rId152" Type="http://schemas.openxmlformats.org/officeDocument/2006/relationships/hyperlink" Target="https://youtu.be/UR7ZMBOYxIA" TargetMode="External"/><Relationship Id="rId3287" Type="http://schemas.openxmlformats.org/officeDocument/2006/relationships/hyperlink" Target="https://youtu.be/QCZ15YXP7O0" TargetMode="External"/><Relationship Id="rId151" Type="http://schemas.openxmlformats.org/officeDocument/2006/relationships/hyperlink" Target="https://youtu.be/IcMp1u1HA7U" TargetMode="External"/><Relationship Id="rId3286" Type="http://schemas.openxmlformats.org/officeDocument/2006/relationships/hyperlink" Target="https://youtu.be/2t3V_BAcyNg" TargetMode="External"/><Relationship Id="rId158" Type="http://schemas.openxmlformats.org/officeDocument/2006/relationships/hyperlink" Target="https://youtu.be/UNibrH7ZgHQ" TargetMode="External"/><Relationship Id="rId3289" Type="http://schemas.openxmlformats.org/officeDocument/2006/relationships/hyperlink" Target="https://youtu.be/gYAsKhAbCIw" TargetMode="External"/><Relationship Id="rId157" Type="http://schemas.openxmlformats.org/officeDocument/2006/relationships/hyperlink" Target="https://youtu.be/0KK1hD5i0r8" TargetMode="External"/><Relationship Id="rId3288" Type="http://schemas.openxmlformats.org/officeDocument/2006/relationships/hyperlink" Target="https://youtu.be/Sc_oJ7DMHO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48256394625384451?s=20" TargetMode="External"/><Relationship Id="rId2821" Type="http://schemas.openxmlformats.org/officeDocument/2006/relationships/hyperlink" Target="https://twitter.com/otqkesan_/status/1552342730357243904?s=20&amp;t=owHOkeaQ3QOpBMLEP9ivGw" TargetMode="External"/><Relationship Id="rId2822" Type="http://schemas.openxmlformats.org/officeDocument/2006/relationships/hyperlink" Target="https://www.youtube.com/watch?v=cfXyqpCCj-Y&amp;ab_channel=Corginess" TargetMode="External"/><Relationship Id="rId2823" Type="http://schemas.openxmlformats.org/officeDocument/2006/relationships/hyperlink" Target="https://www.youtube.com/watch?v=eyH8IIIp2Qw&amp;ab_channel=Corginess" TargetMode="External"/><Relationship Id="rId2824" Type="http://schemas.openxmlformats.org/officeDocument/2006/relationships/hyperlink" Target="https://www.youtube.com/watch?v=4LDUhkdA9Fo&amp;ab_channel=Corginess" TargetMode="External"/><Relationship Id="rId2825" Type="http://schemas.openxmlformats.org/officeDocument/2006/relationships/hyperlink" Target="https://www.youtube.com/watch?v=victlwna2Xk&amp;ab_channel=Corginess" TargetMode="External"/><Relationship Id="rId2826" Type="http://schemas.openxmlformats.org/officeDocument/2006/relationships/hyperlink" Target="https://www.youtube.com/watch?v=9nHyAz9xaVw&amp;ab_channel=Corginess" TargetMode="External"/><Relationship Id="rId2827" Type="http://schemas.openxmlformats.org/officeDocument/2006/relationships/hyperlink" Target="https://www.youtube.com/watch?v=sddMacPxLyU&amp;ab_channel=Corginess" TargetMode="External"/><Relationship Id="rId2828" Type="http://schemas.openxmlformats.org/officeDocument/2006/relationships/hyperlink" Target="https://www.youtube.com/watch?v=ysERuA3k8EA&amp;ab_channel=Corginess" TargetMode="External"/><Relationship Id="rId2829" Type="http://schemas.openxmlformats.org/officeDocument/2006/relationships/hyperlink" Target="https://www.youtube.com/watch?v=9CNteerIuco&amp;ab_channel=Corginess"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youtu.be/5pEbV8f4Eyg" TargetMode="External"/><Relationship Id="rId2816" Type="http://schemas.openxmlformats.org/officeDocument/2006/relationships/hyperlink" Target="https://twitter.com/otqkesan_/status/1509641709160136704?s=20&amp;t=DXf-pGT_AC639nNzoJmlrg" TargetMode="External"/><Relationship Id="rId2817" Type="http://schemas.openxmlformats.org/officeDocument/2006/relationships/hyperlink" Target="https://youtu.be/m8uNFFWGXs8" TargetMode="External"/><Relationship Id="rId2818" Type="http://schemas.openxmlformats.org/officeDocument/2006/relationships/hyperlink" Target="https://twitter.com/otqkesan_/status/1551150171639398400?s=20&amp;t=qLYbjo7WrfpUk3VFC4nJ5A" TargetMode="External"/><Relationship Id="rId2819" Type="http://schemas.openxmlformats.org/officeDocument/2006/relationships/hyperlink" Target="https://twitter.com/otqkesan_/status/1512355205823623170?s=20&amp;t=AXb5wxjeegJAML4SiMsGIA" TargetMode="External"/><Relationship Id="rId1510" Type="http://schemas.openxmlformats.org/officeDocument/2006/relationships/hyperlink" Target="https://youtu.be/Awt0kRubMRs" TargetMode="External"/><Relationship Id="rId2841" Type="http://schemas.openxmlformats.org/officeDocument/2006/relationships/hyperlink" Target="https://youtu.be/kSk4iIK6PoA" TargetMode="External"/><Relationship Id="rId1511" Type="http://schemas.openxmlformats.org/officeDocument/2006/relationships/hyperlink" Target="https://youtu.be/IVozaNgTvUE" TargetMode="External"/><Relationship Id="rId2842" Type="http://schemas.openxmlformats.org/officeDocument/2006/relationships/hyperlink" Target="https://youtu.be/Kzb3MHlmCGc" TargetMode="External"/><Relationship Id="rId1512" Type="http://schemas.openxmlformats.org/officeDocument/2006/relationships/hyperlink" Target="https://youtu.be/fpEEA8nWq0Q" TargetMode="External"/><Relationship Id="rId2843" Type="http://schemas.openxmlformats.org/officeDocument/2006/relationships/hyperlink" Target="https://youtu.be/2fVmzCJ9Y90" TargetMode="External"/><Relationship Id="rId1513" Type="http://schemas.openxmlformats.org/officeDocument/2006/relationships/hyperlink" Target="https://youtu.be/vRTP-4qZ-TE"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j28XGO4YMtY" TargetMode="External"/><Relationship Id="rId2846" Type="http://schemas.openxmlformats.org/officeDocument/2006/relationships/hyperlink" Target="https://youtu.be/u5kwser_j2g" TargetMode="External"/><Relationship Id="rId1516" Type="http://schemas.openxmlformats.org/officeDocument/2006/relationships/hyperlink" Target="https://youtu.be/X--ZqeRpwpk"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W8actl5B-TQ"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2dcoUbjAoT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ZD38xZvhuTY"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youtu.be/cTFRTeFZ_J8"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RUEB2vlTuT0"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youtu.be/KXv-tmNS8TM" TargetMode="External"/><Relationship Id="rId2836" Type="http://schemas.openxmlformats.org/officeDocument/2006/relationships/hyperlink" Target="https://youtu.be/uGdUZv-Dv0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6MFmMms0BAo" TargetMode="External"/><Relationship Id="rId1507" Type="http://schemas.openxmlformats.org/officeDocument/2006/relationships/hyperlink" Target="https://youtu.be/n9Pgok3_gLk"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Jcn9IeVHjQ0" TargetMode="External"/><Relationship Id="rId2839" Type="http://schemas.openxmlformats.org/officeDocument/2006/relationships/hyperlink" Target="https://youtu.be/Nox9kjgDI40" TargetMode="External"/><Relationship Id="rId1509" Type="http://schemas.openxmlformats.org/officeDocument/2006/relationships/hyperlink" Target="https://youtu.be/3DqzAPYrpF4" TargetMode="External"/><Relationship Id="rId2800" Type="http://schemas.openxmlformats.org/officeDocument/2006/relationships/hyperlink" Target="https://twitter.com/Reborn_Frog/status/1534569660230017025" TargetMode="External"/><Relationship Id="rId2801" Type="http://schemas.openxmlformats.org/officeDocument/2006/relationships/hyperlink" Target="https://twitter.com/Reborn_Frog/status/1682007028665819137"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twitter.com/otqkesan_/status/1508213958393864196?s=20&amp;t=fUoqnObXxhQMpD_DZ9ralg" TargetMode="External"/><Relationship Id="rId2808" Type="http://schemas.openxmlformats.org/officeDocument/2006/relationships/hyperlink" Target="https://twitter.com/otqkesan_/status/1460882274895892481?s=20" TargetMode="External"/><Relationship Id="rId2809" Type="http://schemas.openxmlformats.org/officeDocument/2006/relationships/hyperlink" Target="https://youtu.be/CBwzmfxQE4I"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youtu.be/rAJYFxf_aGk"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AISau0yWh7Q" TargetMode="External"/><Relationship Id="rId1521" Type="http://schemas.openxmlformats.org/officeDocument/2006/relationships/hyperlink" Target="https://youtu.be/0Dge4F9rCFw" TargetMode="External"/><Relationship Id="rId2852" Type="http://schemas.openxmlformats.org/officeDocument/2006/relationships/hyperlink" Target="https://youtu.be/uh6cTGdi7DA" TargetMode="External"/><Relationship Id="rId1522" Type="http://schemas.openxmlformats.org/officeDocument/2006/relationships/hyperlink" Target="https://youtu.be/UkJdOKDmTO4" TargetMode="External"/><Relationship Id="rId2853" Type="http://schemas.openxmlformats.org/officeDocument/2006/relationships/hyperlink" Target="https://youtu.be/Dv1TvIfiZts" TargetMode="External"/><Relationship Id="rId1523" Type="http://schemas.openxmlformats.org/officeDocument/2006/relationships/hyperlink" Target="https://youtu.be/zDa47CZ6kZE"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cglmrOESoXw"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XTQSEPesUK8"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bqnOhkvDyGg"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Db9MT50RlTw" TargetMode="External"/><Relationship Id="rId2858" Type="http://schemas.openxmlformats.org/officeDocument/2006/relationships/hyperlink" Target="https://youtu.be/iBxubJeUngI" TargetMode="External"/><Relationship Id="rId1528" Type="http://schemas.openxmlformats.org/officeDocument/2006/relationships/hyperlink" Target="https://youtu.be/1oDiXs88pCY"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hgJMiaPyN6M"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6izRodRG-J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4Albb8wVFO8"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_0djMnD5vs4"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nTi7p7Xt3P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08q6m_4FLI?t=17"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h08q6m_4FL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sdbX_IStQ"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qxetrmxdIs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M6NIiiOR1J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jXcdhjjYE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RBXgjzCnmA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1lSjQDmXPV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vGl0Io2el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E2vqCzhDB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eIr_vT2HyBU" TargetMode="External"/><Relationship Id="rId3340" Type="http://schemas.openxmlformats.org/officeDocument/2006/relationships/hyperlink" Target="https://www.youtube.com/watch?v=c1a0JbGeYQw" TargetMode="External"/><Relationship Id="rId2010" Type="http://schemas.openxmlformats.org/officeDocument/2006/relationships/hyperlink" Target="https://youtu.be/OyCQx3t6ZYE" TargetMode="External"/><Relationship Id="rId3342" Type="http://schemas.openxmlformats.org/officeDocument/2006/relationships/hyperlink" Target="https://youtu.be/p6taesLvQnI" TargetMode="External"/><Relationship Id="rId2011" Type="http://schemas.openxmlformats.org/officeDocument/2006/relationships/hyperlink" Target="https://youtu.be/2S9HwDAe1mo" TargetMode="External"/><Relationship Id="rId3341" Type="http://schemas.openxmlformats.org/officeDocument/2006/relationships/hyperlink" Target="https://youtu.be/iqxAAuoszW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5n5G5Prn4E4"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8nEu-AX89x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a5SKsvLsNU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oYJmt9xuN2s"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Li_QcGdq6E"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hV9BTnmR04"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pag5OgFa-2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QnKXrjvJcW8"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OkpJ8_cW35c"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3m97t6tp29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BrainyEncouragingGrassBudStar-2D1zGgy3xj8nr8wJ"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www.youtube.com/watch?v=FJ-n-TcDIf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_gaming/status/1374359061391581191"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5036836762816515"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VkSJErBsxQ4&amp;feature=youtu.b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AG5FY3kV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ZN38JdGGFmk"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ClHigHZYVxY"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BD-mRbQcJA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KeDOSS_rZy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88q7o_zP_T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1e9z1PbD77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ei_mzBjl3h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STNcYhrfQBU" TargetMode="External"/><Relationship Id="rId3315" Type="http://schemas.openxmlformats.org/officeDocument/2006/relationships/hyperlink" Target="https://youtu.be/wnb2S-ZM6U4" TargetMode="External"/><Relationship Id="rId3314" Type="http://schemas.openxmlformats.org/officeDocument/2006/relationships/hyperlink" Target="https://youtu.be/ludIvyZW0sw" TargetMode="External"/><Relationship Id="rId3317" Type="http://schemas.openxmlformats.org/officeDocument/2006/relationships/hyperlink" Target="https://youtu.be/c8LC4B9Vvkg" TargetMode="External"/><Relationship Id="rId3316" Type="http://schemas.openxmlformats.org/officeDocument/2006/relationships/hyperlink" Target="https://youtu.be/Sp05l_QXKZg" TargetMode="External"/><Relationship Id="rId3319" Type="http://schemas.openxmlformats.org/officeDocument/2006/relationships/hyperlink" Target="https://youtu.be/R6qJaEgyXcs" TargetMode="External"/><Relationship Id="rId3318" Type="http://schemas.openxmlformats.org/officeDocument/2006/relationships/hyperlink" Target="https://youtu.be/dk2mn7vS6Kk" TargetMode="External"/><Relationship Id="rId3311" Type="http://schemas.openxmlformats.org/officeDocument/2006/relationships/hyperlink" Target="https://youtu.be/5ItCib67nd4" TargetMode="External"/><Relationship Id="rId3310" Type="http://schemas.openxmlformats.org/officeDocument/2006/relationships/hyperlink" Target="https://youtu.be/kUpiYpqjSf4" TargetMode="External"/><Relationship Id="rId3313" Type="http://schemas.openxmlformats.org/officeDocument/2006/relationships/hyperlink" Target="https://youtu.be/MQ4431xDyKg" TargetMode="External"/><Relationship Id="rId3312" Type="http://schemas.openxmlformats.org/officeDocument/2006/relationships/hyperlink" Target="https://youtu.be/bXwkS_c6hb0" TargetMode="External"/><Relationship Id="rId3304" Type="http://schemas.openxmlformats.org/officeDocument/2006/relationships/hyperlink" Target="https://youtu.be/5sBu6lUT9RE" TargetMode="External"/><Relationship Id="rId3303" Type="http://schemas.openxmlformats.org/officeDocument/2006/relationships/hyperlink" Target="https://youtu.be/HIeVgcy-xtw" TargetMode="External"/><Relationship Id="rId3306" Type="http://schemas.openxmlformats.org/officeDocument/2006/relationships/hyperlink" Target="https://youtu.be/sp1sPQlZ4J0" TargetMode="External"/><Relationship Id="rId3305" Type="http://schemas.openxmlformats.org/officeDocument/2006/relationships/hyperlink" Target="https://youtu.be/c1nqEpTKr0E" TargetMode="External"/><Relationship Id="rId3308" Type="http://schemas.openxmlformats.org/officeDocument/2006/relationships/hyperlink" Target="https://youtu.be/kbMDUx7MwXE" TargetMode="External"/><Relationship Id="rId3307" Type="http://schemas.openxmlformats.org/officeDocument/2006/relationships/hyperlink" Target="https://youtu.be/kbMDUx7MwXE" TargetMode="External"/><Relationship Id="rId3309" Type="http://schemas.openxmlformats.org/officeDocument/2006/relationships/hyperlink" Target="https://youtu.be/jGysVsWZTkg" TargetMode="External"/><Relationship Id="rId3300" Type="http://schemas.openxmlformats.org/officeDocument/2006/relationships/hyperlink" Target="https://youtu.be/01NeQiQX0LU" TargetMode="External"/><Relationship Id="rId3302" Type="http://schemas.openxmlformats.org/officeDocument/2006/relationships/hyperlink" Target="https://youtu.be/YPMd_F15dOM" TargetMode="External"/><Relationship Id="rId3301" Type="http://schemas.openxmlformats.org/officeDocument/2006/relationships/hyperlink" Target="https://youtu.be/KtqbanHvemo"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SparklyCallousCheeseHassaanChop"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twitch.tv/videos/1961406996"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jvdFWQScL4g"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clips.twitch.tv/OilyResoluteWrenWo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rUQqqvBx88E" TargetMode="External"/><Relationship Id="rId2000" Type="http://schemas.openxmlformats.org/officeDocument/2006/relationships/hyperlink" Target="https://youtu.be/yGm7u16MJfI" TargetMode="External"/><Relationship Id="rId3330" Type="http://schemas.openxmlformats.org/officeDocument/2006/relationships/hyperlink" Target="https://youtu.be/EQfi7qNj_B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2O1PA2iX0zY" TargetMode="External"/><Relationship Id="rId2002" Type="http://schemas.openxmlformats.org/officeDocument/2006/relationships/hyperlink" Target="https://youtu.be/O4NTBfuxH50" TargetMode="External"/><Relationship Id="rId3332" Type="http://schemas.openxmlformats.org/officeDocument/2006/relationships/hyperlink" Target="https://youtu.be/M6YztZoaTSc"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875864310" TargetMode="External"/><Relationship Id="rId2004" Type="http://schemas.openxmlformats.org/officeDocument/2006/relationships/hyperlink" Target="https://youtu.be/KlyoH2fSpAY" TargetMode="External"/><Relationship Id="rId3334" Type="http://schemas.openxmlformats.org/officeDocument/2006/relationships/hyperlink" Target="https://youtu.be/WbEtprLGID0" TargetMode="External"/><Relationship Id="rId3326" Type="http://schemas.openxmlformats.org/officeDocument/2006/relationships/hyperlink" Target="https://youtu.be/1i_AVBjJUxM" TargetMode="External"/><Relationship Id="rId3325" Type="http://schemas.openxmlformats.org/officeDocument/2006/relationships/hyperlink" Target="https://youtu.be/7K-re3OdSN0" TargetMode="External"/><Relationship Id="rId3328" Type="http://schemas.openxmlformats.org/officeDocument/2006/relationships/hyperlink" Target="https://youtu.be/14XtK7BAy94" TargetMode="External"/><Relationship Id="rId3327" Type="http://schemas.openxmlformats.org/officeDocument/2006/relationships/hyperlink" Target="https://youtu.be/mJxnxexXk1w" TargetMode="External"/><Relationship Id="rId3329" Type="http://schemas.openxmlformats.org/officeDocument/2006/relationships/hyperlink" Target="https://youtu.be/AhrASTid91E" TargetMode="External"/><Relationship Id="rId3320" Type="http://schemas.openxmlformats.org/officeDocument/2006/relationships/hyperlink" Target="https://youtu.be/j7-8YNFT0co" TargetMode="External"/><Relationship Id="rId3322" Type="http://schemas.openxmlformats.org/officeDocument/2006/relationships/hyperlink" Target="https://youtu.be/Bsr_tRNbUK0" TargetMode="External"/><Relationship Id="rId3321" Type="http://schemas.openxmlformats.org/officeDocument/2006/relationships/hyperlink" Target="https://youtu.be/qHrR4WiaAvE" TargetMode="External"/><Relationship Id="rId3324" Type="http://schemas.openxmlformats.org/officeDocument/2006/relationships/hyperlink" Target="https://youtu.be/hVgd3hos45M" TargetMode="External"/><Relationship Id="rId3323" Type="http://schemas.openxmlformats.org/officeDocument/2006/relationships/hyperlink" Target="https://youtu.be/KonmYHL9k-I"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92120536860303360"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500345171943432"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eBRChBIMd2Q"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FyY79WUdWI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WHLT219rsvU"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57519468427501568"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36192421247950849"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TacitAbstemiousSquidPeanutButterJellyTime-rOXXsBM6dkX7u0oS" TargetMode="External"/><Relationship Id="rId2067" Type="http://schemas.openxmlformats.org/officeDocument/2006/relationships/hyperlink" Target="https://youtu.be/ih72PfgTrlQ" TargetMode="External"/><Relationship Id="rId3399" Type="http://schemas.openxmlformats.org/officeDocument/2006/relationships/hyperlink" Target="https://youtu.be/2pTWUr4GnD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twitter.com/tomato_modest/status/1453065418860646407"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clips.twitch.tv/MagnificentSavageLionResidentSleeper-iqxh7JjaEGn-6K98"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251804453924455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62006974032273409"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73273538799091723"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88496092182941700"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47109177495621635"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0578448959623177"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6655995112288256"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5998782345613317"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SincereFrailKiwiMcaT-cll-Z5LVUleWSJQj"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OAme1dyHAj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M0FB5GUQAY"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clips.twitch.tv/SpineyConsiderateLadiesOneHand-DdJcYa04uXIMUw1b"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lKWhqixgpO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BOwbhgREek"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nN6JrMrD1Y"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xoWIcEabdM"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pe4CMRWRZ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iGJSHz1BAo" TargetMode="External"/><Relationship Id="rId3413" Type="http://schemas.openxmlformats.org/officeDocument/2006/relationships/hyperlink" Target="https://www.twitch.tv/modest_tomato/clip/AmazonianSincereChinchillaSSSsss-XG84eIbLtaW8n4cA?filter=clips&amp;range=all&amp;sort=time" TargetMode="External"/><Relationship Id="rId3416" Type="http://schemas.openxmlformats.org/officeDocument/2006/relationships/hyperlink" Target="https://youtu.be/akrSPU-0bWg" TargetMode="External"/><Relationship Id="rId3415" Type="http://schemas.openxmlformats.org/officeDocument/2006/relationships/hyperlink" Target="https://youtu.be/H-hgBVDdP5o" TargetMode="External"/><Relationship Id="rId3418" Type="http://schemas.openxmlformats.org/officeDocument/2006/relationships/hyperlink" Target="https://youtu.be/2SbVn5Coi2U" TargetMode="External"/><Relationship Id="rId3417" Type="http://schemas.openxmlformats.org/officeDocument/2006/relationships/hyperlink" Target="https://www.twitch.tv/videos/2162409579" TargetMode="External"/><Relationship Id="rId3419" Type="http://schemas.openxmlformats.org/officeDocument/2006/relationships/hyperlink" Target="https://www.twitch.tv/videos/120198941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videos/1009373326"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aGMhM9u6aE" TargetMode="External"/><Relationship Id="rId881" Type="http://schemas.openxmlformats.org/officeDocument/2006/relationships/hyperlink" Target="https://youtu.be/WMDXHBrBqb8" TargetMode="External"/><Relationship Id="rId3411" Type="http://schemas.openxmlformats.org/officeDocument/2006/relationships/hyperlink" Target="https://youtu.be/35lpY0B2fhc" TargetMode="External"/><Relationship Id="rId3403" Type="http://schemas.openxmlformats.org/officeDocument/2006/relationships/hyperlink" Target="https://youtu.be/tfA20ORFXOA" TargetMode="External"/><Relationship Id="rId3402" Type="http://schemas.openxmlformats.org/officeDocument/2006/relationships/hyperlink" Target="https://youtu.be/YpXg5eonyBw" TargetMode="External"/><Relationship Id="rId3405" Type="http://schemas.openxmlformats.org/officeDocument/2006/relationships/hyperlink" Target="https://youtu.be/k5RDI6nw79U" TargetMode="External"/><Relationship Id="rId3404" Type="http://schemas.openxmlformats.org/officeDocument/2006/relationships/hyperlink" Target="https://clips.twitch.tv/ConcernedBoxyOkapiLitty-If_2beSNl1Blwg-q" TargetMode="External"/><Relationship Id="rId3407" Type="http://schemas.openxmlformats.org/officeDocument/2006/relationships/hyperlink" Target="https://youtu.be/940-hmnF3bc" TargetMode="External"/><Relationship Id="rId3406" Type="http://schemas.openxmlformats.org/officeDocument/2006/relationships/hyperlink" Target="https://www.twitch.tv/videos/2153852400" TargetMode="External"/><Relationship Id="rId3409" Type="http://schemas.openxmlformats.org/officeDocument/2006/relationships/hyperlink" Target="https://youtu.be/RrJQMEHIAqU" TargetMode="External"/><Relationship Id="rId3408" Type="http://schemas.openxmlformats.org/officeDocument/2006/relationships/hyperlink" Target="https://youtu.be/WiTRLXuuPTk"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OQId00skqE" TargetMode="External"/><Relationship Id="rId870" Type="http://schemas.openxmlformats.org/officeDocument/2006/relationships/hyperlink" Target="https://youtu.be/2oqAfjjqG-g" TargetMode="External"/><Relationship Id="rId3400" Type="http://schemas.openxmlformats.org/officeDocument/2006/relationships/hyperlink" Target="https://youtu.be/XCkL-zmJurc" TargetMode="External"/><Relationship Id="rId1653" Type="http://schemas.openxmlformats.org/officeDocument/2006/relationships/hyperlink" Target="https://youtu.be/CVxNfJLH3Ys" TargetMode="External"/><Relationship Id="rId2984" Type="http://schemas.openxmlformats.org/officeDocument/2006/relationships/hyperlink" Target="https://youtu.be/h4hEoYBsvtw" TargetMode="External"/><Relationship Id="rId1654" Type="http://schemas.openxmlformats.org/officeDocument/2006/relationships/hyperlink" Target="https://youtu.be/nzAydYYQitQ" TargetMode="External"/><Relationship Id="rId2985" Type="http://schemas.openxmlformats.org/officeDocument/2006/relationships/hyperlink" Target="https://youtu.be/u1o--hzlyjU" TargetMode="External"/><Relationship Id="rId1655" Type="http://schemas.openxmlformats.org/officeDocument/2006/relationships/hyperlink" Target="https://youtu.be/Uirbw05oUPg" TargetMode="External"/><Relationship Id="rId2986" Type="http://schemas.openxmlformats.org/officeDocument/2006/relationships/hyperlink" Target="https://youtu.be/7AQWRYux8PE" TargetMode="External"/><Relationship Id="rId1656" Type="http://schemas.openxmlformats.org/officeDocument/2006/relationships/hyperlink" Target="https://youtu.be/WZPtWcc1y_Q" TargetMode="External"/><Relationship Id="rId2987" Type="http://schemas.openxmlformats.org/officeDocument/2006/relationships/hyperlink" Target="https://youtu.be/6Gihf30Odtc" TargetMode="External"/><Relationship Id="rId1657" Type="http://schemas.openxmlformats.org/officeDocument/2006/relationships/hyperlink" Target="https://youtu.be/XFDg8CGpYlg" TargetMode="External"/><Relationship Id="rId2988" Type="http://schemas.openxmlformats.org/officeDocument/2006/relationships/hyperlink" Target="https://youtu.be/StU5PipHn_M" TargetMode="External"/><Relationship Id="rId1658" Type="http://schemas.openxmlformats.org/officeDocument/2006/relationships/hyperlink" Target="https://youtu.be/2sRu4sA8Uj8" TargetMode="External"/><Relationship Id="rId2989" Type="http://schemas.openxmlformats.org/officeDocument/2006/relationships/hyperlink" Target="https://youtu.be/c36kW3uIxsg"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FX3sCjSeE_o"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Wh0PiWdcdO8" TargetMode="External"/><Relationship Id="rId1652" Type="http://schemas.openxmlformats.org/officeDocument/2006/relationships/hyperlink" Target="https://youtu.be/03iDs8Ajosw"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hjwdmmdBQQ0"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ubHiXNrq-OM" TargetMode="External"/><Relationship Id="rId1647" Type="http://schemas.openxmlformats.org/officeDocument/2006/relationships/hyperlink" Target="https://youtu.be/M8NNlWgE7Ec" TargetMode="External"/><Relationship Id="rId2978" Type="http://schemas.openxmlformats.org/officeDocument/2006/relationships/hyperlink" Target="https://youtu.be/jUYJKy7kPJM"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ETwbMGnjhU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dMj6gcrcCN0"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Pk6P6JQlZwI" TargetMode="External"/><Relationship Id="rId2997" Type="http://schemas.openxmlformats.org/officeDocument/2006/relationships/hyperlink" Target="https://youtu.be/Ee2Kgonkzns" TargetMode="External"/><Relationship Id="rId1667" Type="http://schemas.openxmlformats.org/officeDocument/2006/relationships/hyperlink" Target="https://youtu.be/TjnzW4JE2kA" TargetMode="External"/><Relationship Id="rId2998" Type="http://schemas.openxmlformats.org/officeDocument/2006/relationships/hyperlink" Target="https://youtu.be/hobNE1dk8yc"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2w_O0zyHFmY"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youtu.be/5QxvGVBxe-4" TargetMode="External"/><Relationship Id="rId2991" Type="http://schemas.openxmlformats.org/officeDocument/2006/relationships/hyperlink" Target="https://youtu.be/zbchXOsKbP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youtu.be/LCowgF1NuuI"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bd8BstfzLK4" TargetMode="External"/><Relationship Id="rId3470" Type="http://schemas.openxmlformats.org/officeDocument/2006/relationships/hyperlink" Target="https://www.youtube.com/watch?v=vbdvMNZFFug"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6DNL3nIer-o"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nPgTV1Ndmn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fqPu5IyiK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J4L2ABVkS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yvjAOvKZAi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TNON8fY4oys"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NI_eFWO8vc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4a9t8QQ8Hp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X3T9ZZSIzj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p6j_MUKckJM"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lIdj4uOQerg?t=1063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wLgBafrMgHI"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IjKpEs-Dc7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7tM1xblhUA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clips.twitch.tv/CautiousIcyPancakeYouDontSay-tVFKCYCSjaOHFQpQ"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Cr7xNueJcf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ltwagdpYLDc"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61ZIILT3BzY" TargetMode="External"/><Relationship Id="rId3490" Type="http://schemas.openxmlformats.org/officeDocument/2006/relationships/hyperlink" Target="https://www.youtube.com/watch?v=S4oGlzAKWF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60ATcpC4rTI"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L0pX0kEFF2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kKfeqwrHHg8"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xcxhZO7BvJw"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40nfD6pREm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FJKfE_oi77Q"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B2f5gogIPSY"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8-PbKF3qQ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com/watch?v=FSlD443aJsk"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bgFM20J1BXg"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H7bFpLcD-W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steRzjHmiE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ZrfhNe_zSD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UwyAk-T4HY"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6dazNb50DcI"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jqxed1-LkFY"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2lvlGEOHn0"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_3JPlL3Pmj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ZMNHwaZl1-s"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DepressedSweetCattleTheTarFu"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CautiousTemperedBottleYouW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AthleticVibrantLobsterNomNom"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ztgKfdQDd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WanderingHonestBeaverPupper" TargetMode="External"/><Relationship Id="rId3430" Type="http://schemas.openxmlformats.org/officeDocument/2006/relationships/hyperlink" Target="https://youtu.be/6dC2qWCsfig"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PYAakrWfQxM" TargetMode="External"/><Relationship Id="rId2101" Type="http://schemas.openxmlformats.org/officeDocument/2006/relationships/hyperlink" Target="https://www.twitch.tv/videos/2089748835" TargetMode="External"/><Relationship Id="rId3431" Type="http://schemas.openxmlformats.org/officeDocument/2006/relationships/hyperlink" Target="https://clips.twitch.tv/DreamyCharmingMoonOpieOP"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twitch.tv/videos/867911473"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istinctOilyPlumberBlargNaut" TargetMode="External"/><Relationship Id="rId3425" Type="http://schemas.openxmlformats.org/officeDocument/2006/relationships/hyperlink" Target="https://youtu.be/7RwpSqYaoG4" TargetMode="External"/><Relationship Id="rId3424" Type="http://schemas.openxmlformats.org/officeDocument/2006/relationships/hyperlink" Target="https://youtu.be/z9Ko2MsTTb4" TargetMode="External"/><Relationship Id="rId3427" Type="http://schemas.openxmlformats.org/officeDocument/2006/relationships/hyperlink" Target="https://youtu.be/8G37-1EDDPc" TargetMode="External"/><Relationship Id="rId3426" Type="http://schemas.openxmlformats.org/officeDocument/2006/relationships/hyperlink" Target="https://youtu.be/yzAIJNz9yeQ" TargetMode="External"/><Relationship Id="rId3429" Type="http://schemas.openxmlformats.org/officeDocument/2006/relationships/hyperlink" Target="https://youtu.be/K1nCKnWMVRY" TargetMode="External"/><Relationship Id="rId3428" Type="http://schemas.openxmlformats.org/officeDocument/2006/relationships/hyperlink" Target="https://www.twitch.tv/videos/86791147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SmKBzl3ASw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ayZBt7K60e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100776"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099059"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zwKYh5fIKi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3Mbc7M7uEm8"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twitch.tv/linky628/clip/KawaiiSeductiveSandstormCoolStoryBob" TargetMode="External"/><Relationship Id="rId3450" Type="http://schemas.openxmlformats.org/officeDocument/2006/relationships/hyperlink" Target="https://youtu.be/38BDWIz596o"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6-6Nekn-z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zNgWybAwmK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_2rljFQ2w4?t=11052"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lIdj4uOQerg?t=11699"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AbstruseDullYogurtVoHiY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45_DhuJsqOI"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NNPXltghmL4"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oFa9Fham62c"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clips.twitch.tv/TenaciousAnnoyingHerringWOOP"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2Y_eB2PGdcI"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Q5xt1Y5DP1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TenaciousThankfulPeachTinyFace"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LaconicSaltyJackalDAESupp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Yt0zyR9tM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_vlhzyWD5Tk"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8I7D7nA__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959</v>
      </c>
      <c r="G53" s="82" t="s">
        <v>3408</v>
      </c>
      <c r="H53" s="478" t="s">
        <v>871</v>
      </c>
      <c r="I53" s="478" t="s">
        <v>3409</v>
      </c>
      <c r="J53" s="478" t="s">
        <v>673</v>
      </c>
      <c r="K53" s="478" t="s">
        <v>2799</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2891</v>
      </c>
      <c r="AD53" s="480"/>
      <c r="AE53" s="478" t="s">
        <v>3420</v>
      </c>
      <c r="AF53" s="479" t="s">
        <v>2813</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2849</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2826</v>
      </c>
      <c r="BL53" s="480"/>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2921</v>
      </c>
      <c r="CA53" s="88" t="s">
        <v>3441</v>
      </c>
      <c r="CB53" s="480"/>
      <c r="CC53" s="480"/>
      <c r="CD53" s="88" t="s">
        <v>3442</v>
      </c>
      <c r="CE53" s="190"/>
      <c r="CF53" s="479" t="s">
        <v>3443</v>
      </c>
      <c r="CG53" s="478" t="s">
        <v>3427</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2723</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3463</v>
      </c>
      <c r="G54" s="103" t="s">
        <v>3464</v>
      </c>
      <c r="H54" s="112" t="s">
        <v>2706</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3443</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2692</v>
      </c>
      <c r="AU54" s="121" t="s">
        <v>1062</v>
      </c>
      <c r="AV54" s="272"/>
      <c r="AW54" s="272"/>
      <c r="AX54" s="199" t="s">
        <v>3153</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3050</v>
      </c>
      <c r="CG54" s="485" t="str">
        <f>hyperlink("https://twitter.com/Reborn_Frog/status/1364932529577357313","28.55")</f>
        <v>28.55</v>
      </c>
      <c r="CH54" s="176" t="s">
        <v>3491</v>
      </c>
      <c r="CI54" s="176" t="s">
        <v>3492</v>
      </c>
      <c r="CJ54" s="176"/>
      <c r="CK54" s="135" t="s">
        <v>706</v>
      </c>
      <c r="CL54" s="176" t="s">
        <v>3388</v>
      </c>
      <c r="CM54" s="176" t="s">
        <v>3102</v>
      </c>
      <c r="CN54" s="281"/>
      <c r="CO54" s="281"/>
      <c r="CP54" s="281"/>
      <c r="CQ54" s="176" t="s">
        <v>3158</v>
      </c>
      <c r="CR54" s="281"/>
      <c r="CS54" s="101"/>
      <c r="CT54" s="140" t="s">
        <v>3001</v>
      </c>
      <c r="CU54" s="205" t="s">
        <v>2339</v>
      </c>
      <c r="CV54" s="140" t="s">
        <v>3493</v>
      </c>
      <c r="CW54" s="140" t="s">
        <v>3494</v>
      </c>
      <c r="CX54" s="282"/>
      <c r="CY54" s="282"/>
      <c r="CZ54" s="140" t="s">
        <v>3495</v>
      </c>
      <c r="DA54" s="205" t="s">
        <v>3282</v>
      </c>
      <c r="DB54" s="282"/>
      <c r="DC54" s="282"/>
      <c r="DD54" s="282"/>
      <c r="DE54" s="393" t="s">
        <v>3019</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562</v>
      </c>
      <c r="E55" s="85" t="s">
        <v>1483</v>
      </c>
      <c r="F55" s="86" t="s">
        <v>219</v>
      </c>
      <c r="G55" s="82" t="s">
        <v>769</v>
      </c>
      <c r="H55" s="93" t="s">
        <v>2873</v>
      </c>
      <c r="I55" s="93" t="s">
        <v>2148</v>
      </c>
      <c r="J55" s="93" t="s">
        <v>459</v>
      </c>
      <c r="K55" s="88" t="s">
        <v>3499</v>
      </c>
      <c r="L55" s="93" t="s">
        <v>3500</v>
      </c>
      <c r="M55" s="93" t="s">
        <v>3501</v>
      </c>
      <c r="N55" s="93" t="s">
        <v>3119</v>
      </c>
      <c r="O55" s="88" t="s">
        <v>2803</v>
      </c>
      <c r="P55" s="88" t="s">
        <v>777</v>
      </c>
      <c r="Q55" s="88" t="s">
        <v>3502</v>
      </c>
      <c r="R55" s="98"/>
      <c r="S55" s="93" t="s">
        <v>3503</v>
      </c>
      <c r="T55" s="98"/>
      <c r="U55" s="88" t="s">
        <v>1744</v>
      </c>
      <c r="V55" s="98"/>
      <c r="W55" s="92"/>
      <c r="X55" s="100" t="s">
        <v>3504</v>
      </c>
      <c r="Y55" s="93" t="s">
        <v>3505</v>
      </c>
      <c r="Z55" s="93" t="s">
        <v>1606</v>
      </c>
      <c r="AA55" s="93" t="s">
        <v>3506</v>
      </c>
      <c r="AB55" s="88" t="s">
        <v>2535</v>
      </c>
      <c r="AC55" s="93" t="s">
        <v>3507</v>
      </c>
      <c r="AD55" s="93" t="s">
        <v>3019</v>
      </c>
      <c r="AE55" s="93" t="s">
        <v>3277</v>
      </c>
      <c r="AF55" s="288" t="s">
        <v>585</v>
      </c>
      <c r="AG55" s="288" t="s">
        <v>2337</v>
      </c>
      <c r="AH55" s="98"/>
      <c r="AI55" s="93" t="s">
        <v>1821</v>
      </c>
      <c r="AJ55" s="98"/>
      <c r="AK55" s="92"/>
      <c r="AL55" s="93" t="s">
        <v>3394</v>
      </c>
      <c r="AM55" s="93" t="s">
        <v>1287</v>
      </c>
      <c r="AN55" s="98"/>
      <c r="AO55" s="98"/>
      <c r="AP55" s="98"/>
      <c r="AQ55" s="93" t="s">
        <v>3508</v>
      </c>
      <c r="AR55" s="93" t="s">
        <v>1777</v>
      </c>
      <c r="AS55" s="98"/>
      <c r="AT55" s="288" t="s">
        <v>3509</v>
      </c>
      <c r="AU55" s="93" t="s">
        <v>3510</v>
      </c>
      <c r="AV55" s="93" t="s">
        <v>3431</v>
      </c>
      <c r="AW55" s="98"/>
      <c r="AX55" s="288" t="s">
        <v>1741</v>
      </c>
      <c r="AY55" s="98"/>
      <c r="AZ55" s="262"/>
      <c r="BA55" s="93" t="s">
        <v>3511</v>
      </c>
      <c r="BB55" s="93" t="s">
        <v>3088</v>
      </c>
      <c r="BC55" s="93" t="s">
        <v>3304</v>
      </c>
      <c r="BD55" s="93" t="s">
        <v>3512</v>
      </c>
      <c r="BE55" s="88" t="s">
        <v>3513</v>
      </c>
      <c r="BF55" s="88" t="s">
        <v>3514</v>
      </c>
      <c r="BG55" s="98"/>
      <c r="BH55" s="93" t="s">
        <v>3515</v>
      </c>
      <c r="BI55" s="98"/>
      <c r="BJ55" s="93" t="s">
        <v>3516</v>
      </c>
      <c r="BK55" s="93" t="s">
        <v>2701</v>
      </c>
      <c r="BL55" s="98"/>
      <c r="BM55" s="93" t="s">
        <v>3517</v>
      </c>
      <c r="BN55" s="93" t="s">
        <v>1017</v>
      </c>
      <c r="BO55" s="93" t="s">
        <v>3518</v>
      </c>
      <c r="BP55" s="262"/>
      <c r="BQ55" s="93" t="s">
        <v>3519</v>
      </c>
      <c r="BR55" s="93" t="s">
        <v>1920</v>
      </c>
      <c r="BS55" s="93" t="s">
        <v>962</v>
      </c>
      <c r="BT55" s="93" t="s">
        <v>1027</v>
      </c>
      <c r="BU55" s="93" t="s">
        <v>3520</v>
      </c>
      <c r="BV55" s="88" t="s">
        <v>821</v>
      </c>
      <c r="BW55" s="93" t="s">
        <v>3521</v>
      </c>
      <c r="BX55" s="98"/>
      <c r="BY55" s="93" t="s">
        <v>3522</v>
      </c>
      <c r="BZ55" s="488" t="s">
        <v>1373</v>
      </c>
      <c r="CA55" s="93" t="s">
        <v>3523</v>
      </c>
      <c r="CB55" s="88" t="s">
        <v>3524</v>
      </c>
      <c r="CC55" s="88" t="s">
        <v>343</v>
      </c>
      <c r="CD55" s="98"/>
      <c r="CE55" s="262"/>
      <c r="CF55" s="93" t="s">
        <v>3525</v>
      </c>
      <c r="CG55" s="93" t="s">
        <v>259</v>
      </c>
      <c r="CH55" s="93" t="s">
        <v>1974</v>
      </c>
      <c r="CI55" s="93" t="s">
        <v>3526</v>
      </c>
      <c r="CJ55" s="93" t="s">
        <v>1455</v>
      </c>
      <c r="CK55" s="93" t="s">
        <v>3050</v>
      </c>
      <c r="CL55" s="93" t="s">
        <v>3527</v>
      </c>
      <c r="CM55" s="93" t="s">
        <v>3528</v>
      </c>
      <c r="CN55" s="98"/>
      <c r="CO55" s="93" t="s">
        <v>3529</v>
      </c>
      <c r="CP55" s="98"/>
      <c r="CQ55" s="93" t="s">
        <v>3530</v>
      </c>
      <c r="CR55" s="98"/>
      <c r="CS55" s="101"/>
      <c r="CT55" s="93" t="s">
        <v>3531</v>
      </c>
      <c r="CU55" s="93" t="s">
        <v>1863</v>
      </c>
      <c r="CV55" s="93" t="s">
        <v>1703</v>
      </c>
      <c r="CW55" s="93" t="s">
        <v>3532</v>
      </c>
      <c r="CX55" s="93" t="s">
        <v>3533</v>
      </c>
      <c r="CY55" s="88" t="s">
        <v>1142</v>
      </c>
      <c r="CZ55" s="93" t="s">
        <v>3534</v>
      </c>
      <c r="DA55" s="93" t="s">
        <v>2475</v>
      </c>
      <c r="DB55" s="93" t="s">
        <v>3535</v>
      </c>
      <c r="DC55" s="98"/>
      <c r="DD55" s="93" t="s">
        <v>586</v>
      </c>
      <c r="DE55" s="93" t="s">
        <v>3536</v>
      </c>
      <c r="DF55" s="262"/>
      <c r="DG55" s="93" t="s">
        <v>3537</v>
      </c>
      <c r="DH55" s="98"/>
      <c r="DI55" s="98"/>
      <c r="DJ55" s="98"/>
      <c r="DK55" s="90" t="s">
        <v>316</v>
      </c>
      <c r="DL55" s="93" t="s">
        <v>439</v>
      </c>
      <c r="DM55" s="93" t="s">
        <v>3538</v>
      </c>
      <c r="DN55" s="98"/>
      <c r="DO55" s="98"/>
      <c r="DP55" s="93" t="s">
        <v>3539</v>
      </c>
      <c r="DQ55" s="93" t="s">
        <v>3540</v>
      </c>
      <c r="DR55" s="98"/>
      <c r="DS55" s="93" t="s">
        <v>3541</v>
      </c>
      <c r="DT55" s="98"/>
      <c r="DU55" s="93" t="s">
        <v>3542</v>
      </c>
      <c r="DV55" s="98"/>
      <c r="DW55" s="93" t="s">
        <v>2732</v>
      </c>
      <c r="DX55" s="88" t="s">
        <v>919</v>
      </c>
      <c r="DY55" s="98"/>
      <c r="DZ55" s="93" t="s">
        <v>3543</v>
      </c>
      <c r="EA55" s="93" t="s">
        <v>709</v>
      </c>
      <c r="EB55" s="94" t="s">
        <v>3544</v>
      </c>
    </row>
    <row r="56">
      <c r="A56" s="489" t="s">
        <v>3545</v>
      </c>
      <c r="B56" s="103" t="s">
        <v>3546</v>
      </c>
      <c r="C56" s="104" t="s">
        <v>1483</v>
      </c>
      <c r="D56" s="105" t="s">
        <v>1483</v>
      </c>
      <c r="E56" s="106" t="s">
        <v>1483</v>
      </c>
      <c r="F56" s="107" t="s">
        <v>1251</v>
      </c>
      <c r="G56" s="103" t="s">
        <v>3264</v>
      </c>
      <c r="H56" s="474" t="s">
        <v>3547</v>
      </c>
      <c r="I56" s="490" t="s">
        <v>2148</v>
      </c>
      <c r="J56" s="474" t="s">
        <v>3548</v>
      </c>
      <c r="K56" s="474" t="s">
        <v>1893</v>
      </c>
      <c r="L56" s="112" t="s">
        <v>2800</v>
      </c>
      <c r="M56" s="474" t="s">
        <v>3549</v>
      </c>
      <c r="N56" s="474" t="s">
        <v>3550</v>
      </c>
      <c r="O56" s="474" t="s">
        <v>3551</v>
      </c>
      <c r="P56" s="474" t="s">
        <v>2931</v>
      </c>
      <c r="Q56" s="166" t="s">
        <v>3552</v>
      </c>
      <c r="R56" s="222"/>
      <c r="S56" s="166" t="s">
        <v>966</v>
      </c>
      <c r="T56" s="222"/>
      <c r="U56" s="166" t="s">
        <v>1991</v>
      </c>
      <c r="V56" s="166" t="s">
        <v>3553</v>
      </c>
      <c r="W56" s="92"/>
      <c r="X56" s="117" t="s">
        <v>1275</v>
      </c>
      <c r="Y56" s="117" t="s">
        <v>3554</v>
      </c>
      <c r="Z56" s="117" t="s">
        <v>2813</v>
      </c>
      <c r="AA56" s="116" t="s">
        <v>3223</v>
      </c>
      <c r="AB56" s="117" t="s">
        <v>1684</v>
      </c>
      <c r="AC56" s="117" t="s">
        <v>3555</v>
      </c>
      <c r="AD56" s="271"/>
      <c r="AE56" s="117" t="s">
        <v>3556</v>
      </c>
      <c r="AF56" s="117" t="s">
        <v>2080</v>
      </c>
      <c r="AG56" s="197" t="s">
        <v>3557</v>
      </c>
      <c r="AH56" s="271"/>
      <c r="AI56" s="117" t="s">
        <v>3558</v>
      </c>
      <c r="AJ56" s="197" t="s">
        <v>3559</v>
      </c>
      <c r="AK56" s="92"/>
      <c r="AL56" s="124" t="s">
        <v>3130</v>
      </c>
      <c r="AM56" s="124" t="s">
        <v>1734</v>
      </c>
      <c r="AN56" s="167" t="s">
        <v>3560</v>
      </c>
      <c r="AO56" s="272"/>
      <c r="AP56" s="167"/>
      <c r="AQ56" s="167" t="s">
        <v>3561</v>
      </c>
      <c r="AR56" s="272"/>
      <c r="AS56" s="272"/>
      <c r="AT56" s="124" t="s">
        <v>3562</v>
      </c>
      <c r="AU56" s="124" t="s">
        <v>1007</v>
      </c>
      <c r="AV56" s="124" t="s">
        <v>1623</v>
      </c>
      <c r="AW56" s="272"/>
      <c r="AX56" s="167" t="s">
        <v>1256</v>
      </c>
      <c r="AY56" s="167" t="s">
        <v>3563</v>
      </c>
      <c r="AZ56" s="273"/>
      <c r="BA56" s="408" t="s">
        <v>293</v>
      </c>
      <c r="BB56" s="408" t="s">
        <v>3564</v>
      </c>
      <c r="BC56" s="408" t="s">
        <v>3141</v>
      </c>
      <c r="BD56" s="408" t="s">
        <v>893</v>
      </c>
      <c r="BE56" s="408" t="s">
        <v>3565</v>
      </c>
      <c r="BF56" s="408" t="s">
        <v>3310</v>
      </c>
      <c r="BG56" s="172"/>
      <c r="BH56" s="408" t="s">
        <v>1007</v>
      </c>
      <c r="BI56" s="173" t="s">
        <v>3566</v>
      </c>
      <c r="BJ56" s="333" t="s">
        <v>3090</v>
      </c>
      <c r="BK56" s="408" t="s">
        <v>3567</v>
      </c>
      <c r="BL56" s="173" t="s">
        <v>3568</v>
      </c>
      <c r="BM56" s="172"/>
      <c r="BN56" s="408"/>
      <c r="BO56" s="173" t="s">
        <v>3569</v>
      </c>
      <c r="BP56" s="275"/>
      <c r="BQ56" s="132" t="s">
        <v>3570</v>
      </c>
      <c r="BR56" s="130" t="s">
        <v>3571</v>
      </c>
      <c r="BS56" s="132" t="s">
        <v>3572</v>
      </c>
      <c r="BT56" s="132" t="s">
        <v>3573</v>
      </c>
      <c r="BU56" s="130" t="s">
        <v>3574</v>
      </c>
      <c r="BV56" s="132" t="s">
        <v>3575</v>
      </c>
      <c r="BW56" s="174" t="s">
        <v>3576</v>
      </c>
      <c r="BX56" s="132" t="s">
        <v>3577</v>
      </c>
      <c r="BY56" s="132" t="s">
        <v>3578</v>
      </c>
      <c r="BZ56" s="132" t="s">
        <v>3579</v>
      </c>
      <c r="CA56" s="278"/>
      <c r="CB56" s="174" t="s">
        <v>737</v>
      </c>
      <c r="CC56" s="174" t="s">
        <v>2987</v>
      </c>
      <c r="CD56" s="491" t="s">
        <v>3580</v>
      </c>
      <c r="CE56" s="279"/>
      <c r="CF56" s="136" t="s">
        <v>3581</v>
      </c>
      <c r="CG56" s="136" t="s">
        <v>528</v>
      </c>
      <c r="CH56" s="136" t="s">
        <v>2734</v>
      </c>
      <c r="CI56" s="135" t="s">
        <v>3582</v>
      </c>
      <c r="CJ56" s="313" t="s">
        <v>3311</v>
      </c>
      <c r="CK56" s="136" t="s">
        <v>3583</v>
      </c>
      <c r="CL56" s="136" t="s">
        <v>3584</v>
      </c>
      <c r="CM56" s="136" t="s">
        <v>3585</v>
      </c>
      <c r="CN56" s="492"/>
      <c r="CO56" s="281"/>
      <c r="CP56" s="281"/>
      <c r="CQ56" s="281"/>
      <c r="CR56" s="176" t="s">
        <v>3586</v>
      </c>
      <c r="CS56" s="101"/>
      <c r="CT56" s="317" t="s">
        <v>419</v>
      </c>
      <c r="CU56" s="317" t="s">
        <v>3587</v>
      </c>
      <c r="CV56" s="140" t="s">
        <v>1023</v>
      </c>
      <c r="CW56" s="317" t="s">
        <v>3588</v>
      </c>
      <c r="CX56" s="317" t="s">
        <v>3589</v>
      </c>
      <c r="CY56" s="317" t="s">
        <v>3590</v>
      </c>
      <c r="CZ56" s="393" t="s">
        <v>2848</v>
      </c>
      <c r="DA56" s="317" t="s">
        <v>591</v>
      </c>
      <c r="DB56" s="140" t="s">
        <v>2068</v>
      </c>
      <c r="DC56" s="205" t="s">
        <v>3591</v>
      </c>
      <c r="DD56" s="205" t="s">
        <v>3592</v>
      </c>
      <c r="DE56" s="140" t="s">
        <v>3593</v>
      </c>
      <c r="DF56" s="283"/>
      <c r="DG56" s="207" t="s">
        <v>3594</v>
      </c>
      <c r="DH56" s="284"/>
      <c r="DI56" s="284"/>
      <c r="DJ56" s="207"/>
      <c r="DK56" s="207"/>
      <c r="DL56" s="207"/>
      <c r="DM56" s="284"/>
      <c r="DN56" s="284"/>
      <c r="DO56" s="284"/>
      <c r="DP56" s="207" t="s">
        <v>3595</v>
      </c>
      <c r="DQ56" s="207" t="s">
        <v>3596</v>
      </c>
      <c r="DR56" s="284"/>
      <c r="DS56" s="207"/>
      <c r="DT56" s="284"/>
      <c r="DU56" s="284"/>
      <c r="DV56" s="284"/>
      <c r="DW56" s="284"/>
      <c r="DX56" s="284"/>
      <c r="DY56" s="207"/>
      <c r="DZ56" s="284"/>
      <c r="EA56" s="284"/>
      <c r="EB56" s="319"/>
    </row>
    <row r="57">
      <c r="A57" s="493"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3081</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2692</v>
      </c>
      <c r="AU57" s="93" t="s">
        <v>3141</v>
      </c>
      <c r="AV57" s="98"/>
      <c r="AW57" s="98"/>
      <c r="AX57" s="93" t="s">
        <v>779</v>
      </c>
      <c r="AY57" s="98"/>
      <c r="AZ57" s="262"/>
      <c r="BA57" s="93" t="s">
        <v>3610</v>
      </c>
      <c r="BB57" s="93" t="s">
        <v>3611</v>
      </c>
      <c r="BC57" s="93" t="s">
        <v>3141</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2763</v>
      </c>
      <c r="CL57" s="93" t="s">
        <v>3622</v>
      </c>
      <c r="CM57" s="93" t="s">
        <v>3164</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4" t="s">
        <v>3633</v>
      </c>
      <c r="B58" s="103" t="s">
        <v>3634</v>
      </c>
      <c r="C58" s="104" t="s">
        <v>1483</v>
      </c>
      <c r="D58" s="105" t="s">
        <v>1483</v>
      </c>
      <c r="E58" s="106" t="s">
        <v>1483</v>
      </c>
      <c r="F58" s="107" t="s">
        <v>2236</v>
      </c>
      <c r="G58" s="103" t="s">
        <v>3635</v>
      </c>
      <c r="H58" s="112" t="s">
        <v>3636</v>
      </c>
      <c r="I58" s="112" t="s">
        <v>3637</v>
      </c>
      <c r="J58" s="112" t="s">
        <v>3638</v>
      </c>
      <c r="K58" s="112" t="s">
        <v>1893</v>
      </c>
      <c r="L58" s="112" t="s">
        <v>2927</v>
      </c>
      <c r="M58" s="112" t="s">
        <v>3639</v>
      </c>
      <c r="N58" s="112" t="s">
        <v>3640</v>
      </c>
      <c r="O58" s="112" t="s">
        <v>3641</v>
      </c>
      <c r="P58" s="112" t="s">
        <v>3642</v>
      </c>
      <c r="Q58" s="166" t="s">
        <v>3643</v>
      </c>
      <c r="R58" s="222"/>
      <c r="S58" s="112" t="s">
        <v>2356</v>
      </c>
      <c r="T58" s="222"/>
      <c r="U58" s="112" t="s">
        <v>3644</v>
      </c>
      <c r="V58" s="166" t="s">
        <v>3645</v>
      </c>
      <c r="W58" s="92"/>
      <c r="X58" s="116" t="s">
        <v>2873</v>
      </c>
      <c r="Y58" s="116" t="s">
        <v>3417</v>
      </c>
      <c r="Z58" s="116" t="s">
        <v>3646</v>
      </c>
      <c r="AA58" s="116" t="s">
        <v>3471</v>
      </c>
      <c r="AB58" s="116" t="s">
        <v>3209</v>
      </c>
      <c r="AC58" s="116" t="s">
        <v>3647</v>
      </c>
      <c r="AD58" s="117"/>
      <c r="AE58" s="116" t="s">
        <v>3556</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2871</v>
      </c>
      <c r="BB58" s="127" t="s">
        <v>2582</v>
      </c>
      <c r="BC58" s="127" t="s">
        <v>3657</v>
      </c>
      <c r="BD58" s="171" t="s">
        <v>3658</v>
      </c>
      <c r="BE58" s="127" t="s">
        <v>3659</v>
      </c>
      <c r="BF58" s="127" t="s">
        <v>3660</v>
      </c>
      <c r="BG58" s="172"/>
      <c r="BH58" s="127" t="s">
        <v>371</v>
      </c>
      <c r="BI58" s="127" t="s">
        <v>2825</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3404</v>
      </c>
      <c r="CZ58" s="140" t="s">
        <v>3681</v>
      </c>
      <c r="DA58" s="140" t="s">
        <v>2141</v>
      </c>
      <c r="DB58" s="282"/>
      <c r="DC58" s="282"/>
      <c r="DD58" s="282"/>
      <c r="DE58" s="205" t="s">
        <v>3682</v>
      </c>
      <c r="DF58" s="205"/>
      <c r="DG58" s="145" t="s">
        <v>2800</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5" t="s">
        <v>3689</v>
      </c>
      <c r="B59" s="82" t="s">
        <v>3690</v>
      </c>
      <c r="C59" s="83" t="s">
        <v>1483</v>
      </c>
      <c r="D59" s="84" t="s">
        <v>1483</v>
      </c>
      <c r="E59" s="85" t="s">
        <v>1483</v>
      </c>
      <c r="F59" s="86" t="s">
        <v>219</v>
      </c>
      <c r="G59" s="82" t="s">
        <v>221</v>
      </c>
      <c r="H59" s="93" t="s">
        <v>3691</v>
      </c>
      <c r="I59" s="93" t="s">
        <v>1954</v>
      </c>
      <c r="J59" s="93" t="s">
        <v>3692</v>
      </c>
      <c r="K59" s="88" t="s">
        <v>2799</v>
      </c>
      <c r="L59" s="88" t="s">
        <v>1390</v>
      </c>
      <c r="M59" s="93" t="s">
        <v>3693</v>
      </c>
      <c r="N59" s="88" t="s">
        <v>3694</v>
      </c>
      <c r="O59" s="93" t="s">
        <v>3658</v>
      </c>
      <c r="P59" s="93" t="s">
        <v>3270</v>
      </c>
      <c r="Q59" s="160" t="s">
        <v>3695</v>
      </c>
      <c r="R59" s="88" t="s">
        <v>3484</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3400</v>
      </c>
      <c r="AG59" s="93" t="s">
        <v>3705</v>
      </c>
      <c r="AH59" s="93" t="s">
        <v>2987</v>
      </c>
      <c r="AI59" s="93" t="s">
        <v>3057</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2666</v>
      </c>
      <c r="BC59" s="88" t="s">
        <v>2144</v>
      </c>
      <c r="BD59" s="93" t="s">
        <v>3715</v>
      </c>
      <c r="BE59" s="93" t="s">
        <v>3716</v>
      </c>
      <c r="BF59" s="93" t="s">
        <v>1272</v>
      </c>
      <c r="BG59" s="93" t="s">
        <v>3717</v>
      </c>
      <c r="BH59" s="88" t="s">
        <v>1832</v>
      </c>
      <c r="BI59" s="93" t="s">
        <v>2656</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3521</v>
      </c>
      <c r="BX59" s="93" t="s">
        <v>3724</v>
      </c>
      <c r="BY59" s="93" t="s">
        <v>2995</v>
      </c>
      <c r="BZ59" s="93" t="s">
        <v>3725</v>
      </c>
      <c r="CA59" s="93" t="s">
        <v>2532</v>
      </c>
      <c r="CB59" s="93" t="s">
        <v>1396</v>
      </c>
      <c r="CC59" s="93" t="s">
        <v>1720</v>
      </c>
      <c r="CD59" s="93" t="s">
        <v>3726</v>
      </c>
      <c r="CE59" s="93"/>
      <c r="CF59" s="93" t="s">
        <v>3727</v>
      </c>
      <c r="CG59" s="160" t="s">
        <v>297</v>
      </c>
      <c r="CH59" s="93" t="s">
        <v>3590</v>
      </c>
      <c r="CI59" s="93" t="s">
        <v>3038</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3590</v>
      </c>
      <c r="DT59" s="93" t="s">
        <v>2982</v>
      </c>
      <c r="DU59" s="93" t="s">
        <v>1801</v>
      </c>
      <c r="DV59" s="93" t="s">
        <v>3750</v>
      </c>
      <c r="DW59" s="93" t="s">
        <v>2781</v>
      </c>
      <c r="DX59" s="93" t="s">
        <v>2930</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2798</v>
      </c>
      <c r="K60" s="110" t="s">
        <v>455</v>
      </c>
      <c r="L60" s="112" t="s">
        <v>1717</v>
      </c>
      <c r="M60" s="166" t="s">
        <v>3758</v>
      </c>
      <c r="N60" s="166" t="s">
        <v>3759</v>
      </c>
      <c r="O60" s="166" t="s">
        <v>3715</v>
      </c>
      <c r="P60" s="166" t="s">
        <v>2931</v>
      </c>
      <c r="Q60" s="166" t="s">
        <v>3760</v>
      </c>
      <c r="R60" s="222"/>
      <c r="S60" s="222"/>
      <c r="T60" s="222"/>
      <c r="U60" s="222"/>
      <c r="V60" s="166" t="s">
        <v>3761</v>
      </c>
      <c r="W60" s="92"/>
      <c r="X60" s="116" t="s">
        <v>2627</v>
      </c>
      <c r="Y60" s="116" t="s">
        <v>3762</v>
      </c>
      <c r="Z60" s="116" t="s">
        <v>1985</v>
      </c>
      <c r="AA60" s="197" t="s">
        <v>3081</v>
      </c>
      <c r="AB60" s="197" t="s">
        <v>3082</v>
      </c>
      <c r="AC60" s="306" t="s">
        <v>3763</v>
      </c>
      <c r="AD60" s="271"/>
      <c r="AE60" s="197" t="s">
        <v>3368</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2664</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6" t="s">
        <v>3783</v>
      </c>
      <c r="B61" s="82" t="s">
        <v>3784</v>
      </c>
      <c r="C61" s="83" t="s">
        <v>1483</v>
      </c>
      <c r="D61" s="84" t="s">
        <v>1483</v>
      </c>
      <c r="E61" s="85" t="s">
        <v>562</v>
      </c>
      <c r="F61" s="86" t="s">
        <v>3785</v>
      </c>
      <c r="G61" s="82" t="s">
        <v>3464</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1961</v>
      </c>
      <c r="AV61" s="93" t="s">
        <v>3800</v>
      </c>
      <c r="AW61" s="98"/>
      <c r="AX61" s="98"/>
      <c r="AY61" s="98"/>
      <c r="AZ61" s="262"/>
      <c r="BA61" s="93" t="s">
        <v>3801</v>
      </c>
      <c r="BB61" s="93" t="s">
        <v>1237</v>
      </c>
      <c r="BC61" s="93" t="s">
        <v>1418</v>
      </c>
      <c r="BD61" s="88" t="s">
        <v>2749</v>
      </c>
      <c r="BE61" s="93" t="s">
        <v>3313</v>
      </c>
      <c r="BF61" s="93" t="s">
        <v>3802</v>
      </c>
      <c r="BG61" s="98"/>
      <c r="BH61" s="97" t="s">
        <v>1309</v>
      </c>
      <c r="BI61" s="93" t="s">
        <v>3803</v>
      </c>
      <c r="BJ61" s="93" t="s">
        <v>3804</v>
      </c>
      <c r="BK61" s="93" t="s">
        <v>2588</v>
      </c>
      <c r="BL61" s="98"/>
      <c r="BM61" s="98"/>
      <c r="BN61" s="98"/>
      <c r="BO61" s="98"/>
      <c r="BP61" s="262"/>
      <c r="BQ61" s="93" t="s">
        <v>3805</v>
      </c>
      <c r="BR61" s="93" t="s">
        <v>970</v>
      </c>
      <c r="BS61" s="88" t="s">
        <v>3806</v>
      </c>
      <c r="BT61" s="88" t="s">
        <v>1789</v>
      </c>
      <c r="BU61" s="93" t="s">
        <v>3807</v>
      </c>
      <c r="BV61" s="97" t="s">
        <v>3808</v>
      </c>
      <c r="BW61" s="98"/>
      <c r="BX61" s="300" t="s">
        <v>3809</v>
      </c>
      <c r="BY61" s="160" t="s">
        <v>3096</v>
      </c>
      <c r="BZ61" s="160" t="s">
        <v>821</v>
      </c>
      <c r="CA61" s="98"/>
      <c r="CB61" s="98"/>
      <c r="CC61" s="93" t="s">
        <v>2887</v>
      </c>
      <c r="CD61" s="98"/>
      <c r="CE61" s="262"/>
      <c r="CF61" s="93" t="s">
        <v>1281</v>
      </c>
      <c r="CG61" s="88" t="s">
        <v>2761</v>
      </c>
      <c r="CH61" s="160" t="s">
        <v>3810</v>
      </c>
      <c r="CI61" s="93" t="s">
        <v>3811</v>
      </c>
      <c r="CJ61" s="497" t="s">
        <v>3812</v>
      </c>
      <c r="CK61" s="88" t="s">
        <v>1521</v>
      </c>
      <c r="CL61" s="88" t="s">
        <v>2401</v>
      </c>
      <c r="CM61" s="93" t="s">
        <v>3016</v>
      </c>
      <c r="CN61" s="98"/>
      <c r="CO61" s="98"/>
      <c r="CP61" s="98"/>
      <c r="CQ61" s="98"/>
      <c r="CR61" s="98"/>
      <c r="CS61" s="101"/>
      <c r="CT61" s="93" t="s">
        <v>3813</v>
      </c>
      <c r="CU61" s="160" t="s">
        <v>2295</v>
      </c>
      <c r="CV61" s="93" t="s">
        <v>630</v>
      </c>
      <c r="CW61" s="88" t="s">
        <v>3814</v>
      </c>
      <c r="CX61" s="93" t="s">
        <v>3815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3817</v>
      </c>
      <c r="DR61" s="98"/>
      <c r="DS61" s="93" t="s">
        <v>614</v>
      </c>
      <c r="DT61" s="98"/>
      <c r="DU61" s="93" t="s">
        <v>3818</v>
      </c>
      <c r="DV61" s="98"/>
      <c r="DW61" s="98"/>
      <c r="DX61" s="98"/>
      <c r="DY61" s="98"/>
      <c r="DZ61" s="93" t="s">
        <v>753</v>
      </c>
      <c r="EA61" s="93" t="s">
        <v>1245</v>
      </c>
      <c r="EB61" s="91" t="s">
        <v>3819</v>
      </c>
    </row>
    <row r="62">
      <c r="A62" s="498"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3642</v>
      </c>
      <c r="Q62" s="302"/>
      <c r="R62" s="302" t="s">
        <v>3826</v>
      </c>
      <c r="S62" s="302" t="s">
        <v>3663</v>
      </c>
      <c r="T62" s="302" t="s">
        <v>1597</v>
      </c>
      <c r="U62" s="302" t="s">
        <v>3827</v>
      </c>
      <c r="V62" s="302" t="s">
        <v>3828</v>
      </c>
      <c r="W62" s="499"/>
      <c r="X62" s="196" t="s">
        <v>3157</v>
      </c>
      <c r="Y62" s="196" t="s">
        <v>1098</v>
      </c>
      <c r="Z62" s="196" t="s">
        <v>3829</v>
      </c>
      <c r="AA62" s="196" t="s">
        <v>3830</v>
      </c>
      <c r="AB62" s="403" t="s">
        <v>3831</v>
      </c>
      <c r="AC62" s="196" t="s">
        <v>3832</v>
      </c>
      <c r="AD62" s="196" t="s">
        <v>3833</v>
      </c>
      <c r="AE62" s="196" t="s">
        <v>2945</v>
      </c>
      <c r="AF62" s="196" t="s">
        <v>3834</v>
      </c>
      <c r="AG62" s="196" t="s">
        <v>3835</v>
      </c>
      <c r="AH62" s="500"/>
      <c r="AI62" s="500"/>
      <c r="AJ62" s="196" t="s">
        <v>3836</v>
      </c>
      <c r="AK62" s="499"/>
      <c r="AL62" s="199" t="s">
        <v>2651</v>
      </c>
      <c r="AM62" s="199" t="s">
        <v>3051</v>
      </c>
      <c r="AN62" s="199" t="s">
        <v>3837</v>
      </c>
      <c r="AO62" s="199" t="s">
        <v>3838</v>
      </c>
      <c r="AP62" s="199" t="s">
        <v>3839</v>
      </c>
      <c r="AQ62" s="199" t="s">
        <v>3840</v>
      </c>
      <c r="AR62" s="199" t="s">
        <v>3245</v>
      </c>
      <c r="AS62" s="501"/>
      <c r="AT62" s="199" t="s">
        <v>3841</v>
      </c>
      <c r="AU62" s="199" t="s">
        <v>1519</v>
      </c>
      <c r="AV62" s="199" t="s">
        <v>3842</v>
      </c>
      <c r="AW62" s="501"/>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02"/>
      <c r="BM62" s="171" t="s">
        <v>1434</v>
      </c>
      <c r="BN62" s="171" t="s">
        <v>3852</v>
      </c>
      <c r="BO62" s="171" t="s">
        <v>1672</v>
      </c>
      <c r="BP62" s="171"/>
      <c r="BQ62" s="311" t="s">
        <v>3853</v>
      </c>
      <c r="BR62" s="311" t="s">
        <v>2823</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3451</v>
      </c>
      <c r="CH62" s="335" t="s">
        <v>3863</v>
      </c>
      <c r="CI62" s="335" t="s">
        <v>3864</v>
      </c>
      <c r="CJ62" s="335" t="s">
        <v>3865</v>
      </c>
      <c r="CK62" s="335" t="s">
        <v>3866</v>
      </c>
      <c r="CL62" s="335" t="s">
        <v>548</v>
      </c>
      <c r="CM62" s="335" t="s">
        <v>3867</v>
      </c>
      <c r="CN62" s="503"/>
      <c r="CO62" s="503"/>
      <c r="CP62" s="503"/>
      <c r="CQ62" s="335" t="s">
        <v>3868</v>
      </c>
      <c r="CR62" s="335" t="s">
        <v>249</v>
      </c>
      <c r="CS62" s="504"/>
      <c r="CT62" s="393" t="s">
        <v>1141</v>
      </c>
      <c r="CU62" s="393" t="s">
        <v>2723</v>
      </c>
      <c r="CV62" s="393" t="s">
        <v>548</v>
      </c>
      <c r="CW62" s="393" t="s">
        <v>3869</v>
      </c>
      <c r="CX62" s="393" t="s">
        <v>3870</v>
      </c>
      <c r="CY62" s="393" t="s">
        <v>2847</v>
      </c>
      <c r="CZ62" s="393" t="s">
        <v>3871</v>
      </c>
      <c r="DA62" s="393" t="s">
        <v>3257</v>
      </c>
      <c r="DB62" s="393" t="s">
        <v>3872</v>
      </c>
      <c r="DC62" s="393" t="s">
        <v>3873</v>
      </c>
      <c r="DD62" s="393" t="s">
        <v>3874</v>
      </c>
      <c r="DE62" s="393" t="s">
        <v>3875</v>
      </c>
      <c r="DF62" s="393"/>
      <c r="DG62" s="208" t="s">
        <v>3876</v>
      </c>
      <c r="DH62" s="208" t="s">
        <v>3535</v>
      </c>
      <c r="DI62" s="208" t="s">
        <v>3877</v>
      </c>
      <c r="DJ62" s="208"/>
      <c r="DK62" s="208" t="s">
        <v>544</v>
      </c>
      <c r="DL62" s="208" t="s">
        <v>1559</v>
      </c>
      <c r="DM62" s="208" t="s">
        <v>3878</v>
      </c>
      <c r="DN62" s="208" t="s">
        <v>3879</v>
      </c>
      <c r="DO62" s="208" t="s">
        <v>3400</v>
      </c>
      <c r="DP62" s="208" t="s">
        <v>3880</v>
      </c>
      <c r="DQ62" s="208" t="s">
        <v>3881</v>
      </c>
      <c r="DR62" s="208" t="s">
        <v>2723</v>
      </c>
      <c r="DS62" s="208" t="s">
        <v>3882</v>
      </c>
      <c r="DT62" s="208" t="s">
        <v>3883</v>
      </c>
      <c r="DU62" s="208" t="s">
        <v>3884</v>
      </c>
      <c r="DV62" s="208" t="s">
        <v>2005</v>
      </c>
      <c r="DW62" s="208" t="s">
        <v>2781</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2799</v>
      </c>
      <c r="L63" s="93" t="s">
        <v>623</v>
      </c>
      <c r="M63" s="288" t="s">
        <v>3892</v>
      </c>
      <c r="N63" s="93" t="s">
        <v>695</v>
      </c>
      <c r="O63" s="93" t="s">
        <v>3893</v>
      </c>
      <c r="P63" s="93" t="s">
        <v>1771</v>
      </c>
      <c r="Q63" s="98"/>
      <c r="R63" s="98"/>
      <c r="S63" s="98"/>
      <c r="T63" s="98"/>
      <c r="U63" s="98"/>
      <c r="V63" s="98"/>
      <c r="W63" s="92"/>
      <c r="X63" s="93" t="s">
        <v>2807</v>
      </c>
      <c r="Y63" s="93" t="s">
        <v>3894</v>
      </c>
      <c r="Z63" s="93" t="s">
        <v>2051</v>
      </c>
      <c r="AA63" s="93" t="s">
        <v>3895</v>
      </c>
      <c r="AB63" s="93" t="s">
        <v>2563</v>
      </c>
      <c r="AC63" s="93" t="s">
        <v>3896</v>
      </c>
      <c r="AD63" s="93"/>
      <c r="AE63" s="160" t="s">
        <v>3355</v>
      </c>
      <c r="AF63" s="93" t="s">
        <v>3897</v>
      </c>
      <c r="AG63" s="98"/>
      <c r="AH63" s="98"/>
      <c r="AI63" s="98"/>
      <c r="AJ63" s="98"/>
      <c r="AK63" s="92"/>
      <c r="AL63" s="98"/>
      <c r="AM63" s="98"/>
      <c r="AN63" s="98"/>
      <c r="AO63" s="98"/>
      <c r="AP63" s="98"/>
      <c r="AQ63" s="98"/>
      <c r="AR63" s="98"/>
      <c r="AS63" s="98"/>
      <c r="AT63" s="93" t="s">
        <v>3509</v>
      </c>
      <c r="AU63" s="97" t="str">
        <f>HYPERLINK("https://www.youtube.com/watch?v=fLOf7TJX7c0","29.95")</f>
        <v>29.95</v>
      </c>
      <c r="AV63" s="98"/>
      <c r="AW63" s="98"/>
      <c r="AX63" s="98"/>
      <c r="AY63" s="98"/>
      <c r="AZ63" s="262"/>
      <c r="BA63" s="93" t="s">
        <v>3898</v>
      </c>
      <c r="BB63" s="93" t="s">
        <v>891</v>
      </c>
      <c r="BC63" s="93" t="s">
        <v>2144</v>
      </c>
      <c r="BD63" s="93" t="s">
        <v>3899</v>
      </c>
      <c r="BE63" s="505" t="s">
        <v>3900</v>
      </c>
      <c r="BF63" s="98"/>
      <c r="BG63" s="98"/>
      <c r="BH63" s="93" t="s">
        <v>2061</v>
      </c>
      <c r="BI63" s="298" t="s">
        <v>3901</v>
      </c>
      <c r="BJ63" s="298"/>
      <c r="BK63" s="93" t="s">
        <v>2625</v>
      </c>
      <c r="BL63" s="98"/>
      <c r="BM63" s="98"/>
      <c r="BN63" s="98"/>
      <c r="BO63" s="98"/>
      <c r="BP63" s="262"/>
      <c r="BQ63" s="298"/>
      <c r="BR63" s="93" t="s">
        <v>3289</v>
      </c>
      <c r="BS63" s="93" t="s">
        <v>3236</v>
      </c>
      <c r="BT63" s="93" t="s">
        <v>3902</v>
      </c>
      <c r="BU63" s="93" t="s">
        <v>3122</v>
      </c>
      <c r="BV63" s="93" t="s">
        <v>3723</v>
      </c>
      <c r="BW63" s="93" t="s">
        <v>3903</v>
      </c>
      <c r="BX63" s="97" t="str">
        <f>HYPERLINK("https://clips.twitch.tv/EnergeticWrongManateeKlappa","2:32.84")</f>
        <v>2:32.84</v>
      </c>
      <c r="BY63" s="93" t="s">
        <v>3904</v>
      </c>
      <c r="BZ63" s="93" t="s">
        <v>907</v>
      </c>
      <c r="CA63" s="98"/>
      <c r="CB63" s="98"/>
      <c r="CC63" s="98"/>
      <c r="CD63" s="98"/>
      <c r="CE63" s="262"/>
      <c r="CF63" s="97" t="s">
        <v>2053</v>
      </c>
      <c r="CG63" s="93" t="s">
        <v>3427</v>
      </c>
      <c r="CH63" s="93" t="s">
        <v>1212</v>
      </c>
      <c r="CI63" s="93" t="s">
        <v>3905</v>
      </c>
      <c r="CJ63" s="93" t="s">
        <v>2000</v>
      </c>
      <c r="CK63" s="93" t="s">
        <v>2840</v>
      </c>
      <c r="CL63" s="93" t="s">
        <v>1702</v>
      </c>
      <c r="CM63" s="97" t="str">
        <f>HYPERLINK("https://www.youtube.com/watch?v=LpklkoraHfQ","15.53")</f>
        <v>15.53</v>
      </c>
      <c r="CN63" s="98"/>
      <c r="CO63" s="93"/>
      <c r="CP63" s="98"/>
      <c r="CQ63" s="98"/>
      <c r="CR63" s="98"/>
      <c r="CS63" s="101"/>
      <c r="CT63" s="93" t="s">
        <v>3906</v>
      </c>
      <c r="CU63" s="93" t="s">
        <v>3311</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2924</v>
      </c>
      <c r="H64" s="166" t="s">
        <v>3677</v>
      </c>
      <c r="I64" s="166" t="s">
        <v>3177</v>
      </c>
      <c r="J64" s="166" t="s">
        <v>3915</v>
      </c>
      <c r="K64" s="293" t="s">
        <v>1633</v>
      </c>
      <c r="L64" s="112" t="s">
        <v>3916</v>
      </c>
      <c r="M64" s="166" t="s">
        <v>3917</v>
      </c>
      <c r="N64" s="166" t="s">
        <v>695</v>
      </c>
      <c r="O64" s="166" t="s">
        <v>3918</v>
      </c>
      <c r="P64" s="112" t="s">
        <v>777</v>
      </c>
      <c r="Q64" s="222"/>
      <c r="R64" s="222"/>
      <c r="S64" s="112" t="s">
        <v>3205</v>
      </c>
      <c r="T64" s="222"/>
      <c r="U64" s="166" t="s">
        <v>2986</v>
      </c>
      <c r="V64" s="222"/>
      <c r="W64" s="92"/>
      <c r="X64" s="197" t="s">
        <v>1755</v>
      </c>
      <c r="Y64" s="197" t="s">
        <v>3919</v>
      </c>
      <c r="Z64" s="197" t="s">
        <v>3642</v>
      </c>
      <c r="AA64" s="197" t="s">
        <v>1221</v>
      </c>
      <c r="AB64" s="197" t="s">
        <v>2291</v>
      </c>
      <c r="AC64" s="197" t="s">
        <v>3920</v>
      </c>
      <c r="AD64" s="271"/>
      <c r="AE64" s="197" t="s">
        <v>3020</v>
      </c>
      <c r="AF64" s="197" t="s">
        <v>3921</v>
      </c>
      <c r="AG64" s="271"/>
      <c r="AH64" s="197"/>
      <c r="AI64" s="197" t="s">
        <v>2823</v>
      </c>
      <c r="AJ64" s="271"/>
      <c r="AK64" s="92"/>
      <c r="AL64" s="167" t="s">
        <v>3922</v>
      </c>
      <c r="AM64" s="167" t="s">
        <v>3923</v>
      </c>
      <c r="AN64" s="272"/>
      <c r="AO64" s="272"/>
      <c r="AP64" s="272"/>
      <c r="AQ64" s="272"/>
      <c r="AR64" s="272"/>
      <c r="AS64" s="272"/>
      <c r="AT64" s="309" t="s">
        <v>3476</v>
      </c>
      <c r="AU64" s="167" t="s">
        <v>1007</v>
      </c>
      <c r="AV64" s="167" t="s">
        <v>3924</v>
      </c>
      <c r="AW64" s="272"/>
      <c r="AX64" s="167" t="s">
        <v>3079</v>
      </c>
      <c r="AY64" s="272"/>
      <c r="AZ64" s="273"/>
      <c r="BA64" s="173" t="s">
        <v>2753</v>
      </c>
      <c r="BB64" s="173" t="s">
        <v>1018</v>
      </c>
      <c r="BC64" s="173" t="s">
        <v>3657</v>
      </c>
      <c r="BD64" s="127" t="s">
        <v>3925</v>
      </c>
      <c r="BE64" s="127" t="s">
        <v>2158</v>
      </c>
      <c r="BF64" s="173" t="s">
        <v>1597</v>
      </c>
      <c r="BG64" s="172"/>
      <c r="BH64" s="173" t="s">
        <v>2160</v>
      </c>
      <c r="BI64" s="172"/>
      <c r="BJ64" s="173" t="s">
        <v>3926</v>
      </c>
      <c r="BK64" s="173" t="s">
        <v>3145</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3054</v>
      </c>
      <c r="CC64" s="174" t="s">
        <v>234</v>
      </c>
      <c r="CD64" s="278"/>
      <c r="CE64" s="279"/>
      <c r="CF64" s="176" t="s">
        <v>3933</v>
      </c>
      <c r="CG64" s="176" t="s">
        <v>3029</v>
      </c>
      <c r="CH64" s="176" t="s">
        <v>3934</v>
      </c>
      <c r="CI64" s="176" t="s">
        <v>3935</v>
      </c>
      <c r="CJ64" s="176"/>
      <c r="CK64" s="176" t="s">
        <v>3936</v>
      </c>
      <c r="CL64" s="176" t="s">
        <v>849</v>
      </c>
      <c r="CM64" s="176" t="s">
        <v>3102</v>
      </c>
      <c r="CN64" s="281"/>
      <c r="CO64" s="281"/>
      <c r="CP64" s="176"/>
      <c r="CQ64" s="176" t="s">
        <v>2398</v>
      </c>
      <c r="CR64" s="281"/>
      <c r="CS64" s="101"/>
      <c r="CT64" s="205" t="s">
        <v>3937</v>
      </c>
      <c r="CU64" s="205" t="s">
        <v>2723</v>
      </c>
      <c r="CV64" s="205" t="s">
        <v>3938</v>
      </c>
      <c r="CW64" s="205" t="s">
        <v>3939</v>
      </c>
      <c r="CX64" s="205" t="s">
        <v>3940</v>
      </c>
      <c r="CY64" s="205" t="s">
        <v>3941</v>
      </c>
      <c r="CZ64" s="140" t="s">
        <v>3495</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2972</v>
      </c>
      <c r="G65" s="82" t="s">
        <v>3948</v>
      </c>
      <c r="H65" s="98"/>
      <c r="I65" s="300" t="s">
        <v>3949</v>
      </c>
      <c r="J65" s="88" t="s">
        <v>3950</v>
      </c>
      <c r="K65" s="88" t="s">
        <v>2744</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3509</v>
      </c>
      <c r="AU65" s="88" t="s">
        <v>3957</v>
      </c>
      <c r="AV65" s="98"/>
      <c r="AW65" s="98"/>
      <c r="AX65" s="98"/>
      <c r="AY65" s="98"/>
      <c r="AZ65" s="262"/>
      <c r="BA65" s="88" t="s">
        <v>293</v>
      </c>
      <c r="BB65" s="160" t="s">
        <v>568</v>
      </c>
      <c r="BC65" s="88" t="s">
        <v>892</v>
      </c>
      <c r="BD65" s="88" t="s">
        <v>1052</v>
      </c>
      <c r="BE65" s="88" t="s">
        <v>3583</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3162</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3966</v>
      </c>
      <c r="B66" s="507" t="s">
        <v>3967</v>
      </c>
      <c r="C66" s="508" t="s">
        <v>1483</v>
      </c>
      <c r="D66" s="509" t="s">
        <v>1483</v>
      </c>
      <c r="E66" s="510" t="s">
        <v>1483</v>
      </c>
      <c r="F66" s="511" t="s">
        <v>3785</v>
      </c>
      <c r="G66" s="507" t="s">
        <v>452</v>
      </c>
      <c r="H66" s="512" t="s">
        <v>1880</v>
      </c>
      <c r="I66" s="512" t="s">
        <v>3968</v>
      </c>
      <c r="J66" s="339" t="s">
        <v>1576</v>
      </c>
      <c r="K66" s="512" t="s">
        <v>3601</v>
      </c>
      <c r="L66" s="512" t="s">
        <v>2613</v>
      </c>
      <c r="M66" s="512" t="s">
        <v>3969</v>
      </c>
      <c r="N66" s="339" t="s">
        <v>3358</v>
      </c>
      <c r="O66" s="513" t="s">
        <v>3970</v>
      </c>
      <c r="P66" s="512" t="s">
        <v>2854</v>
      </c>
      <c r="Q66" s="512" t="s">
        <v>3971</v>
      </c>
      <c r="R66" s="512" t="s">
        <v>3972</v>
      </c>
      <c r="S66" s="512" t="s">
        <v>3183</v>
      </c>
      <c r="T66" s="512" t="s">
        <v>2638</v>
      </c>
      <c r="U66" s="512" t="s">
        <v>3973</v>
      </c>
      <c r="V66" s="512" t="s">
        <v>3974</v>
      </c>
      <c r="W66" s="154"/>
      <c r="X66" s="345" t="s">
        <v>3963</v>
      </c>
      <c r="Y66" s="345" t="s">
        <v>3975</v>
      </c>
      <c r="Z66" s="343" t="s">
        <v>1449</v>
      </c>
      <c r="AA66" s="345" t="s">
        <v>2508</v>
      </c>
      <c r="AB66" s="345" t="s">
        <v>1914</v>
      </c>
      <c r="AC66" s="345" t="s">
        <v>3976</v>
      </c>
      <c r="AD66" s="343" t="s">
        <v>2445</v>
      </c>
      <c r="AE66" s="343" t="s">
        <v>1542</v>
      </c>
      <c r="AF66" s="345" t="s">
        <v>3834</v>
      </c>
      <c r="AG66" s="343" t="s">
        <v>2714</v>
      </c>
      <c r="AH66" s="345" t="s">
        <v>3977</v>
      </c>
      <c r="AI66" s="343" t="s">
        <v>2564</v>
      </c>
      <c r="AJ66" s="343" t="s">
        <v>3978</v>
      </c>
      <c r="AK66" s="154"/>
      <c r="AL66" s="348" t="s">
        <v>404</v>
      </c>
      <c r="AM66" s="514" t="s">
        <v>1559</v>
      </c>
      <c r="AN66" s="515" t="s">
        <v>3979</v>
      </c>
      <c r="AO66" s="347" t="s">
        <v>3980</v>
      </c>
      <c r="AP66" s="347" t="s">
        <v>3981</v>
      </c>
      <c r="AQ66" s="347" t="s">
        <v>2713</v>
      </c>
      <c r="AR66" s="347" t="s">
        <v>3982</v>
      </c>
      <c r="AS66" s="347" t="s">
        <v>3983</v>
      </c>
      <c r="AT66" s="515" t="s">
        <v>2726</v>
      </c>
      <c r="AU66" s="348" t="s">
        <v>371</v>
      </c>
      <c r="AV66" s="347" t="s">
        <v>3627</v>
      </c>
      <c r="AW66" s="347" t="s">
        <v>1879</v>
      </c>
      <c r="AX66" s="347" t="s">
        <v>3984</v>
      </c>
      <c r="AY66" s="347" t="s">
        <v>3985</v>
      </c>
      <c r="AZ66" s="347"/>
      <c r="BA66" s="516" t="s">
        <v>3986</v>
      </c>
      <c r="BB66" s="354" t="s">
        <v>2745</v>
      </c>
      <c r="BC66" s="516" t="s">
        <v>1361</v>
      </c>
      <c r="BD66" s="516" t="s">
        <v>3117</v>
      </c>
      <c r="BE66" s="516" t="s">
        <v>3369</v>
      </c>
      <c r="BF66" s="517" t="s">
        <v>3987</v>
      </c>
      <c r="BG66" s="354" t="s">
        <v>3988</v>
      </c>
      <c r="BH66" s="517" t="s">
        <v>3989</v>
      </c>
      <c r="BI66" s="354" t="s">
        <v>3990</v>
      </c>
      <c r="BJ66" s="354" t="s">
        <v>3991</v>
      </c>
      <c r="BK66" s="516" t="s">
        <v>3982</v>
      </c>
      <c r="BL66" s="516" t="s">
        <v>3992</v>
      </c>
      <c r="BM66" s="516" t="s">
        <v>2151</v>
      </c>
      <c r="BN66" s="516" t="s">
        <v>611</v>
      </c>
      <c r="BO66" s="516" t="s">
        <v>3993</v>
      </c>
      <c r="BP66" s="516"/>
      <c r="BQ66" s="359" t="s">
        <v>3994</v>
      </c>
      <c r="BR66" s="518" t="s">
        <v>3139</v>
      </c>
      <c r="BS66" s="359" t="s">
        <v>3995</v>
      </c>
      <c r="BT66" s="519" t="s">
        <v>269</v>
      </c>
      <c r="BU66" s="520" t="s">
        <v>3996</v>
      </c>
      <c r="BV66" s="520" t="s">
        <v>401</v>
      </c>
      <c r="BW66" s="520" t="s">
        <v>3997</v>
      </c>
      <c r="BX66" s="359" t="s">
        <v>2281</v>
      </c>
      <c r="BY66" s="518" t="s">
        <v>3998</v>
      </c>
      <c r="BZ66" s="520" t="s">
        <v>2598</v>
      </c>
      <c r="CA66" s="520" t="s">
        <v>3999</v>
      </c>
      <c r="CB66" s="520" t="s">
        <v>351</v>
      </c>
      <c r="CC66" s="520" t="s">
        <v>4000</v>
      </c>
      <c r="CD66" s="359" t="s">
        <v>4001</v>
      </c>
      <c r="CE66" s="521"/>
      <c r="CF66" s="463" t="s">
        <v>2300</v>
      </c>
      <c r="CG66" s="463" t="s">
        <v>3137</v>
      </c>
      <c r="CH66" s="463" t="s">
        <v>4002</v>
      </c>
      <c r="CI66" s="361" t="s">
        <v>4003</v>
      </c>
      <c r="CJ66" s="522"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3" t="s">
        <v>4014</v>
      </c>
      <c r="DA66" s="364" t="s">
        <v>4015</v>
      </c>
      <c r="DB66" s="364" t="s">
        <v>4016</v>
      </c>
      <c r="DC66" s="364" t="s">
        <v>2382</v>
      </c>
      <c r="DD66" s="364" t="s">
        <v>2611</v>
      </c>
      <c r="DE66" s="364" t="s">
        <v>3560</v>
      </c>
      <c r="DF66" s="364"/>
      <c r="DG66" s="371" t="s">
        <v>1997</v>
      </c>
      <c r="DH66" s="371"/>
      <c r="DI66" s="371" t="s">
        <v>4017</v>
      </c>
      <c r="DJ66" s="371" t="s">
        <v>4018</v>
      </c>
      <c r="DK66" s="371" t="s">
        <v>2731</v>
      </c>
      <c r="DL66" s="371" t="s">
        <v>719</v>
      </c>
      <c r="DM66" s="371" t="s">
        <v>4019</v>
      </c>
      <c r="DN66" s="371" t="s">
        <v>4020</v>
      </c>
      <c r="DO66" s="371" t="s">
        <v>3743</v>
      </c>
      <c r="DP66" s="371" t="s">
        <v>3780</v>
      </c>
      <c r="DQ66" s="371" t="s">
        <v>3458</v>
      </c>
      <c r="DR66" s="371" t="s">
        <v>3554</v>
      </c>
      <c r="DS66" s="371" t="s">
        <v>4021</v>
      </c>
      <c r="DT66" s="524" t="s">
        <v>4022</v>
      </c>
      <c r="DU66" s="525" t="s">
        <v>659</v>
      </c>
      <c r="DV66" s="371" t="s">
        <v>4023</v>
      </c>
      <c r="DW66" s="371" t="s">
        <v>3427</v>
      </c>
      <c r="DX66" s="371" t="s">
        <v>3710</v>
      </c>
      <c r="DY66" s="371" t="s">
        <v>2238</v>
      </c>
      <c r="DZ66" s="371" t="s">
        <v>3902</v>
      </c>
      <c r="EA66" s="371" t="s">
        <v>1914</v>
      </c>
      <c r="EB66" s="319" t="s">
        <v>4024</v>
      </c>
    </row>
    <row r="67">
      <c r="A67" s="526" t="s">
        <v>4025</v>
      </c>
      <c r="B67" s="82" t="s">
        <v>4026</v>
      </c>
      <c r="C67" s="83" t="s">
        <v>1483</v>
      </c>
      <c r="D67" s="84" t="s">
        <v>1483</v>
      </c>
      <c r="E67" s="85" t="s">
        <v>1483</v>
      </c>
      <c r="F67" s="86" t="s">
        <v>1033</v>
      </c>
      <c r="G67" s="82" t="s">
        <v>3009</v>
      </c>
      <c r="H67" s="88" t="s">
        <v>3547</v>
      </c>
      <c r="I67" s="93" t="s">
        <v>2386</v>
      </c>
      <c r="J67" s="93" t="s">
        <v>4027</v>
      </c>
      <c r="K67" s="93" t="s">
        <v>4028</v>
      </c>
      <c r="L67" s="93" t="s">
        <v>4029</v>
      </c>
      <c r="M67" s="93" t="s">
        <v>2342</v>
      </c>
      <c r="N67" s="93" t="s">
        <v>4030</v>
      </c>
      <c r="O67" s="93" t="s">
        <v>4031</v>
      </c>
      <c r="P67" s="93" t="s">
        <v>2978</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2752</v>
      </c>
      <c r="AE67" s="93" t="s">
        <v>3127</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2913</v>
      </c>
      <c r="BF67" s="93" t="s">
        <v>4053</v>
      </c>
      <c r="BG67" s="93" t="s">
        <v>4054</v>
      </c>
      <c r="BH67" s="93" t="s">
        <v>2603</v>
      </c>
      <c r="BI67" s="93" t="s">
        <v>3034</v>
      </c>
      <c r="BJ67" s="93"/>
      <c r="BK67" s="93" t="s">
        <v>4055</v>
      </c>
      <c r="BL67" s="93" t="s">
        <v>1603</v>
      </c>
      <c r="BM67" s="93" t="s">
        <v>2734</v>
      </c>
      <c r="BN67" s="93" t="s">
        <v>4056</v>
      </c>
      <c r="BO67" s="93" t="s">
        <v>4057</v>
      </c>
      <c r="BP67" s="96"/>
      <c r="BQ67" s="93" t="s">
        <v>4058</v>
      </c>
      <c r="BR67" s="88" t="s">
        <v>4059</v>
      </c>
      <c r="BS67" s="93" t="s">
        <v>3928</v>
      </c>
      <c r="BT67" s="93" t="s">
        <v>4060</v>
      </c>
      <c r="BU67" s="93" t="s">
        <v>3677</v>
      </c>
      <c r="BV67" s="93" t="s">
        <v>1704</v>
      </c>
      <c r="BW67" s="93" t="s">
        <v>4061</v>
      </c>
      <c r="BX67" s="93" t="s">
        <v>4062</v>
      </c>
      <c r="BY67" s="98"/>
      <c r="BZ67" s="93" t="s">
        <v>4063</v>
      </c>
      <c r="CA67" s="93" t="s">
        <v>4064</v>
      </c>
      <c r="CB67" s="93" t="s">
        <v>877</v>
      </c>
      <c r="CC67" s="93" t="s">
        <v>2265</v>
      </c>
      <c r="CD67" s="93" t="s">
        <v>4065</v>
      </c>
      <c r="CE67" s="262"/>
      <c r="CF67" s="527">
        <v>55.85</v>
      </c>
      <c r="CG67" s="93" t="s">
        <v>242</v>
      </c>
      <c r="CH67" s="93" t="s">
        <v>4066</v>
      </c>
      <c r="CI67" s="93" t="s">
        <v>3048</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3413</v>
      </c>
      <c r="DL67" s="93" t="s">
        <v>719</v>
      </c>
      <c r="DM67" s="93" t="s">
        <v>4084</v>
      </c>
      <c r="DN67" s="93" t="s">
        <v>4085</v>
      </c>
      <c r="DO67" s="93" t="s">
        <v>4086</v>
      </c>
      <c r="DP67" s="93" t="s">
        <v>2040</v>
      </c>
      <c r="DQ67" s="88" t="s">
        <v>3089</v>
      </c>
      <c r="DR67" s="93" t="s">
        <v>455</v>
      </c>
      <c r="DS67" s="93" t="s">
        <v>3236</v>
      </c>
      <c r="DT67" s="93" t="s">
        <v>4087</v>
      </c>
      <c r="DU67" s="93" t="s">
        <v>4088</v>
      </c>
      <c r="DV67" s="93" t="s">
        <v>382</v>
      </c>
      <c r="DW67" s="528" t="s">
        <v>3161</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3500</v>
      </c>
      <c r="M68" s="166" t="s">
        <v>4098</v>
      </c>
      <c r="N68" s="166" t="s">
        <v>4099</v>
      </c>
      <c r="O68" s="166" t="s">
        <v>4100</v>
      </c>
      <c r="P68" s="112" t="s">
        <v>2978</v>
      </c>
      <c r="Q68" s="166" t="s">
        <v>4101</v>
      </c>
      <c r="R68" s="166" t="s">
        <v>548</v>
      </c>
      <c r="S68" s="304" t="s">
        <v>3370</v>
      </c>
      <c r="T68" s="222"/>
      <c r="U68" s="112" t="s">
        <v>1272</v>
      </c>
      <c r="V68" s="166" t="s">
        <v>4102</v>
      </c>
      <c r="W68" s="92"/>
      <c r="X68" s="116" t="s">
        <v>4103</v>
      </c>
      <c r="Y68" s="197" t="s">
        <v>1056</v>
      </c>
      <c r="Z68" s="197" t="s">
        <v>4104</v>
      </c>
      <c r="AA68" s="116" t="s">
        <v>3830</v>
      </c>
      <c r="AB68" s="116" t="s">
        <v>4105</v>
      </c>
      <c r="AC68" s="197" t="s">
        <v>4106</v>
      </c>
      <c r="AD68" s="197"/>
      <c r="AE68" s="197" t="s">
        <v>4107</v>
      </c>
      <c r="AF68" s="197" t="s">
        <v>2365</v>
      </c>
      <c r="AG68" s="197" t="s">
        <v>4108</v>
      </c>
      <c r="AH68" s="197"/>
      <c r="AI68" s="197" t="s">
        <v>4109</v>
      </c>
      <c r="AJ68" s="116" t="s">
        <v>724</v>
      </c>
      <c r="AK68" s="92"/>
      <c r="AL68" s="167" t="s">
        <v>3514</v>
      </c>
      <c r="AM68" s="121" t="s">
        <v>3923</v>
      </c>
      <c r="AN68" s="167" t="s">
        <v>4110</v>
      </c>
      <c r="AO68" s="167" t="s">
        <v>4111</v>
      </c>
      <c r="AP68" s="167" t="s">
        <v>4112</v>
      </c>
      <c r="AQ68" s="167" t="s">
        <v>2658</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3106</v>
      </c>
      <c r="BI68" s="173" t="s">
        <v>4116</v>
      </c>
      <c r="BJ68" s="171" t="s">
        <v>4117</v>
      </c>
      <c r="BK68" s="173" t="s">
        <v>3960</v>
      </c>
      <c r="BL68" s="127" t="s">
        <v>4118</v>
      </c>
      <c r="BM68" s="127" t="s">
        <v>4119</v>
      </c>
      <c r="BN68" s="173" t="s">
        <v>4120</v>
      </c>
      <c r="BO68" s="173" t="s">
        <v>4121</v>
      </c>
      <c r="BP68" s="173"/>
      <c r="BQ68" s="130" t="s">
        <v>3186</v>
      </c>
      <c r="BR68" s="174" t="s">
        <v>2384</v>
      </c>
      <c r="BS68" s="130" t="s">
        <v>3962</v>
      </c>
      <c r="BT68" s="311" t="s">
        <v>3665</v>
      </c>
      <c r="BU68" s="174" t="s">
        <v>4122</v>
      </c>
      <c r="BV68" s="311" t="s">
        <v>3930</v>
      </c>
      <c r="BW68" s="278"/>
      <c r="BX68" s="174" t="s">
        <v>4123</v>
      </c>
      <c r="BY68" s="174" t="s">
        <v>4124</v>
      </c>
      <c r="BZ68" s="174" t="s">
        <v>1884</v>
      </c>
      <c r="CA68" s="130" t="s">
        <v>4125</v>
      </c>
      <c r="CB68" s="130" t="s">
        <v>4126</v>
      </c>
      <c r="CC68" s="311" t="s">
        <v>978</v>
      </c>
      <c r="CD68" s="311" t="s">
        <v>4127</v>
      </c>
      <c r="CE68" s="174"/>
      <c r="CF68" s="135" t="s">
        <v>3943</v>
      </c>
      <c r="CG68" s="135" t="s">
        <v>4128</v>
      </c>
      <c r="CH68" s="335" t="s">
        <v>4129</v>
      </c>
      <c r="CI68" s="135" t="s">
        <v>4130</v>
      </c>
      <c r="CJ68" s="136"/>
      <c r="CK68" s="327" t="s">
        <v>4131</v>
      </c>
      <c r="CL68" s="135" t="s">
        <v>4132</v>
      </c>
      <c r="CM68" s="176" t="s">
        <v>4133</v>
      </c>
      <c r="CN68" s="281"/>
      <c r="CO68" s="176" t="s">
        <v>2830</v>
      </c>
      <c r="CP68" s="176" t="s">
        <v>3121</v>
      </c>
      <c r="CQ68" s="176" t="s">
        <v>1774</v>
      </c>
      <c r="CR68" s="176" t="s">
        <v>4134</v>
      </c>
      <c r="CS68" s="101"/>
      <c r="CT68" s="205" t="s">
        <v>4135</v>
      </c>
      <c r="CU68" s="205" t="s">
        <v>4136</v>
      </c>
      <c r="CV68" s="205" t="s">
        <v>3541</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3154</v>
      </c>
      <c r="DR68" s="284"/>
      <c r="DS68" s="284"/>
      <c r="DT68" s="206" t="s">
        <v>4148</v>
      </c>
      <c r="DU68" s="206" t="s">
        <v>1020</v>
      </c>
      <c r="DV68" s="206" t="s">
        <v>4149</v>
      </c>
      <c r="DW68" s="206" t="s">
        <v>1102</v>
      </c>
      <c r="DX68" s="206" t="s">
        <v>2697</v>
      </c>
      <c r="DY68" s="206" t="s">
        <v>1566</v>
      </c>
      <c r="DZ68" s="206" t="s">
        <v>4150</v>
      </c>
      <c r="EA68" s="145" t="s">
        <v>3402</v>
      </c>
      <c r="EB68" s="319" t="s">
        <v>4151</v>
      </c>
    </row>
    <row r="69">
      <c r="A69" s="148" t="s">
        <v>4152</v>
      </c>
      <c r="B69" s="529" t="s">
        <v>4153</v>
      </c>
      <c r="C69" s="530" t="s">
        <v>1483</v>
      </c>
      <c r="D69" s="531" t="s">
        <v>562</v>
      </c>
      <c r="E69" s="532" t="s">
        <v>562</v>
      </c>
      <c r="F69" s="533" t="s">
        <v>1109</v>
      </c>
      <c r="G69" s="529" t="s">
        <v>1571</v>
      </c>
      <c r="H69" s="534" t="s">
        <v>4154</v>
      </c>
      <c r="I69" s="534" t="s">
        <v>3076</v>
      </c>
      <c r="J69" s="534" t="s">
        <v>4155</v>
      </c>
      <c r="K69" s="534" t="s">
        <v>1807</v>
      </c>
      <c r="L69" s="534" t="s">
        <v>1071</v>
      </c>
      <c r="M69" s="534" t="s">
        <v>4156</v>
      </c>
      <c r="N69" s="535" t="s">
        <v>4157</v>
      </c>
      <c r="O69" s="535" t="s">
        <v>4158</v>
      </c>
      <c r="P69" s="534" t="s">
        <v>674</v>
      </c>
      <c r="Q69" s="535"/>
      <c r="R69" s="535"/>
      <c r="S69" s="535"/>
      <c r="T69" s="535"/>
      <c r="U69" s="535"/>
      <c r="V69" s="535"/>
      <c r="W69" s="536"/>
      <c r="X69" s="534" t="s">
        <v>1497</v>
      </c>
      <c r="Y69" s="534" t="s">
        <v>3794</v>
      </c>
      <c r="Z69" s="99" t="s">
        <v>1047</v>
      </c>
      <c r="AA69" s="534" t="s">
        <v>4159</v>
      </c>
      <c r="AB69" s="534" t="s">
        <v>785</v>
      </c>
      <c r="AC69" s="535" t="s">
        <v>4106</v>
      </c>
      <c r="AD69" s="534" t="s">
        <v>1122</v>
      </c>
      <c r="AE69" s="535" t="s">
        <v>4160</v>
      </c>
      <c r="AF69" s="534" t="s">
        <v>1502</v>
      </c>
      <c r="AG69" s="535"/>
      <c r="AH69" s="535"/>
      <c r="AI69" s="535"/>
      <c r="AJ69" s="535"/>
      <c r="AK69" s="536"/>
      <c r="AL69" s="537" t="s">
        <v>4161</v>
      </c>
      <c r="AM69" s="534" t="s">
        <v>2033</v>
      </c>
      <c r="AN69" s="535"/>
      <c r="AO69" s="535"/>
      <c r="AP69" s="535"/>
      <c r="AQ69" s="535"/>
      <c r="AR69" s="535" t="s">
        <v>4162</v>
      </c>
      <c r="AS69" s="535"/>
      <c r="AT69" s="534" t="s">
        <v>4163</v>
      </c>
      <c r="AU69" s="534" t="s">
        <v>4164</v>
      </c>
      <c r="AV69" s="535"/>
      <c r="AW69" s="535"/>
      <c r="AX69" s="535"/>
      <c r="AY69" s="535"/>
      <c r="AZ69" s="535"/>
      <c r="BA69" s="534" t="s">
        <v>4165</v>
      </c>
      <c r="BB69" s="534" t="s">
        <v>1422</v>
      </c>
      <c r="BC69" s="535" t="s">
        <v>2410</v>
      </c>
      <c r="BD69" s="535" t="s">
        <v>603</v>
      </c>
      <c r="BE69" s="534" t="s">
        <v>3835</v>
      </c>
      <c r="BF69" s="535"/>
      <c r="BG69" s="535"/>
      <c r="BH69" s="535" t="s">
        <v>2422</v>
      </c>
      <c r="BI69" s="535"/>
      <c r="BJ69" s="535" t="s">
        <v>4166</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4167</v>
      </c>
      <c r="CG69" s="97" t="s">
        <v>1590</v>
      </c>
      <c r="CH69" s="535"/>
      <c r="CI69" s="535"/>
      <c r="CJ69" s="535"/>
      <c r="CK69" s="98"/>
      <c r="CL69" s="534" t="s">
        <v>1125</v>
      </c>
      <c r="CM69" s="535" t="s">
        <v>4168</v>
      </c>
      <c r="CN69" s="535"/>
      <c r="CO69" s="535"/>
      <c r="CP69" s="535"/>
      <c r="CQ69" s="535"/>
      <c r="CR69" s="535"/>
      <c r="CS69" s="536"/>
      <c r="CT69" s="98"/>
      <c r="CU69" s="535"/>
      <c r="CV69" s="534" t="s">
        <v>242</v>
      </c>
      <c r="CW69" s="535"/>
      <c r="CX69" s="98"/>
      <c r="CY69" s="535"/>
      <c r="CZ69" s="535" t="s">
        <v>3824</v>
      </c>
      <c r="DA69" s="535"/>
      <c r="DB69" s="535"/>
      <c r="DC69" s="535"/>
      <c r="DD69" s="535"/>
      <c r="DE69" s="98"/>
      <c r="DF69" s="535"/>
      <c r="DG69" s="538" t="s">
        <v>739</v>
      </c>
      <c r="DH69" s="98"/>
      <c r="DI69" s="535"/>
      <c r="DJ69" s="539"/>
      <c r="DK69" s="535" t="s">
        <v>544</v>
      </c>
      <c r="DL69" s="534" t="s">
        <v>1078</v>
      </c>
      <c r="DM69" s="535"/>
      <c r="DN69" s="100"/>
      <c r="DO69" s="98"/>
      <c r="DP69" s="534" t="s">
        <v>4169</v>
      </c>
      <c r="DQ69" s="535"/>
      <c r="DR69" s="535"/>
      <c r="DS69" s="535"/>
      <c r="DT69" s="535"/>
      <c r="DU69" s="534" t="s">
        <v>947</v>
      </c>
      <c r="DV69" s="535"/>
      <c r="DW69" s="535"/>
      <c r="DX69" s="535"/>
      <c r="DY69" s="98"/>
      <c r="DZ69" s="98"/>
      <c r="EA69" s="98"/>
      <c r="EB69" s="535"/>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3867</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3955</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3110</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2841</v>
      </c>
      <c r="CH70" s="176" t="s">
        <v>4204</v>
      </c>
      <c r="CI70" s="176" t="s">
        <v>4205</v>
      </c>
      <c r="CJ70" s="176" t="s">
        <v>2809</v>
      </c>
      <c r="CK70" s="176" t="s">
        <v>4206</v>
      </c>
      <c r="CL70" s="327" t="s">
        <v>3404</v>
      </c>
      <c r="CM70" s="176" t="s">
        <v>4207</v>
      </c>
      <c r="CN70" s="281"/>
      <c r="CO70" s="135" t="s">
        <v>4208</v>
      </c>
      <c r="CP70" s="281"/>
      <c r="CQ70" s="135" t="s">
        <v>4209</v>
      </c>
      <c r="CR70" s="281"/>
      <c r="CS70" s="101"/>
      <c r="CT70" s="205" t="s">
        <v>1414</v>
      </c>
      <c r="CU70" s="140" t="s">
        <v>1768</v>
      </c>
      <c r="CV70" s="377" t="s">
        <v>2886</v>
      </c>
      <c r="CW70" s="140" t="s">
        <v>2722</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3542</v>
      </c>
      <c r="DV70" s="284"/>
      <c r="DW70" s="208" t="s">
        <v>302</v>
      </c>
      <c r="DX70" s="206" t="s">
        <v>4216</v>
      </c>
      <c r="DY70" s="206" t="s">
        <v>4217</v>
      </c>
      <c r="DZ70" s="145" t="s">
        <v>4218</v>
      </c>
      <c r="EA70" s="145" t="s">
        <v>1966</v>
      </c>
      <c r="EB70" s="142" t="s">
        <v>3112</v>
      </c>
    </row>
    <row r="71">
      <c r="A71" s="81" t="s">
        <v>4219</v>
      </c>
      <c r="B71" s="82" t="s">
        <v>4220</v>
      </c>
      <c r="C71" s="83" t="s">
        <v>1483</v>
      </c>
      <c r="D71" s="84" t="s">
        <v>1483</v>
      </c>
      <c r="E71" s="85" t="s">
        <v>1483</v>
      </c>
      <c r="F71" s="86" t="s">
        <v>3464</v>
      </c>
      <c r="G71" s="82" t="s">
        <v>3264</v>
      </c>
      <c r="H71" s="88" t="s">
        <v>2652</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2808</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3168</v>
      </c>
      <c r="AU71" s="88" t="s">
        <v>418</v>
      </c>
      <c r="AV71" s="98"/>
      <c r="AW71" s="98"/>
      <c r="AX71" s="98"/>
      <c r="AY71" s="98"/>
      <c r="AZ71" s="262"/>
      <c r="BA71" s="88" t="s">
        <v>2871</v>
      </c>
      <c r="BB71" s="88" t="s">
        <v>312</v>
      </c>
      <c r="BC71" s="88" t="s">
        <v>1062</v>
      </c>
      <c r="BD71" s="88" t="s">
        <v>4233</v>
      </c>
      <c r="BE71" s="88" t="s">
        <v>4234</v>
      </c>
      <c r="BF71" s="88" t="s">
        <v>3159</v>
      </c>
      <c r="BG71" s="88" t="s">
        <v>4235</v>
      </c>
      <c r="BH71" s="88" t="s">
        <v>2401</v>
      </c>
      <c r="BI71" s="88" t="s">
        <v>4236</v>
      </c>
      <c r="BJ71" s="88" t="s">
        <v>4237</v>
      </c>
      <c r="BK71" s="88" t="s">
        <v>3960</v>
      </c>
      <c r="BL71" s="88" t="s">
        <v>4238</v>
      </c>
      <c r="BM71" s="88" t="s">
        <v>4119</v>
      </c>
      <c r="BN71" s="88" t="s">
        <v>4239</v>
      </c>
      <c r="BO71" s="98"/>
      <c r="BP71" s="262"/>
      <c r="BQ71" s="88" t="s">
        <v>4240</v>
      </c>
      <c r="BR71" s="88" t="s">
        <v>4131</v>
      </c>
      <c r="BS71" s="88" t="s">
        <v>3882</v>
      </c>
      <c r="BT71" s="88" t="s">
        <v>3248</v>
      </c>
      <c r="BU71" s="88" t="s">
        <v>1539</v>
      </c>
      <c r="BV71" s="88" t="s">
        <v>1172</v>
      </c>
      <c r="BW71" s="88" t="s">
        <v>4241</v>
      </c>
      <c r="BX71" s="88" t="s">
        <v>4242</v>
      </c>
      <c r="BY71" s="98"/>
      <c r="BZ71" s="88" t="s">
        <v>2737</v>
      </c>
      <c r="CA71" s="98"/>
      <c r="CB71" s="98"/>
      <c r="CC71" s="88" t="s">
        <v>4243</v>
      </c>
      <c r="CD71" s="98"/>
      <c r="CE71" s="262"/>
      <c r="CF71" s="88" t="s">
        <v>4244</v>
      </c>
      <c r="CG71" s="88" t="s">
        <v>4245</v>
      </c>
      <c r="CH71" s="88" t="s">
        <v>2301</v>
      </c>
      <c r="CI71" s="88" t="s">
        <v>4246</v>
      </c>
      <c r="CJ71" s="88" t="s">
        <v>3145</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3927</v>
      </c>
      <c r="DJ71" s="98"/>
      <c r="DK71" s="88" t="s">
        <v>544</v>
      </c>
      <c r="DL71" s="88" t="s">
        <v>4253</v>
      </c>
      <c r="DM71" s="93" t="s">
        <v>4254</v>
      </c>
      <c r="DN71" s="93" t="s">
        <v>3794</v>
      </c>
      <c r="DO71" s="98"/>
      <c r="DP71" s="88" t="s">
        <v>4255</v>
      </c>
      <c r="DQ71" s="88" t="s">
        <v>3826</v>
      </c>
      <c r="DR71" s="93" t="s">
        <v>4256</v>
      </c>
      <c r="DS71" s="93" t="s">
        <v>1965</v>
      </c>
      <c r="DT71" s="93" t="s">
        <v>4257</v>
      </c>
      <c r="DU71" s="88" t="s">
        <v>1791</v>
      </c>
      <c r="DV71" s="93" t="s">
        <v>3655</v>
      </c>
      <c r="DW71" s="93" t="s">
        <v>1623</v>
      </c>
      <c r="DX71" s="88" t="s">
        <v>4258</v>
      </c>
      <c r="DY71" s="88" t="s">
        <v>2264</v>
      </c>
      <c r="DZ71" s="93" t="s">
        <v>4259</v>
      </c>
      <c r="EA71" s="93" t="s">
        <v>1679</v>
      </c>
      <c r="EB71" s="540"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3160</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2711</v>
      </c>
      <c r="AK72" s="92"/>
      <c r="AL72" s="167" t="s">
        <v>3895</v>
      </c>
      <c r="AM72" s="167" t="s">
        <v>3562</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2852</v>
      </c>
      <c r="BC72" s="173" t="s">
        <v>2663</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2931</v>
      </c>
      <c r="Q73" s="97" t="s">
        <v>232</v>
      </c>
      <c r="R73" s="98"/>
      <c r="S73" s="98"/>
      <c r="T73" s="93" t="s">
        <v>2357</v>
      </c>
      <c r="U73" s="93" t="s">
        <v>3705</v>
      </c>
      <c r="V73" s="87" t="s">
        <v>4320</v>
      </c>
      <c r="W73" s="92"/>
      <c r="X73" s="98"/>
      <c r="Y73" s="93" t="s">
        <v>3123</v>
      </c>
      <c r="Z73" s="97" t="str">
        <f>HYPERLINK("https://youtu.be/esd_xoh2Wlk","14.77")</f>
        <v>14.77</v>
      </c>
      <c r="AA73" s="98"/>
      <c r="AB73" s="88" t="s">
        <v>3622</v>
      </c>
      <c r="AC73" s="93" t="s">
        <v>4321</v>
      </c>
      <c r="AD73" s="98"/>
      <c r="AE73" s="98"/>
      <c r="AF73" s="93" t="s">
        <v>3834</v>
      </c>
      <c r="AG73" s="93" t="s">
        <v>3588</v>
      </c>
      <c r="AH73" s="93"/>
      <c r="AI73" s="93" t="s">
        <v>4322</v>
      </c>
      <c r="AJ73" s="87" t="s">
        <v>4323</v>
      </c>
      <c r="AK73" s="92"/>
      <c r="AL73" s="98"/>
      <c r="AM73" s="98"/>
      <c r="AN73" s="88" t="s">
        <v>4324</v>
      </c>
      <c r="AO73" s="98"/>
      <c r="AP73" s="160" t="s">
        <v>379</v>
      </c>
      <c r="AQ73" s="88" t="s">
        <v>2455</v>
      </c>
      <c r="AR73" s="98"/>
      <c r="AS73" s="93" t="s">
        <v>3832</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2826</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2982</v>
      </c>
      <c r="CG73" s="88" t="s">
        <v>3304</v>
      </c>
      <c r="CH73" s="298" t="s">
        <v>4010</v>
      </c>
      <c r="CI73" s="93" t="s">
        <v>2844</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2821</v>
      </c>
      <c r="DU73" s="98"/>
      <c r="DV73" s="98"/>
      <c r="DW73" s="93" t="s">
        <v>4337</v>
      </c>
      <c r="DX73" s="97" t="s">
        <v>3005</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3117</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1"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3493</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2799</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2647</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3141</v>
      </c>
      <c r="BD76" s="462" t="s">
        <v>4383</v>
      </c>
      <c r="BE76" s="173" t="s">
        <v>1678</v>
      </c>
      <c r="BF76" s="172"/>
      <c r="BG76" s="172"/>
      <c r="BH76" s="173" t="s">
        <v>1459</v>
      </c>
      <c r="BI76" s="173"/>
      <c r="BJ76" s="173"/>
      <c r="BK76" s="173" t="s">
        <v>2066</v>
      </c>
      <c r="BL76" s="172"/>
      <c r="BM76" s="173" t="s">
        <v>2987</v>
      </c>
      <c r="BN76" s="173" t="s">
        <v>4384</v>
      </c>
      <c r="BO76" s="172"/>
      <c r="BP76" s="275"/>
      <c r="BQ76" s="174"/>
      <c r="BR76" s="175" t="s">
        <v>4385</v>
      </c>
      <c r="BS76" s="174" t="s">
        <v>3962</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2829</v>
      </c>
      <c r="CL76" s="176" t="s">
        <v>1623</v>
      </c>
      <c r="CM76" s="176" t="s">
        <v>2931</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2877</v>
      </c>
      <c r="AD77" s="98"/>
      <c r="AE77" s="288" t="s">
        <v>1405</v>
      </c>
      <c r="AF77" s="93" t="s">
        <v>3952</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2943</v>
      </c>
      <c r="BD77" s="93" t="s">
        <v>4408</v>
      </c>
      <c r="BE77" s="93" t="s">
        <v>4409</v>
      </c>
      <c r="BF77" s="93" t="s">
        <v>4410</v>
      </c>
      <c r="BG77" s="98"/>
      <c r="BH77" s="93" t="s">
        <v>2859</v>
      </c>
      <c r="BI77" s="93" t="s">
        <v>4411</v>
      </c>
      <c r="BJ77" s="93" t="s">
        <v>4412</v>
      </c>
      <c r="BK77" s="93" t="s">
        <v>3851</v>
      </c>
      <c r="BL77" s="98"/>
      <c r="BM77" s="98"/>
      <c r="BN77" s="98"/>
      <c r="BO77" s="98"/>
      <c r="BP77" s="262"/>
      <c r="BQ77" s="93" t="s">
        <v>4413</v>
      </c>
      <c r="BR77" s="93" t="s">
        <v>4414</v>
      </c>
      <c r="BS77" s="93" t="s">
        <v>3962</v>
      </c>
      <c r="BT77" s="93" t="s">
        <v>3094</v>
      </c>
      <c r="BU77" s="93" t="s">
        <v>885</v>
      </c>
      <c r="BV77" s="93" t="s">
        <v>4415</v>
      </c>
      <c r="BW77" s="93" t="s">
        <v>4416</v>
      </c>
      <c r="BX77" s="93" t="s">
        <v>4417</v>
      </c>
      <c r="BY77" s="93" t="s">
        <v>4418</v>
      </c>
      <c r="BZ77" s="93" t="s">
        <v>3723</v>
      </c>
      <c r="CA77" s="98"/>
      <c r="CB77" s="98"/>
      <c r="CC77" s="98"/>
      <c r="CD77" s="98"/>
      <c r="CE77" s="262"/>
      <c r="CF77" s="93" t="s">
        <v>2251</v>
      </c>
      <c r="CG77" s="93" t="s">
        <v>2941</v>
      </c>
      <c r="CH77" s="93" t="s">
        <v>3925</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3029</v>
      </c>
      <c r="BD78" s="173" t="s">
        <v>264</v>
      </c>
      <c r="BE78" s="173" t="s">
        <v>3943</v>
      </c>
      <c r="BF78" s="173" t="s">
        <v>1272</v>
      </c>
      <c r="BG78" s="173" t="s">
        <v>2877</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3414</v>
      </c>
      <c r="CH78" s="176" t="s">
        <v>4469</v>
      </c>
      <c r="CI78" s="176" t="s">
        <v>4470</v>
      </c>
      <c r="CJ78" s="176" t="s">
        <v>240</v>
      </c>
      <c r="CK78" s="544" t="s">
        <v>4471</v>
      </c>
      <c r="CL78" s="176" t="s">
        <v>3817</v>
      </c>
      <c r="CM78" s="176" t="s">
        <v>3730</v>
      </c>
      <c r="CN78" s="281"/>
      <c r="CO78" s="176" t="s">
        <v>1352</v>
      </c>
      <c r="CP78" s="176"/>
      <c r="CQ78" s="176" t="s">
        <v>4472</v>
      </c>
      <c r="CR78" s="176" t="s">
        <v>4473</v>
      </c>
      <c r="CS78" s="101"/>
      <c r="CT78" s="205" t="s">
        <v>3056</v>
      </c>
      <c r="CU78" s="205" t="s">
        <v>4474</v>
      </c>
      <c r="CV78" s="205" t="s">
        <v>4475</v>
      </c>
      <c r="CW78" s="205" t="s">
        <v>1622</v>
      </c>
      <c r="CX78" s="205" t="s">
        <v>4476</v>
      </c>
      <c r="CY78" s="205" t="s">
        <v>4477</v>
      </c>
      <c r="CZ78" s="205" t="s">
        <v>4478</v>
      </c>
      <c r="DA78" s="205" t="s">
        <v>4479</v>
      </c>
      <c r="DB78" s="205" t="s">
        <v>751</v>
      </c>
      <c r="DC78" s="205" t="s">
        <v>4480</v>
      </c>
      <c r="DD78" s="205" t="s">
        <v>3001</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496"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2931</v>
      </c>
      <c r="Q79" s="98"/>
      <c r="R79" s="98"/>
      <c r="S79" s="93" t="s">
        <v>1473</v>
      </c>
      <c r="T79" s="98"/>
      <c r="U79" s="93" t="s">
        <v>4496</v>
      </c>
      <c r="V79" s="98"/>
      <c r="W79" s="92"/>
      <c r="X79" s="93" t="s">
        <v>4497</v>
      </c>
      <c r="Y79" s="93" t="s">
        <v>4498</v>
      </c>
      <c r="Z79" s="93" t="s">
        <v>526</v>
      </c>
      <c r="AA79" s="93" t="s">
        <v>4499</v>
      </c>
      <c r="AB79" s="93" t="s">
        <v>4049</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3520</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2723</v>
      </c>
      <c r="CV79" s="383" t="s">
        <v>1726</v>
      </c>
      <c r="CW79" s="383" t="s">
        <v>3129</v>
      </c>
      <c r="CX79" s="383" t="s">
        <v>4518</v>
      </c>
      <c r="CY79" s="383" t="s">
        <v>1726</v>
      </c>
      <c r="CZ79" s="382" t="s">
        <v>4519</v>
      </c>
      <c r="DA79" s="383" t="s">
        <v>3585</v>
      </c>
      <c r="DB79" s="98"/>
      <c r="DC79" s="98"/>
      <c r="DD79" s="98"/>
      <c r="DE79" s="98"/>
      <c r="DF79" s="262"/>
      <c r="DG79" s="383"/>
      <c r="DH79" s="383"/>
      <c r="DI79" s="383"/>
      <c r="DJ79" s="383"/>
      <c r="DK79" s="383"/>
      <c r="DL79" s="93" t="s">
        <v>4520</v>
      </c>
      <c r="DM79" s="383"/>
      <c r="DN79" s="383"/>
      <c r="DO79" s="93" t="s">
        <v>3413</v>
      </c>
      <c r="DP79" s="93" t="s">
        <v>4521</v>
      </c>
      <c r="DQ79" s="93" t="s">
        <v>4522</v>
      </c>
      <c r="DR79" s="93" t="s">
        <v>3834</v>
      </c>
      <c r="DS79" s="93" t="s">
        <v>3116</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2972</v>
      </c>
      <c r="H80" s="166"/>
      <c r="I80" s="112" t="s">
        <v>4528</v>
      </c>
      <c r="J80" s="222" t="s">
        <v>1716</v>
      </c>
      <c r="K80" s="302" t="s">
        <v>4529</v>
      </c>
      <c r="L80" s="112" t="s">
        <v>4530</v>
      </c>
      <c r="M80" s="388" t="s">
        <v>1808</v>
      </c>
      <c r="N80" s="222"/>
      <c r="O80" s="304" t="s">
        <v>4531</v>
      </c>
      <c r="P80" s="112" t="s">
        <v>2931</v>
      </c>
      <c r="Q80" s="222"/>
      <c r="R80" s="166"/>
      <c r="S80" s="166"/>
      <c r="T80" s="222"/>
      <c r="U80" s="222"/>
      <c r="V80" s="222"/>
      <c r="W80" s="92"/>
      <c r="X80" s="116" t="s">
        <v>1737</v>
      </c>
      <c r="Y80" s="197" t="s">
        <v>4498</v>
      </c>
      <c r="Z80" s="116" t="s">
        <v>1499</v>
      </c>
      <c r="AA80" s="197" t="s">
        <v>4532</v>
      </c>
      <c r="AB80" s="116" t="s">
        <v>3308</v>
      </c>
      <c r="AC80" s="197" t="s">
        <v>2957</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2830</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3796</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2951</v>
      </c>
      <c r="I81" s="300" t="s">
        <v>4544</v>
      </c>
      <c r="J81" s="93" t="s">
        <v>692</v>
      </c>
      <c r="K81" s="93" t="s">
        <v>4545</v>
      </c>
      <c r="L81" s="93" t="s">
        <v>4546</v>
      </c>
      <c r="M81" s="93" t="s">
        <v>4547</v>
      </c>
      <c r="N81" s="93" t="s">
        <v>4548</v>
      </c>
      <c r="O81" s="93" t="s">
        <v>377</v>
      </c>
      <c r="P81" s="93" t="s">
        <v>2909</v>
      </c>
      <c r="Q81" s="88" t="s">
        <v>4549</v>
      </c>
      <c r="R81" s="93" t="s">
        <v>2603</v>
      </c>
      <c r="S81" s="160" t="s">
        <v>3030</v>
      </c>
      <c r="T81" s="93" t="s">
        <v>3021</v>
      </c>
      <c r="U81" s="93" t="s">
        <v>2147</v>
      </c>
      <c r="V81" s="93" t="s">
        <v>4550</v>
      </c>
      <c r="W81" s="92"/>
      <c r="X81" s="300" t="s">
        <v>4551</v>
      </c>
      <c r="Y81" s="93" t="s">
        <v>3109</v>
      </c>
      <c r="Z81" s="209" t="s">
        <v>3528</v>
      </c>
      <c r="AA81" s="160" t="s">
        <v>3830</v>
      </c>
      <c r="AB81" s="160" t="s">
        <v>4552</v>
      </c>
      <c r="AC81" s="88" t="s">
        <v>4553</v>
      </c>
      <c r="AD81" s="98"/>
      <c r="AE81" s="88" t="s">
        <v>3277</v>
      </c>
      <c r="AF81" s="209" t="s">
        <v>1819</v>
      </c>
      <c r="AG81" s="93" t="s">
        <v>1920</v>
      </c>
      <c r="AH81" s="98"/>
      <c r="AI81" s="93" t="s">
        <v>3591</v>
      </c>
      <c r="AJ81" s="93" t="s">
        <v>4554</v>
      </c>
      <c r="AK81" s="92"/>
      <c r="AL81" s="93" t="s">
        <v>376</v>
      </c>
      <c r="AM81" s="93" t="s">
        <v>4555</v>
      </c>
      <c r="AN81" s="93" t="s">
        <v>4556</v>
      </c>
      <c r="AO81" s="93" t="s">
        <v>4557</v>
      </c>
      <c r="AP81" s="93" t="s">
        <v>1491</v>
      </c>
      <c r="AQ81" s="93" t="s">
        <v>3826</v>
      </c>
      <c r="AR81" s="93" t="s">
        <v>3676</v>
      </c>
      <c r="AS81" s="93" t="s">
        <v>4558</v>
      </c>
      <c r="AT81" s="93" t="s">
        <v>2788</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2826</v>
      </c>
      <c r="BL81" s="93" t="s">
        <v>4568</v>
      </c>
      <c r="BM81" s="209" t="s">
        <v>4070</v>
      </c>
      <c r="BN81" s="93" t="s">
        <v>3852</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3018</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2751</v>
      </c>
      <c r="DU81" s="93" t="s">
        <v>4596</v>
      </c>
      <c r="DV81" s="93" t="s">
        <v>4597</v>
      </c>
      <c r="DW81" s="93" t="s">
        <v>4598</v>
      </c>
      <c r="DX81" s="93" t="s">
        <v>3178</v>
      </c>
      <c r="DY81" s="93" t="s">
        <v>2736</v>
      </c>
      <c r="DZ81" s="88" t="s">
        <v>4599</v>
      </c>
      <c r="EA81" s="88" t="s">
        <v>4150</v>
      </c>
      <c r="EB81" s="97" t="s">
        <v>3072</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3137</v>
      </c>
      <c r="AC82" s="116" t="s">
        <v>2851</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3037</v>
      </c>
      <c r="AT82" s="121" t="s">
        <v>2849</v>
      </c>
      <c r="AU82" s="121" t="s">
        <v>925</v>
      </c>
      <c r="AV82" s="121" t="s">
        <v>656</v>
      </c>
      <c r="AW82" s="167" t="s">
        <v>4216</v>
      </c>
      <c r="AX82" s="167" t="s">
        <v>3281</v>
      </c>
      <c r="AY82" s="167" t="s">
        <v>4621</v>
      </c>
      <c r="AZ82" s="167"/>
      <c r="BA82" s="127" t="s">
        <v>288</v>
      </c>
      <c r="BB82" s="127" t="s">
        <v>4455</v>
      </c>
      <c r="BC82" s="127" t="s">
        <v>4622</v>
      </c>
      <c r="BD82" s="127" t="s">
        <v>3532</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3915</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3574</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3109</v>
      </c>
      <c r="DO82" s="206" t="s">
        <v>4311</v>
      </c>
      <c r="DP82" s="145" t="s">
        <v>4652</v>
      </c>
      <c r="DQ82" s="145" t="s">
        <v>3517</v>
      </c>
      <c r="DR82" s="145" t="s">
        <v>3865</v>
      </c>
      <c r="DS82" s="206" t="s">
        <v>2196</v>
      </c>
      <c r="DT82" s="206" t="s">
        <v>4653</v>
      </c>
      <c r="DU82" s="145" t="s">
        <v>2858</v>
      </c>
      <c r="DV82" s="206" t="s">
        <v>2276</v>
      </c>
      <c r="DW82" s="206" t="s">
        <v>1914</v>
      </c>
      <c r="DX82" s="206" t="s">
        <v>2580</v>
      </c>
      <c r="DY82" s="206" t="s">
        <v>1525</v>
      </c>
      <c r="DZ82" s="206" t="s">
        <v>2142</v>
      </c>
      <c r="EA82" s="206" t="s">
        <v>4654</v>
      </c>
      <c r="EB82" s="142" t="s">
        <v>4655</v>
      </c>
    </row>
    <row r="83">
      <c r="A83" s="545" t="s">
        <v>4656</v>
      </c>
      <c r="B83" s="546" t="s">
        <v>4657</v>
      </c>
      <c r="C83" s="547" t="s">
        <v>1483</v>
      </c>
      <c r="D83" s="548" t="s">
        <v>1483</v>
      </c>
      <c r="E83" s="549" t="s">
        <v>1483</v>
      </c>
      <c r="F83" s="550" t="s">
        <v>448</v>
      </c>
      <c r="G83" s="546" t="s">
        <v>4658</v>
      </c>
      <c r="H83" s="300"/>
      <c r="I83" s="288" t="s">
        <v>4659</v>
      </c>
      <c r="J83" s="300" t="s">
        <v>3079</v>
      </c>
      <c r="K83" s="300" t="s">
        <v>4660</v>
      </c>
      <c r="L83" s="300" t="s">
        <v>2875</v>
      </c>
      <c r="M83" s="88" t="s">
        <v>4661</v>
      </c>
      <c r="N83" s="300" t="s">
        <v>4662</v>
      </c>
      <c r="O83" s="300" t="s">
        <v>3918</v>
      </c>
      <c r="P83" s="300" t="s">
        <v>2978</v>
      </c>
      <c r="Q83" s="480"/>
      <c r="R83" s="480"/>
      <c r="S83" s="480"/>
      <c r="T83" s="480"/>
      <c r="U83" s="480"/>
      <c r="V83" s="480"/>
      <c r="W83" s="551"/>
      <c r="X83" s="300" t="s">
        <v>3080</v>
      </c>
      <c r="Y83" s="300" t="s">
        <v>3086</v>
      </c>
      <c r="Z83" s="300" t="s">
        <v>2249</v>
      </c>
      <c r="AA83" s="300" t="s">
        <v>1161</v>
      </c>
      <c r="AB83" s="300" t="s">
        <v>1860</v>
      </c>
      <c r="AC83" s="300" t="s">
        <v>4040</v>
      </c>
      <c r="AD83" s="480"/>
      <c r="AE83" s="300" t="s">
        <v>2445</v>
      </c>
      <c r="AF83" s="300" t="s">
        <v>3447</v>
      </c>
      <c r="AG83" s="480"/>
      <c r="AH83" s="480"/>
      <c r="AI83" s="300"/>
      <c r="AJ83" s="480"/>
      <c r="AK83" s="551"/>
      <c r="AL83" s="300"/>
      <c r="AM83" s="300"/>
      <c r="AN83" s="480"/>
      <c r="AO83" s="480"/>
      <c r="AP83" s="552"/>
      <c r="AQ83" s="552"/>
      <c r="AR83" s="480"/>
      <c r="AS83" s="480"/>
      <c r="AT83" s="300" t="s">
        <v>4663</v>
      </c>
      <c r="AU83" s="300" t="s">
        <v>1519</v>
      </c>
      <c r="AV83" s="300"/>
      <c r="AW83" s="480"/>
      <c r="AX83" s="480"/>
      <c r="AY83" s="480"/>
      <c r="AZ83" s="553"/>
      <c r="BA83" s="300" t="s">
        <v>3181</v>
      </c>
      <c r="BB83" s="300" t="s">
        <v>841</v>
      </c>
      <c r="BC83" s="300" t="s">
        <v>297</v>
      </c>
      <c r="BD83" s="300" t="s">
        <v>4664</v>
      </c>
      <c r="BE83" s="300" t="s">
        <v>4561</v>
      </c>
      <c r="BF83" s="300"/>
      <c r="BG83" s="480"/>
      <c r="BH83" s="300" t="s">
        <v>1338</v>
      </c>
      <c r="BI83" s="480"/>
      <c r="BJ83" s="300" t="s">
        <v>4665</v>
      </c>
      <c r="BK83" s="300" t="s">
        <v>4190</v>
      </c>
      <c r="BL83" s="480"/>
      <c r="BM83" s="480"/>
      <c r="BN83" s="300"/>
      <c r="BO83" s="480"/>
      <c r="BP83" s="553"/>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3"/>
      <c r="CF83" s="300" t="s">
        <v>4673</v>
      </c>
      <c r="CG83" s="300" t="s">
        <v>1365</v>
      </c>
      <c r="CH83" s="300" t="s">
        <v>3655</v>
      </c>
      <c r="CI83" s="300" t="s">
        <v>4674</v>
      </c>
      <c r="CJ83" s="300" t="s">
        <v>4675</v>
      </c>
      <c r="CK83" s="300" t="s">
        <v>4676</v>
      </c>
      <c r="CL83" s="300" t="s">
        <v>1707</v>
      </c>
      <c r="CM83" s="300" t="s">
        <v>4677</v>
      </c>
      <c r="CN83" s="554"/>
      <c r="CO83" s="480"/>
      <c r="CP83" s="480"/>
      <c r="CQ83" s="480"/>
      <c r="CR83" s="480"/>
      <c r="CS83" s="555"/>
      <c r="CT83" s="300" t="s">
        <v>4678</v>
      </c>
      <c r="CU83" s="300" t="s">
        <v>4679</v>
      </c>
      <c r="CV83" s="300" t="s">
        <v>1052</v>
      </c>
      <c r="CW83" s="300" t="s">
        <v>3830</v>
      </c>
      <c r="CX83" s="300" t="s">
        <v>2243</v>
      </c>
      <c r="CY83" s="300" t="s">
        <v>3907</v>
      </c>
      <c r="CZ83" s="300" t="s">
        <v>4680</v>
      </c>
      <c r="DA83" s="300" t="s">
        <v>4252</v>
      </c>
      <c r="DB83" s="480"/>
      <c r="DC83" s="480"/>
      <c r="DD83" s="480"/>
      <c r="DE83" s="480"/>
      <c r="DF83" s="553"/>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2798</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3792</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2849</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3826</v>
      </c>
      <c r="S85" s="93" t="s">
        <v>1576</v>
      </c>
      <c r="T85" s="98"/>
      <c r="U85" s="98"/>
      <c r="V85" s="98"/>
      <c r="W85" s="92"/>
      <c r="X85" s="93" t="s">
        <v>4709</v>
      </c>
      <c r="Y85" s="93" t="s">
        <v>367</v>
      </c>
      <c r="Z85" s="93" t="s">
        <v>2931</v>
      </c>
      <c r="AA85" s="288" t="s">
        <v>3419</v>
      </c>
      <c r="AB85" s="552" t="s">
        <v>4132</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1332</v>
      </c>
      <c r="AY85" s="98"/>
      <c r="AZ85" s="262"/>
      <c r="BA85" s="98"/>
      <c r="BB85" s="93" t="s">
        <v>700</v>
      </c>
      <c r="BC85" s="93" t="s">
        <v>2410</v>
      </c>
      <c r="BD85" s="552" t="s">
        <v>4715</v>
      </c>
      <c r="BE85" s="93" t="s">
        <v>1678</v>
      </c>
      <c r="BF85" s="98"/>
      <c r="BG85" s="98"/>
      <c r="BH85" s="93" t="s">
        <v>2410</v>
      </c>
      <c r="BI85" s="93" t="s">
        <v>4716</v>
      </c>
      <c r="BJ85" s="93"/>
      <c r="BK85" s="98"/>
      <c r="BL85" s="98"/>
      <c r="BM85" s="93" t="s">
        <v>4717</v>
      </c>
      <c r="BN85" s="98"/>
      <c r="BO85" s="98"/>
      <c r="BP85" s="262"/>
      <c r="BQ85" s="93" t="s">
        <v>4718</v>
      </c>
      <c r="BR85" s="93" t="s">
        <v>3691</v>
      </c>
      <c r="BS85" s="93" t="s">
        <v>3379</v>
      </c>
      <c r="BT85" s="93" t="s">
        <v>4339</v>
      </c>
      <c r="BU85" s="93" t="s">
        <v>3021</v>
      </c>
      <c r="BV85" s="93" t="s">
        <v>3148</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3414</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3928</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7" t="str">
        <f>HYPERLINK("https://www.twitch.tv/videos/203127903","1:35.90")</f>
        <v>1:35.90</v>
      </c>
      <c r="CJ86" s="558"/>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3127</v>
      </c>
      <c r="AF87" s="98"/>
      <c r="AG87" s="98"/>
      <c r="AH87" s="93"/>
      <c r="AI87" s="93" t="s">
        <v>3121</v>
      </c>
      <c r="AJ87" s="98"/>
      <c r="AK87" s="92"/>
      <c r="AL87" s="98"/>
      <c r="AM87" s="93" t="s">
        <v>4348</v>
      </c>
      <c r="AN87" s="98"/>
      <c r="AO87" s="93" t="s">
        <v>4748</v>
      </c>
      <c r="AP87" s="98"/>
      <c r="AQ87" s="98"/>
      <c r="AR87" s="98"/>
      <c r="AS87" s="98"/>
      <c r="AT87" s="93" t="s">
        <v>2033</v>
      </c>
      <c r="AU87" s="93" t="s">
        <v>3431</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3902</v>
      </c>
      <c r="BW87" s="98"/>
      <c r="BX87" s="93" t="s">
        <v>2485</v>
      </c>
      <c r="BY87" s="93" t="s">
        <v>4754</v>
      </c>
      <c r="BZ87" s="93"/>
      <c r="CA87" s="98"/>
      <c r="CB87" s="93" t="s">
        <v>1553</v>
      </c>
      <c r="CC87" s="93" t="s">
        <v>234</v>
      </c>
      <c r="CD87" s="98"/>
      <c r="CE87" s="262"/>
      <c r="CF87" s="93" t="s">
        <v>4109</v>
      </c>
      <c r="CG87" s="93" t="s">
        <v>525</v>
      </c>
      <c r="CH87" s="560"/>
      <c r="CI87" s="93" t="s">
        <v>4755</v>
      </c>
      <c r="CJ87" s="93"/>
      <c r="CK87" s="93" t="s">
        <v>4756</v>
      </c>
      <c r="CL87" s="93" t="s">
        <v>3254</v>
      </c>
      <c r="CM87" s="98"/>
      <c r="CN87" s="98"/>
      <c r="CO87" s="98"/>
      <c r="CP87" s="93"/>
      <c r="CQ87" s="93" t="s">
        <v>4757</v>
      </c>
      <c r="CR87" s="98"/>
      <c r="CS87" s="101"/>
      <c r="CT87" s="93" t="s">
        <v>3906</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1" t="s">
        <v>4763</v>
      </c>
      <c r="B88" s="562" t="s">
        <v>4764</v>
      </c>
      <c r="C88" s="563" t="s">
        <v>1483</v>
      </c>
      <c r="D88" s="564" t="s">
        <v>1483</v>
      </c>
      <c r="E88" s="565" t="s">
        <v>1483</v>
      </c>
      <c r="F88" s="566" t="s">
        <v>3008</v>
      </c>
      <c r="G88" s="562" t="s">
        <v>1314</v>
      </c>
      <c r="H88" s="567" t="s">
        <v>4765</v>
      </c>
      <c r="I88" s="568" t="s">
        <v>4766</v>
      </c>
      <c r="J88" s="567" t="s">
        <v>4767</v>
      </c>
      <c r="K88" s="567" t="s">
        <v>2868</v>
      </c>
      <c r="L88" s="567" t="s">
        <v>2871</v>
      </c>
      <c r="M88" s="567" t="s">
        <v>4768</v>
      </c>
      <c r="N88" s="568" t="s">
        <v>4769</v>
      </c>
      <c r="O88" s="567" t="s">
        <v>377</v>
      </c>
      <c r="P88" s="569" t="s">
        <v>4770</v>
      </c>
      <c r="Q88" s="569" t="s">
        <v>4771</v>
      </c>
      <c r="R88" s="569" t="s">
        <v>2612</v>
      </c>
      <c r="S88" s="569" t="s">
        <v>4208</v>
      </c>
      <c r="T88" s="569" t="s">
        <v>1394</v>
      </c>
      <c r="U88" s="569" t="s">
        <v>4772</v>
      </c>
      <c r="V88" s="567" t="s">
        <v>4773</v>
      </c>
      <c r="W88" s="570"/>
      <c r="X88" s="571" t="s">
        <v>2896</v>
      </c>
      <c r="Y88" s="571" t="s">
        <v>4774</v>
      </c>
      <c r="Z88" s="572" t="s">
        <v>526</v>
      </c>
      <c r="AA88" s="572" t="s">
        <v>649</v>
      </c>
      <c r="AB88" s="571" t="s">
        <v>2381</v>
      </c>
      <c r="AC88" s="572" t="s">
        <v>4775</v>
      </c>
      <c r="AD88" s="571"/>
      <c r="AE88" s="571" t="s">
        <v>4776</v>
      </c>
      <c r="AF88" s="573" t="s">
        <v>4777</v>
      </c>
      <c r="AG88" s="571" t="s">
        <v>3636</v>
      </c>
      <c r="AH88" s="574" t="s">
        <v>1370</v>
      </c>
      <c r="AI88" s="116" t="s">
        <v>2255</v>
      </c>
      <c r="AJ88" s="574" t="s">
        <v>4778</v>
      </c>
      <c r="AK88" s="570"/>
      <c r="AL88" s="575" t="s">
        <v>3494</v>
      </c>
      <c r="AM88" s="575" t="s">
        <v>1436</v>
      </c>
      <c r="AN88" s="575" t="s">
        <v>4779</v>
      </c>
      <c r="AO88" s="576" t="s">
        <v>3013</v>
      </c>
      <c r="AP88" s="576" t="s">
        <v>4780</v>
      </c>
      <c r="AQ88" s="576" t="s">
        <v>4781</v>
      </c>
      <c r="AR88" s="575" t="s">
        <v>4782</v>
      </c>
      <c r="AS88" s="576" t="s">
        <v>4783</v>
      </c>
      <c r="AT88" s="576" t="s">
        <v>3135</v>
      </c>
      <c r="AU88" s="577" t="s">
        <v>2626</v>
      </c>
      <c r="AV88" s="575" t="s">
        <v>3800</v>
      </c>
      <c r="AW88" s="576" t="s">
        <v>261</v>
      </c>
      <c r="AX88" s="576" t="s">
        <v>779</v>
      </c>
      <c r="AY88" s="576" t="s">
        <v>4784</v>
      </c>
      <c r="AZ88" s="578"/>
      <c r="BA88" s="579" t="s">
        <v>4785</v>
      </c>
      <c r="BB88" s="580" t="s">
        <v>427</v>
      </c>
      <c r="BC88" s="579" t="s">
        <v>636</v>
      </c>
      <c r="BD88" s="581" t="s">
        <v>376</v>
      </c>
      <c r="BE88" s="579" t="s">
        <v>4786</v>
      </c>
      <c r="BF88" s="579" t="s">
        <v>4787</v>
      </c>
      <c r="BG88" s="579" t="s">
        <v>4409</v>
      </c>
      <c r="BH88" s="579" t="s">
        <v>2563</v>
      </c>
      <c r="BI88" s="579" t="s">
        <v>4788</v>
      </c>
      <c r="BJ88" s="173"/>
      <c r="BK88" s="581" t="s">
        <v>2588</v>
      </c>
      <c r="BL88" s="582"/>
      <c r="BM88" s="582"/>
      <c r="BN88" s="582"/>
      <c r="BO88" s="582"/>
      <c r="BP88" s="583"/>
      <c r="BQ88" s="584"/>
      <c r="BR88" s="585" t="s">
        <v>3436</v>
      </c>
      <c r="BS88" s="586" t="s">
        <v>4789</v>
      </c>
      <c r="BT88" s="585" t="s">
        <v>2952</v>
      </c>
      <c r="BU88" s="586" t="s">
        <v>4409</v>
      </c>
      <c r="BV88" s="586" t="s">
        <v>4790</v>
      </c>
      <c r="BW88" s="586" t="s">
        <v>4791</v>
      </c>
      <c r="BX88" s="587" t="s">
        <v>4792</v>
      </c>
      <c r="BY88" s="584"/>
      <c r="BZ88" s="588" t="s">
        <v>4793</v>
      </c>
      <c r="CA88" s="584"/>
      <c r="CB88" s="584"/>
      <c r="CC88" s="584"/>
      <c r="CD88" s="584"/>
      <c r="CE88" s="589"/>
      <c r="CF88" s="590" t="s">
        <v>4794</v>
      </c>
      <c r="CG88" s="591" t="s">
        <v>851</v>
      </c>
      <c r="CH88" s="592" t="s">
        <v>4795</v>
      </c>
      <c r="CI88" s="591" t="s">
        <v>4796</v>
      </c>
      <c r="CJ88" s="591" t="s">
        <v>4797</v>
      </c>
      <c r="CK88" s="591" t="s">
        <v>4798</v>
      </c>
      <c r="CL88" s="591" t="s">
        <v>1112</v>
      </c>
      <c r="CM88" s="592" t="s">
        <v>4207</v>
      </c>
      <c r="CN88" s="591"/>
      <c r="CO88" s="592" t="s">
        <v>3806</v>
      </c>
      <c r="CP88" s="592" t="s">
        <v>4799</v>
      </c>
      <c r="CQ88" s="593"/>
      <c r="CR88" s="593"/>
      <c r="CS88" s="594"/>
      <c r="CT88" s="595" t="s">
        <v>4624</v>
      </c>
      <c r="CU88" s="596" t="s">
        <v>2225</v>
      </c>
      <c r="CV88" s="597" t="s">
        <v>4800</v>
      </c>
      <c r="CW88" s="596" t="s">
        <v>4801</v>
      </c>
      <c r="CX88" s="597" t="s">
        <v>4802</v>
      </c>
      <c r="CY88" s="595" t="s">
        <v>2214</v>
      </c>
      <c r="CZ88" s="598" t="s">
        <v>4803</v>
      </c>
      <c r="DA88" s="599" t="s">
        <v>1106</v>
      </c>
      <c r="DB88" s="600"/>
      <c r="DC88" s="600"/>
      <c r="DD88" s="600"/>
      <c r="DE88" s="600"/>
      <c r="DF88" s="601"/>
      <c r="DG88" s="602" t="s">
        <v>4029</v>
      </c>
      <c r="DH88" s="603"/>
      <c r="DI88" s="602" t="s">
        <v>4804</v>
      </c>
      <c r="DJ88" s="602"/>
      <c r="DK88" s="604" t="s">
        <v>4805</v>
      </c>
      <c r="DL88" s="602" t="s">
        <v>4806</v>
      </c>
      <c r="DM88" s="602" t="s">
        <v>4807</v>
      </c>
      <c r="DN88" s="602" t="s">
        <v>1958</v>
      </c>
      <c r="DO88" s="602" t="s">
        <v>4808</v>
      </c>
      <c r="DP88" s="602" t="s">
        <v>4809</v>
      </c>
      <c r="DQ88" s="605" t="s">
        <v>4810</v>
      </c>
      <c r="DR88" s="602" t="s">
        <v>3232</v>
      </c>
      <c r="DS88" s="602" t="s">
        <v>4811</v>
      </c>
      <c r="DT88" s="606"/>
      <c r="DU88" s="604" t="s">
        <v>1704</v>
      </c>
      <c r="DV88" s="603"/>
      <c r="DW88" s="604" t="s">
        <v>2999</v>
      </c>
      <c r="DX88" s="602" t="s">
        <v>2926</v>
      </c>
      <c r="DY88" s="606"/>
      <c r="DZ88" s="602" t="s">
        <v>1078</v>
      </c>
      <c r="EA88" s="606"/>
      <c r="EB88" s="142" t="s">
        <v>4812</v>
      </c>
    </row>
    <row r="89">
      <c r="A89" s="81" t="s">
        <v>4813</v>
      </c>
      <c r="B89" s="82" t="s">
        <v>4814</v>
      </c>
      <c r="C89" s="83" t="s">
        <v>1483</v>
      </c>
      <c r="D89" s="84" t="s">
        <v>1483</v>
      </c>
      <c r="E89" s="85" t="s">
        <v>1483</v>
      </c>
      <c r="F89" s="86" t="s">
        <v>338</v>
      </c>
      <c r="G89" s="82" t="s">
        <v>1176</v>
      </c>
      <c r="H89" s="93" t="s">
        <v>3571</v>
      </c>
      <c r="I89" s="93" t="s">
        <v>4815</v>
      </c>
      <c r="J89" s="93" t="s">
        <v>1332</v>
      </c>
      <c r="K89" s="93" t="s">
        <v>4706</v>
      </c>
      <c r="L89" s="93" t="s">
        <v>4816</v>
      </c>
      <c r="M89" s="98"/>
      <c r="N89" s="93" t="s">
        <v>2290</v>
      </c>
      <c r="O89" s="93" t="s">
        <v>4503</v>
      </c>
      <c r="P89" s="93" t="s">
        <v>1056</v>
      </c>
      <c r="Q89" s="93" t="s">
        <v>2789</v>
      </c>
      <c r="R89" s="98"/>
      <c r="S89" s="93" t="s">
        <v>4143</v>
      </c>
      <c r="T89" s="98"/>
      <c r="U89" s="98"/>
      <c r="V89" s="93" t="s">
        <v>4817</v>
      </c>
      <c r="W89" s="92"/>
      <c r="X89" s="93" t="s">
        <v>4818</v>
      </c>
      <c r="Y89" s="93" t="s">
        <v>4819</v>
      </c>
      <c r="Z89" s="93" t="s">
        <v>239</v>
      </c>
      <c r="AA89" s="93" t="s">
        <v>4820</v>
      </c>
      <c r="AB89" s="93" t="s">
        <v>4821</v>
      </c>
      <c r="AC89" s="93" t="s">
        <v>3024</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2921</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3476</v>
      </c>
      <c r="CN89" s="98"/>
      <c r="CO89" s="93" t="s">
        <v>4119</v>
      </c>
      <c r="CP89" s="98"/>
      <c r="CQ89" s="98"/>
      <c r="CR89" s="88" t="s">
        <v>4840</v>
      </c>
      <c r="CS89" s="101"/>
      <c r="CT89" s="93" t="s">
        <v>2722</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3167</v>
      </c>
      <c r="DO89" s="93" t="s">
        <v>2376</v>
      </c>
      <c r="DP89" s="93" t="s">
        <v>1086</v>
      </c>
      <c r="DQ89" s="98"/>
      <c r="DR89" s="93" t="s">
        <v>4847</v>
      </c>
      <c r="DS89" s="93" t="s">
        <v>4848</v>
      </c>
      <c r="DT89" s="93" t="s">
        <v>4849</v>
      </c>
      <c r="DU89" s="93" t="s">
        <v>4850</v>
      </c>
      <c r="DV89" s="93" t="s">
        <v>2005</v>
      </c>
      <c r="DW89" s="93" t="s">
        <v>1445</v>
      </c>
      <c r="DX89" s="93" t="s">
        <v>3350</v>
      </c>
      <c r="DY89" s="93" t="s">
        <v>3713</v>
      </c>
      <c r="DZ89" s="93" t="s">
        <v>4851</v>
      </c>
      <c r="EA89" s="93" t="s">
        <v>1662</v>
      </c>
      <c r="EB89" s="288" t="s">
        <v>4852</v>
      </c>
    </row>
    <row r="90">
      <c r="A90" s="607"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2766</v>
      </c>
      <c r="P90" s="112" t="s">
        <v>2978</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4863</v>
      </c>
      <c r="AV90" s="272"/>
      <c r="AW90" s="272"/>
      <c r="AX90" s="121" t="s">
        <v>346</v>
      </c>
      <c r="AY90" s="167" t="s">
        <v>4864</v>
      </c>
      <c r="AZ90" s="167"/>
      <c r="BA90" s="173" t="s">
        <v>4203</v>
      </c>
      <c r="BB90" s="173" t="s">
        <v>1957</v>
      </c>
      <c r="BC90" s="173" t="s">
        <v>2264</v>
      </c>
      <c r="BD90" s="127" t="s">
        <v>384</v>
      </c>
      <c r="BE90" s="173" t="s">
        <v>1281</v>
      </c>
      <c r="BF90" s="172"/>
      <c r="BG90" s="172"/>
      <c r="BH90" s="333" t="s">
        <v>2650</v>
      </c>
      <c r="BI90" s="172"/>
      <c r="BJ90" s="173" t="s">
        <v>4865</v>
      </c>
      <c r="BK90" s="172"/>
      <c r="BL90" s="173"/>
      <c r="BM90" s="173" t="s">
        <v>3806</v>
      </c>
      <c r="BN90" s="173" t="s">
        <v>4592</v>
      </c>
      <c r="BO90" s="172"/>
      <c r="BP90" s="275"/>
      <c r="BQ90" s="278"/>
      <c r="BR90" s="174" t="s">
        <v>2284</v>
      </c>
      <c r="BS90" s="129" t="s">
        <v>3484</v>
      </c>
      <c r="BT90" s="174" t="s">
        <v>2097</v>
      </c>
      <c r="BU90" s="174" t="s">
        <v>4866</v>
      </c>
      <c r="BV90" s="174" t="s">
        <v>2921</v>
      </c>
      <c r="BW90" s="278"/>
      <c r="BX90" s="278"/>
      <c r="BY90" s="278"/>
      <c r="BZ90" s="130" t="s">
        <v>4793</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4772</v>
      </c>
      <c r="CU90" s="282"/>
      <c r="CV90" s="377" t="s">
        <v>1680</v>
      </c>
      <c r="CW90" s="205" t="s">
        <v>4517</v>
      </c>
      <c r="CX90" s="205" t="s">
        <v>4874</v>
      </c>
      <c r="CY90" s="205" t="s">
        <v>4875</v>
      </c>
      <c r="CZ90" s="377" t="s">
        <v>4759</v>
      </c>
      <c r="DA90" s="205" t="s">
        <v>3199</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8" t="s">
        <v>4882</v>
      </c>
      <c r="B91" s="82" t="s">
        <v>4883</v>
      </c>
      <c r="C91" s="83" t="s">
        <v>1483</v>
      </c>
      <c r="D91" s="84" t="s">
        <v>562</v>
      </c>
      <c r="E91" s="85" t="s">
        <v>562</v>
      </c>
      <c r="F91" s="86" t="s">
        <v>3008</v>
      </c>
      <c r="G91" s="82" t="s">
        <v>4884</v>
      </c>
      <c r="H91" s="93" t="s">
        <v>3807</v>
      </c>
      <c r="I91" s="93" t="s">
        <v>4885</v>
      </c>
      <c r="J91" s="93" t="s">
        <v>4886</v>
      </c>
      <c r="K91" s="300" t="s">
        <v>2799</v>
      </c>
      <c r="L91" s="88" t="s">
        <v>4887</v>
      </c>
      <c r="M91" s="98"/>
      <c r="N91" s="98"/>
      <c r="O91" s="98"/>
      <c r="P91" s="88" t="s">
        <v>2931</v>
      </c>
      <c r="Q91" s="98"/>
      <c r="R91" s="98"/>
      <c r="S91" s="88" t="s">
        <v>4888</v>
      </c>
      <c r="T91" s="98"/>
      <c r="U91" s="98"/>
      <c r="V91" s="88" t="s">
        <v>4889</v>
      </c>
      <c r="W91" s="92"/>
      <c r="X91" s="88" t="s">
        <v>2163</v>
      </c>
      <c r="Y91" s="88" t="s">
        <v>2248</v>
      </c>
      <c r="Z91" s="88" t="s">
        <v>4405</v>
      </c>
      <c r="AA91" s="88" t="s">
        <v>4890</v>
      </c>
      <c r="AB91" s="88" t="s">
        <v>2329</v>
      </c>
      <c r="AC91" s="98"/>
      <c r="AD91" s="98"/>
      <c r="AE91" s="98"/>
      <c r="AF91" s="88" t="s">
        <v>3897</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4562</v>
      </c>
      <c r="BC91" s="88" t="s">
        <v>2144</v>
      </c>
      <c r="BD91" s="88" t="s">
        <v>4155</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2"/>
      <c r="DG91" s="98"/>
      <c r="DH91" s="98"/>
      <c r="DI91" s="98"/>
      <c r="DJ91" s="88" t="s">
        <v>4615</v>
      </c>
      <c r="DK91" s="99" t="s">
        <v>316</v>
      </c>
      <c r="DL91" s="98"/>
      <c r="DM91" s="88" t="s">
        <v>431</v>
      </c>
      <c r="DN91" s="89" t="s">
        <v>4904</v>
      </c>
      <c r="DO91" s="88" t="s">
        <v>4905</v>
      </c>
      <c r="DP91" s="98"/>
      <c r="DQ91" s="98"/>
      <c r="DR91" s="98"/>
      <c r="DS91" s="93" t="s">
        <v>4571</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4028</v>
      </c>
      <c r="L92" s="112" t="s">
        <v>2879</v>
      </c>
      <c r="M92" s="112" t="s">
        <v>3549</v>
      </c>
      <c r="N92" s="112" t="s">
        <v>4910</v>
      </c>
      <c r="O92" s="112" t="s">
        <v>4319</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2804</v>
      </c>
      <c r="AD92" s="271"/>
      <c r="AE92" s="116" t="s">
        <v>3606</v>
      </c>
      <c r="AF92" s="116" t="s">
        <v>4916</v>
      </c>
      <c r="AG92" s="271"/>
      <c r="AH92" s="197" t="s">
        <v>2857</v>
      </c>
      <c r="AI92" s="197" t="s">
        <v>786</v>
      </c>
      <c r="AJ92" s="271"/>
      <c r="AK92" s="92"/>
      <c r="AL92" s="167" t="s">
        <v>4917</v>
      </c>
      <c r="AM92" s="167" t="s">
        <v>4918</v>
      </c>
      <c r="AN92" s="272"/>
      <c r="AO92" s="167" t="s">
        <v>4919</v>
      </c>
      <c r="AP92" s="272"/>
      <c r="AQ92" s="272"/>
      <c r="AR92" s="272"/>
      <c r="AS92" s="167" t="s">
        <v>3375</v>
      </c>
      <c r="AT92" s="121" t="s">
        <v>3585</v>
      </c>
      <c r="AU92" s="121" t="s">
        <v>3161</v>
      </c>
      <c r="AV92" s="121" t="s">
        <v>4920</v>
      </c>
      <c r="AW92" s="272"/>
      <c r="AX92" s="121" t="s">
        <v>4437</v>
      </c>
      <c r="AY92" s="272"/>
      <c r="AZ92" s="273"/>
      <c r="BA92" s="173" t="s">
        <v>2103</v>
      </c>
      <c r="BB92" s="173" t="s">
        <v>2927</v>
      </c>
      <c r="BC92" s="173" t="s">
        <v>2143</v>
      </c>
      <c r="BD92" s="127" t="s">
        <v>4921</v>
      </c>
      <c r="BE92" s="127" t="s">
        <v>4691</v>
      </c>
      <c r="BF92" s="172"/>
      <c r="BG92" s="172"/>
      <c r="BH92" s="127" t="s">
        <v>2859</v>
      </c>
      <c r="BI92" s="172"/>
      <c r="BJ92" s="127" t="s">
        <v>4922</v>
      </c>
      <c r="BK92" s="127" t="s">
        <v>3459</v>
      </c>
      <c r="BL92" s="172"/>
      <c r="BM92" s="127" t="s">
        <v>2580</v>
      </c>
      <c r="BN92" s="172"/>
      <c r="BO92" s="172"/>
      <c r="BP92" s="275"/>
      <c r="BQ92" s="130" t="s">
        <v>4923</v>
      </c>
      <c r="BR92" s="278"/>
      <c r="BS92" s="174" t="s">
        <v>4924</v>
      </c>
      <c r="BT92" s="130" t="s">
        <v>4672</v>
      </c>
      <c r="BU92" s="278"/>
      <c r="BV92" s="278"/>
      <c r="BW92" s="278"/>
      <c r="BX92" s="174" t="s">
        <v>4925</v>
      </c>
      <c r="BY92" s="311" t="s">
        <v>835</v>
      </c>
      <c r="BZ92" s="130" t="s">
        <v>4926</v>
      </c>
      <c r="CA92" s="130" t="s">
        <v>4927</v>
      </c>
      <c r="CB92" s="174" t="s">
        <v>4928</v>
      </c>
      <c r="CC92" s="130" t="s">
        <v>4113</v>
      </c>
      <c r="CD92" s="278"/>
      <c r="CE92" s="279"/>
      <c r="CF92" s="135" t="s">
        <v>4929</v>
      </c>
      <c r="CG92" s="135" t="s">
        <v>1363</v>
      </c>
      <c r="CH92" s="176" t="s">
        <v>4930</v>
      </c>
      <c r="CI92" s="135" t="s">
        <v>4931</v>
      </c>
      <c r="CJ92" s="135" t="s">
        <v>4932</v>
      </c>
      <c r="CK92" s="135" t="s">
        <v>4536</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2854</v>
      </c>
      <c r="DS92" s="206" t="s">
        <v>4940</v>
      </c>
      <c r="DT92" s="284"/>
      <c r="DU92" s="206" t="s">
        <v>4850</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3525</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3882</v>
      </c>
      <c r="BT93" s="88" t="s">
        <v>4669</v>
      </c>
      <c r="BU93" s="98"/>
      <c r="BV93" s="88" t="s">
        <v>766</v>
      </c>
      <c r="BW93" s="98"/>
      <c r="BX93" s="97" t="s">
        <v>4953</v>
      </c>
      <c r="BY93" s="88" t="s">
        <v>4954</v>
      </c>
      <c r="BZ93" s="98"/>
      <c r="CA93" s="88" t="s">
        <v>1536</v>
      </c>
      <c r="CB93" s="97" t="s">
        <v>229</v>
      </c>
      <c r="CC93" s="97" t="s">
        <v>1503</v>
      </c>
      <c r="CD93" s="98"/>
      <c r="CE93" s="262"/>
      <c r="CF93" s="88" t="s">
        <v>3565</v>
      </c>
      <c r="CG93" s="88" t="s">
        <v>2410</v>
      </c>
      <c r="CH93" s="300" t="s">
        <v>4955</v>
      </c>
      <c r="CI93" s="98"/>
      <c r="CJ93" s="98"/>
      <c r="CK93" s="88" t="s">
        <v>3909</v>
      </c>
      <c r="CL93" s="88" t="s">
        <v>411</v>
      </c>
      <c r="CM93" s="98"/>
      <c r="CN93" s="93"/>
      <c r="CO93" s="98"/>
      <c r="CP93" s="94"/>
      <c r="CQ93" s="97" t="s">
        <v>4956</v>
      </c>
      <c r="CR93" s="98"/>
      <c r="CS93" s="101"/>
      <c r="CT93" s="88" t="s">
        <v>4957</v>
      </c>
      <c r="CU93" s="93"/>
      <c r="CV93" s="88" t="s">
        <v>4958</v>
      </c>
      <c r="CW93" s="98"/>
      <c r="CX93" s="88" t="s">
        <v>3565</v>
      </c>
      <c r="CY93" s="88" t="s">
        <v>2663</v>
      </c>
      <c r="CZ93" s="97" t="s">
        <v>2085</v>
      </c>
      <c r="DA93" s="98"/>
      <c r="DB93" s="98"/>
      <c r="DC93" s="97" t="s">
        <v>4295</v>
      </c>
      <c r="DD93" s="98"/>
      <c r="DE93" s="98"/>
      <c r="DF93" s="262"/>
      <c r="DG93" s="209"/>
      <c r="DH93" s="97" t="s">
        <v>4229</v>
      </c>
      <c r="DI93" s="98"/>
      <c r="DJ93" s="98"/>
      <c r="DK93" s="98"/>
      <c r="DL93" s="98"/>
      <c r="DM93" s="97" t="s">
        <v>1535</v>
      </c>
      <c r="DN93" s="97" t="s">
        <v>4959</v>
      </c>
      <c r="DO93" s="88" t="s">
        <v>4808</v>
      </c>
      <c r="DP93" s="88" t="s">
        <v>4960</v>
      </c>
      <c r="DQ93" s="93"/>
      <c r="DR93" s="98"/>
      <c r="DS93" s="98"/>
      <c r="DT93" s="98"/>
      <c r="DU93" s="88" t="s">
        <v>1563</v>
      </c>
      <c r="DV93" s="98"/>
      <c r="DW93" s="93"/>
      <c r="DX93" s="93"/>
      <c r="DY93" s="88" t="s">
        <v>1883</v>
      </c>
      <c r="DZ93" s="98"/>
      <c r="EA93" s="88" t="s">
        <v>4790</v>
      </c>
      <c r="EB93" s="288"/>
    </row>
    <row r="94">
      <c r="A94" s="165" t="s">
        <v>4961</v>
      </c>
      <c r="B94" s="103" t="s">
        <v>4962</v>
      </c>
      <c r="C94" s="104" t="s">
        <v>1483</v>
      </c>
      <c r="D94" s="105" t="s">
        <v>1483</v>
      </c>
      <c r="E94" s="106" t="s">
        <v>1483</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1"/>
      <c r="AA94" s="197" t="s">
        <v>3105</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4267</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3716</v>
      </c>
      <c r="CL94" s="176" t="s">
        <v>1104</v>
      </c>
      <c r="CM94" s="281"/>
      <c r="CN94" s="135" t="s">
        <v>4973</v>
      </c>
      <c r="CO94" s="281"/>
      <c r="CP94" s="281"/>
      <c r="CQ94" s="281"/>
      <c r="CR94" s="281"/>
      <c r="CS94" s="101"/>
      <c r="CT94" s="205" t="s">
        <v>1779</v>
      </c>
      <c r="CU94" s="282"/>
      <c r="CV94" s="205" t="s">
        <v>2329</v>
      </c>
      <c r="CW94" s="282"/>
      <c r="CX94" s="282"/>
      <c r="CY94" s="205" t="s">
        <v>3070</v>
      </c>
      <c r="CZ94" s="205" t="s">
        <v>4554</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3807</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3722</v>
      </c>
      <c r="I96" s="293" t="s">
        <v>4984</v>
      </c>
      <c r="J96" s="293" t="s">
        <v>2196</v>
      </c>
      <c r="K96" s="112" t="s">
        <v>1893</v>
      </c>
      <c r="L96" s="112" t="s">
        <v>4011</v>
      </c>
      <c r="M96" s="112" t="s">
        <v>4985</v>
      </c>
      <c r="N96" s="293" t="s">
        <v>4986</v>
      </c>
      <c r="O96" s="293" t="s">
        <v>4921</v>
      </c>
      <c r="P96" s="293" t="s">
        <v>2978</v>
      </c>
      <c r="Q96" s="293" t="s">
        <v>4987</v>
      </c>
      <c r="R96" s="112" t="s">
        <v>3402</v>
      </c>
      <c r="S96" s="112" t="s">
        <v>4827</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4750</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2761</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4493</v>
      </c>
      <c r="BX96" s="376" t="s">
        <v>5013</v>
      </c>
      <c r="BY96" s="278"/>
      <c r="BZ96" s="376" t="s">
        <v>5014</v>
      </c>
      <c r="CA96" s="130" t="s">
        <v>5015</v>
      </c>
      <c r="CB96" s="278"/>
      <c r="CC96" s="278"/>
      <c r="CD96" s="278"/>
      <c r="CE96" s="279"/>
      <c r="CF96" s="135" t="s">
        <v>5016</v>
      </c>
      <c r="CG96" s="135" t="s">
        <v>324</v>
      </c>
      <c r="CH96" s="135" t="s">
        <v>3764</v>
      </c>
      <c r="CI96" s="176" t="s">
        <v>5017</v>
      </c>
      <c r="CJ96" s="485" t="s">
        <v>5018</v>
      </c>
      <c r="CK96" s="176" t="s">
        <v>5019</v>
      </c>
      <c r="CL96" s="135" t="s">
        <v>1506</v>
      </c>
      <c r="CM96" s="135" t="s">
        <v>4207</v>
      </c>
      <c r="CN96" s="281"/>
      <c r="CO96" s="281"/>
      <c r="CP96" s="281"/>
      <c r="CQ96" s="281"/>
      <c r="CR96" s="135" t="s">
        <v>5020</v>
      </c>
      <c r="CS96" s="101"/>
      <c r="CT96" s="140" t="s">
        <v>5021</v>
      </c>
      <c r="CU96" s="377" t="s">
        <v>4009</v>
      </c>
      <c r="CV96" s="377" t="s">
        <v>4383</v>
      </c>
      <c r="CW96" s="377" t="s">
        <v>2873</v>
      </c>
      <c r="CX96" s="140" t="s">
        <v>5022</v>
      </c>
      <c r="CY96" s="377" t="s">
        <v>2556</v>
      </c>
      <c r="CZ96" s="377" t="s">
        <v>5023</v>
      </c>
      <c r="DA96" s="377" t="s">
        <v>2816</v>
      </c>
      <c r="DB96" s="282"/>
      <c r="DC96" s="282"/>
      <c r="DD96" s="282"/>
      <c r="DE96" s="140" t="s">
        <v>491</v>
      </c>
      <c r="DF96" s="140"/>
      <c r="DG96" s="206" t="s">
        <v>2133</v>
      </c>
      <c r="DH96" s="284"/>
      <c r="DI96" s="284"/>
      <c r="DJ96" s="284"/>
      <c r="DK96" s="141" t="s">
        <v>316</v>
      </c>
      <c r="DL96" s="145" t="s">
        <v>4310</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2866</v>
      </c>
      <c r="J97" s="93" t="s">
        <v>3466</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5032</v>
      </c>
      <c r="BT97" s="93" t="s">
        <v>3579</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4884</v>
      </c>
      <c r="H98" s="222"/>
      <c r="I98" s="112" t="s">
        <v>5042</v>
      </c>
      <c r="J98" s="112" t="s">
        <v>2265</v>
      </c>
      <c r="K98" s="112" t="s">
        <v>3499</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4230</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3884</v>
      </c>
      <c r="AV98" s="272"/>
      <c r="AW98" s="272"/>
      <c r="AX98" s="272"/>
      <c r="AY98" s="272"/>
      <c r="AZ98" s="273"/>
      <c r="BA98" s="172"/>
      <c r="BB98" s="127" t="s">
        <v>5046</v>
      </c>
      <c r="BC98" s="127" t="s">
        <v>2264</v>
      </c>
      <c r="BD98" s="173" t="s">
        <v>5047</v>
      </c>
      <c r="BE98" s="172"/>
      <c r="BF98" s="172"/>
      <c r="BG98" s="172"/>
      <c r="BH98" s="127" t="s">
        <v>630</v>
      </c>
      <c r="BI98" s="172"/>
      <c r="BJ98" s="127" t="s">
        <v>5048</v>
      </c>
      <c r="BK98" s="127" t="s">
        <v>2701</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4078</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2771</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3345</v>
      </c>
      <c r="L99" s="93" t="s">
        <v>2879</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3697</v>
      </c>
      <c r="AB99" s="374" t="s">
        <v>4332</v>
      </c>
      <c r="AC99" s="93" t="s">
        <v>4577</v>
      </c>
      <c r="AD99" s="98"/>
      <c r="AE99" s="98"/>
      <c r="AF99" s="93" t="s">
        <v>5069</v>
      </c>
      <c r="AG99" s="98"/>
      <c r="AH99" s="98"/>
      <c r="AI99" s="98"/>
      <c r="AJ99" s="98"/>
      <c r="AK99" s="92"/>
      <c r="AL99" s="93" t="s">
        <v>2519</v>
      </c>
      <c r="AM99" s="93" t="s">
        <v>5070</v>
      </c>
      <c r="AN99" s="98"/>
      <c r="AO99" s="98"/>
      <c r="AP99" s="98"/>
      <c r="AQ99" s="98"/>
      <c r="AR99" s="93" t="s">
        <v>1189</v>
      </c>
      <c r="AS99" s="98"/>
      <c r="AT99" s="93" t="s">
        <v>2692</v>
      </c>
      <c r="AU99" s="93" t="s">
        <v>1746</v>
      </c>
      <c r="AV99" s="93" t="s">
        <v>4300</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3619</v>
      </c>
      <c r="BW99" s="98"/>
      <c r="BX99" s="98"/>
      <c r="BY99" s="98"/>
      <c r="BZ99" s="93" t="s">
        <v>2737</v>
      </c>
      <c r="CA99" s="98"/>
      <c r="CB99" s="93" t="s">
        <v>5078</v>
      </c>
      <c r="CC99" s="98"/>
      <c r="CD99" s="98"/>
      <c r="CE99" s="262"/>
      <c r="CF99" s="93" t="s">
        <v>5079</v>
      </c>
      <c r="CG99" s="93" t="s">
        <v>5080</v>
      </c>
      <c r="CH99" s="93" t="s">
        <v>4888</v>
      </c>
      <c r="CI99" s="93"/>
      <c r="CJ99" s="93" t="s">
        <v>5081</v>
      </c>
      <c r="CK99" s="93" t="s">
        <v>4729</v>
      </c>
      <c r="CL99" s="382" t="s">
        <v>1376</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4325</v>
      </c>
      <c r="DB99" s="98"/>
      <c r="DC99" s="98"/>
      <c r="DD99" s="93" t="s">
        <v>3537</v>
      </c>
      <c r="DE99" s="93" t="s">
        <v>1613</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3493</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5095</v>
      </c>
      <c r="BG100" s="172"/>
      <c r="BH100" s="125" t="str">
        <f>HYPERLINK("https://www.youtube.com/watch?v=D3qit_yrtB8&amp;feature=youtu.be","27.76")</f>
        <v>27.76</v>
      </c>
      <c r="BI100" s="173" t="s">
        <v>4544</v>
      </c>
      <c r="BJ100" s="173"/>
      <c r="BK100" s="173" t="s">
        <v>5096</v>
      </c>
      <c r="BL100" s="172"/>
      <c r="BM100" s="173" t="s">
        <v>1669</v>
      </c>
      <c r="BN100" s="172"/>
      <c r="BO100" s="172"/>
      <c r="BP100" s="275"/>
      <c r="BQ100" s="278"/>
      <c r="BR100" s="174" t="s">
        <v>5097</v>
      </c>
      <c r="BS100" s="174" t="s">
        <v>5098</v>
      </c>
      <c r="BT100" s="174" t="s">
        <v>4415</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4132</v>
      </c>
      <c r="CM100" s="176" t="s">
        <v>5104</v>
      </c>
      <c r="CN100" s="281"/>
      <c r="CO100" s="281"/>
      <c r="CP100" s="281"/>
      <c r="CQ100" s="281"/>
      <c r="CR100" s="281"/>
      <c r="CS100" s="101"/>
      <c r="CT100" s="205" t="s">
        <v>5105</v>
      </c>
      <c r="CU100" s="205"/>
      <c r="CV100" s="205" t="s">
        <v>3541</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3036</v>
      </c>
      <c r="J101" s="88" t="s">
        <v>4000</v>
      </c>
      <c r="K101" s="93" t="s">
        <v>1400</v>
      </c>
      <c r="L101" s="93" t="s">
        <v>5111</v>
      </c>
      <c r="M101" s="93" t="s">
        <v>5112</v>
      </c>
      <c r="N101" s="93" t="s">
        <v>5113</v>
      </c>
      <c r="O101" s="93" t="s">
        <v>5114</v>
      </c>
      <c r="P101" s="88" t="s">
        <v>4104</v>
      </c>
      <c r="Q101" s="93" t="s">
        <v>5115</v>
      </c>
      <c r="R101" s="98"/>
      <c r="S101" s="93" t="s">
        <v>1352</v>
      </c>
      <c r="T101" s="98"/>
      <c r="U101" s="93" t="s">
        <v>233</v>
      </c>
      <c r="V101" s="288"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3839</v>
      </c>
      <c r="AQ101" s="93" t="s">
        <v>1321</v>
      </c>
      <c r="AR101" s="98"/>
      <c r="AS101" s="93" t="s">
        <v>5126</v>
      </c>
      <c r="AT101" s="88" t="s">
        <v>5127</v>
      </c>
      <c r="AU101" s="93" t="s">
        <v>5128</v>
      </c>
      <c r="AV101" s="93" t="s">
        <v>4248</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4571</v>
      </c>
      <c r="BT101" s="93" t="s">
        <v>4406</v>
      </c>
      <c r="BU101" s="98"/>
      <c r="BV101" s="209" t="s">
        <v>440</v>
      </c>
      <c r="BW101" s="98"/>
      <c r="BX101" s="98"/>
      <c r="BY101" s="93" t="s">
        <v>3761</v>
      </c>
      <c r="BZ101" s="93" t="s">
        <v>660</v>
      </c>
      <c r="CA101" s="88" t="s">
        <v>5135</v>
      </c>
      <c r="CB101" s="93" t="s">
        <v>5136</v>
      </c>
      <c r="CC101" s="93" t="s">
        <v>3671</v>
      </c>
      <c r="CD101" s="93" t="s">
        <v>5137</v>
      </c>
      <c r="CE101" s="96"/>
      <c r="CF101" s="93" t="s">
        <v>1462</v>
      </c>
      <c r="CG101" s="93" t="s">
        <v>5138</v>
      </c>
      <c r="CH101" s="93" t="s">
        <v>3138</v>
      </c>
      <c r="CI101" s="93" t="s">
        <v>5139</v>
      </c>
      <c r="CJ101" s="93" t="s">
        <v>5140</v>
      </c>
      <c r="CK101" s="98"/>
      <c r="CL101" s="93" t="s">
        <v>2919</v>
      </c>
      <c r="CM101" s="93" t="s">
        <v>1619</v>
      </c>
      <c r="CN101" s="93" t="s">
        <v>5141</v>
      </c>
      <c r="CO101" s="93" t="s">
        <v>5142</v>
      </c>
      <c r="CP101" s="93"/>
      <c r="CQ101" s="93" t="s">
        <v>5143</v>
      </c>
      <c r="CR101" s="93" t="s">
        <v>5144</v>
      </c>
      <c r="CS101" s="101"/>
      <c r="CT101" s="93" t="s">
        <v>5145</v>
      </c>
      <c r="CU101" s="93" t="s">
        <v>4037</v>
      </c>
      <c r="CV101" s="88" t="s">
        <v>5146</v>
      </c>
      <c r="CW101" s="93" t="s">
        <v>5147</v>
      </c>
      <c r="CX101" s="98"/>
      <c r="CY101" s="93" t="s">
        <v>4469</v>
      </c>
      <c r="CZ101" s="93" t="s">
        <v>5148</v>
      </c>
      <c r="DA101" s="93" t="s">
        <v>4207</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1451</v>
      </c>
      <c r="DX101" s="93" t="s">
        <v>5159</v>
      </c>
      <c r="DY101" s="93" t="s">
        <v>4981</v>
      </c>
      <c r="DZ101" s="93" t="s">
        <v>660</v>
      </c>
      <c r="EA101" s="93" t="s">
        <v>2847</v>
      </c>
      <c r="EB101" s="288" t="s">
        <v>5160</v>
      </c>
    </row>
    <row r="102">
      <c r="A102" s="165" t="s">
        <v>5161</v>
      </c>
      <c r="B102" s="103" t="s">
        <v>5162</v>
      </c>
      <c r="C102" s="104" t="s">
        <v>1483</v>
      </c>
      <c r="D102" s="105" t="s">
        <v>1483</v>
      </c>
      <c r="E102" s="106" t="s">
        <v>1483</v>
      </c>
      <c r="F102" s="107" t="s">
        <v>336</v>
      </c>
      <c r="G102" s="103" t="s">
        <v>5163</v>
      </c>
      <c r="H102" s="166" t="s">
        <v>3438</v>
      </c>
      <c r="I102" s="166" t="s">
        <v>4017</v>
      </c>
      <c r="J102" s="166" t="s">
        <v>5164</v>
      </c>
      <c r="K102" s="166" t="s">
        <v>3601</v>
      </c>
      <c r="L102" s="166" t="s">
        <v>5165</v>
      </c>
      <c r="M102" s="166" t="s">
        <v>5166</v>
      </c>
      <c r="N102" s="166" t="s">
        <v>5167</v>
      </c>
      <c r="O102" s="166" t="s">
        <v>5168</v>
      </c>
      <c r="P102" s="166" t="s">
        <v>2748</v>
      </c>
      <c r="Q102" s="222"/>
      <c r="R102" s="222"/>
      <c r="S102" s="222"/>
      <c r="T102" s="222"/>
      <c r="U102" s="222"/>
      <c r="V102" s="222"/>
      <c r="W102" s="92"/>
      <c r="X102" s="197" t="s">
        <v>3605</v>
      </c>
      <c r="Y102" s="197" t="s">
        <v>3509</v>
      </c>
      <c r="Z102" s="197" t="s">
        <v>4916</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2856</v>
      </c>
      <c r="AV102" s="272"/>
      <c r="AW102" s="272"/>
      <c r="AX102" s="272"/>
      <c r="AY102" s="272"/>
      <c r="AZ102" s="273"/>
      <c r="BA102" s="173"/>
      <c r="BB102" s="173" t="s">
        <v>1500</v>
      </c>
      <c r="BC102" s="125" t="str">
        <f>HYPERLINK("https://youtu.be/jzNyA3Lqtt4","28.84")</f>
        <v>28.84</v>
      </c>
      <c r="BD102" s="173" t="s">
        <v>4204</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3943</v>
      </c>
      <c r="CL102" s="176" t="s">
        <v>3632</v>
      </c>
      <c r="CM102" s="281"/>
      <c r="CN102" s="281"/>
      <c r="CO102" s="281"/>
      <c r="CP102" s="281"/>
      <c r="CQ102" s="281"/>
      <c r="CR102" s="281"/>
      <c r="CS102" s="101"/>
      <c r="CT102" s="205" t="s">
        <v>5174</v>
      </c>
      <c r="CU102" s="282"/>
      <c r="CV102" s="205" t="s">
        <v>2762</v>
      </c>
      <c r="CW102" s="205" t="s">
        <v>5175</v>
      </c>
      <c r="CX102" s="205"/>
      <c r="CY102" s="559"/>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4299</v>
      </c>
      <c r="J103" s="93" t="s">
        <v>2558</v>
      </c>
      <c r="K103" s="209" t="s">
        <v>4420</v>
      </c>
      <c r="L103" s="93" t="s">
        <v>5182</v>
      </c>
      <c r="M103" s="98"/>
      <c r="N103" s="93" t="s">
        <v>695</v>
      </c>
      <c r="O103" s="93" t="s">
        <v>3893</v>
      </c>
      <c r="P103" s="93" t="s">
        <v>4376</v>
      </c>
      <c r="Q103" s="93" t="s">
        <v>5183</v>
      </c>
      <c r="R103" s="93"/>
      <c r="S103" s="93" t="s">
        <v>230</v>
      </c>
      <c r="T103" s="98"/>
      <c r="U103" s="93" t="s">
        <v>2528</v>
      </c>
      <c r="V103" s="93" t="s">
        <v>5184</v>
      </c>
      <c r="W103" s="92"/>
      <c r="X103" s="93" t="s">
        <v>5185</v>
      </c>
      <c r="Y103" s="209" t="s">
        <v>2750</v>
      </c>
      <c r="Z103" s="93" t="s">
        <v>2878</v>
      </c>
      <c r="AA103" s="93" t="s">
        <v>5186</v>
      </c>
      <c r="AB103" s="93" t="s">
        <v>1023</v>
      </c>
      <c r="AC103" s="93" t="s">
        <v>4382</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4084</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3342</v>
      </c>
      <c r="H104" s="166" t="s">
        <v>2840</v>
      </c>
      <c r="I104" s="166" t="s">
        <v>5196</v>
      </c>
      <c r="J104" s="166" t="s">
        <v>5197</v>
      </c>
      <c r="K104" s="166" t="s">
        <v>4433</v>
      </c>
      <c r="L104" s="166" t="s">
        <v>2408</v>
      </c>
      <c r="M104" s="222"/>
      <c r="N104" s="166" t="s">
        <v>4373</v>
      </c>
      <c r="O104" s="166" t="s">
        <v>5198</v>
      </c>
      <c r="P104" s="166" t="s">
        <v>4104</v>
      </c>
      <c r="Q104" s="222"/>
      <c r="R104" s="222"/>
      <c r="S104" s="222"/>
      <c r="T104" s="222"/>
      <c r="U104" s="222"/>
      <c r="V104" s="222"/>
      <c r="W104" s="92"/>
      <c r="X104" s="197" t="s">
        <v>4822</v>
      </c>
      <c r="Y104" s="197" t="s">
        <v>3242</v>
      </c>
      <c r="Z104" s="197" t="s">
        <v>5199</v>
      </c>
      <c r="AA104" s="197" t="s">
        <v>4915</v>
      </c>
      <c r="AB104" s="271"/>
      <c r="AC104" s="197" t="s">
        <v>4275</v>
      </c>
      <c r="AD104" s="271"/>
      <c r="AE104" s="197" t="s">
        <v>3277</v>
      </c>
      <c r="AF104" s="197" t="s">
        <v>5200</v>
      </c>
      <c r="AG104" s="271"/>
      <c r="AH104" s="271"/>
      <c r="AI104" s="271"/>
      <c r="AJ104" s="271"/>
      <c r="AK104" s="92"/>
      <c r="AL104" s="167" t="s">
        <v>4145</v>
      </c>
      <c r="AM104" s="272"/>
      <c r="AN104" s="272"/>
      <c r="AO104" s="272"/>
      <c r="AP104" s="272"/>
      <c r="AQ104" s="272"/>
      <c r="AR104" s="272"/>
      <c r="AS104" s="272"/>
      <c r="AT104" s="272"/>
      <c r="AU104" s="167" t="s">
        <v>5201</v>
      </c>
      <c r="AV104" s="167" t="s">
        <v>4827</v>
      </c>
      <c r="AW104" s="272"/>
      <c r="AX104" s="272"/>
      <c r="AY104" s="272"/>
      <c r="AZ104" s="273"/>
      <c r="BA104" s="173" t="s">
        <v>2079</v>
      </c>
      <c r="BB104" s="172"/>
      <c r="BC104" s="173" t="s">
        <v>5202</v>
      </c>
      <c r="BD104" s="173" t="s">
        <v>5032</v>
      </c>
      <c r="BE104" s="127" t="s">
        <v>4234</v>
      </c>
      <c r="BF104" s="173" t="s">
        <v>1474</v>
      </c>
      <c r="BG104" s="172"/>
      <c r="BH104" s="173" t="s">
        <v>2663</v>
      </c>
      <c r="BI104" s="173" t="s">
        <v>5203</v>
      </c>
      <c r="BJ104" s="173"/>
      <c r="BK104" s="172"/>
      <c r="BL104" s="172"/>
      <c r="BM104" s="172"/>
      <c r="BN104" s="172"/>
      <c r="BO104" s="172"/>
      <c r="BP104" s="275"/>
      <c r="BQ104" s="174" t="s">
        <v>3864</v>
      </c>
      <c r="BR104" s="278"/>
      <c r="BS104" s="174" t="s">
        <v>2736</v>
      </c>
      <c r="BT104" s="174" t="s">
        <v>5204</v>
      </c>
      <c r="BU104" s="278"/>
      <c r="BV104" s="174" t="s">
        <v>5205</v>
      </c>
      <c r="BW104" s="278"/>
      <c r="BX104" s="278"/>
      <c r="BY104" s="174" t="s">
        <v>3761</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3632</v>
      </c>
      <c r="CW104" s="205" t="s">
        <v>2879</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3342</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4498</v>
      </c>
      <c r="Z105" s="93" t="s">
        <v>4136</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3916</v>
      </c>
      <c r="BC105" s="98"/>
      <c r="BD105" s="93" t="s">
        <v>4503</v>
      </c>
      <c r="BE105" s="93" t="s">
        <v>5218</v>
      </c>
      <c r="BF105" s="98"/>
      <c r="BG105" s="98"/>
      <c r="BH105" s="93" t="s">
        <v>3209</v>
      </c>
      <c r="BI105" s="93" t="s">
        <v>5219</v>
      </c>
      <c r="BJ105" s="98"/>
      <c r="BK105" s="93" t="s">
        <v>1563</v>
      </c>
      <c r="BL105" s="98"/>
      <c r="BM105" s="98"/>
      <c r="BN105" s="98"/>
      <c r="BO105" s="98"/>
      <c r="BP105" s="262"/>
      <c r="BQ105" s="93" t="s">
        <v>5220</v>
      </c>
      <c r="BR105" s="93" t="s">
        <v>4441</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3607</v>
      </c>
      <c r="CL105" s="93" t="s">
        <v>3924</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4221</v>
      </c>
      <c r="J106" s="166" t="s">
        <v>5237</v>
      </c>
      <c r="K106" s="166" t="s">
        <v>4097</v>
      </c>
      <c r="L106" s="166" t="s">
        <v>1132</v>
      </c>
      <c r="M106" s="166" t="s">
        <v>5238</v>
      </c>
      <c r="N106" s="166" t="s">
        <v>5239</v>
      </c>
      <c r="O106" s="166" t="s">
        <v>888</v>
      </c>
      <c r="P106" s="166" t="s">
        <v>5240</v>
      </c>
      <c r="Q106" s="222"/>
      <c r="R106" s="222"/>
      <c r="S106" s="222"/>
      <c r="T106" s="222"/>
      <c r="U106" s="222"/>
      <c r="V106" s="222"/>
      <c r="W106" s="92"/>
      <c r="X106" s="197" t="s">
        <v>5241</v>
      </c>
      <c r="Y106" s="197" t="s">
        <v>4036</v>
      </c>
      <c r="Z106" s="197" t="s">
        <v>5242</v>
      </c>
      <c r="AA106" s="197" t="s">
        <v>5243</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5244</v>
      </c>
      <c r="BB106" s="173" t="s">
        <v>4562</v>
      </c>
      <c r="BC106" s="173" t="s">
        <v>2663</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3468</v>
      </c>
      <c r="BX106" s="174" t="s">
        <v>5250</v>
      </c>
      <c r="BY106" s="278"/>
      <c r="BZ106" s="174" t="s">
        <v>2425</v>
      </c>
      <c r="CA106" s="174" t="s">
        <v>5015</v>
      </c>
      <c r="CB106" s="174" t="s">
        <v>3375</v>
      </c>
      <c r="CC106" s="174" t="s">
        <v>1742</v>
      </c>
      <c r="CD106" s="278"/>
      <c r="CE106" s="279"/>
      <c r="CF106" s="176" t="s">
        <v>5251</v>
      </c>
      <c r="CG106" s="176" t="s">
        <v>3308</v>
      </c>
      <c r="CH106" s="176" t="s">
        <v>3500</v>
      </c>
      <c r="CI106" s="176" t="s">
        <v>5252</v>
      </c>
      <c r="CJ106" s="176"/>
      <c r="CK106" s="176" t="s">
        <v>5253</v>
      </c>
      <c r="CL106" s="176" t="s">
        <v>3781</v>
      </c>
      <c r="CM106" s="176" t="s">
        <v>1436</v>
      </c>
      <c r="CN106" s="281"/>
      <c r="CO106" s="281"/>
      <c r="CP106" s="281"/>
      <c r="CQ106" s="281"/>
      <c r="CR106" s="281"/>
      <c r="CS106" s="101"/>
      <c r="CT106" s="205" t="s">
        <v>5254</v>
      </c>
      <c r="CU106" s="205" t="s">
        <v>5255</v>
      </c>
      <c r="CV106" s="205" t="s">
        <v>2658</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5259</v>
      </c>
      <c r="DT106" s="206" t="s">
        <v>5260</v>
      </c>
      <c r="DU106" s="206" t="s">
        <v>3487</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4529</v>
      </c>
      <c r="L107" s="300" t="s">
        <v>581</v>
      </c>
      <c r="M107" s="98"/>
      <c r="N107" s="93" t="s">
        <v>5265</v>
      </c>
      <c r="O107" s="93" t="s">
        <v>1071</v>
      </c>
      <c r="P107" s="93" t="s">
        <v>3642</v>
      </c>
      <c r="Q107" s="98"/>
      <c r="R107" s="98"/>
      <c r="S107" s="98"/>
      <c r="T107" s="98"/>
      <c r="U107" s="98"/>
      <c r="V107" s="98"/>
      <c r="W107" s="92"/>
      <c r="X107" s="93" t="s">
        <v>2730</v>
      </c>
      <c r="Y107" s="93" t="s">
        <v>1056</v>
      </c>
      <c r="Z107" s="93" t="s">
        <v>3792</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3476</v>
      </c>
      <c r="AU107" s="93" t="s">
        <v>5267</v>
      </c>
      <c r="AV107" s="98"/>
      <c r="AW107" s="98"/>
      <c r="AX107" s="98"/>
      <c r="AY107" s="98"/>
      <c r="AZ107" s="262"/>
      <c r="BA107" s="93" t="s">
        <v>1154</v>
      </c>
      <c r="BB107" s="93" t="s">
        <v>377</v>
      </c>
      <c r="BC107" s="93" t="s">
        <v>4762</v>
      </c>
      <c r="BD107" s="93" t="s">
        <v>4921</v>
      </c>
      <c r="BE107" s="93" t="s">
        <v>1821</v>
      </c>
      <c r="BF107" s="98"/>
      <c r="BG107" s="98"/>
      <c r="BH107" s="93" t="s">
        <v>2061</v>
      </c>
      <c r="BI107" s="93" t="s">
        <v>5268</v>
      </c>
      <c r="BJ107" s="93" t="s">
        <v>714</v>
      </c>
      <c r="BK107" s="93" t="s">
        <v>4627</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2837</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6" t="s">
        <v>3361</v>
      </c>
      <c r="Z108" s="306" t="s">
        <v>4136</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3900</v>
      </c>
      <c r="CU108" s="205" t="s">
        <v>4420</v>
      </c>
      <c r="CV108" s="406" t="s">
        <v>3596</v>
      </c>
      <c r="CW108" s="205" t="s">
        <v>1132</v>
      </c>
      <c r="CX108" s="205" t="s">
        <v>2797</v>
      </c>
      <c r="CY108" s="282"/>
      <c r="CZ108" s="205" t="s">
        <v>4061</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5181</v>
      </c>
      <c r="G109" s="82" t="s">
        <v>3342</v>
      </c>
      <c r="H109" s="98"/>
      <c r="I109" s="336" t="s">
        <v>2148</v>
      </c>
      <c r="J109" s="336" t="s">
        <v>5289</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7" t="s">
        <v>5296</v>
      </c>
      <c r="Q110" s="166"/>
      <c r="R110" s="166"/>
      <c r="S110" s="166"/>
      <c r="T110" s="166"/>
      <c r="U110" s="166"/>
      <c r="V110" s="222"/>
      <c r="W110" s="92"/>
      <c r="X110" s="197" t="s">
        <v>809</v>
      </c>
      <c r="Y110" s="397" t="s">
        <v>5297</v>
      </c>
      <c r="Z110" s="197" t="s">
        <v>526</v>
      </c>
      <c r="AA110" s="197" t="s">
        <v>5186</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3135</v>
      </c>
      <c r="AU110" s="167" t="s">
        <v>3604</v>
      </c>
      <c r="AV110" s="272"/>
      <c r="AW110" s="167"/>
      <c r="AX110" s="167"/>
      <c r="AY110" s="167"/>
      <c r="AZ110" s="324"/>
      <c r="BA110" s="173" t="s">
        <v>4913</v>
      </c>
      <c r="BB110" s="173" t="s">
        <v>3292</v>
      </c>
      <c r="BC110" s="173" t="s">
        <v>3451</v>
      </c>
      <c r="BD110" s="173" t="s">
        <v>4531</v>
      </c>
      <c r="BE110" s="173" t="s">
        <v>4504</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2658</v>
      </c>
      <c r="T111" s="98"/>
      <c r="U111" s="93" t="s">
        <v>5313</v>
      </c>
      <c r="V111" s="88" t="s">
        <v>5314</v>
      </c>
      <c r="W111" s="92"/>
      <c r="X111" s="93" t="s">
        <v>5315</v>
      </c>
      <c r="Y111" s="93" t="s">
        <v>1651</v>
      </c>
      <c r="Z111" s="93" t="s">
        <v>1584</v>
      </c>
      <c r="AA111" s="93" t="s">
        <v>629</v>
      </c>
      <c r="AB111" s="93" t="s">
        <v>3768</v>
      </c>
      <c r="AC111" s="93" t="s">
        <v>5316</v>
      </c>
      <c r="AD111" s="93"/>
      <c r="AE111" s="93" t="s">
        <v>3991</v>
      </c>
      <c r="AF111" s="88" t="s">
        <v>2080</v>
      </c>
      <c r="AG111" s="93" t="s">
        <v>2774</v>
      </c>
      <c r="AH111" s="100"/>
      <c r="AI111" s="88" t="s">
        <v>3083</v>
      </c>
      <c r="AJ111" s="93" t="s">
        <v>5317</v>
      </c>
      <c r="AK111" s="92"/>
      <c r="AL111" s="93" t="s">
        <v>3705</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3604</v>
      </c>
      <c r="BD111" s="93" t="s">
        <v>5324</v>
      </c>
      <c r="BE111" s="93" t="s">
        <v>2699</v>
      </c>
      <c r="BF111" s="93" t="s">
        <v>3565</v>
      </c>
      <c r="BG111" s="98"/>
      <c r="BH111" s="93" t="s">
        <v>5054</v>
      </c>
      <c r="BI111" s="93" t="s">
        <v>1193</v>
      </c>
      <c r="BJ111" s="98"/>
      <c r="BK111" s="160" t="s">
        <v>5325</v>
      </c>
      <c r="BL111" s="93" t="s">
        <v>5326</v>
      </c>
      <c r="BM111" s="93" t="s">
        <v>4119</v>
      </c>
      <c r="BN111" s="98"/>
      <c r="BO111" s="93" t="s">
        <v>5327</v>
      </c>
      <c r="BP111" s="93"/>
      <c r="BQ111" s="98"/>
      <c r="BR111" s="93" t="s">
        <v>5328</v>
      </c>
      <c r="BS111" s="93" t="s">
        <v>230</v>
      </c>
      <c r="BT111" s="93" t="s">
        <v>597</v>
      </c>
      <c r="BU111" s="93" t="s">
        <v>5329</v>
      </c>
      <c r="BV111" s="93" t="s">
        <v>5330</v>
      </c>
      <c r="BW111" s="98"/>
      <c r="BX111" s="88" t="s">
        <v>2995</v>
      </c>
      <c r="BY111" s="98"/>
      <c r="BZ111" s="88" t="s">
        <v>3772</v>
      </c>
      <c r="CA111" s="88" t="s">
        <v>5331</v>
      </c>
      <c r="CB111" s="88" t="s">
        <v>5332</v>
      </c>
      <c r="CC111" s="93" t="s">
        <v>2830</v>
      </c>
      <c r="CD111" s="93" t="s">
        <v>5333</v>
      </c>
      <c r="CE111" s="93"/>
      <c r="CF111" s="93" t="s">
        <v>5334</v>
      </c>
      <c r="CG111" s="93" t="s">
        <v>3561</v>
      </c>
      <c r="CH111" s="93" t="s">
        <v>495</v>
      </c>
      <c r="CI111" s="93" t="s">
        <v>5335</v>
      </c>
      <c r="CJ111" s="93"/>
      <c r="CK111" s="93" t="s">
        <v>5336</v>
      </c>
      <c r="CL111" s="300" t="s">
        <v>5337</v>
      </c>
      <c r="CM111" s="88" t="s">
        <v>3642</v>
      </c>
      <c r="CN111" s="98"/>
      <c r="CO111" s="93" t="s">
        <v>5338</v>
      </c>
      <c r="CP111" s="98"/>
      <c r="CQ111" s="98"/>
      <c r="CR111" s="93" t="s">
        <v>3521</v>
      </c>
      <c r="CS111" s="101"/>
      <c r="CT111" s="93" t="s">
        <v>2709</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4226</v>
      </c>
      <c r="DH111" s="93"/>
      <c r="DI111" s="93" t="s">
        <v>5343</v>
      </c>
      <c r="DJ111" s="93"/>
      <c r="DK111" s="93" t="s">
        <v>5344</v>
      </c>
      <c r="DL111" s="93" t="s">
        <v>2847</v>
      </c>
      <c r="DM111" s="160" t="s">
        <v>3456</v>
      </c>
      <c r="DN111" s="93" t="s">
        <v>3794</v>
      </c>
      <c r="DO111" s="98"/>
      <c r="DP111" s="93" t="s">
        <v>3445</v>
      </c>
      <c r="DQ111" s="93" t="s">
        <v>5345</v>
      </c>
      <c r="DR111" s="93" t="s">
        <v>3841</v>
      </c>
      <c r="DS111" s="93" t="s">
        <v>3603</v>
      </c>
      <c r="DT111" s="93" t="s">
        <v>1128</v>
      </c>
      <c r="DU111" s="93" t="s">
        <v>1477</v>
      </c>
      <c r="DV111" s="93" t="s">
        <v>4258</v>
      </c>
      <c r="DW111" s="93" t="s">
        <v>1065</v>
      </c>
      <c r="DX111" s="93" t="s">
        <v>2963</v>
      </c>
      <c r="DY111" s="93" t="s">
        <v>3973</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2709</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4403</v>
      </c>
      <c r="AG112" s="197" t="s">
        <v>1991</v>
      </c>
      <c r="AH112" s="197"/>
      <c r="AI112" s="197" t="s">
        <v>1327</v>
      </c>
      <c r="AJ112" s="197" t="s">
        <v>5358</v>
      </c>
      <c r="AK112" s="92"/>
      <c r="AL112" s="167" t="s">
        <v>2129</v>
      </c>
      <c r="AM112" s="167" t="s">
        <v>4336</v>
      </c>
      <c r="AN112" s="272"/>
      <c r="AO112" s="272"/>
      <c r="AP112" s="272"/>
      <c r="AQ112" s="272"/>
      <c r="AR112" s="167" t="s">
        <v>3952</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4352</v>
      </c>
      <c r="BG112" s="173" t="s">
        <v>4623</v>
      </c>
      <c r="BH112" s="173" t="s">
        <v>3449</v>
      </c>
      <c r="BI112" s="173" t="s">
        <v>937</v>
      </c>
      <c r="BJ112" s="173"/>
      <c r="BK112" s="173" t="s">
        <v>5364</v>
      </c>
      <c r="BL112" s="172"/>
      <c r="BM112" s="173" t="s">
        <v>2005</v>
      </c>
      <c r="BN112" s="173" t="s">
        <v>2916</v>
      </c>
      <c r="BO112" s="172"/>
      <c r="BP112" s="275"/>
      <c r="BQ112" s="174"/>
      <c r="BR112" s="174" t="s">
        <v>3421</v>
      </c>
      <c r="BS112" s="174" t="s">
        <v>2860</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4951</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3335</v>
      </c>
      <c r="CW112" s="205" t="s">
        <v>3453</v>
      </c>
      <c r="CX112" s="205" t="s">
        <v>5377</v>
      </c>
      <c r="CY112" s="205" t="s">
        <v>4021</v>
      </c>
      <c r="CZ112" s="205" t="s">
        <v>5378</v>
      </c>
      <c r="DA112" s="205" t="s">
        <v>2692</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4097</v>
      </c>
      <c r="L113" s="93" t="s">
        <v>4727</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5407</v>
      </c>
      <c r="B114" s="103" t="s">
        <v>5408</v>
      </c>
      <c r="C114" s="104" t="s">
        <v>1483</v>
      </c>
      <c r="D114" s="105" t="s">
        <v>1483</v>
      </c>
      <c r="E114" s="106" t="s">
        <v>1483</v>
      </c>
      <c r="F114" s="107" t="s">
        <v>1250</v>
      </c>
      <c r="G114" s="103" t="s">
        <v>4491</v>
      </c>
      <c r="H114" s="112" t="s">
        <v>5409</v>
      </c>
      <c r="I114" s="293" t="s">
        <v>5410</v>
      </c>
      <c r="J114" s="293" t="s">
        <v>478</v>
      </c>
      <c r="K114" s="293" t="s">
        <v>2361</v>
      </c>
      <c r="L114" s="112" t="s">
        <v>4154</v>
      </c>
      <c r="M114" s="166" t="s">
        <v>996</v>
      </c>
      <c r="N114" s="166" t="s">
        <v>5411</v>
      </c>
      <c r="O114" s="293" t="s">
        <v>517</v>
      </c>
      <c r="P114" s="112" t="s">
        <v>2909</v>
      </c>
      <c r="Q114" s="222"/>
      <c r="R114" s="222"/>
      <c r="S114" s="166" t="s">
        <v>3817</v>
      </c>
      <c r="T114" s="222"/>
      <c r="U114" s="166" t="s">
        <v>1525</v>
      </c>
      <c r="V114" s="222"/>
      <c r="W114" s="92"/>
      <c r="X114" s="375" t="s">
        <v>4822</v>
      </c>
      <c r="Y114" s="375" t="s">
        <v>3765</v>
      </c>
      <c r="Z114" s="116" t="s">
        <v>5412</v>
      </c>
      <c r="AA114" s="197" t="s">
        <v>5413</v>
      </c>
      <c r="AB114" s="116" t="s">
        <v>2718</v>
      </c>
      <c r="AC114" s="375" t="s">
        <v>5414</v>
      </c>
      <c r="AD114" s="271"/>
      <c r="AE114" s="197" t="s">
        <v>5415</v>
      </c>
      <c r="AF114" s="375" t="s">
        <v>5188</v>
      </c>
      <c r="AG114" s="197" t="s">
        <v>5416</v>
      </c>
      <c r="AH114" s="271"/>
      <c r="AI114" s="271"/>
      <c r="AJ114" s="271"/>
      <c r="AK114" s="92"/>
      <c r="AL114" s="167" t="s">
        <v>4562</v>
      </c>
      <c r="AM114" s="167" t="s">
        <v>1100</v>
      </c>
      <c r="AN114" s="272"/>
      <c r="AO114" s="167" t="s">
        <v>5417</v>
      </c>
      <c r="AP114" s="167" t="s">
        <v>5418</v>
      </c>
      <c r="AQ114" s="167" t="s">
        <v>5419</v>
      </c>
      <c r="AR114" s="121" t="s">
        <v>1738</v>
      </c>
      <c r="AS114" s="272"/>
      <c r="AT114" s="626" t="s">
        <v>3712</v>
      </c>
      <c r="AU114" s="309" t="s">
        <v>2399</v>
      </c>
      <c r="AV114" s="121" t="s">
        <v>3370</v>
      </c>
      <c r="AW114" s="272"/>
      <c r="AX114" s="167" t="s">
        <v>5420</v>
      </c>
      <c r="AY114" s="272"/>
      <c r="AZ114" s="273"/>
      <c r="BA114" s="173" t="s">
        <v>4392</v>
      </c>
      <c r="BB114" s="173" t="s">
        <v>1237</v>
      </c>
      <c r="BC114" s="127" t="s">
        <v>4762</v>
      </c>
      <c r="BD114" s="173" t="s">
        <v>2986</v>
      </c>
      <c r="BE114" s="173" t="s">
        <v>4322</v>
      </c>
      <c r="BF114" s="173" t="s">
        <v>2627</v>
      </c>
      <c r="BG114" s="173" t="s">
        <v>5421</v>
      </c>
      <c r="BH114" s="173" t="s">
        <v>3527</v>
      </c>
      <c r="BI114" s="173" t="s">
        <v>5422</v>
      </c>
      <c r="BJ114" s="172"/>
      <c r="BK114" s="173" t="s">
        <v>3232</v>
      </c>
      <c r="BL114" s="172"/>
      <c r="BM114" s="173" t="s">
        <v>4535</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3476</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4068</v>
      </c>
      <c r="DL114" s="284"/>
      <c r="DM114" s="284"/>
      <c r="DN114" s="145" t="s">
        <v>5437</v>
      </c>
      <c r="DO114" s="284"/>
      <c r="DP114" s="284"/>
      <c r="DQ114" s="206" t="s">
        <v>5429</v>
      </c>
      <c r="DR114" s="206" t="s">
        <v>5438</v>
      </c>
      <c r="DS114" s="284"/>
      <c r="DT114" s="206" t="s">
        <v>3797</v>
      </c>
      <c r="DU114" s="145" t="s">
        <v>3217</v>
      </c>
      <c r="DV114" s="284"/>
      <c r="DW114" s="284"/>
      <c r="DX114" s="284"/>
      <c r="DY114" s="284"/>
      <c r="DZ114" s="284"/>
      <c r="EA114" s="284"/>
      <c r="EB114" s="319"/>
    </row>
    <row r="115">
      <c r="A115" s="627"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4546</v>
      </c>
      <c r="AM115" s="93" t="s">
        <v>3751</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4678</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4571</v>
      </c>
      <c r="BT115" s="93" t="s">
        <v>5464</v>
      </c>
      <c r="BU115" s="93" t="s">
        <v>5465</v>
      </c>
      <c r="BV115" s="93" t="s">
        <v>5466</v>
      </c>
      <c r="BW115" s="98"/>
      <c r="BX115" s="93" t="s">
        <v>3911</v>
      </c>
      <c r="BY115" s="93" t="s">
        <v>5467</v>
      </c>
      <c r="BZ115" s="93" t="s">
        <v>5468</v>
      </c>
      <c r="CA115" s="98"/>
      <c r="CB115" s="98"/>
      <c r="CC115" s="98"/>
      <c r="CD115" s="98"/>
      <c r="CE115" s="262"/>
      <c r="CF115" s="93" t="s">
        <v>5469</v>
      </c>
      <c r="CG115" s="93" t="s">
        <v>5158</v>
      </c>
      <c r="CH115" s="93" t="s">
        <v>1037</v>
      </c>
      <c r="CI115" s="93" t="s">
        <v>5470</v>
      </c>
      <c r="CJ115" s="93" t="s">
        <v>4268</v>
      </c>
      <c r="CK115" s="93" t="s">
        <v>5471</v>
      </c>
      <c r="CL115" s="93" t="s">
        <v>5472</v>
      </c>
      <c r="CM115" s="93" t="s">
        <v>4247</v>
      </c>
      <c r="CN115" s="98"/>
      <c r="CO115" s="93" t="s">
        <v>5473</v>
      </c>
      <c r="CP115" s="98"/>
      <c r="CQ115" s="98"/>
      <c r="CR115" s="98"/>
      <c r="CS115" s="101"/>
      <c r="CT115" s="93" t="s">
        <v>5474</v>
      </c>
      <c r="CU115" s="93" t="s">
        <v>5475</v>
      </c>
      <c r="CV115" s="93" t="s">
        <v>5476</v>
      </c>
      <c r="CW115" s="93" t="s">
        <v>3605</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8"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31" t="s">
        <v>1483</v>
      </c>
      <c r="D117" s="632" t="s">
        <v>1483</v>
      </c>
      <c r="E117" s="633" t="s">
        <v>1483</v>
      </c>
      <c r="F117" s="86" t="s">
        <v>338</v>
      </c>
      <c r="G117" s="634" t="s">
        <v>3890</v>
      </c>
      <c r="H117" s="98"/>
      <c r="I117" s="635" t="s">
        <v>5495</v>
      </c>
      <c r="J117" s="93" t="s">
        <v>5496</v>
      </c>
      <c r="K117" s="636" t="s">
        <v>5497</v>
      </c>
      <c r="L117" s="635" t="s">
        <v>5498</v>
      </c>
      <c r="M117" s="93" t="s">
        <v>5499</v>
      </c>
      <c r="N117" s="93" t="s">
        <v>5500</v>
      </c>
      <c r="O117" s="96" t="s">
        <v>2987</v>
      </c>
      <c r="P117" s="96" t="s">
        <v>4939</v>
      </c>
      <c r="Q117" s="98"/>
      <c r="R117" s="98"/>
      <c r="S117" s="96" t="s">
        <v>5501</v>
      </c>
      <c r="T117" s="98"/>
      <c r="U117" s="98"/>
      <c r="V117" s="98"/>
      <c r="W117" s="92"/>
      <c r="X117" s="637" t="s">
        <v>1920</v>
      </c>
      <c r="Y117" s="635" t="s">
        <v>5100</v>
      </c>
      <c r="Z117" s="93" t="s">
        <v>467</v>
      </c>
      <c r="AA117" s="96" t="s">
        <v>3285</v>
      </c>
      <c r="AB117" s="637"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4762</v>
      </c>
      <c r="BD117" s="637" t="s">
        <v>2226</v>
      </c>
      <c r="BE117" s="93" t="s">
        <v>4439</v>
      </c>
      <c r="BF117" s="98"/>
      <c r="BG117" s="98"/>
      <c r="BH117" s="96" t="s">
        <v>1905</v>
      </c>
      <c r="BI117" s="638"/>
      <c r="BJ117" s="96" t="s">
        <v>5508</v>
      </c>
      <c r="BK117" s="96" t="s">
        <v>5325</v>
      </c>
      <c r="BL117" s="93"/>
      <c r="BM117" s="98"/>
      <c r="BN117" s="98"/>
      <c r="BO117" s="98"/>
      <c r="BP117" s="262"/>
      <c r="BQ117" s="96" t="s">
        <v>5509</v>
      </c>
      <c r="BR117" s="98"/>
      <c r="BS117" s="96" t="s">
        <v>1042</v>
      </c>
      <c r="BT117" s="98"/>
      <c r="BU117" s="93" t="s">
        <v>4623</v>
      </c>
      <c r="BV117" s="635" t="s">
        <v>5510</v>
      </c>
      <c r="BW117" s="96" t="s">
        <v>5511</v>
      </c>
      <c r="BX117" s="637" t="s">
        <v>457</v>
      </c>
      <c r="BY117" s="637" t="s">
        <v>5512</v>
      </c>
      <c r="BZ117" s="98"/>
      <c r="CA117" s="98"/>
      <c r="CB117" s="98"/>
      <c r="CC117" s="96" t="s">
        <v>2641</v>
      </c>
      <c r="CD117" s="98"/>
      <c r="CE117" s="262"/>
      <c r="CF117" s="96" t="s">
        <v>5513</v>
      </c>
      <c r="CG117" s="96" t="s">
        <v>5514</v>
      </c>
      <c r="CH117" s="98"/>
      <c r="CI117" s="98"/>
      <c r="CJ117" s="98"/>
      <c r="CK117" s="98"/>
      <c r="CL117" s="96" t="s">
        <v>425</v>
      </c>
      <c r="CM117" s="96" t="s">
        <v>4485</v>
      </c>
      <c r="CN117" s="98"/>
      <c r="CO117" s="98"/>
      <c r="CP117" s="98"/>
      <c r="CQ117" s="98"/>
      <c r="CR117" s="98"/>
      <c r="CS117" s="101"/>
      <c r="CT117" s="636" t="s">
        <v>657</v>
      </c>
      <c r="CU117" s="98"/>
      <c r="CV117" s="97" t="s">
        <v>5515</v>
      </c>
      <c r="CW117" s="93"/>
      <c r="CX117" s="96" t="s">
        <v>5516</v>
      </c>
      <c r="CY117" s="98"/>
      <c r="CZ117" s="637"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39" t="s">
        <v>3517</v>
      </c>
      <c r="DY117" s="96" t="s">
        <v>2988</v>
      </c>
      <c r="DZ117" s="98"/>
      <c r="EA117" s="98"/>
      <c r="EB117" s="288"/>
    </row>
    <row r="118">
      <c r="A118" s="165" t="s">
        <v>5520</v>
      </c>
      <c r="B118" s="103" t="s">
        <v>5521</v>
      </c>
      <c r="C118" s="104" t="s">
        <v>1483</v>
      </c>
      <c r="D118" s="105" t="s">
        <v>1483</v>
      </c>
      <c r="E118" s="106" t="s">
        <v>1483</v>
      </c>
      <c r="F118" s="107" t="s">
        <v>667</v>
      </c>
      <c r="G118" s="103" t="s">
        <v>3464</v>
      </c>
      <c r="H118" s="293" t="s">
        <v>1448</v>
      </c>
      <c r="I118" s="293" t="s">
        <v>5522</v>
      </c>
      <c r="J118" s="293" t="s">
        <v>5523</v>
      </c>
      <c r="K118" s="293" t="s">
        <v>4545</v>
      </c>
      <c r="L118" s="293" t="s">
        <v>4564</v>
      </c>
      <c r="M118" s="293" t="s">
        <v>5524</v>
      </c>
      <c r="N118" s="293" t="s">
        <v>1911</v>
      </c>
      <c r="O118" s="293" t="s">
        <v>1525</v>
      </c>
      <c r="P118" s="112" t="s">
        <v>1056</v>
      </c>
      <c r="Q118" s="112" t="s">
        <v>5525</v>
      </c>
      <c r="R118" s="222"/>
      <c r="S118" s="222"/>
      <c r="T118" s="222"/>
      <c r="U118" s="222"/>
      <c r="V118" s="222"/>
      <c r="W118" s="92"/>
      <c r="X118" s="375" t="s">
        <v>5526</v>
      </c>
      <c r="Y118" s="375" t="s">
        <v>4085</v>
      </c>
      <c r="Z118" s="375" t="s">
        <v>5527</v>
      </c>
      <c r="AA118" s="375" t="s">
        <v>3511</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4068</v>
      </c>
      <c r="BL118" s="172"/>
      <c r="BM118" s="173" t="s">
        <v>5476</v>
      </c>
      <c r="BN118" s="173" t="s">
        <v>4548</v>
      </c>
      <c r="BO118" s="173" t="s">
        <v>5541</v>
      </c>
      <c r="BP118" s="173"/>
      <c r="BQ118" s="174"/>
      <c r="BR118" s="174" t="s">
        <v>3943</v>
      </c>
      <c r="BS118" s="174" t="s">
        <v>3885</v>
      </c>
      <c r="BT118" s="174" t="s">
        <v>5542</v>
      </c>
      <c r="BU118" s="174" t="s">
        <v>4874</v>
      </c>
      <c r="BV118" s="174" t="s">
        <v>4509</v>
      </c>
      <c r="BW118" s="278"/>
      <c r="BX118" s="174" t="s">
        <v>5543</v>
      </c>
      <c r="BY118" s="174" t="s">
        <v>5544</v>
      </c>
      <c r="BZ118" s="174" t="s">
        <v>5545</v>
      </c>
      <c r="CA118" s="278"/>
      <c r="CB118" s="278"/>
      <c r="CC118" s="278"/>
      <c r="CD118" s="278"/>
      <c r="CE118" s="279"/>
      <c r="CF118" s="176" t="s">
        <v>5546</v>
      </c>
      <c r="CG118" s="176" t="s">
        <v>5547</v>
      </c>
      <c r="CH118" s="176" t="s">
        <v>4185</v>
      </c>
      <c r="CI118" s="176" t="s">
        <v>5548</v>
      </c>
      <c r="CJ118" s="176" t="s">
        <v>4268</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4163</v>
      </c>
      <c r="DB118" s="282"/>
      <c r="DC118" s="282"/>
      <c r="DD118" s="282"/>
      <c r="DE118" s="205" t="s">
        <v>5557</v>
      </c>
      <c r="DF118" s="328"/>
      <c r="DG118" s="206" t="s">
        <v>2536</v>
      </c>
      <c r="DH118" s="284"/>
      <c r="DI118" s="284"/>
      <c r="DJ118" s="206"/>
      <c r="DK118" s="284"/>
      <c r="DL118" s="206" t="s">
        <v>5558</v>
      </c>
      <c r="DM118" s="206" t="s">
        <v>3878</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4268</v>
      </c>
      <c r="Q119" s="98"/>
      <c r="R119" s="98"/>
      <c r="S119" s="98"/>
      <c r="T119" s="98"/>
      <c r="U119" s="98"/>
      <c r="V119" s="98"/>
      <c r="W119" s="92"/>
      <c r="X119" s="93" t="s">
        <v>3021</v>
      </c>
      <c r="Y119" s="93" t="s">
        <v>5566</v>
      </c>
      <c r="Z119" s="93" t="s">
        <v>4774</v>
      </c>
      <c r="AA119" s="93" t="s">
        <v>1045</v>
      </c>
      <c r="AB119" s="93" t="s">
        <v>4227</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4212</v>
      </c>
      <c r="BF119" s="93" t="s">
        <v>4235</v>
      </c>
      <c r="BG119" s="98"/>
      <c r="BH119" s="300" t="s">
        <v>630</v>
      </c>
      <c r="BI119" s="93" t="s">
        <v>5574</v>
      </c>
      <c r="BJ119" s="93" t="s">
        <v>5575</v>
      </c>
      <c r="BK119" s="93" t="s">
        <v>5576</v>
      </c>
      <c r="BL119" s="98"/>
      <c r="BM119" s="98"/>
      <c r="BN119" s="98"/>
      <c r="BO119" s="98"/>
      <c r="BP119" s="262"/>
      <c r="BQ119" s="93" t="s">
        <v>5577</v>
      </c>
      <c r="BR119" s="93" t="s">
        <v>2982</v>
      </c>
      <c r="BS119" s="93" t="s">
        <v>4924</v>
      </c>
      <c r="BT119" s="93" t="s">
        <v>5424</v>
      </c>
      <c r="BU119" s="93" t="s">
        <v>5578</v>
      </c>
      <c r="BV119" s="93" t="s">
        <v>4753</v>
      </c>
      <c r="BW119" s="98"/>
      <c r="BX119" s="93" t="s">
        <v>745</v>
      </c>
      <c r="BY119" s="93" t="s">
        <v>5579</v>
      </c>
      <c r="BZ119" s="98"/>
      <c r="CA119" s="98"/>
      <c r="CB119" s="98"/>
      <c r="CC119" s="98"/>
      <c r="CD119" s="98"/>
      <c r="CE119" s="262"/>
      <c r="CF119" s="93" t="s">
        <v>5580</v>
      </c>
      <c r="CG119" s="93" t="s">
        <v>5581</v>
      </c>
      <c r="CH119" s="93" t="s">
        <v>4161</v>
      </c>
      <c r="CI119" s="93" t="s">
        <v>5582</v>
      </c>
      <c r="CJ119" s="93"/>
      <c r="CK119" s="93" t="s">
        <v>5583</v>
      </c>
      <c r="CL119" s="93" t="s">
        <v>1705</v>
      </c>
      <c r="CM119" s="93" t="s">
        <v>5584</v>
      </c>
      <c r="CN119" s="98"/>
      <c r="CO119" s="98"/>
      <c r="CP119" s="98"/>
      <c r="CQ119" s="98"/>
      <c r="CR119" s="98"/>
      <c r="CS119" s="101"/>
      <c r="CT119" s="93" t="s">
        <v>3814</v>
      </c>
      <c r="CU119" s="93" t="s">
        <v>4136</v>
      </c>
      <c r="CV119" s="93" t="s">
        <v>3806</v>
      </c>
      <c r="CW119" s="93" t="s">
        <v>5585</v>
      </c>
      <c r="CX119" s="93" t="s">
        <v>5586</v>
      </c>
      <c r="CY119" s="93" t="s">
        <v>5587</v>
      </c>
      <c r="CZ119" s="93" t="s">
        <v>4803</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40" t="s">
        <v>5589</v>
      </c>
      <c r="B120" s="103" t="s">
        <v>5590</v>
      </c>
      <c r="C120" s="104" t="s">
        <v>1483</v>
      </c>
      <c r="D120" s="105" t="s">
        <v>1483</v>
      </c>
      <c r="E120" s="106" t="s">
        <v>1483</v>
      </c>
      <c r="F120" s="107" t="s">
        <v>1483</v>
      </c>
      <c r="G120" s="103" t="s">
        <v>4703</v>
      </c>
      <c r="H120" s="166" t="s">
        <v>4765</v>
      </c>
      <c r="I120" s="166" t="s">
        <v>5591</v>
      </c>
      <c r="J120" s="166" t="s">
        <v>5277</v>
      </c>
      <c r="K120" s="166" t="s">
        <v>356</v>
      </c>
      <c r="L120" s="166" t="s">
        <v>4990</v>
      </c>
      <c r="M120" s="166" t="s">
        <v>5592</v>
      </c>
      <c r="N120" s="166" t="s">
        <v>5593</v>
      </c>
      <c r="O120" s="166" t="s">
        <v>3092</v>
      </c>
      <c r="P120" s="166" t="s">
        <v>5594</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5169</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4924</v>
      </c>
      <c r="CM120" s="176" t="s">
        <v>5596</v>
      </c>
      <c r="CN120" s="281"/>
      <c r="CO120" s="281"/>
      <c r="CP120" s="281"/>
      <c r="CQ120" s="281"/>
      <c r="CR120" s="281"/>
      <c r="CS120" s="101"/>
      <c r="CT120" s="205" t="s">
        <v>1059</v>
      </c>
      <c r="CU120" s="205" t="s">
        <v>5068</v>
      </c>
      <c r="CV120" s="205" t="s">
        <v>3403</v>
      </c>
      <c r="CW120" s="205" t="s">
        <v>4609</v>
      </c>
      <c r="CX120" s="205" t="s">
        <v>5268</v>
      </c>
      <c r="CY120" s="205" t="s">
        <v>5045</v>
      </c>
      <c r="CZ120" s="205" t="s">
        <v>5614</v>
      </c>
      <c r="DA120" s="205" t="s">
        <v>3923</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41" t="s">
        <v>5616</v>
      </c>
      <c r="B121" s="82" t="s">
        <v>5617</v>
      </c>
      <c r="C121" s="83" t="s">
        <v>1483</v>
      </c>
      <c r="D121" s="84" t="s">
        <v>1483</v>
      </c>
      <c r="E121" s="85" t="s">
        <v>1483</v>
      </c>
      <c r="F121" s="86" t="s">
        <v>336</v>
      </c>
      <c r="G121" s="82" t="s">
        <v>3948</v>
      </c>
      <c r="H121" s="93"/>
      <c r="I121" s="93" t="s">
        <v>5618</v>
      </c>
      <c r="J121" s="93" t="s">
        <v>5269</v>
      </c>
      <c r="K121" s="93" t="s">
        <v>5619</v>
      </c>
      <c r="L121" s="88" t="s">
        <v>5620</v>
      </c>
      <c r="M121" s="98"/>
      <c r="N121" s="98"/>
      <c r="O121" s="98"/>
      <c r="P121" s="93" t="s">
        <v>5621</v>
      </c>
      <c r="Q121" s="98"/>
      <c r="R121" s="98"/>
      <c r="S121" s="93" t="s">
        <v>4273</v>
      </c>
      <c r="T121" s="98"/>
      <c r="U121" s="93" t="s">
        <v>3364</v>
      </c>
      <c r="V121" s="98"/>
      <c r="W121" s="92"/>
      <c r="X121" s="93" t="s">
        <v>5130</v>
      </c>
      <c r="Y121" s="98"/>
      <c r="Z121" s="93" t="s">
        <v>5622</v>
      </c>
      <c r="AA121" s="98"/>
      <c r="AB121" s="93" t="s">
        <v>1407</v>
      </c>
      <c r="AC121" s="98"/>
      <c r="AD121" s="98"/>
      <c r="AE121" s="98"/>
      <c r="AF121" s="93" t="s">
        <v>5623</v>
      </c>
      <c r="AG121" s="93" t="s">
        <v>5624</v>
      </c>
      <c r="AH121" s="98"/>
      <c r="AI121" s="93" t="s">
        <v>4424</v>
      </c>
      <c r="AJ121" s="93" t="s">
        <v>5625</v>
      </c>
      <c r="AK121" s="92"/>
      <c r="AL121" s="93" t="s">
        <v>3623</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42" t="s">
        <v>5641</v>
      </c>
      <c r="B122" s="103" t="s">
        <v>5642</v>
      </c>
      <c r="C122" s="104" t="s">
        <v>1483</v>
      </c>
      <c r="D122" s="105" t="s">
        <v>1483</v>
      </c>
      <c r="E122" s="106" t="s">
        <v>1483</v>
      </c>
      <c r="F122" s="107" t="s">
        <v>1483</v>
      </c>
      <c r="G122" s="103" t="s">
        <v>4944</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3776</v>
      </c>
      <c r="Z122" s="197" t="s">
        <v>5623</v>
      </c>
      <c r="AA122" s="197" t="s">
        <v>5646</v>
      </c>
      <c r="AB122" s="197" t="s">
        <v>4314</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3562</v>
      </c>
      <c r="AU122" s="167" t="s">
        <v>290</v>
      </c>
      <c r="AV122" s="272"/>
      <c r="AW122" s="272"/>
      <c r="AX122" s="272"/>
      <c r="AY122" s="272"/>
      <c r="AZ122" s="273"/>
      <c r="BA122" s="173" t="s">
        <v>4461</v>
      </c>
      <c r="BB122" s="173" t="s">
        <v>598</v>
      </c>
      <c r="BC122" s="173" t="s">
        <v>3686</v>
      </c>
      <c r="BD122" s="173" t="s">
        <v>5649</v>
      </c>
      <c r="BE122" s="173" t="s">
        <v>5650</v>
      </c>
      <c r="BF122" s="172"/>
      <c r="BG122" s="643"/>
      <c r="BH122" s="173" t="s">
        <v>785</v>
      </c>
      <c r="BI122" s="173" t="s">
        <v>5651</v>
      </c>
      <c r="BJ122" s="172"/>
      <c r="BK122" s="173" t="s">
        <v>4675</v>
      </c>
      <c r="BL122" s="172"/>
      <c r="BM122" s="172"/>
      <c r="BN122" s="172"/>
      <c r="BO122" s="172"/>
      <c r="BP122" s="275"/>
      <c r="BQ122" s="174" t="s">
        <v>5459</v>
      </c>
      <c r="BR122" s="174" t="s">
        <v>4549</v>
      </c>
      <c r="BS122" s="174" t="s">
        <v>4909</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3660</v>
      </c>
      <c r="CU122" s="205" t="s">
        <v>2936</v>
      </c>
      <c r="CV122" s="205" t="s">
        <v>5158</v>
      </c>
      <c r="CW122" s="205" t="s">
        <v>871</v>
      </c>
      <c r="CX122" s="205" t="s">
        <v>1842</v>
      </c>
      <c r="CY122" s="282"/>
      <c r="CZ122" s="205" t="s">
        <v>5656</v>
      </c>
      <c r="DA122" s="205" t="s">
        <v>4325</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4"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3928</v>
      </c>
      <c r="AC123" s="300" t="s">
        <v>3589</v>
      </c>
      <c r="AD123" s="98"/>
      <c r="AE123" s="300" t="s">
        <v>5667</v>
      </c>
      <c r="AF123" s="88" t="s">
        <v>4777</v>
      </c>
      <c r="AG123" s="98"/>
      <c r="AH123" s="98"/>
      <c r="AI123" s="98"/>
      <c r="AJ123" s="98"/>
      <c r="AK123" s="92"/>
      <c r="AL123" s="98"/>
      <c r="AM123" s="98"/>
      <c r="AN123" s="98"/>
      <c r="AO123" s="98"/>
      <c r="AP123" s="98"/>
      <c r="AQ123" s="98"/>
      <c r="AR123" s="98"/>
      <c r="AS123" s="98"/>
      <c r="AT123" s="88" t="s">
        <v>3131</v>
      </c>
      <c r="AU123" s="88" t="s">
        <v>4089</v>
      </c>
      <c r="AV123" s="98"/>
      <c r="AW123" s="98"/>
      <c r="AX123" s="98"/>
      <c r="AY123" s="98"/>
      <c r="AZ123" s="262"/>
      <c r="BA123" s="88" t="s">
        <v>5668</v>
      </c>
      <c r="BB123" s="300" t="s">
        <v>4363</v>
      </c>
      <c r="BC123" s="300" t="s">
        <v>5581</v>
      </c>
      <c r="BD123" s="88" t="s">
        <v>3237</v>
      </c>
      <c r="BE123" s="88" t="s">
        <v>5669</v>
      </c>
      <c r="BF123" s="98"/>
      <c r="BG123" s="98"/>
      <c r="BH123" s="88" t="s">
        <v>4008</v>
      </c>
      <c r="BI123" s="98"/>
      <c r="BJ123" s="93" t="s">
        <v>5670</v>
      </c>
      <c r="BK123" s="300" t="s">
        <v>5671</v>
      </c>
      <c r="BL123" s="98"/>
      <c r="BM123" s="98"/>
      <c r="BN123" s="98"/>
      <c r="BO123" s="98"/>
      <c r="BP123" s="262"/>
      <c r="BQ123" s="88" t="s">
        <v>5672</v>
      </c>
      <c r="BR123" s="93" t="s">
        <v>5673</v>
      </c>
      <c r="BS123" s="93" t="s">
        <v>5674</v>
      </c>
      <c r="BT123" s="93" t="s">
        <v>1881</v>
      </c>
      <c r="BU123" s="93" t="s">
        <v>4839</v>
      </c>
      <c r="BV123" s="93" t="s">
        <v>744</v>
      </c>
      <c r="BW123" s="93" t="s">
        <v>5675</v>
      </c>
      <c r="BX123" s="98"/>
      <c r="BY123" s="88" t="s">
        <v>5676</v>
      </c>
      <c r="BZ123" s="93" t="s">
        <v>5677</v>
      </c>
      <c r="CA123" s="98"/>
      <c r="CB123" s="98"/>
      <c r="CC123" s="98"/>
      <c r="CD123" s="98"/>
      <c r="CE123" s="262"/>
      <c r="CF123" s="93" t="s">
        <v>5678</v>
      </c>
      <c r="CG123" s="88" t="s">
        <v>4010</v>
      </c>
      <c r="CH123" s="88" t="s">
        <v>4213</v>
      </c>
      <c r="CI123" s="88" t="s">
        <v>5679</v>
      </c>
      <c r="CJ123" s="88" t="s">
        <v>4177</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5" t="s">
        <v>5690</v>
      </c>
      <c r="B124" s="103" t="s">
        <v>5691</v>
      </c>
      <c r="C124" s="104" t="s">
        <v>1483</v>
      </c>
      <c r="D124" s="105" t="s">
        <v>1483</v>
      </c>
      <c r="E124" s="106" t="s">
        <v>1483</v>
      </c>
      <c r="F124" s="107" t="s">
        <v>562</v>
      </c>
      <c r="G124" s="103" t="s">
        <v>1889</v>
      </c>
      <c r="H124" s="222"/>
      <c r="I124" s="222"/>
      <c r="J124" s="166" t="s">
        <v>5692</v>
      </c>
      <c r="K124" s="166" t="s">
        <v>4706</v>
      </c>
      <c r="L124" s="166" t="s">
        <v>5324</v>
      </c>
      <c r="M124" s="222"/>
      <c r="N124" s="166" t="s">
        <v>4986</v>
      </c>
      <c r="O124" s="166" t="s">
        <v>5693</v>
      </c>
      <c r="P124" s="166" t="s">
        <v>3867</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4095</v>
      </c>
      <c r="H126" s="222"/>
      <c r="I126" s="166" t="s">
        <v>5708</v>
      </c>
      <c r="J126" s="222"/>
      <c r="K126" s="222"/>
      <c r="L126" s="166" t="s">
        <v>3531</v>
      </c>
      <c r="M126" s="222"/>
      <c r="N126" s="166" t="s">
        <v>5383</v>
      </c>
      <c r="O126" s="166" t="s">
        <v>983</v>
      </c>
      <c r="P126" s="166" t="s">
        <v>3792</v>
      </c>
      <c r="Q126" s="222"/>
      <c r="R126" s="222"/>
      <c r="S126" s="222"/>
      <c r="T126" s="222"/>
      <c r="U126" s="166" t="s">
        <v>3364</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5114</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5056</v>
      </c>
      <c r="CU126" s="282"/>
      <c r="CV126" s="205" t="s">
        <v>3541</v>
      </c>
      <c r="CW126" s="282"/>
      <c r="CX126" s="282"/>
      <c r="CY126" s="282"/>
      <c r="CZ126" s="205" t="s">
        <v>5714</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7" t="s">
        <v>5715</v>
      </c>
      <c r="B127" s="82" t="s">
        <v>5716</v>
      </c>
      <c r="C127" s="83" t="s">
        <v>1483</v>
      </c>
      <c r="D127" s="84" t="s">
        <v>1483</v>
      </c>
      <c r="E127" s="85" t="s">
        <v>1483</v>
      </c>
      <c r="F127" s="86" t="s">
        <v>3785</v>
      </c>
      <c r="G127" s="82" t="s">
        <v>3785</v>
      </c>
      <c r="H127" s="88" t="s">
        <v>5717</v>
      </c>
      <c r="I127" s="88" t="s">
        <v>5718</v>
      </c>
      <c r="J127" s="88" t="s">
        <v>4749</v>
      </c>
      <c r="K127" s="98"/>
      <c r="L127" s="88" t="s">
        <v>5719</v>
      </c>
      <c r="M127" s="88" t="s">
        <v>5720</v>
      </c>
      <c r="N127" s="98"/>
      <c r="O127" s="98"/>
      <c r="P127" s="88" t="s">
        <v>3642</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4755</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4527</v>
      </c>
      <c r="H128" s="304" t="s">
        <v>5729</v>
      </c>
      <c r="I128" s="402" t="s">
        <v>5730</v>
      </c>
      <c r="J128" s="304" t="s">
        <v>2926</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8" t="s">
        <v>2618</v>
      </c>
      <c r="BC128" s="462"/>
      <c r="BD128" s="462"/>
      <c r="BE128" s="648" t="s">
        <v>5731</v>
      </c>
      <c r="BF128" s="172"/>
      <c r="BG128" s="172"/>
      <c r="BH128" s="462"/>
      <c r="BI128" s="462"/>
      <c r="BJ128" s="462"/>
      <c r="BK128" s="462"/>
      <c r="BL128" s="172"/>
      <c r="BM128" s="172"/>
      <c r="BN128" s="172"/>
      <c r="BO128" s="172"/>
      <c r="BP128" s="275"/>
      <c r="BQ128" s="175"/>
      <c r="BR128" s="175"/>
      <c r="BS128" s="175"/>
      <c r="BT128" s="649" t="s">
        <v>5732</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4295</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4335</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8" t="s">
        <v>5750</v>
      </c>
    </row>
    <row r="130">
      <c r="A130" s="165" t="s">
        <v>5751</v>
      </c>
      <c r="B130" s="103" t="s">
        <v>5752</v>
      </c>
      <c r="C130" s="104" t="s">
        <v>1483</v>
      </c>
      <c r="D130" s="105" t="s">
        <v>1483</v>
      </c>
      <c r="E130" s="106" t="s">
        <v>1483</v>
      </c>
      <c r="F130" s="107" t="s">
        <v>448</v>
      </c>
      <c r="G130" s="103" t="s">
        <v>3317</v>
      </c>
      <c r="H130" s="166" t="s">
        <v>3775</v>
      </c>
      <c r="I130" s="166" t="s">
        <v>2210</v>
      </c>
      <c r="J130" s="166" t="s">
        <v>5753</v>
      </c>
      <c r="K130" s="166" t="s">
        <v>3601</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5756</v>
      </c>
      <c r="BJ130" s="173"/>
      <c r="BK130" s="172"/>
      <c r="BL130" s="172"/>
      <c r="BM130" s="172"/>
      <c r="BN130" s="172"/>
      <c r="BO130" s="172"/>
      <c r="BP130" s="275"/>
      <c r="BQ130" s="278"/>
      <c r="BR130" s="175" t="s">
        <v>4040</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4028</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5769</v>
      </c>
      <c r="BC131" s="93" t="s">
        <v>4245</v>
      </c>
      <c r="BD131" s="98"/>
      <c r="BE131" s="98"/>
      <c r="BF131" s="98"/>
      <c r="BG131" s="98"/>
      <c r="BH131" s="93" t="s">
        <v>874</v>
      </c>
      <c r="BI131" s="98"/>
      <c r="BJ131" s="98"/>
      <c r="BK131" s="98"/>
      <c r="BL131" s="98"/>
      <c r="BM131" s="98"/>
      <c r="BN131" s="98"/>
      <c r="BO131" s="98"/>
      <c r="BP131" s="262"/>
      <c r="BQ131" s="93"/>
      <c r="BR131" s="93" t="s">
        <v>3873</v>
      </c>
      <c r="BS131" s="93" t="s">
        <v>4834</v>
      </c>
      <c r="BT131" s="93" t="s">
        <v>2333</v>
      </c>
      <c r="BU131" s="93" t="s">
        <v>5637</v>
      </c>
      <c r="BV131" s="93" t="s">
        <v>5630</v>
      </c>
      <c r="BW131" s="98"/>
      <c r="BX131" s="98"/>
      <c r="BY131" s="98"/>
      <c r="BZ131" s="98"/>
      <c r="CA131" s="98"/>
      <c r="CB131" s="98"/>
      <c r="CC131" s="98"/>
      <c r="CD131" s="98"/>
      <c r="CE131" s="262"/>
      <c r="CF131" s="93" t="s">
        <v>5770</v>
      </c>
      <c r="CG131" s="93" t="s">
        <v>4039</v>
      </c>
      <c r="CH131" s="98"/>
      <c r="CI131" s="98"/>
      <c r="CJ131" s="98"/>
      <c r="CK131" s="98"/>
      <c r="CL131" s="98"/>
      <c r="CM131" s="98"/>
      <c r="CN131" s="98"/>
      <c r="CO131" s="98"/>
      <c r="CP131" s="98"/>
      <c r="CQ131" s="98"/>
      <c r="CR131" s="98"/>
      <c r="CS131" s="101"/>
      <c r="CT131" s="93" t="s">
        <v>4756</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52" t="s">
        <v>5774</v>
      </c>
      <c r="B132" s="213" t="s">
        <v>5775</v>
      </c>
      <c r="C132" s="214" t="s">
        <v>1483</v>
      </c>
      <c r="D132" s="215" t="s">
        <v>1483</v>
      </c>
      <c r="E132" s="216" t="s">
        <v>1483</v>
      </c>
      <c r="F132" s="217" t="s">
        <v>957</v>
      </c>
      <c r="G132" s="213" t="s">
        <v>1971</v>
      </c>
      <c r="H132" s="653"/>
      <c r="I132" s="653" t="s">
        <v>5776</v>
      </c>
      <c r="J132" s="653"/>
      <c r="K132" s="653" t="s">
        <v>2320</v>
      </c>
      <c r="L132" s="218" t="s">
        <v>5228</v>
      </c>
      <c r="M132" s="653"/>
      <c r="N132" s="457" t="s">
        <v>5777</v>
      </c>
      <c r="O132" s="457" t="s">
        <v>5701</v>
      </c>
      <c r="P132" s="218" t="s">
        <v>3792</v>
      </c>
      <c r="Q132" s="653"/>
      <c r="R132" s="653"/>
      <c r="S132" s="653" t="s">
        <v>4139</v>
      </c>
      <c r="T132" s="653"/>
      <c r="U132" s="653"/>
      <c r="V132" s="653"/>
      <c r="W132" s="654"/>
      <c r="X132" s="655"/>
      <c r="Y132" s="655"/>
      <c r="Z132" s="655" t="s">
        <v>231</v>
      </c>
      <c r="AA132" s="655"/>
      <c r="AB132" s="655" t="s">
        <v>3089</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3493</v>
      </c>
      <c r="AV132" s="656" t="s">
        <v>5404</v>
      </c>
      <c r="AW132" s="656"/>
      <c r="AX132" s="656" t="s">
        <v>5778</v>
      </c>
      <c r="AY132" s="656"/>
      <c r="AZ132" s="658"/>
      <c r="BA132" s="659" t="s">
        <v>5779</v>
      </c>
      <c r="BB132" s="659"/>
      <c r="BC132" s="659"/>
      <c r="BD132" s="659" t="s">
        <v>5780</v>
      </c>
      <c r="BE132" s="659" t="s">
        <v>5781</v>
      </c>
      <c r="BF132" s="659"/>
      <c r="BG132" s="659"/>
      <c r="BH132" s="127" t="s">
        <v>5782</v>
      </c>
      <c r="BI132" s="659"/>
      <c r="BJ132" s="232" t="s">
        <v>5783</v>
      </c>
      <c r="BK132" s="659"/>
      <c r="BL132" s="659"/>
      <c r="BM132" s="659"/>
      <c r="BN132" s="659"/>
      <c r="BO132" s="659"/>
      <c r="BP132" s="660"/>
      <c r="BQ132" s="661"/>
      <c r="BR132" s="661"/>
      <c r="BS132" s="661" t="s">
        <v>5784</v>
      </c>
      <c r="BT132" s="661"/>
      <c r="BU132" s="130" t="s">
        <v>2690</v>
      </c>
      <c r="BV132" s="130" t="s">
        <v>5466</v>
      </c>
      <c r="BW132" s="661"/>
      <c r="BX132" s="661"/>
      <c r="BY132" s="661"/>
      <c r="BZ132" s="130" t="s">
        <v>3744</v>
      </c>
      <c r="CA132" s="661" t="s">
        <v>5785</v>
      </c>
      <c r="CB132" s="661"/>
      <c r="CC132" s="661"/>
      <c r="CD132" s="661"/>
      <c r="CE132" s="662"/>
      <c r="CF132" s="663" t="s">
        <v>798</v>
      </c>
      <c r="CG132" s="663"/>
      <c r="CH132" s="663"/>
      <c r="CI132" s="663" t="s">
        <v>5786</v>
      </c>
      <c r="CJ132" s="663"/>
      <c r="CK132" s="664" t="s">
        <v>5787</v>
      </c>
      <c r="CL132" s="176" t="s">
        <v>5788</v>
      </c>
      <c r="CM132" s="663"/>
      <c r="CN132" s="663"/>
      <c r="CO132" s="663"/>
      <c r="CP132" s="663"/>
      <c r="CQ132" s="663"/>
      <c r="CR132" s="663" t="s">
        <v>5789</v>
      </c>
      <c r="CS132" s="536"/>
      <c r="CT132" s="665"/>
      <c r="CU132" s="665"/>
      <c r="CV132" s="248" t="s">
        <v>3478</v>
      </c>
      <c r="CW132" s="665" t="s">
        <v>5790</v>
      </c>
      <c r="CX132" s="248" t="s">
        <v>5791</v>
      </c>
      <c r="CY132" s="246" t="s">
        <v>3103</v>
      </c>
      <c r="CZ132" s="246" t="s">
        <v>5792</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5793</v>
      </c>
      <c r="DZ132" s="667"/>
      <c r="EA132" s="667"/>
      <c r="EB132" s="667"/>
    </row>
    <row r="133">
      <c r="A133" s="668"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489" t="s">
        <v>5806</v>
      </c>
      <c r="B134" s="103" t="s">
        <v>5807</v>
      </c>
      <c r="C134" s="104" t="s">
        <v>1483</v>
      </c>
      <c r="D134" s="105" t="s">
        <v>1483</v>
      </c>
      <c r="E134" s="106" t="s">
        <v>1483</v>
      </c>
      <c r="F134" s="107" t="s">
        <v>667</v>
      </c>
      <c r="G134" s="103" t="s">
        <v>5808</v>
      </c>
      <c r="H134" s="388" t="s">
        <v>3855</v>
      </c>
      <c r="I134" s="293" t="s">
        <v>5809</v>
      </c>
      <c r="J134" s="293" t="s">
        <v>1720</v>
      </c>
      <c r="K134" s="388" t="s">
        <v>356</v>
      </c>
      <c r="L134" s="388" t="s">
        <v>629</v>
      </c>
      <c r="M134" s="388" t="s">
        <v>5810</v>
      </c>
      <c r="N134" s="388" t="s">
        <v>5811</v>
      </c>
      <c r="O134" s="304" t="s">
        <v>241</v>
      </c>
      <c r="P134" s="388" t="s">
        <v>4939</v>
      </c>
      <c r="Q134" s="166" t="s">
        <v>5812</v>
      </c>
      <c r="R134" s="222"/>
      <c r="S134" s="166" t="s">
        <v>4139</v>
      </c>
      <c r="T134" s="222"/>
      <c r="U134" s="166" t="s">
        <v>2111</v>
      </c>
      <c r="V134" s="166" t="s">
        <v>5813</v>
      </c>
      <c r="W134" s="92"/>
      <c r="X134" s="669" t="s">
        <v>5035</v>
      </c>
      <c r="Y134" s="196" t="s">
        <v>5479</v>
      </c>
      <c r="Z134" s="116" t="s">
        <v>423</v>
      </c>
      <c r="AA134" s="375" t="s">
        <v>4250</v>
      </c>
      <c r="AB134" s="375" t="s">
        <v>3924</v>
      </c>
      <c r="AC134" s="397" t="s">
        <v>1648</v>
      </c>
      <c r="AD134" s="271"/>
      <c r="AE134" s="306" t="s">
        <v>5814</v>
      </c>
      <c r="AF134" s="397" t="s">
        <v>5815</v>
      </c>
      <c r="AG134" s="271"/>
      <c r="AH134" s="271"/>
      <c r="AI134" s="117"/>
      <c r="AJ134" s="271"/>
      <c r="AK134" s="92"/>
      <c r="AL134" s="626" t="s">
        <v>3532</v>
      </c>
      <c r="AM134" s="626" t="s">
        <v>5816</v>
      </c>
      <c r="AN134" s="167" t="s">
        <v>5817</v>
      </c>
      <c r="AO134" s="167" t="s">
        <v>862</v>
      </c>
      <c r="AP134" s="167" t="s">
        <v>5818</v>
      </c>
      <c r="AQ134" s="167" t="s">
        <v>5091</v>
      </c>
      <c r="AR134" s="167" t="s">
        <v>5819</v>
      </c>
      <c r="AS134" s="167" t="s">
        <v>5820</v>
      </c>
      <c r="AT134" s="626" t="s">
        <v>4447</v>
      </c>
      <c r="AU134" s="626" t="s">
        <v>3603</v>
      </c>
      <c r="AV134" s="626" t="s">
        <v>4279</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3912</v>
      </c>
      <c r="BT134" s="405" t="s">
        <v>5827</v>
      </c>
      <c r="BU134" s="405" t="s">
        <v>5828</v>
      </c>
      <c r="BV134" s="405" t="s">
        <v>4650</v>
      </c>
      <c r="BW134" s="278"/>
      <c r="BX134" s="405" t="s">
        <v>5829</v>
      </c>
      <c r="BY134" s="132"/>
      <c r="BZ134" s="405" t="s">
        <v>950</v>
      </c>
      <c r="CA134" s="278"/>
      <c r="CB134" s="278"/>
      <c r="CC134" s="278"/>
      <c r="CD134" s="278"/>
      <c r="CE134" s="279"/>
      <c r="CF134" s="398" t="s">
        <v>3349</v>
      </c>
      <c r="CG134" s="398" t="s">
        <v>5830</v>
      </c>
      <c r="CH134" s="398" t="s">
        <v>4503</v>
      </c>
      <c r="CI134" s="136"/>
      <c r="CJ134" s="398" t="s">
        <v>2224</v>
      </c>
      <c r="CK134" s="136"/>
      <c r="CL134" s="136"/>
      <c r="CM134" s="136"/>
      <c r="CN134" s="492"/>
      <c r="CO134" s="281"/>
      <c r="CP134" s="281"/>
      <c r="CQ134" s="281"/>
      <c r="CR134" s="281"/>
      <c r="CS134" s="101"/>
      <c r="CT134" s="316" t="s">
        <v>5831</v>
      </c>
      <c r="CU134" s="316" t="s">
        <v>5832</v>
      </c>
      <c r="CV134" s="670" t="s">
        <v>4182</v>
      </c>
      <c r="CW134" s="140" t="s">
        <v>4536</v>
      </c>
      <c r="CX134" s="316" t="s">
        <v>3339</v>
      </c>
      <c r="CY134" s="316" t="s">
        <v>4023</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5836</v>
      </c>
      <c r="B135" s="82" t="s">
        <v>5837</v>
      </c>
      <c r="C135" s="83" t="s">
        <v>1483</v>
      </c>
      <c r="D135" s="84" t="s">
        <v>1483</v>
      </c>
      <c r="E135" s="85" t="s">
        <v>1483</v>
      </c>
      <c r="F135" s="86" t="s">
        <v>1483</v>
      </c>
      <c r="G135" s="82" t="s">
        <v>5838</v>
      </c>
      <c r="H135" s="288" t="s">
        <v>5839</v>
      </c>
      <c r="I135" s="288" t="s">
        <v>5840</v>
      </c>
      <c r="J135" s="288" t="s">
        <v>5841</v>
      </c>
      <c r="K135" s="288" t="s">
        <v>1893</v>
      </c>
      <c r="L135" s="672" t="s">
        <v>3691</v>
      </c>
      <c r="M135" s="288" t="s">
        <v>5842</v>
      </c>
      <c r="N135" s="288" t="s">
        <v>5843</v>
      </c>
      <c r="O135" s="288" t="s">
        <v>1824</v>
      </c>
      <c r="P135" s="288" t="s">
        <v>251</v>
      </c>
      <c r="Q135" s="673"/>
      <c r="R135" s="673"/>
      <c r="S135" s="674">
        <v>37.85</v>
      </c>
      <c r="T135" s="673"/>
      <c r="U135" s="93" t="s">
        <v>1997</v>
      </c>
      <c r="V135" s="674" t="s">
        <v>5844</v>
      </c>
      <c r="W135" s="675"/>
      <c r="X135" s="676"/>
      <c r="Y135" s="676"/>
      <c r="Z135" s="100" t="s">
        <v>3051</v>
      </c>
      <c r="AA135" s="677"/>
      <c r="AB135" s="288" t="s">
        <v>3527</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5768</v>
      </c>
      <c r="AU135" s="288" t="s">
        <v>5845</v>
      </c>
      <c r="AV135" s="288" t="s">
        <v>495</v>
      </c>
      <c r="AW135" s="673"/>
      <c r="AX135" s="673"/>
      <c r="AY135" s="673"/>
      <c r="AZ135" s="678"/>
      <c r="BA135" s="676"/>
      <c r="BB135" s="676"/>
      <c r="BC135" s="100" t="s">
        <v>1817</v>
      </c>
      <c r="BD135" s="288" t="s">
        <v>377</v>
      </c>
      <c r="BE135" s="676"/>
      <c r="BF135" s="676"/>
      <c r="BG135" s="673"/>
      <c r="BH135" s="288" t="s">
        <v>3082</v>
      </c>
      <c r="BI135" s="673"/>
      <c r="BJ135" s="100" t="s">
        <v>5846</v>
      </c>
      <c r="BK135" s="288" t="s">
        <v>3851</v>
      </c>
      <c r="BL135" s="673"/>
      <c r="BM135" s="674">
        <v>35.32</v>
      </c>
      <c r="BN135" s="676"/>
      <c r="BO135" s="673"/>
      <c r="BP135" s="678"/>
      <c r="BQ135" s="676"/>
      <c r="BR135" s="676"/>
      <c r="BS135" s="288" t="s">
        <v>2743</v>
      </c>
      <c r="BT135" s="288" t="s">
        <v>5847</v>
      </c>
      <c r="BU135" s="676"/>
      <c r="BV135" s="288" t="s">
        <v>2989</v>
      </c>
      <c r="BW135" s="673"/>
      <c r="BX135" s="676"/>
      <c r="BY135" s="676"/>
      <c r="BZ135" s="100" t="s">
        <v>5558</v>
      </c>
      <c r="CA135" s="674" t="s">
        <v>5848</v>
      </c>
      <c r="CB135" s="673"/>
      <c r="CC135" s="674">
        <v>37.19</v>
      </c>
      <c r="CD135" s="674" t="s">
        <v>5849</v>
      </c>
      <c r="CE135" s="678"/>
      <c r="CF135" s="676"/>
      <c r="CG135" s="676"/>
      <c r="CH135" s="676"/>
      <c r="CI135" s="676"/>
      <c r="CJ135" s="676"/>
      <c r="CK135" s="288" t="s">
        <v>5850</v>
      </c>
      <c r="CL135" s="288" t="s">
        <v>876</v>
      </c>
      <c r="CM135" s="676"/>
      <c r="CN135" s="679"/>
      <c r="CO135" s="673"/>
      <c r="CP135" s="673"/>
      <c r="CQ135" s="674">
        <v>52.7</v>
      </c>
      <c r="CR135" s="673"/>
      <c r="CS135" s="680"/>
      <c r="CT135" s="676"/>
      <c r="CU135" s="288" t="s">
        <v>3278</v>
      </c>
      <c r="CV135" s="100" t="s">
        <v>2919</v>
      </c>
      <c r="CW135" s="676"/>
      <c r="CX135" s="676"/>
      <c r="CY135" s="288" t="s">
        <v>2454</v>
      </c>
      <c r="CZ135" s="681" t="s">
        <v>5851</v>
      </c>
      <c r="DA135" s="676"/>
      <c r="DB135" s="673"/>
      <c r="DC135" s="673"/>
      <c r="DD135" s="673"/>
      <c r="DE135" s="673"/>
      <c r="DF135" s="678"/>
      <c r="DG135" s="676"/>
      <c r="DH135" s="673"/>
      <c r="DI135" s="673"/>
      <c r="DJ135" s="676"/>
      <c r="DK135" s="676"/>
      <c r="DL135" s="288" t="s">
        <v>4039</v>
      </c>
      <c r="DM135" s="673"/>
      <c r="DN135" s="673"/>
      <c r="DO135" s="673"/>
      <c r="DP135" s="288" t="s">
        <v>5852</v>
      </c>
      <c r="DQ135" s="288" t="s">
        <v>4681</v>
      </c>
      <c r="DR135" s="673"/>
      <c r="DS135" s="676"/>
      <c r="DT135" s="673"/>
      <c r="DU135" s="673"/>
      <c r="DV135" s="673"/>
      <c r="DW135" s="673"/>
      <c r="DX135" s="673"/>
      <c r="DY135" s="676"/>
      <c r="DZ135" s="673"/>
      <c r="EA135" s="673"/>
      <c r="EB135" s="681"/>
    </row>
    <row r="136">
      <c r="A136" s="682" t="s">
        <v>5853</v>
      </c>
      <c r="B136" s="103" t="s">
        <v>5854</v>
      </c>
      <c r="C136" s="104" t="s">
        <v>1483</v>
      </c>
      <c r="D136" s="105" t="s">
        <v>1483</v>
      </c>
      <c r="E136" s="106" t="s">
        <v>1483</v>
      </c>
      <c r="F136" s="107" t="s">
        <v>448</v>
      </c>
      <c r="G136" s="103" t="s">
        <v>2635</v>
      </c>
      <c r="H136" s="166" t="s">
        <v>5855</v>
      </c>
      <c r="I136" s="293" t="s">
        <v>1666</v>
      </c>
      <c r="J136" s="166" t="s">
        <v>5856</v>
      </c>
      <c r="K136" s="166" t="s">
        <v>5857</v>
      </c>
      <c r="L136" s="166" t="s">
        <v>5858</v>
      </c>
      <c r="M136" s="222"/>
      <c r="N136" s="166" t="s">
        <v>5859</v>
      </c>
      <c r="O136" s="166" t="s">
        <v>4185</v>
      </c>
      <c r="P136" s="166" t="s">
        <v>1127</v>
      </c>
      <c r="Q136" s="222"/>
      <c r="R136" s="166" t="s">
        <v>328</v>
      </c>
      <c r="S136" s="166" t="s">
        <v>2264</v>
      </c>
      <c r="T136" s="222"/>
      <c r="U136" s="166" t="s">
        <v>3376</v>
      </c>
      <c r="V136" s="222"/>
      <c r="W136" s="92"/>
      <c r="X136" s="197" t="s">
        <v>5860</v>
      </c>
      <c r="Y136" s="116" t="s">
        <v>2514</v>
      </c>
      <c r="Z136" s="197" t="s">
        <v>4663</v>
      </c>
      <c r="AA136" s="197" t="s">
        <v>1845</v>
      </c>
      <c r="AB136" s="197" t="s">
        <v>3925</v>
      </c>
      <c r="AC136" s="197" t="s">
        <v>2512</v>
      </c>
      <c r="AD136" s="271"/>
      <c r="AE136" s="197" t="s">
        <v>5861</v>
      </c>
      <c r="AF136" s="197" t="s">
        <v>799</v>
      </c>
      <c r="AG136" s="271"/>
      <c r="AH136" s="271"/>
      <c r="AI136" s="271"/>
      <c r="AJ136" s="271"/>
      <c r="AK136" s="92"/>
      <c r="AL136" s="272"/>
      <c r="AM136" s="167" t="s">
        <v>326</v>
      </c>
      <c r="AN136" s="272"/>
      <c r="AO136" s="272"/>
      <c r="AP136" s="167" t="s">
        <v>5862</v>
      </c>
      <c r="AQ136" s="167"/>
      <c r="AR136" s="272"/>
      <c r="AS136" s="272"/>
      <c r="AT136" s="167" t="s">
        <v>725</v>
      </c>
      <c r="AU136" s="272"/>
      <c r="AV136" s="272"/>
      <c r="AW136" s="272"/>
      <c r="AX136" s="272"/>
      <c r="AY136" s="272"/>
      <c r="AZ136" s="273"/>
      <c r="BA136" s="172"/>
      <c r="BB136" s="173" t="s">
        <v>1901</v>
      </c>
      <c r="BC136" s="173" t="s">
        <v>5863</v>
      </c>
      <c r="BD136" s="173" t="s">
        <v>3705</v>
      </c>
      <c r="BE136" s="173" t="s">
        <v>5711</v>
      </c>
      <c r="BF136" s="172"/>
      <c r="BG136" s="172"/>
      <c r="BH136" s="173" t="s">
        <v>4013</v>
      </c>
      <c r="BI136" s="173" t="s">
        <v>5864</v>
      </c>
      <c r="BJ136" s="173"/>
      <c r="BK136" s="173" t="s">
        <v>2717</v>
      </c>
      <c r="BL136" s="172"/>
      <c r="BM136" s="173" t="s">
        <v>4315</v>
      </c>
      <c r="BN136" s="172"/>
      <c r="BO136" s="172"/>
      <c r="BP136" s="275"/>
      <c r="BQ136" s="174" t="s">
        <v>5865</v>
      </c>
      <c r="BR136" s="174" t="s">
        <v>4344</v>
      </c>
      <c r="BS136" s="174" t="s">
        <v>3466</v>
      </c>
      <c r="BT136" s="174" t="s">
        <v>5866</v>
      </c>
      <c r="BU136" s="174" t="s">
        <v>5867</v>
      </c>
      <c r="BV136" s="174" t="s">
        <v>5221</v>
      </c>
      <c r="BW136" s="278"/>
      <c r="BX136" s="174" t="s">
        <v>2801</v>
      </c>
      <c r="BY136" s="278"/>
      <c r="BZ136" s="174" t="s">
        <v>5868</v>
      </c>
      <c r="CA136" s="278"/>
      <c r="CB136" s="278"/>
      <c r="CC136" s="278"/>
      <c r="CD136" s="278"/>
      <c r="CE136" s="279"/>
      <c r="CF136" s="176" t="s">
        <v>5869</v>
      </c>
      <c r="CG136" s="176" t="s">
        <v>4535</v>
      </c>
      <c r="CH136" s="176" t="s">
        <v>2266</v>
      </c>
      <c r="CI136" s="176" t="s">
        <v>5870</v>
      </c>
      <c r="CJ136" s="176" t="s">
        <v>5871</v>
      </c>
      <c r="CK136" s="176" t="s">
        <v>5872</v>
      </c>
      <c r="CL136" s="176" t="s">
        <v>1720</v>
      </c>
      <c r="CM136" s="176" t="s">
        <v>4447</v>
      </c>
      <c r="CN136" s="281"/>
      <c r="CO136" s="281"/>
      <c r="CP136" s="281"/>
      <c r="CQ136" s="281"/>
      <c r="CR136" s="281"/>
      <c r="CS136" s="101"/>
      <c r="CT136" s="205" t="s">
        <v>5873</v>
      </c>
      <c r="CU136" s="205" t="s">
        <v>2936</v>
      </c>
      <c r="CV136" s="205" t="s">
        <v>3826</v>
      </c>
      <c r="CW136" s="205" t="s">
        <v>5874</v>
      </c>
      <c r="CX136" s="282"/>
      <c r="CY136" s="205" t="s">
        <v>5875</v>
      </c>
      <c r="CZ136" s="140" t="s">
        <v>5876</v>
      </c>
      <c r="DA136" s="205" t="s">
        <v>4581</v>
      </c>
      <c r="DB136" s="282"/>
      <c r="DC136" s="282"/>
      <c r="DD136" s="282"/>
      <c r="DE136" s="282"/>
      <c r="DF136" s="283"/>
      <c r="DG136" s="206" t="s">
        <v>5877</v>
      </c>
      <c r="DH136" s="284"/>
      <c r="DI136" s="284"/>
      <c r="DJ136" s="284"/>
      <c r="DK136" s="284"/>
      <c r="DL136" s="284"/>
      <c r="DM136" s="284"/>
      <c r="DN136" s="284"/>
      <c r="DO136" s="284"/>
      <c r="DP136" s="284"/>
      <c r="DQ136" s="284"/>
      <c r="DR136" s="284"/>
      <c r="DS136" s="284"/>
      <c r="DT136" s="206" t="s">
        <v>5878</v>
      </c>
      <c r="DU136" s="206" t="s">
        <v>4139</v>
      </c>
      <c r="DV136" s="206" t="s">
        <v>5879</v>
      </c>
      <c r="DW136" s="206" t="s">
        <v>3254</v>
      </c>
      <c r="DX136" s="206" t="s">
        <v>5880</v>
      </c>
      <c r="DY136" s="206" t="s">
        <v>3548</v>
      </c>
      <c r="DZ136" s="284"/>
      <c r="EA136" s="284"/>
      <c r="EB136" s="319" t="s">
        <v>5881</v>
      </c>
    </row>
    <row r="137">
      <c r="A137" s="81" t="s">
        <v>5882</v>
      </c>
      <c r="B137" s="82" t="s">
        <v>5883</v>
      </c>
      <c r="C137" s="83" t="s">
        <v>1483</v>
      </c>
      <c r="D137" s="84" t="s">
        <v>1483</v>
      </c>
      <c r="E137" s="85" t="s">
        <v>1483</v>
      </c>
      <c r="F137" s="86" t="s">
        <v>337</v>
      </c>
      <c r="G137" s="82" t="s">
        <v>4527</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5893</v>
      </c>
      <c r="B138" s="103" t="s">
        <v>5894</v>
      </c>
      <c r="C138" s="104" t="s">
        <v>1483</v>
      </c>
      <c r="D138" s="105" t="s">
        <v>1483</v>
      </c>
      <c r="E138" s="106" t="s">
        <v>1483</v>
      </c>
      <c r="F138" s="107" t="s">
        <v>1483</v>
      </c>
      <c r="G138" s="103" t="s">
        <v>1971</v>
      </c>
      <c r="H138" s="166" t="s">
        <v>2158</v>
      </c>
      <c r="I138" s="166" t="s">
        <v>3721</v>
      </c>
      <c r="J138" s="166" t="s">
        <v>590</v>
      </c>
      <c r="K138" s="166" t="s">
        <v>3207</v>
      </c>
      <c r="L138" s="166" t="s">
        <v>4154</v>
      </c>
      <c r="M138" s="166" t="s">
        <v>5895</v>
      </c>
      <c r="N138" s="166" t="s">
        <v>5896</v>
      </c>
      <c r="O138" s="166" t="s">
        <v>456</v>
      </c>
      <c r="P138" s="166" t="s">
        <v>4078</v>
      </c>
      <c r="Q138" s="222"/>
      <c r="R138" s="222"/>
      <c r="S138" s="222"/>
      <c r="T138" s="222"/>
      <c r="U138" s="222"/>
      <c r="V138" s="222"/>
      <c r="W138" s="92"/>
      <c r="X138" s="197" t="s">
        <v>5038</v>
      </c>
      <c r="Y138" s="197" t="s">
        <v>4348</v>
      </c>
      <c r="Z138" s="197" t="s">
        <v>5897</v>
      </c>
      <c r="AA138" s="197" t="s">
        <v>817</v>
      </c>
      <c r="AB138" s="197" t="s">
        <v>4475</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5907</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4254</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5911</v>
      </c>
      <c r="B140" s="103" t="s">
        <v>5912</v>
      </c>
      <c r="C140" s="104" t="s">
        <v>1483</v>
      </c>
      <c r="D140" s="105" t="s">
        <v>562</v>
      </c>
      <c r="E140" s="106" t="s">
        <v>1483</v>
      </c>
      <c r="F140" s="107" t="s">
        <v>3755</v>
      </c>
      <c r="G140" s="103" t="s">
        <v>5026</v>
      </c>
      <c r="H140" s="222"/>
      <c r="I140" s="166" t="s">
        <v>5913</v>
      </c>
      <c r="J140" s="166" t="s">
        <v>4377</v>
      </c>
      <c r="K140" s="112" t="s">
        <v>683</v>
      </c>
      <c r="L140" s="112" t="s">
        <v>5914</v>
      </c>
      <c r="M140" s="222"/>
      <c r="N140" s="222"/>
      <c r="O140" s="112" t="s">
        <v>575</v>
      </c>
      <c r="P140" s="112" t="s">
        <v>239</v>
      </c>
      <c r="Q140" s="222"/>
      <c r="R140" s="222"/>
      <c r="S140" s="222"/>
      <c r="T140" s="222"/>
      <c r="U140" s="222"/>
      <c r="V140" s="222"/>
      <c r="W140" s="92"/>
      <c r="X140" s="271"/>
      <c r="Y140" s="271"/>
      <c r="Z140" s="116" t="s">
        <v>5283</v>
      </c>
      <c r="AA140" s="271"/>
      <c r="AB140" s="116" t="s">
        <v>3882</v>
      </c>
      <c r="AC140" s="271"/>
      <c r="AD140" s="271"/>
      <c r="AE140" s="271"/>
      <c r="AF140" s="116" t="s">
        <v>2813</v>
      </c>
      <c r="AG140" s="271"/>
      <c r="AH140" s="271"/>
      <c r="AI140" s="271"/>
      <c r="AJ140" s="271"/>
      <c r="AK140" s="92"/>
      <c r="AL140" s="272"/>
      <c r="AM140" s="121" t="s">
        <v>4348</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4846</v>
      </c>
      <c r="BW140" s="278"/>
      <c r="BX140" s="278"/>
      <c r="BY140" s="278"/>
      <c r="BZ140" s="278"/>
      <c r="CA140" s="278"/>
      <c r="CB140" s="278"/>
      <c r="CC140" s="278"/>
      <c r="CD140" s="278"/>
      <c r="CE140" s="279"/>
      <c r="CF140" s="281"/>
      <c r="CG140" s="135" t="s">
        <v>5915</v>
      </c>
      <c r="CH140" s="281"/>
      <c r="CI140" s="313" t="s">
        <v>3935</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684" t="s">
        <v>5920</v>
      </c>
      <c r="B141" s="82" t="s">
        <v>5921</v>
      </c>
      <c r="C141" s="83" t="s">
        <v>1483</v>
      </c>
      <c r="D141" s="84" t="s">
        <v>1483</v>
      </c>
      <c r="E141" s="85" t="s">
        <v>1483</v>
      </c>
      <c r="F141" s="86" t="s">
        <v>1483</v>
      </c>
      <c r="G141" s="82" t="s">
        <v>5922</v>
      </c>
      <c r="H141" s="93" t="s">
        <v>4054</v>
      </c>
      <c r="I141" s="93" t="s">
        <v>4121</v>
      </c>
      <c r="J141" s="93" t="s">
        <v>700</v>
      </c>
      <c r="K141" s="93" t="s">
        <v>5923</v>
      </c>
      <c r="L141" s="93" t="s">
        <v>5924</v>
      </c>
      <c r="M141" s="93" t="s">
        <v>5925</v>
      </c>
      <c r="N141" s="93" t="s">
        <v>5926</v>
      </c>
      <c r="O141" s="93" t="s">
        <v>3115</v>
      </c>
      <c r="P141" s="93" t="s">
        <v>4247</v>
      </c>
      <c r="Q141" s="93" t="s">
        <v>5927</v>
      </c>
      <c r="R141" s="98"/>
      <c r="S141" s="93" t="s">
        <v>947</v>
      </c>
      <c r="T141" s="98"/>
      <c r="U141" s="93" t="s">
        <v>5928</v>
      </c>
      <c r="V141" s="93" t="s">
        <v>5929</v>
      </c>
      <c r="W141" s="92"/>
      <c r="X141" s="93" t="s">
        <v>5930</v>
      </c>
      <c r="Y141" s="93" t="s">
        <v>2098</v>
      </c>
      <c r="Z141" s="93" t="s">
        <v>3417</v>
      </c>
      <c r="AA141" s="93" t="s">
        <v>3691</v>
      </c>
      <c r="AB141" s="93" t="s">
        <v>3195</v>
      </c>
      <c r="AC141" s="93" t="s">
        <v>5931</v>
      </c>
      <c r="AD141" s="93"/>
      <c r="AE141" s="93" t="s">
        <v>5932</v>
      </c>
      <c r="AF141" s="93" t="s">
        <v>5933</v>
      </c>
      <c r="AG141" s="93" t="s">
        <v>5934</v>
      </c>
      <c r="AH141" s="98"/>
      <c r="AI141" s="93" t="s">
        <v>5245</v>
      </c>
      <c r="AJ141" s="93" t="s">
        <v>5935</v>
      </c>
      <c r="AK141" s="92"/>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3835</v>
      </c>
      <c r="BE141" s="93" t="s">
        <v>5947</v>
      </c>
      <c r="BF141" s="93" t="s">
        <v>5948</v>
      </c>
      <c r="BG141" s="93" t="s">
        <v>5949</v>
      </c>
      <c r="BH141" s="93" t="s">
        <v>5950</v>
      </c>
      <c r="BI141" s="98"/>
      <c r="BJ141" s="98"/>
      <c r="BK141" s="93" t="s">
        <v>468</v>
      </c>
      <c r="BL141" s="93" t="s">
        <v>5951</v>
      </c>
      <c r="BM141" s="93" t="s">
        <v>4337</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3885</v>
      </c>
      <c r="CM141" s="93" t="s">
        <v>2203</v>
      </c>
      <c r="CN141" s="93" t="s">
        <v>5962</v>
      </c>
      <c r="CO141" s="93" t="s">
        <v>5963</v>
      </c>
      <c r="CP141" s="98"/>
      <c r="CQ141" s="93" t="s">
        <v>5964</v>
      </c>
      <c r="CR141" s="93" t="s">
        <v>5965</v>
      </c>
      <c r="CS141" s="101"/>
      <c r="CT141" s="93" t="s">
        <v>2823</v>
      </c>
      <c r="CU141" s="93" t="s">
        <v>5966</v>
      </c>
      <c r="CV141" s="93" t="s">
        <v>2474</v>
      </c>
      <c r="CW141" s="93" t="s">
        <v>5967</v>
      </c>
      <c r="CX141" s="93" t="s">
        <v>1501</v>
      </c>
      <c r="CY141" s="93" t="s">
        <v>4304</v>
      </c>
      <c r="CZ141" s="93" t="s">
        <v>5968</v>
      </c>
      <c r="DA141" s="93" t="s">
        <v>5969</v>
      </c>
      <c r="DB141" s="93" t="s">
        <v>5970</v>
      </c>
      <c r="DC141" s="93" t="s">
        <v>4267</v>
      </c>
      <c r="DD141" s="93" t="s">
        <v>2268</v>
      </c>
      <c r="DE141" s="93" t="s">
        <v>5971</v>
      </c>
      <c r="DF141" s="262"/>
      <c r="DG141" s="93" t="s">
        <v>3958</v>
      </c>
      <c r="DH141" s="98"/>
      <c r="DI141" s="93" t="s">
        <v>2765</v>
      </c>
      <c r="DJ141" s="93" t="s">
        <v>2194</v>
      </c>
      <c r="DK141" s="93" t="s">
        <v>3400</v>
      </c>
      <c r="DL141" s="93" t="s">
        <v>2537</v>
      </c>
      <c r="DM141" s="93" t="s">
        <v>4168</v>
      </c>
      <c r="DN141" s="93" t="s">
        <v>5972</v>
      </c>
      <c r="DO141" s="93" t="s">
        <v>316</v>
      </c>
      <c r="DP141" s="93" t="s">
        <v>5973</v>
      </c>
      <c r="DQ141" s="93" t="s">
        <v>3116</v>
      </c>
      <c r="DR141" s="93" t="s">
        <v>4843</v>
      </c>
      <c r="DS141" s="93" t="s">
        <v>5974</v>
      </c>
      <c r="DT141" s="93" t="s">
        <v>5975</v>
      </c>
      <c r="DU141" s="93" t="s">
        <v>1170</v>
      </c>
      <c r="DV141" s="93" t="s">
        <v>3925</v>
      </c>
      <c r="DW141" s="93" t="s">
        <v>5976</v>
      </c>
      <c r="DX141" s="93" t="s">
        <v>4562</v>
      </c>
      <c r="DY141" s="93" t="s">
        <v>2674</v>
      </c>
      <c r="DZ141" s="93" t="s">
        <v>5305</v>
      </c>
      <c r="EA141" s="93" t="s">
        <v>2402</v>
      </c>
      <c r="EB141" s="685" t="s">
        <v>4524</v>
      </c>
    </row>
    <row r="142">
      <c r="A142" s="686" t="s">
        <v>5977</v>
      </c>
      <c r="B142" s="103" t="s">
        <v>5978</v>
      </c>
      <c r="C142" s="104" t="s">
        <v>1483</v>
      </c>
      <c r="D142" s="105" t="s">
        <v>1483</v>
      </c>
      <c r="E142" s="106" t="s">
        <v>1483</v>
      </c>
      <c r="F142" s="107" t="s">
        <v>5796</v>
      </c>
      <c r="G142" s="103" t="s">
        <v>1971</v>
      </c>
      <c r="H142" s="304"/>
      <c r="I142" s="110" t="s">
        <v>5979</v>
      </c>
      <c r="J142" s="112" t="s">
        <v>4767</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2796</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4623</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4187</v>
      </c>
      <c r="CH142" s="136" t="s">
        <v>3508</v>
      </c>
      <c r="CI142" s="136" t="s">
        <v>5993</v>
      </c>
      <c r="CJ142" s="136"/>
      <c r="CK142" s="136" t="s">
        <v>5994</v>
      </c>
      <c r="CL142" s="135" t="s">
        <v>3205</v>
      </c>
      <c r="CM142" s="136"/>
      <c r="CN142" s="492"/>
      <c r="CO142" s="281"/>
      <c r="CP142" s="281"/>
      <c r="CQ142" s="281"/>
      <c r="CR142" s="281"/>
      <c r="CS142" s="101"/>
      <c r="CT142" s="140" t="s">
        <v>5413</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3747</v>
      </c>
      <c r="O145" s="93" t="s">
        <v>5788</v>
      </c>
      <c r="P145" s="93" t="s">
        <v>4078</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2"/>
      <c r="AL145" s="93"/>
      <c r="AM145" s="93" t="s">
        <v>5551</v>
      </c>
      <c r="AN145" s="98"/>
      <c r="AO145" s="98"/>
      <c r="AP145" s="98"/>
      <c r="AQ145" s="98"/>
      <c r="AR145" s="98"/>
      <c r="AS145" s="98"/>
      <c r="AT145" s="93" t="s">
        <v>6016</v>
      </c>
      <c r="AU145" s="98"/>
      <c r="AV145" s="93" t="s">
        <v>391</v>
      </c>
      <c r="AW145" s="98"/>
      <c r="AX145" s="98"/>
      <c r="AY145" s="98"/>
      <c r="AZ145" s="262"/>
      <c r="BA145" s="98"/>
      <c r="BB145" s="93" t="s">
        <v>5749</v>
      </c>
      <c r="BC145" s="98"/>
      <c r="BD145" s="93" t="s">
        <v>6017</v>
      </c>
      <c r="BE145" s="93" t="s">
        <v>1527</v>
      </c>
      <c r="BF145" s="93" t="s">
        <v>4799</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5771</v>
      </c>
      <c r="CK145" s="98"/>
      <c r="CL145" s="98"/>
      <c r="CM145" s="98"/>
      <c r="CN145" s="98"/>
      <c r="CO145" s="98"/>
      <c r="CP145" s="98"/>
      <c r="CQ145" s="98"/>
      <c r="CR145" s="98"/>
      <c r="CS145" s="101"/>
      <c r="CT145" s="98"/>
      <c r="CU145" s="93" t="s">
        <v>5682</v>
      </c>
      <c r="CV145" s="93" t="s">
        <v>6024</v>
      </c>
      <c r="CW145" s="98"/>
      <c r="CX145" s="98"/>
      <c r="CY145" s="93" t="s">
        <v>5464</v>
      </c>
      <c r="CZ145" s="209" t="s">
        <v>5608</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2865</v>
      </c>
      <c r="H146" s="166" t="s">
        <v>2763</v>
      </c>
      <c r="I146" s="166" t="s">
        <v>6028</v>
      </c>
      <c r="J146" s="166" t="s">
        <v>4855</v>
      </c>
      <c r="K146" s="166" t="s">
        <v>567</v>
      </c>
      <c r="L146" s="166" t="s">
        <v>6029</v>
      </c>
      <c r="M146" s="222"/>
      <c r="N146" s="222"/>
      <c r="O146" s="166" t="s">
        <v>1995</v>
      </c>
      <c r="P146" s="166" t="s">
        <v>355</v>
      </c>
      <c r="Q146" s="166"/>
      <c r="R146" s="222"/>
      <c r="S146" s="166" t="s">
        <v>6030</v>
      </c>
      <c r="T146" s="222"/>
      <c r="U146" s="166" t="s">
        <v>2886</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7" t="s">
        <v>6038</v>
      </c>
      <c r="B147" s="82" t="s">
        <v>6039</v>
      </c>
      <c r="C147" s="83" t="s">
        <v>1483</v>
      </c>
      <c r="D147" s="84" t="s">
        <v>1483</v>
      </c>
      <c r="E147" s="85" t="s">
        <v>1483</v>
      </c>
      <c r="F147" s="86" t="s">
        <v>338</v>
      </c>
      <c r="G147" s="82" t="s">
        <v>337</v>
      </c>
      <c r="H147" s="98"/>
      <c r="I147" s="98"/>
      <c r="J147" s="93" t="s">
        <v>6040</v>
      </c>
      <c r="K147" s="88" t="s">
        <v>5663</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4339</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6044</v>
      </c>
      <c r="B148" s="103" t="s">
        <v>6045</v>
      </c>
      <c r="C148" s="104" t="s">
        <v>1483</v>
      </c>
      <c r="D148" s="105" t="s">
        <v>1483</v>
      </c>
      <c r="E148" s="106" t="s">
        <v>1483</v>
      </c>
      <c r="F148" s="107" t="s">
        <v>562</v>
      </c>
      <c r="G148" s="103" t="s">
        <v>3463</v>
      </c>
      <c r="H148" s="388"/>
      <c r="I148" s="388" t="s">
        <v>2786</v>
      </c>
      <c r="J148" s="388" t="s">
        <v>3197</v>
      </c>
      <c r="K148" s="388" t="s">
        <v>5371</v>
      </c>
      <c r="L148" s="474" t="s">
        <v>4234</v>
      </c>
      <c r="M148" s="474" t="s">
        <v>6046</v>
      </c>
      <c r="N148" s="474" t="s">
        <v>5722</v>
      </c>
      <c r="O148" s="474"/>
      <c r="P148" s="474" t="s">
        <v>2978</v>
      </c>
      <c r="Q148" s="222"/>
      <c r="R148" s="222"/>
      <c r="S148" s="222"/>
      <c r="T148" s="222"/>
      <c r="U148" s="222"/>
      <c r="V148" s="222"/>
      <c r="W148" s="92"/>
      <c r="X148" s="117"/>
      <c r="Y148" s="117"/>
      <c r="Z148" s="117" t="s">
        <v>5104</v>
      </c>
      <c r="AA148" s="375"/>
      <c r="AB148" s="117" t="s">
        <v>4383</v>
      </c>
      <c r="AC148" s="117"/>
      <c r="AD148" s="271"/>
      <c r="AE148" s="117" t="s">
        <v>6047</v>
      </c>
      <c r="AF148" s="117" t="s">
        <v>5069</v>
      </c>
      <c r="AG148" s="271"/>
      <c r="AH148" s="271"/>
      <c r="AI148" s="117"/>
      <c r="AJ148" s="271"/>
      <c r="AK148" s="92"/>
      <c r="AL148" s="124"/>
      <c r="AM148" s="124"/>
      <c r="AN148" s="272"/>
      <c r="AO148" s="272"/>
      <c r="AP148" s="167"/>
      <c r="AQ148" s="167"/>
      <c r="AR148" s="272"/>
      <c r="AS148" s="167"/>
      <c r="AT148" s="690" t="s">
        <v>5283</v>
      </c>
      <c r="AU148" s="124"/>
      <c r="AV148" s="124"/>
      <c r="AW148" s="272"/>
      <c r="AX148" s="272"/>
      <c r="AY148" s="272"/>
      <c r="AZ148" s="273"/>
      <c r="BA148" s="408" t="s">
        <v>3555</v>
      </c>
      <c r="BB148" s="408"/>
      <c r="BC148" s="408"/>
      <c r="BD148" s="408" t="s">
        <v>4609</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5900</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492"/>
      <c r="CO148" s="281"/>
      <c r="CP148" s="281"/>
      <c r="CQ148" s="281"/>
      <c r="CR148" s="281"/>
      <c r="CS148" s="101"/>
      <c r="CT148" s="317"/>
      <c r="CU148" s="317"/>
      <c r="CV148" s="691" t="s">
        <v>5395</v>
      </c>
      <c r="CW148" s="691"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5660</v>
      </c>
      <c r="H150" s="222"/>
      <c r="I150" s="166" t="s">
        <v>1923</v>
      </c>
      <c r="J150" s="166" t="s">
        <v>2687</v>
      </c>
      <c r="K150" s="166" t="s">
        <v>2320</v>
      </c>
      <c r="L150" s="166" t="s">
        <v>2652</v>
      </c>
      <c r="M150" s="166" t="s">
        <v>6059</v>
      </c>
      <c r="N150" s="166" t="s">
        <v>6060</v>
      </c>
      <c r="O150" s="166" t="s">
        <v>6061</v>
      </c>
      <c r="P150" s="166" t="s">
        <v>4247</v>
      </c>
      <c r="Q150" s="222"/>
      <c r="R150" s="222"/>
      <c r="S150" s="222"/>
      <c r="T150" s="222"/>
      <c r="U150" s="222"/>
      <c r="V150" s="222"/>
      <c r="W150" s="92"/>
      <c r="X150" s="197" t="s">
        <v>5352</v>
      </c>
      <c r="Y150" s="197" t="s">
        <v>2215</v>
      </c>
      <c r="Z150" s="197" t="s">
        <v>2298</v>
      </c>
      <c r="AA150" s="197" t="s">
        <v>3453</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6066</v>
      </c>
      <c r="DH150" s="284"/>
      <c r="DI150" s="284"/>
      <c r="DJ150" s="206"/>
      <c r="DK150" s="284"/>
      <c r="DL150" s="206" t="s">
        <v>3590</v>
      </c>
      <c r="DM150" s="206" t="s">
        <v>6067</v>
      </c>
      <c r="DN150" s="284"/>
      <c r="DO150" s="284"/>
      <c r="DP150" s="284"/>
      <c r="DQ150" s="284"/>
      <c r="DR150" s="284"/>
      <c r="DS150" s="284"/>
      <c r="DT150" s="284"/>
      <c r="DU150" s="284"/>
      <c r="DV150" s="284"/>
      <c r="DW150" s="284"/>
      <c r="DX150" s="206" t="s">
        <v>6068</v>
      </c>
      <c r="DY150" s="284"/>
      <c r="DZ150" s="284"/>
      <c r="EA150" s="206" t="s">
        <v>4350</v>
      </c>
      <c r="EB150" s="319"/>
    </row>
    <row r="151">
      <c r="A151" s="81" t="s">
        <v>6069</v>
      </c>
      <c r="B151" s="82" t="s">
        <v>6070</v>
      </c>
      <c r="C151" s="83" t="s">
        <v>1483</v>
      </c>
      <c r="D151" s="84" t="s">
        <v>1483</v>
      </c>
      <c r="E151" s="85" t="s">
        <v>1483</v>
      </c>
      <c r="F151" s="86" t="s">
        <v>450</v>
      </c>
      <c r="G151" s="82" t="s">
        <v>3785</v>
      </c>
      <c r="H151" s="93" t="s">
        <v>6071</v>
      </c>
      <c r="I151" s="93" t="s">
        <v>4894</v>
      </c>
      <c r="J151" s="93" t="s">
        <v>2513</v>
      </c>
      <c r="K151" s="93" t="s">
        <v>1499</v>
      </c>
      <c r="L151" s="93" t="s">
        <v>4080</v>
      </c>
      <c r="M151" s="93" t="s">
        <v>4062</v>
      </c>
      <c r="N151" s="93" t="s">
        <v>5141</v>
      </c>
      <c r="O151" s="98"/>
      <c r="P151" s="98"/>
      <c r="Q151" s="98"/>
      <c r="R151" s="98"/>
      <c r="S151" s="98"/>
      <c r="T151" s="98"/>
      <c r="U151" s="98"/>
      <c r="V151" s="98"/>
      <c r="W151" s="92"/>
      <c r="X151" s="97" t="str">
        <f>HYPERLINK("https://www.youtube.com/watch?v=F9HuyJ73joE","56.96")</f>
        <v>56.96</v>
      </c>
      <c r="Y151" s="93" t="s">
        <v>4133</v>
      </c>
      <c r="Z151" s="93" t="s">
        <v>6072</v>
      </c>
      <c r="AA151" s="93" t="s">
        <v>4602</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3511</v>
      </c>
      <c r="I152" s="304" t="s">
        <v>6079</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3729</v>
      </c>
      <c r="I153" s="98"/>
      <c r="J153" s="93" t="s">
        <v>5430</v>
      </c>
      <c r="K153" s="93" t="s">
        <v>4097</v>
      </c>
      <c r="L153" s="93" t="s">
        <v>5130</v>
      </c>
      <c r="M153" s="98"/>
      <c r="N153" s="98"/>
      <c r="O153" s="93" t="s">
        <v>2021</v>
      </c>
      <c r="P153" s="98"/>
      <c r="Q153" s="98"/>
      <c r="R153" s="98"/>
      <c r="S153" s="98"/>
      <c r="T153" s="98"/>
      <c r="U153" s="98"/>
      <c r="V153" s="98"/>
      <c r="W153" s="92"/>
      <c r="X153" s="93" t="s">
        <v>6082</v>
      </c>
      <c r="Y153" s="93" t="s">
        <v>3765</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5637</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692"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1"/>
      <c r="Z154" s="197" t="s">
        <v>4760</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3517</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693" t="s">
        <v>6095</v>
      </c>
      <c r="B155" s="82" t="s">
        <v>6096</v>
      </c>
      <c r="C155" s="83" t="s">
        <v>1483</v>
      </c>
      <c r="D155" s="84" t="s">
        <v>1483</v>
      </c>
      <c r="E155" s="85" t="s">
        <v>1483</v>
      </c>
      <c r="F155" s="86" t="s">
        <v>448</v>
      </c>
      <c r="G155" s="82" t="s">
        <v>219</v>
      </c>
      <c r="H155" s="98"/>
      <c r="I155" s="93" t="s">
        <v>6097</v>
      </c>
      <c r="J155" s="93" t="s">
        <v>6098</v>
      </c>
      <c r="K155" s="93" t="s">
        <v>5444</v>
      </c>
      <c r="L155" s="93" t="s">
        <v>2885</v>
      </c>
      <c r="M155" s="98"/>
      <c r="N155" s="98"/>
      <c r="O155" s="98"/>
      <c r="P155" s="88" t="s">
        <v>6099</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5874</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6107</v>
      </c>
      <c r="CJ156" s="176"/>
      <c r="CK156" s="281"/>
      <c r="CL156" s="281"/>
      <c r="CM156" s="281"/>
      <c r="CN156" s="281"/>
      <c r="CO156" s="281"/>
      <c r="CP156" s="281"/>
      <c r="CQ156" s="281"/>
      <c r="CR156" s="281"/>
      <c r="CS156" s="101"/>
      <c r="CT156" s="205" t="s">
        <v>6108</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6109</v>
      </c>
      <c r="B157" s="82" t="s">
        <v>6110</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6111</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6112</v>
      </c>
      <c r="B158" s="103" t="s">
        <v>6110</v>
      </c>
      <c r="C158" s="104" t="s">
        <v>1483</v>
      </c>
      <c r="D158" s="105" t="s">
        <v>1483</v>
      </c>
      <c r="E158" s="106" t="s">
        <v>1483</v>
      </c>
      <c r="F158" s="107" t="s">
        <v>1483</v>
      </c>
      <c r="G158" s="103" t="s">
        <v>6113</v>
      </c>
      <c r="H158" s="388"/>
      <c r="I158" s="388"/>
      <c r="J158" s="388" t="s">
        <v>1918</v>
      </c>
      <c r="K158" s="388" t="s">
        <v>1189</v>
      </c>
      <c r="L158" s="388" t="s">
        <v>2951</v>
      </c>
      <c r="M158" s="388"/>
      <c r="N158" s="388"/>
      <c r="O158" s="388" t="s">
        <v>6114</v>
      </c>
      <c r="P158" s="388" t="s">
        <v>4989</v>
      </c>
      <c r="Q158" s="695"/>
      <c r="R158" s="695"/>
      <c r="S158" s="695"/>
      <c r="T158" s="695"/>
      <c r="U158" s="695"/>
      <c r="V158" s="695"/>
      <c r="W158" s="696"/>
      <c r="X158" s="397"/>
      <c r="Y158" s="397" t="s">
        <v>2940</v>
      </c>
      <c r="Z158" s="397" t="s">
        <v>2726</v>
      </c>
      <c r="AA158" s="397" t="s">
        <v>6115</v>
      </c>
      <c r="AB158" s="397" t="s">
        <v>3924</v>
      </c>
      <c r="AC158" s="397"/>
      <c r="AD158" s="697"/>
      <c r="AE158" s="397"/>
      <c r="AF158" s="397" t="s">
        <v>4777</v>
      </c>
      <c r="AG158" s="697"/>
      <c r="AH158" s="697"/>
      <c r="AI158" s="397"/>
      <c r="AJ158" s="698" t="s">
        <v>6116</v>
      </c>
      <c r="AK158" s="696"/>
      <c r="AL158" s="626"/>
      <c r="AM158" s="626" t="s">
        <v>1693</v>
      </c>
      <c r="AN158" s="699"/>
      <c r="AO158" s="699"/>
      <c r="AP158" s="700"/>
      <c r="AQ158" s="700"/>
      <c r="AR158" s="699"/>
      <c r="AS158" s="699"/>
      <c r="AT158" s="626" t="s">
        <v>4337</v>
      </c>
      <c r="AU158" s="626" t="s">
        <v>802</v>
      </c>
      <c r="AV158" s="626"/>
      <c r="AW158" s="699"/>
      <c r="AX158" s="699"/>
      <c r="AY158" s="699"/>
      <c r="AZ158" s="701"/>
      <c r="BA158" s="201"/>
      <c r="BB158" s="201" t="s">
        <v>6117</v>
      </c>
      <c r="BC158" s="201" t="s">
        <v>3308</v>
      </c>
      <c r="BD158" s="201" t="s">
        <v>6118</v>
      </c>
      <c r="BE158" s="201"/>
      <c r="BF158" s="201"/>
      <c r="BG158" s="702"/>
      <c r="BH158" s="201" t="s">
        <v>3736</v>
      </c>
      <c r="BI158" s="702"/>
      <c r="BJ158" s="201" t="s">
        <v>6119</v>
      </c>
      <c r="BK158" s="201" t="s">
        <v>4302</v>
      </c>
      <c r="BL158" s="702"/>
      <c r="BM158" s="702"/>
      <c r="BN158" s="201"/>
      <c r="BO158" s="702"/>
      <c r="BP158" s="703"/>
      <c r="BQ158" s="405"/>
      <c r="BR158" s="405"/>
      <c r="BS158" s="405" t="s">
        <v>3181</v>
      </c>
      <c r="BT158" s="405" t="s">
        <v>6120</v>
      </c>
      <c r="BU158" s="405" t="s">
        <v>6121</v>
      </c>
      <c r="BV158" s="405" t="s">
        <v>1367</v>
      </c>
      <c r="BW158" s="704"/>
      <c r="BX158" s="405"/>
      <c r="BY158" s="405"/>
      <c r="BZ158" s="405" t="s">
        <v>6122</v>
      </c>
      <c r="CA158" s="704"/>
      <c r="CB158" s="704"/>
      <c r="CC158" s="704"/>
      <c r="CD158" s="704"/>
      <c r="CE158" s="705"/>
      <c r="CF158" s="398"/>
      <c r="CG158" s="398" t="s">
        <v>4578</v>
      </c>
      <c r="CH158" s="398"/>
      <c r="CI158" s="398"/>
      <c r="CJ158" s="398"/>
      <c r="CK158" s="398"/>
      <c r="CL158" s="398" t="s">
        <v>3594</v>
      </c>
      <c r="CM158" s="398" t="s">
        <v>5514</v>
      </c>
      <c r="CN158" s="706"/>
      <c r="CO158" s="707"/>
      <c r="CP158" s="707"/>
      <c r="CQ158" s="707"/>
      <c r="CR158" s="707"/>
      <c r="CS158" s="708"/>
      <c r="CT158" s="316" t="s">
        <v>2088</v>
      </c>
      <c r="CU158" s="316"/>
      <c r="CV158" s="316" t="s">
        <v>5473</v>
      </c>
      <c r="CW158" s="316"/>
      <c r="CX158" s="316"/>
      <c r="CY158" s="316"/>
      <c r="CZ158" s="316" t="s">
        <v>6123</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3517</v>
      </c>
      <c r="CM160" s="135" t="s">
        <v>6134</v>
      </c>
      <c r="CN160" s="492"/>
      <c r="CO160" s="281"/>
      <c r="CP160" s="281"/>
      <c r="CQ160" s="281"/>
      <c r="CR160" s="281"/>
      <c r="CS160" s="101"/>
      <c r="CT160" s="317"/>
      <c r="CU160" s="317"/>
      <c r="CV160" s="317" t="s">
        <v>5213</v>
      </c>
      <c r="CW160" s="317" t="s">
        <v>3507</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6040</v>
      </c>
      <c r="K162" s="166" t="s">
        <v>2320</v>
      </c>
      <c r="L162" s="166" t="s">
        <v>6144</v>
      </c>
      <c r="M162" s="222"/>
      <c r="N162" s="222"/>
      <c r="O162" s="222"/>
      <c r="P162" s="166" t="s">
        <v>3238</v>
      </c>
      <c r="Q162" s="222"/>
      <c r="R162" s="222"/>
      <c r="S162" s="222"/>
      <c r="T162" s="222"/>
      <c r="U162" s="222"/>
      <c r="V162" s="222"/>
      <c r="W162" s="92"/>
      <c r="X162" s="717" t="s">
        <v>1913</v>
      </c>
      <c r="Y162" s="271"/>
      <c r="Z162" s="197" t="s">
        <v>3352</v>
      </c>
      <c r="AA162" s="115" t="str">
        <f>HYPERLINK("https://clips.twitch.tv/DeliciousHomelyChoughMingLee","53.66")</f>
        <v>53.66</v>
      </c>
      <c r="AB162" s="197" t="s">
        <v>4920</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5395</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6150</v>
      </c>
      <c r="B163" s="82" t="s">
        <v>6151</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3485</v>
      </c>
      <c r="BF163" s="98"/>
      <c r="BG163" s="98"/>
      <c r="BH163" s="98"/>
      <c r="BI163" s="98"/>
      <c r="BJ163" s="98"/>
      <c r="BK163" s="98"/>
      <c r="BL163" s="98"/>
      <c r="BM163" s="98"/>
      <c r="BN163" s="98"/>
      <c r="BO163" s="98"/>
      <c r="BP163" s="262"/>
      <c r="BQ163" s="98"/>
      <c r="BR163" s="98"/>
      <c r="BS163" s="88" t="s">
        <v>3527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6152</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6153</v>
      </c>
      <c r="B164" s="103" t="s">
        <v>6154</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6155</v>
      </c>
      <c r="B165" s="82" t="s">
        <v>6156</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6157</v>
      </c>
      <c r="Y165" s="100"/>
      <c r="Z165" s="88" t="s">
        <v>4880</v>
      </c>
      <c r="AA165" s="300"/>
      <c r="AB165" s="100"/>
      <c r="AC165" s="100"/>
      <c r="AD165" s="98"/>
      <c r="AE165" s="100"/>
      <c r="AF165" s="88" t="s">
        <v>6158</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6159</v>
      </c>
      <c r="B166" s="103" t="s">
        <v>6160</v>
      </c>
      <c r="C166" s="104" t="s">
        <v>1483</v>
      </c>
      <c r="D166" s="105" t="s">
        <v>1483</v>
      </c>
      <c r="E166" s="106" t="s">
        <v>1483</v>
      </c>
      <c r="F166" s="107" t="s">
        <v>1483</v>
      </c>
      <c r="G166" s="103" t="s">
        <v>5163</v>
      </c>
      <c r="H166" s="166"/>
      <c r="I166" s="166" t="s">
        <v>6161</v>
      </c>
      <c r="J166" s="166" t="s">
        <v>3035</v>
      </c>
      <c r="K166" s="166" t="s">
        <v>783</v>
      </c>
      <c r="L166" s="166" t="s">
        <v>6162</v>
      </c>
      <c r="M166" s="166" t="s">
        <v>6163</v>
      </c>
      <c r="N166" s="166" t="s">
        <v>6164</v>
      </c>
      <c r="O166" s="166" t="s">
        <v>6165</v>
      </c>
      <c r="P166" s="166" t="s">
        <v>2033</v>
      </c>
      <c r="Q166" s="222"/>
      <c r="R166" s="222"/>
      <c r="S166" s="222"/>
      <c r="T166" s="222"/>
      <c r="U166" s="222"/>
      <c r="V166" s="222"/>
      <c r="W166" s="92"/>
      <c r="X166" s="197" t="s">
        <v>6166</v>
      </c>
      <c r="Y166" s="197"/>
      <c r="Z166" s="197" t="s">
        <v>6167</v>
      </c>
      <c r="AA166" s="271"/>
      <c r="AB166" s="197" t="s">
        <v>6168</v>
      </c>
      <c r="AC166" s="197" t="s">
        <v>3524</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6169</v>
      </c>
      <c r="BB166" s="173" t="s">
        <v>822</v>
      </c>
      <c r="BC166" s="173" t="s">
        <v>874</v>
      </c>
      <c r="BD166" s="173" t="s">
        <v>3680</v>
      </c>
      <c r="BE166" s="173" t="s">
        <v>6170</v>
      </c>
      <c r="BF166" s="172"/>
      <c r="BG166" s="172"/>
      <c r="BH166" s="173" t="s">
        <v>3800</v>
      </c>
      <c r="BI166" s="172"/>
      <c r="BJ166" s="172"/>
      <c r="BK166" s="173" t="s">
        <v>544</v>
      </c>
      <c r="BL166" s="172"/>
      <c r="BM166" s="172"/>
      <c r="BN166" s="172"/>
      <c r="BO166" s="172"/>
      <c r="BP166" s="275"/>
      <c r="BQ166" s="174" t="s">
        <v>6171</v>
      </c>
      <c r="BR166" s="174" t="s">
        <v>6172</v>
      </c>
      <c r="BS166" s="174" t="s">
        <v>918</v>
      </c>
      <c r="BT166" s="174" t="s">
        <v>550</v>
      </c>
      <c r="BU166" s="174" t="s">
        <v>6173</v>
      </c>
      <c r="BV166" s="174" t="s">
        <v>1417</v>
      </c>
      <c r="BW166" s="278"/>
      <c r="BX166" s="278"/>
      <c r="BY166" s="278"/>
      <c r="BZ166" s="174" t="s">
        <v>1023</v>
      </c>
      <c r="CA166" s="278"/>
      <c r="CB166" s="278"/>
      <c r="CC166" s="278"/>
      <c r="CD166" s="278"/>
      <c r="CE166" s="279"/>
      <c r="CF166" s="176" t="s">
        <v>6174</v>
      </c>
      <c r="CG166" s="176" t="s">
        <v>2169</v>
      </c>
      <c r="CH166" s="281"/>
      <c r="CI166" s="281"/>
      <c r="CJ166" s="281"/>
      <c r="CK166" s="281"/>
      <c r="CL166" s="176" t="s">
        <v>4697</v>
      </c>
      <c r="CM166" s="176" t="s">
        <v>1568</v>
      </c>
      <c r="CN166" s="281"/>
      <c r="CO166" s="281"/>
      <c r="CP166" s="281"/>
      <c r="CQ166" s="281"/>
      <c r="CR166" s="281"/>
      <c r="CS166" s="101"/>
      <c r="CT166" s="205" t="s">
        <v>5218</v>
      </c>
      <c r="CU166" s="282"/>
      <c r="CV166" s="205" t="s">
        <v>6175</v>
      </c>
      <c r="CW166" s="205" t="s">
        <v>2982</v>
      </c>
      <c r="CX166" s="205" t="s">
        <v>6176</v>
      </c>
      <c r="CY166" s="205" t="s">
        <v>6177</v>
      </c>
      <c r="CZ166" s="205" t="s">
        <v>6178</v>
      </c>
      <c r="DA166" s="205" t="s">
        <v>6179</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6180</v>
      </c>
      <c r="B167" s="82" t="s">
        <v>6181</v>
      </c>
      <c r="C167" s="83" t="s">
        <v>562</v>
      </c>
      <c r="D167" s="84" t="s">
        <v>1483</v>
      </c>
      <c r="E167" s="85" t="s">
        <v>1483</v>
      </c>
      <c r="F167" s="86" t="s">
        <v>562</v>
      </c>
      <c r="G167" s="82" t="s">
        <v>4095</v>
      </c>
      <c r="H167" s="720" t="s">
        <v>3021</v>
      </c>
      <c r="I167" s="720" t="s">
        <v>6182</v>
      </c>
      <c r="J167" s="720" t="s">
        <v>6183</v>
      </c>
      <c r="K167" s="720" t="s">
        <v>783</v>
      </c>
      <c r="L167" s="720" t="s">
        <v>869</v>
      </c>
      <c r="M167" s="721"/>
      <c r="N167" s="720" t="s">
        <v>6184</v>
      </c>
      <c r="O167" s="720" t="s">
        <v>6185</v>
      </c>
      <c r="P167" s="720" t="s">
        <v>5451</v>
      </c>
      <c r="Q167" s="721"/>
      <c r="R167" s="721"/>
      <c r="S167" s="721"/>
      <c r="T167" s="721"/>
      <c r="U167" s="721"/>
      <c r="V167" s="721"/>
      <c r="W167" s="722"/>
      <c r="X167" s="720" t="s">
        <v>6186</v>
      </c>
      <c r="Y167" s="723" t="s">
        <v>386</v>
      </c>
      <c r="Z167" s="723" t="s">
        <v>998</v>
      </c>
      <c r="AA167" s="723" t="s">
        <v>3941</v>
      </c>
      <c r="AB167" s="720" t="s">
        <v>6187</v>
      </c>
      <c r="AC167" s="723" t="s">
        <v>6188</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4279</v>
      </c>
      <c r="BI167" s="721"/>
      <c r="BJ167" s="721"/>
      <c r="BK167" s="721"/>
      <c r="BL167" s="721"/>
      <c r="BM167" s="721"/>
      <c r="BN167" s="721"/>
      <c r="BO167" s="721"/>
      <c r="BP167" s="724"/>
      <c r="BQ167" s="721"/>
      <c r="BR167" s="721"/>
      <c r="BS167" s="720" t="s">
        <v>5150</v>
      </c>
      <c r="BT167" s="723" t="s">
        <v>2897</v>
      </c>
      <c r="BU167" s="721"/>
      <c r="BV167" s="721"/>
      <c r="BW167" s="721"/>
      <c r="BX167" s="721"/>
      <c r="BY167" s="721"/>
      <c r="BZ167" s="721"/>
      <c r="CA167" s="721"/>
      <c r="CB167" s="721"/>
      <c r="CC167" s="721"/>
      <c r="CD167" s="721"/>
      <c r="CE167" s="724"/>
      <c r="CF167" s="721"/>
      <c r="CG167" s="720" t="s">
        <v>6189</v>
      </c>
      <c r="CH167" s="721"/>
      <c r="CI167" s="721"/>
      <c r="CJ167" s="721"/>
      <c r="CK167" s="721"/>
      <c r="CL167" s="721"/>
      <c r="CM167" s="721"/>
      <c r="CN167" s="721"/>
      <c r="CO167" s="721"/>
      <c r="CP167" s="721"/>
      <c r="CQ167" s="721"/>
      <c r="CR167" s="721"/>
      <c r="CS167" s="725"/>
      <c r="CT167" s="720" t="s">
        <v>5284</v>
      </c>
      <c r="CU167" s="720" t="s">
        <v>2562</v>
      </c>
      <c r="CV167" s="720" t="s">
        <v>5214</v>
      </c>
      <c r="CW167" s="721"/>
      <c r="CX167" s="721"/>
      <c r="CY167" s="721"/>
      <c r="CZ167" s="720" t="s">
        <v>6190</v>
      </c>
      <c r="DA167" s="723" t="s">
        <v>6191</v>
      </c>
      <c r="DB167" s="721"/>
      <c r="DC167" s="721"/>
      <c r="DD167" s="721"/>
      <c r="DE167" s="721"/>
      <c r="DF167" s="724"/>
      <c r="DG167" s="721"/>
      <c r="DH167" s="721"/>
      <c r="DI167" s="721"/>
      <c r="DJ167" s="721"/>
      <c r="DK167" s="726" t="s">
        <v>3678</v>
      </c>
      <c r="DL167" s="721"/>
      <c r="DM167" s="721"/>
      <c r="DN167" s="721"/>
      <c r="DO167" s="721"/>
      <c r="DP167" s="721"/>
      <c r="DQ167" s="721"/>
      <c r="DR167" s="721"/>
      <c r="DS167" s="721"/>
      <c r="DT167" s="721"/>
      <c r="DU167" s="721"/>
      <c r="DV167" s="721"/>
      <c r="DW167" s="721"/>
      <c r="DX167" s="721"/>
      <c r="DY167" s="721"/>
      <c r="DZ167" s="721"/>
      <c r="EA167" s="721"/>
      <c r="EB167" s="721"/>
    </row>
    <row r="168">
      <c r="A168" s="165" t="s">
        <v>6192</v>
      </c>
      <c r="B168" s="103" t="s">
        <v>6193</v>
      </c>
      <c r="C168" s="104" t="s">
        <v>1483</v>
      </c>
      <c r="D168" s="105" t="s">
        <v>1483</v>
      </c>
      <c r="E168" s="106" t="s">
        <v>1483</v>
      </c>
      <c r="F168" s="107" t="s">
        <v>1483</v>
      </c>
      <c r="G168" s="103" t="s">
        <v>336</v>
      </c>
      <c r="H168" s="222"/>
      <c r="I168" s="222"/>
      <c r="J168" s="222"/>
      <c r="K168" s="222"/>
      <c r="L168" s="166" t="s">
        <v>3506</v>
      </c>
      <c r="M168" s="222"/>
      <c r="N168" s="222"/>
      <c r="O168" s="222"/>
      <c r="P168" s="222"/>
      <c r="Q168" s="222"/>
      <c r="R168" s="222"/>
      <c r="S168" s="222"/>
      <c r="T168" s="222"/>
      <c r="U168" s="222"/>
      <c r="V168" s="222"/>
      <c r="W168" s="92"/>
      <c r="X168" s="271"/>
      <c r="Y168" s="197" t="s">
        <v>6194</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6195</v>
      </c>
      <c r="B169" s="82" t="s">
        <v>6196</v>
      </c>
      <c r="C169" s="83" t="s">
        <v>1483</v>
      </c>
      <c r="D169" s="84" t="s">
        <v>1483</v>
      </c>
      <c r="E169" s="85" t="s">
        <v>1483</v>
      </c>
      <c r="F169" s="86" t="s">
        <v>957</v>
      </c>
      <c r="G169" s="82" t="s">
        <v>5026</v>
      </c>
      <c r="H169" s="93" t="s">
        <v>2724</v>
      </c>
      <c r="I169" s="98"/>
      <c r="J169" s="93" t="s">
        <v>6197</v>
      </c>
      <c r="K169" s="88" t="s">
        <v>4978</v>
      </c>
      <c r="L169" s="160" t="s">
        <v>3557</v>
      </c>
      <c r="M169" s="98"/>
      <c r="N169" s="98"/>
      <c r="O169" s="98"/>
      <c r="P169" s="93" t="s">
        <v>6198</v>
      </c>
      <c r="Q169" s="98"/>
      <c r="R169" s="98"/>
      <c r="S169" s="98"/>
      <c r="T169" s="98"/>
      <c r="U169" s="98"/>
      <c r="V169" s="98"/>
      <c r="W169" s="92"/>
      <c r="X169" s="88" t="s">
        <v>6199</v>
      </c>
      <c r="Y169" s="93" t="s">
        <v>1847</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6200</v>
      </c>
      <c r="AV169" s="98"/>
      <c r="AW169" s="98"/>
      <c r="AX169" s="98"/>
      <c r="AY169" s="98"/>
      <c r="AZ169" s="262"/>
      <c r="BA169" s="98"/>
      <c r="BB169" s="93" t="s">
        <v>984</v>
      </c>
      <c r="BC169" s="93" t="s">
        <v>548</v>
      </c>
      <c r="BD169" s="93" t="s">
        <v>6201</v>
      </c>
      <c r="BE169" s="98"/>
      <c r="BF169" s="93" t="s">
        <v>4928</v>
      </c>
      <c r="BG169" s="93" t="s">
        <v>6202</v>
      </c>
      <c r="BH169" s="93" t="s">
        <v>5248</v>
      </c>
      <c r="BI169" s="98"/>
      <c r="BJ169" s="98"/>
      <c r="BK169" s="98"/>
      <c r="BL169" s="98"/>
      <c r="BM169" s="98"/>
      <c r="BN169" s="98"/>
      <c r="BO169" s="98"/>
      <c r="BP169" s="262"/>
      <c r="BQ169" s="98"/>
      <c r="BR169" s="98"/>
      <c r="BS169" s="98"/>
      <c r="BT169" s="93" t="s">
        <v>3561</v>
      </c>
      <c r="BU169" s="98"/>
      <c r="BV169" s="88" t="s">
        <v>4981</v>
      </c>
      <c r="BW169" s="98"/>
      <c r="BX169" s="98"/>
      <c r="BY169" s="98"/>
      <c r="BZ169" s="88" t="s">
        <v>4846</v>
      </c>
      <c r="CA169" s="98"/>
      <c r="CB169" s="98"/>
      <c r="CC169" s="98"/>
      <c r="CD169" s="98"/>
      <c r="CE169" s="262"/>
      <c r="CF169" s="88" t="s">
        <v>6203</v>
      </c>
      <c r="CG169" s="93" t="s">
        <v>6204</v>
      </c>
      <c r="CH169" s="98"/>
      <c r="CI169" s="98"/>
      <c r="CJ169" s="98"/>
      <c r="CK169" s="98"/>
      <c r="CL169" s="88" t="s">
        <v>5164</v>
      </c>
      <c r="CM169" s="88" t="s">
        <v>6205</v>
      </c>
      <c r="CN169" s="98"/>
      <c r="CO169" s="98"/>
      <c r="CP169" s="98"/>
      <c r="CQ169" s="98"/>
      <c r="CR169" s="98"/>
      <c r="CS169" s="101"/>
      <c r="CT169" s="100" t="s">
        <v>6206</v>
      </c>
      <c r="CU169" s="93" t="s">
        <v>239</v>
      </c>
      <c r="CV169" s="98"/>
      <c r="CW169" s="98"/>
      <c r="CX169" s="98"/>
      <c r="CY169" s="98"/>
      <c r="CZ169" s="88" t="s">
        <v>6207</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6208</v>
      </c>
      <c r="B170" s="103" t="s">
        <v>6209</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6210</v>
      </c>
      <c r="BX170" s="278"/>
      <c r="BY170" s="278"/>
      <c r="BZ170" s="278"/>
      <c r="CA170" s="278"/>
      <c r="CB170" s="278"/>
      <c r="CC170" s="278"/>
      <c r="CD170" s="278"/>
      <c r="CE170" s="279"/>
      <c r="CF170" s="281"/>
      <c r="CG170" s="281"/>
      <c r="CH170" s="281"/>
      <c r="CI170" s="177" t="s">
        <v>4649</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6211</v>
      </c>
      <c r="B171" s="82" t="s">
        <v>6209</v>
      </c>
      <c r="C171" s="83" t="s">
        <v>1483</v>
      </c>
      <c r="D171" s="84" t="s">
        <v>1483</v>
      </c>
      <c r="E171" s="85" t="s">
        <v>1483</v>
      </c>
      <c r="F171" s="86" t="s">
        <v>1483</v>
      </c>
      <c r="G171" s="82" t="s">
        <v>1034</v>
      </c>
      <c r="H171" s="98"/>
      <c r="I171" s="98"/>
      <c r="J171" s="160" t="s">
        <v>6212</v>
      </c>
      <c r="K171" s="98"/>
      <c r="L171" s="93" t="s">
        <v>6213</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6214</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6215</v>
      </c>
      <c r="DF171" s="262"/>
      <c r="DG171" s="98"/>
      <c r="DH171" s="98"/>
      <c r="DI171" s="98"/>
      <c r="DJ171" s="98"/>
      <c r="DK171" s="98"/>
      <c r="DL171" s="98"/>
      <c r="DM171" s="98"/>
      <c r="DN171" s="98"/>
      <c r="DO171" s="98"/>
      <c r="DP171" s="98"/>
      <c r="DQ171" s="98"/>
      <c r="DR171" s="98"/>
      <c r="DS171" s="98"/>
      <c r="DT171" s="98"/>
      <c r="DU171" s="98"/>
      <c r="DV171" s="98"/>
      <c r="DW171" s="98"/>
      <c r="DX171" s="98"/>
      <c r="DY171" s="93" t="s">
        <v>6018</v>
      </c>
      <c r="DZ171" s="98"/>
      <c r="EA171" s="98"/>
      <c r="EB171" s="400"/>
    </row>
    <row r="172">
      <c r="A172" s="165" t="s">
        <v>6216</v>
      </c>
      <c r="B172" s="103" t="s">
        <v>6217</v>
      </c>
      <c r="C172" s="104" t="s">
        <v>1483</v>
      </c>
      <c r="D172" s="105" t="s">
        <v>1483</v>
      </c>
      <c r="E172" s="106" t="s">
        <v>1483</v>
      </c>
      <c r="F172" s="107" t="s">
        <v>1483</v>
      </c>
      <c r="G172" s="103" t="s">
        <v>1804</v>
      </c>
      <c r="H172" s="222"/>
      <c r="I172" s="166" t="s">
        <v>6218</v>
      </c>
      <c r="J172" s="166" t="s">
        <v>5093</v>
      </c>
      <c r="K172" s="166" t="s">
        <v>2507</v>
      </c>
      <c r="L172" s="166" t="s">
        <v>4142</v>
      </c>
      <c r="M172" s="166" t="s">
        <v>6219</v>
      </c>
      <c r="N172" s="222"/>
      <c r="O172" s="166" t="s">
        <v>2020</v>
      </c>
      <c r="P172" s="166" t="s">
        <v>6220</v>
      </c>
      <c r="Q172" s="222"/>
      <c r="R172" s="222"/>
      <c r="S172" s="222"/>
      <c r="T172" s="222"/>
      <c r="U172" s="222"/>
      <c r="V172" s="222"/>
      <c r="W172" s="92"/>
      <c r="X172" s="197" t="s">
        <v>4549</v>
      </c>
      <c r="Y172" s="197" t="s">
        <v>6221</v>
      </c>
      <c r="Z172" s="197" t="s">
        <v>4581</v>
      </c>
      <c r="AA172" s="197" t="s">
        <v>6222</v>
      </c>
      <c r="AB172" s="197" t="s">
        <v>6223</v>
      </c>
      <c r="AC172" s="197" t="s">
        <v>6174</v>
      </c>
      <c r="AD172" s="271"/>
      <c r="AE172" s="197" t="s">
        <v>6224</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6225</v>
      </c>
      <c r="BE172" s="173" t="s">
        <v>6226</v>
      </c>
      <c r="BF172" s="172"/>
      <c r="BG172" s="172"/>
      <c r="BH172" s="173" t="s">
        <v>6227</v>
      </c>
      <c r="BI172" s="173" t="s">
        <v>6228</v>
      </c>
      <c r="BJ172" s="173"/>
      <c r="BK172" s="173" t="s">
        <v>552</v>
      </c>
      <c r="BL172" s="172"/>
      <c r="BM172" s="172"/>
      <c r="BN172" s="172"/>
      <c r="BO172" s="172"/>
      <c r="BP172" s="275"/>
      <c r="BQ172" s="174"/>
      <c r="BR172" s="278"/>
      <c r="BS172" s="174" t="s">
        <v>6229</v>
      </c>
      <c r="BT172" s="174" t="s">
        <v>6230</v>
      </c>
      <c r="BU172" s="278"/>
      <c r="BV172" s="174" t="s">
        <v>418</v>
      </c>
      <c r="BW172" s="174" t="s">
        <v>6231</v>
      </c>
      <c r="BX172" s="174" t="s">
        <v>2939</v>
      </c>
      <c r="BY172" s="278"/>
      <c r="BZ172" s="174" t="s">
        <v>2095</v>
      </c>
      <c r="CA172" s="278"/>
      <c r="CB172" s="278"/>
      <c r="CC172" s="278"/>
      <c r="CD172" s="278"/>
      <c r="CE172" s="279"/>
      <c r="CF172" s="176" t="s">
        <v>4987</v>
      </c>
      <c r="CG172" s="176" t="s">
        <v>2613</v>
      </c>
      <c r="CH172" s="176" t="s">
        <v>2715</v>
      </c>
      <c r="CI172" s="176" t="s">
        <v>6232</v>
      </c>
      <c r="CJ172" s="176" t="s">
        <v>6233</v>
      </c>
      <c r="CK172" s="281"/>
      <c r="CL172" s="176" t="s">
        <v>3807</v>
      </c>
      <c r="CM172" s="176" t="s">
        <v>3298</v>
      </c>
      <c r="CN172" s="281"/>
      <c r="CO172" s="281"/>
      <c r="CP172" s="281"/>
      <c r="CQ172" s="281"/>
      <c r="CR172" s="281"/>
      <c r="CS172" s="101"/>
      <c r="CT172" s="205" t="s">
        <v>5860</v>
      </c>
      <c r="CU172" s="205" t="s">
        <v>6234</v>
      </c>
      <c r="CV172" s="205" t="s">
        <v>2041</v>
      </c>
      <c r="CW172" s="282"/>
      <c r="CX172" s="282"/>
      <c r="CY172" s="282"/>
      <c r="CZ172" s="205" t="s">
        <v>6235</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6236</v>
      </c>
      <c r="B173" s="82" t="s">
        <v>6237</v>
      </c>
      <c r="C173" s="83" t="s">
        <v>1483</v>
      </c>
      <c r="D173" s="84" t="s">
        <v>1483</v>
      </c>
      <c r="E173" s="85" t="s">
        <v>1483</v>
      </c>
      <c r="F173" s="86" t="s">
        <v>1483</v>
      </c>
      <c r="G173" s="82" t="s">
        <v>5181</v>
      </c>
      <c r="H173" s="93" t="s">
        <v>6238</v>
      </c>
      <c r="I173" s="93" t="s">
        <v>6239</v>
      </c>
      <c r="J173" s="93" t="s">
        <v>637</v>
      </c>
      <c r="K173" s="93" t="s">
        <v>3207</v>
      </c>
      <c r="L173" s="93" t="s">
        <v>2877</v>
      </c>
      <c r="M173" s="93" t="s">
        <v>6240</v>
      </c>
      <c r="N173" s="93" t="s">
        <v>6241</v>
      </c>
      <c r="O173" s="93" t="s">
        <v>979</v>
      </c>
      <c r="P173" s="93" t="s">
        <v>508</v>
      </c>
      <c r="Q173" s="93"/>
      <c r="R173" s="93"/>
      <c r="S173" s="93"/>
      <c r="T173" s="93"/>
      <c r="U173" s="93"/>
      <c r="V173" s="93"/>
      <c r="W173" s="92"/>
      <c r="X173" s="93" t="s">
        <v>6242</v>
      </c>
      <c r="Y173" s="93" t="s">
        <v>5271</v>
      </c>
      <c r="Z173" s="93" t="s">
        <v>6243</v>
      </c>
      <c r="AA173" s="93" t="s">
        <v>2647</v>
      </c>
      <c r="AB173" s="93" t="s">
        <v>5841</v>
      </c>
      <c r="AC173" s="93" t="s">
        <v>6244</v>
      </c>
      <c r="AD173" s="93" t="s">
        <v>4166</v>
      </c>
      <c r="AE173" s="93" t="s">
        <v>6245</v>
      </c>
      <c r="AF173" s="93" t="s">
        <v>374</v>
      </c>
      <c r="AG173" s="93"/>
      <c r="AH173" s="93"/>
      <c r="AI173" s="93"/>
      <c r="AJ173" s="93"/>
      <c r="AK173" s="92"/>
      <c r="AL173" s="93"/>
      <c r="AM173" s="93"/>
      <c r="AN173" s="93"/>
      <c r="AO173" s="93"/>
      <c r="AP173" s="93"/>
      <c r="AQ173" s="93"/>
      <c r="AR173" s="93"/>
      <c r="AS173" s="93"/>
      <c r="AT173" s="93" t="s">
        <v>6246</v>
      </c>
      <c r="AU173" s="93" t="s">
        <v>1341</v>
      </c>
      <c r="AV173" s="93"/>
      <c r="AW173" s="93"/>
      <c r="AX173" s="93"/>
      <c r="AY173" s="93"/>
      <c r="AZ173" s="96"/>
      <c r="BA173" s="93" t="s">
        <v>6247</v>
      </c>
      <c r="BB173" s="93" t="s">
        <v>4358</v>
      </c>
      <c r="BC173" s="93" t="s">
        <v>3842</v>
      </c>
      <c r="BD173" s="93" t="s">
        <v>6248</v>
      </c>
      <c r="BE173" s="93" t="s">
        <v>6249</v>
      </c>
      <c r="BF173" s="93" t="s">
        <v>6250</v>
      </c>
      <c r="BG173" s="93" t="s">
        <v>5187</v>
      </c>
      <c r="BH173" s="93" t="s">
        <v>6100</v>
      </c>
      <c r="BI173" s="98"/>
      <c r="BJ173" s="98"/>
      <c r="BK173" s="98"/>
      <c r="BL173" s="93"/>
      <c r="BM173" s="93"/>
      <c r="BN173" s="93"/>
      <c r="BO173" s="93"/>
      <c r="BP173" s="96"/>
      <c r="BQ173" s="93"/>
      <c r="BR173" s="98"/>
      <c r="BS173" s="382" t="s">
        <v>6251</v>
      </c>
      <c r="BT173" s="93" t="s">
        <v>6252</v>
      </c>
      <c r="BU173" s="382"/>
      <c r="BV173" s="93" t="s">
        <v>6253</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6061</v>
      </c>
      <c r="CW173" s="98"/>
      <c r="CX173" s="93" t="s">
        <v>6254</v>
      </c>
      <c r="CY173" s="98"/>
      <c r="CZ173" s="98"/>
      <c r="DA173" s="98"/>
      <c r="DB173" s="98"/>
      <c r="DC173" s="98"/>
      <c r="DD173" s="98"/>
      <c r="DE173" s="98"/>
      <c r="DF173" s="262"/>
      <c r="DG173" s="93" t="s">
        <v>3588</v>
      </c>
      <c r="DH173" s="98"/>
      <c r="DI173" s="98"/>
      <c r="DJ173" s="98"/>
      <c r="DK173" s="98"/>
      <c r="DL173" s="98"/>
      <c r="DM173" s="98"/>
      <c r="DN173" s="98"/>
      <c r="DO173" s="98"/>
      <c r="DP173" s="93" t="s">
        <v>6255</v>
      </c>
      <c r="DQ173" s="93"/>
      <c r="DR173" s="382"/>
      <c r="DS173" s="98"/>
      <c r="DT173" s="98"/>
      <c r="DU173" s="98"/>
      <c r="DV173" s="98"/>
      <c r="DW173" s="98"/>
      <c r="DX173" s="98"/>
      <c r="DY173" s="98"/>
      <c r="DZ173" s="98"/>
      <c r="EA173" s="98"/>
      <c r="EB173" s="288"/>
    </row>
    <row r="174">
      <c r="A174" s="165" t="s">
        <v>6256</v>
      </c>
      <c r="B174" s="103" t="s">
        <v>6257</v>
      </c>
      <c r="C174" s="104" t="s">
        <v>1483</v>
      </c>
      <c r="D174" s="105" t="s">
        <v>1483</v>
      </c>
      <c r="E174" s="106" t="s">
        <v>1483</v>
      </c>
      <c r="F174" s="107" t="s">
        <v>1483</v>
      </c>
      <c r="G174" s="103" t="s">
        <v>5838</v>
      </c>
      <c r="H174" s="222"/>
      <c r="I174" s="166" t="s">
        <v>6258</v>
      </c>
      <c r="J174" s="166" t="s">
        <v>303</v>
      </c>
      <c r="K174" s="166" t="s">
        <v>875</v>
      </c>
      <c r="L174" s="166" t="s">
        <v>4018</v>
      </c>
      <c r="M174" s="166" t="s">
        <v>6259</v>
      </c>
      <c r="N174" s="222"/>
      <c r="O174" s="166" t="s">
        <v>3213</v>
      </c>
      <c r="P174" s="166" t="s">
        <v>1694</v>
      </c>
      <c r="Q174" s="222"/>
      <c r="R174" s="222"/>
      <c r="S174" s="222"/>
      <c r="T174" s="222"/>
      <c r="U174" s="222"/>
      <c r="V174" s="222"/>
      <c r="W174" s="92"/>
      <c r="X174" s="197" t="s">
        <v>6260</v>
      </c>
      <c r="Y174" s="197" t="s">
        <v>6261</v>
      </c>
      <c r="Z174" s="197" t="s">
        <v>397</v>
      </c>
      <c r="AA174" s="271"/>
      <c r="AB174" s="197" t="s">
        <v>6262</v>
      </c>
      <c r="AC174" s="271"/>
      <c r="AD174" s="271"/>
      <c r="AE174" s="271"/>
      <c r="AF174" s="197" t="s">
        <v>3199</v>
      </c>
      <c r="AG174" s="271"/>
      <c r="AH174" s="271"/>
      <c r="AI174" s="271"/>
      <c r="AJ174" s="271"/>
      <c r="AK174" s="92"/>
      <c r="AL174" s="272"/>
      <c r="AM174" s="272"/>
      <c r="AN174" s="272"/>
      <c r="AO174" s="272"/>
      <c r="AP174" s="272"/>
      <c r="AQ174" s="272"/>
      <c r="AR174" s="272"/>
      <c r="AS174" s="272"/>
      <c r="AT174" s="167" t="s">
        <v>4447</v>
      </c>
      <c r="AU174" s="167" t="s">
        <v>2867</v>
      </c>
      <c r="AV174" s="272"/>
      <c r="AW174" s="272"/>
      <c r="AX174" s="272"/>
      <c r="AY174" s="272"/>
      <c r="AZ174" s="273"/>
      <c r="BA174" s="173" t="s">
        <v>3769</v>
      </c>
      <c r="BB174" s="173" t="s">
        <v>5074</v>
      </c>
      <c r="BC174" s="172"/>
      <c r="BD174" s="173" t="s">
        <v>5685</v>
      </c>
      <c r="BE174" s="172"/>
      <c r="BF174" s="172"/>
      <c r="BG174" s="172"/>
      <c r="BH174" s="173" t="s">
        <v>802</v>
      </c>
      <c r="BI174" s="172"/>
      <c r="BJ174" s="173" t="s">
        <v>6263</v>
      </c>
      <c r="BK174" s="173" t="s">
        <v>1038</v>
      </c>
      <c r="BL174" s="172"/>
      <c r="BM174" s="172"/>
      <c r="BN174" s="172"/>
      <c r="BO174" s="172"/>
      <c r="BP174" s="275"/>
      <c r="BQ174" s="278"/>
      <c r="BR174" s="278"/>
      <c r="BS174" s="278"/>
      <c r="BT174" s="174" t="s">
        <v>945</v>
      </c>
      <c r="BU174" s="278"/>
      <c r="BV174" s="278"/>
      <c r="BW174" s="278"/>
      <c r="BX174" s="174" t="s">
        <v>6264</v>
      </c>
      <c r="BY174" s="174" t="s">
        <v>6265</v>
      </c>
      <c r="BZ174" s="174" t="s">
        <v>3907</v>
      </c>
      <c r="CA174" s="278"/>
      <c r="CB174" s="278"/>
      <c r="CC174" s="278"/>
      <c r="CD174" s="278"/>
      <c r="CE174" s="279"/>
      <c r="CF174" s="176" t="s">
        <v>6266</v>
      </c>
      <c r="CG174" s="176" t="s">
        <v>3506</v>
      </c>
      <c r="CH174" s="176" t="s">
        <v>784</v>
      </c>
      <c r="CI174" s="176" t="s">
        <v>6267</v>
      </c>
      <c r="CJ174" s="176"/>
      <c r="CK174" s="281"/>
      <c r="CL174" s="176" t="s">
        <v>3760</v>
      </c>
      <c r="CM174" s="176" t="s">
        <v>6146</v>
      </c>
      <c r="CN174" s="281"/>
      <c r="CO174" s="281"/>
      <c r="CP174" s="281"/>
      <c r="CQ174" s="281"/>
      <c r="CR174" s="281"/>
      <c r="CS174" s="101"/>
      <c r="CT174" s="205" t="s">
        <v>5095</v>
      </c>
      <c r="CU174" s="205" t="s">
        <v>2024</v>
      </c>
      <c r="CV174" s="205" t="s">
        <v>3092</v>
      </c>
      <c r="CW174" s="205" t="s">
        <v>6268</v>
      </c>
      <c r="CX174" s="205" t="s">
        <v>6269</v>
      </c>
      <c r="CY174" s="282"/>
      <c r="CZ174" s="205" t="s">
        <v>6270</v>
      </c>
      <c r="DA174" s="205" t="s">
        <v>6271</v>
      </c>
      <c r="DB174" s="282"/>
      <c r="DC174" s="282"/>
      <c r="DD174" s="282"/>
      <c r="DE174" s="282"/>
      <c r="DF174" s="283"/>
      <c r="DG174" s="284"/>
      <c r="DH174" s="284"/>
      <c r="DI174" s="284"/>
      <c r="DJ174" s="284"/>
      <c r="DK174" s="284"/>
      <c r="DL174" s="284"/>
      <c r="DM174" s="284"/>
      <c r="DN174" s="284"/>
      <c r="DO174" s="284"/>
      <c r="DP174" s="206" t="s">
        <v>6272</v>
      </c>
      <c r="DQ174" s="206"/>
      <c r="DR174" s="284"/>
      <c r="DS174" s="284"/>
      <c r="DT174" s="284"/>
      <c r="DU174" s="284"/>
      <c r="DV174" s="284"/>
      <c r="DW174" s="284"/>
      <c r="DX174" s="284"/>
      <c r="DY174" s="284"/>
      <c r="DZ174" s="284"/>
      <c r="EA174" s="284"/>
      <c r="EB174" s="319"/>
    </row>
    <row r="175">
      <c r="A175" s="728" t="s">
        <v>6273</v>
      </c>
      <c r="B175" s="82" t="s">
        <v>6274</v>
      </c>
      <c r="C175" s="83" t="s">
        <v>1483</v>
      </c>
      <c r="D175" s="84" t="s">
        <v>1483</v>
      </c>
      <c r="E175" s="85" t="s">
        <v>1483</v>
      </c>
      <c r="F175" s="86" t="s">
        <v>1483</v>
      </c>
      <c r="G175" s="82" t="s">
        <v>2972</v>
      </c>
      <c r="H175" s="100"/>
      <c r="I175" s="288" t="s">
        <v>6275</v>
      </c>
      <c r="J175" s="288" t="s">
        <v>1915</v>
      </c>
      <c r="K175" s="288" t="s">
        <v>3207</v>
      </c>
      <c r="L175" s="288" t="s">
        <v>6276</v>
      </c>
      <c r="M175" s="288" t="s">
        <v>4183</v>
      </c>
      <c r="N175" s="100"/>
      <c r="O175" s="100"/>
      <c r="P175" s="100"/>
      <c r="Q175" s="98"/>
      <c r="R175" s="98"/>
      <c r="S175" s="98"/>
      <c r="T175" s="98"/>
      <c r="U175" s="98"/>
      <c r="V175" s="98"/>
      <c r="W175" s="92"/>
      <c r="X175" s="288" t="s">
        <v>5916</v>
      </c>
      <c r="Y175" s="288" t="s">
        <v>6277</v>
      </c>
      <c r="Z175" s="288" t="s">
        <v>5177</v>
      </c>
      <c r="AA175" s="300" t="s">
        <v>4189</v>
      </c>
      <c r="AB175" s="288" t="s">
        <v>4424</v>
      </c>
      <c r="AC175" s="288" t="s">
        <v>6278</v>
      </c>
      <c r="AD175" s="98"/>
      <c r="AE175" s="288" t="s">
        <v>4648</v>
      </c>
      <c r="AF175" s="288" t="s">
        <v>5388</v>
      </c>
      <c r="AG175" s="98"/>
      <c r="AH175" s="98"/>
      <c r="AI175" s="100"/>
      <c r="AJ175" s="98"/>
      <c r="AK175" s="92"/>
      <c r="AL175" s="100"/>
      <c r="AM175" s="100"/>
      <c r="AN175" s="98"/>
      <c r="AO175" s="98"/>
      <c r="AP175" s="93"/>
      <c r="AQ175" s="93"/>
      <c r="AR175" s="98"/>
      <c r="AS175" s="98"/>
      <c r="AT175" s="288" t="s">
        <v>6279</v>
      </c>
      <c r="AU175" s="288" t="s">
        <v>461</v>
      </c>
      <c r="AV175" s="100"/>
      <c r="AW175" s="98"/>
      <c r="AX175" s="98"/>
      <c r="AY175" s="98"/>
      <c r="AZ175" s="262"/>
      <c r="BA175" s="288" t="s">
        <v>6280</v>
      </c>
      <c r="BB175" s="288" t="s">
        <v>6281</v>
      </c>
      <c r="BC175" s="288" t="s">
        <v>3527</v>
      </c>
      <c r="BD175" s="288" t="s">
        <v>6282</v>
      </c>
      <c r="BE175" s="288" t="s">
        <v>426</v>
      </c>
      <c r="BF175" s="288" t="s">
        <v>6283</v>
      </c>
      <c r="BG175" s="93" t="s">
        <v>6284</v>
      </c>
      <c r="BH175" s="288" t="s">
        <v>2199</v>
      </c>
      <c r="BI175" s="98"/>
      <c r="BJ175" s="288" t="s">
        <v>6285</v>
      </c>
      <c r="BK175" s="288" t="s">
        <v>6286</v>
      </c>
      <c r="BL175" s="98"/>
      <c r="BM175" s="98"/>
      <c r="BN175" s="100"/>
      <c r="BO175" s="98"/>
      <c r="BP175" s="262"/>
      <c r="BQ175" s="288" t="s">
        <v>6287</v>
      </c>
      <c r="BR175" s="288" t="s">
        <v>6288</v>
      </c>
      <c r="BS175" s="288" t="s">
        <v>3695</v>
      </c>
      <c r="BT175" s="288" t="s">
        <v>1806</v>
      </c>
      <c r="BU175" s="100"/>
      <c r="BV175" s="288" t="s">
        <v>6289</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6290</v>
      </c>
      <c r="CY175" s="288" t="s">
        <v>6291</v>
      </c>
      <c r="CZ175" s="288" t="s">
        <v>6292</v>
      </c>
      <c r="DA175" s="288" t="s">
        <v>6191</v>
      </c>
      <c r="DB175" s="98"/>
      <c r="DC175" s="98"/>
      <c r="DD175" s="98"/>
      <c r="DE175" s="98"/>
      <c r="DF175" s="262"/>
      <c r="DG175" s="288" t="s">
        <v>6293</v>
      </c>
      <c r="DH175" s="98"/>
      <c r="DI175" s="98"/>
      <c r="DJ175" s="100"/>
      <c r="DK175" s="100"/>
      <c r="DL175" s="100"/>
      <c r="DM175" s="98"/>
      <c r="DN175" s="98"/>
      <c r="DO175" s="98"/>
      <c r="DP175" s="100"/>
      <c r="DQ175" s="100"/>
      <c r="DR175" s="98"/>
      <c r="DS175" s="100"/>
      <c r="DT175" s="98"/>
      <c r="DU175" s="98"/>
      <c r="DV175" s="98"/>
      <c r="DW175" s="98"/>
      <c r="DX175" s="93" t="s">
        <v>6294</v>
      </c>
      <c r="DY175" s="100"/>
      <c r="DZ175" s="98"/>
      <c r="EA175" s="98"/>
      <c r="EB175" s="288"/>
    </row>
    <row r="176">
      <c r="A176" s="165" t="s">
        <v>6295</v>
      </c>
      <c r="B176" s="103" t="s">
        <v>6296</v>
      </c>
      <c r="C176" s="104" t="s">
        <v>1483</v>
      </c>
      <c r="D176" s="105" t="s">
        <v>1483</v>
      </c>
      <c r="E176" s="106" t="s">
        <v>1483</v>
      </c>
      <c r="F176" s="107" t="s">
        <v>1483</v>
      </c>
      <c r="G176" s="103" t="s">
        <v>450</v>
      </c>
      <c r="H176" s="222"/>
      <c r="I176" s="222"/>
      <c r="J176" s="222"/>
      <c r="K176" s="166" t="s">
        <v>6297</v>
      </c>
      <c r="L176" s="222"/>
      <c r="M176" s="222"/>
      <c r="N176" s="222"/>
      <c r="O176" s="166" t="s">
        <v>5401</v>
      </c>
      <c r="P176" s="222"/>
      <c r="Q176" s="222"/>
      <c r="R176" s="222"/>
      <c r="S176" s="222"/>
      <c r="T176" s="222"/>
      <c r="U176" s="222"/>
      <c r="V176" s="222"/>
      <c r="W176" s="92"/>
      <c r="X176" s="197" t="s">
        <v>1416</v>
      </c>
      <c r="Y176" s="271"/>
      <c r="Z176" s="197" t="s">
        <v>4993</v>
      </c>
      <c r="AA176" s="271"/>
      <c r="AB176" s="197" t="s">
        <v>4821</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6298</v>
      </c>
      <c r="B177" s="82" t="s">
        <v>6299</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6300</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6301</v>
      </c>
      <c r="B178" s="103" t="s">
        <v>6302</v>
      </c>
      <c r="C178" s="104" t="s">
        <v>1483</v>
      </c>
      <c r="D178" s="105" t="s">
        <v>1483</v>
      </c>
      <c r="E178" s="106" t="s">
        <v>1483</v>
      </c>
      <c r="F178" s="107" t="s">
        <v>448</v>
      </c>
      <c r="G178" s="103" t="s">
        <v>448</v>
      </c>
      <c r="H178" s="222"/>
      <c r="I178" s="112" t="s">
        <v>6303</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6304</v>
      </c>
      <c r="B179" s="82" t="s">
        <v>6305</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6306</v>
      </c>
      <c r="B180" s="103" t="s">
        <v>6307</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6308</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6309</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6310</v>
      </c>
      <c r="B181" s="82" t="s">
        <v>6311</v>
      </c>
      <c r="C181" s="83" t="s">
        <v>1483</v>
      </c>
      <c r="D181" s="84" t="s">
        <v>562</v>
      </c>
      <c r="E181" s="85" t="s">
        <v>1483</v>
      </c>
      <c r="F181" s="86" t="s">
        <v>667</v>
      </c>
      <c r="G181" s="82" t="s">
        <v>4527</v>
      </c>
      <c r="H181" s="100"/>
      <c r="I181" s="94"/>
      <c r="J181" s="100"/>
      <c r="K181" s="100" t="s">
        <v>1900</v>
      </c>
      <c r="L181" s="100" t="s">
        <v>5697</v>
      </c>
      <c r="M181" s="100"/>
      <c r="N181" s="100"/>
      <c r="O181" s="100" t="s">
        <v>2877</v>
      </c>
      <c r="P181" s="100"/>
      <c r="Q181" s="98"/>
      <c r="R181" s="98"/>
      <c r="S181" s="98"/>
      <c r="T181" s="98"/>
      <c r="U181" s="98"/>
      <c r="V181" s="98"/>
      <c r="W181" s="92"/>
      <c r="X181" s="88" t="s">
        <v>3648</v>
      </c>
      <c r="Y181" s="100" t="s">
        <v>6312</v>
      </c>
      <c r="Z181" s="100"/>
      <c r="AA181" s="300"/>
      <c r="AB181" s="100"/>
      <c r="AC181" s="100"/>
      <c r="AD181" s="88" t="s">
        <v>2645</v>
      </c>
      <c r="AE181" s="100" t="s">
        <v>313</v>
      </c>
      <c r="AF181" s="100"/>
      <c r="AG181" s="98"/>
      <c r="AH181" s="98"/>
      <c r="AI181" s="100"/>
      <c r="AJ181" s="98"/>
      <c r="AK181" s="92"/>
      <c r="AL181" s="100"/>
      <c r="AM181" s="100" t="s">
        <v>5157</v>
      </c>
      <c r="AN181" s="98"/>
      <c r="AO181" s="98"/>
      <c r="AP181" s="93"/>
      <c r="AQ181" s="93"/>
      <c r="AR181" s="93" t="s">
        <v>6313</v>
      </c>
      <c r="AS181" s="98"/>
      <c r="AT181" s="100"/>
      <c r="AU181" s="100" t="s">
        <v>233</v>
      </c>
      <c r="AV181" s="100"/>
      <c r="AW181" s="98"/>
      <c r="AX181" s="98"/>
      <c r="AY181" s="98"/>
      <c r="AZ181" s="262"/>
      <c r="BA181" s="100"/>
      <c r="BB181" s="100"/>
      <c r="BC181" s="100" t="s">
        <v>6314</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6315</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6316</v>
      </c>
      <c r="B182" s="103" t="s">
        <v>6317</v>
      </c>
      <c r="C182" s="104" t="s">
        <v>1483</v>
      </c>
      <c r="D182" s="105" t="s">
        <v>1483</v>
      </c>
      <c r="E182" s="106" t="s">
        <v>1483</v>
      </c>
      <c r="F182" s="107" t="s">
        <v>1483</v>
      </c>
      <c r="G182" s="103" t="s">
        <v>6130</v>
      </c>
      <c r="H182" s="222"/>
      <c r="I182" s="166" t="s">
        <v>6318</v>
      </c>
      <c r="J182" s="166" t="s">
        <v>4347</v>
      </c>
      <c r="K182" s="166" t="s">
        <v>4405</v>
      </c>
      <c r="L182" s="166" t="s">
        <v>6319</v>
      </c>
      <c r="M182" s="222"/>
      <c r="N182" s="222"/>
      <c r="O182" s="166" t="s">
        <v>1275</v>
      </c>
      <c r="P182" s="222"/>
      <c r="Q182" s="222"/>
      <c r="R182" s="222"/>
      <c r="S182" s="166" t="s">
        <v>2228</v>
      </c>
      <c r="T182" s="222"/>
      <c r="U182" s="222"/>
      <c r="V182" s="222"/>
      <c r="W182" s="92"/>
      <c r="X182" s="271"/>
      <c r="Y182" s="271"/>
      <c r="Z182" s="197" t="s">
        <v>2231</v>
      </c>
      <c r="AA182" s="271"/>
      <c r="AB182" s="197" t="s">
        <v>6320</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6321</v>
      </c>
      <c r="BC182" s="171" t="s">
        <v>5351</v>
      </c>
      <c r="BD182" s="172"/>
      <c r="BE182" s="172"/>
      <c r="BF182" s="172"/>
      <c r="BG182" s="172"/>
      <c r="BH182" s="172"/>
      <c r="BI182" s="172"/>
      <c r="BJ182" s="173" t="s">
        <v>2485</v>
      </c>
      <c r="BK182" s="172"/>
      <c r="BL182" s="172"/>
      <c r="BM182" s="172"/>
      <c r="BN182" s="172"/>
      <c r="BO182" s="172"/>
      <c r="BP182" s="275"/>
      <c r="BQ182" s="278"/>
      <c r="BR182" s="278"/>
      <c r="BS182" s="278"/>
      <c r="BT182" s="174" t="s">
        <v>6322</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6323</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6324</v>
      </c>
      <c r="DR182" s="206" t="s">
        <v>4761</v>
      </c>
      <c r="DS182" s="284"/>
      <c r="DT182" s="284"/>
      <c r="DU182" s="284"/>
      <c r="DV182" s="284"/>
      <c r="DW182" s="284"/>
      <c r="DX182" s="284"/>
      <c r="DY182" s="284"/>
      <c r="DZ182" s="284"/>
      <c r="EA182" s="284"/>
      <c r="EB182" s="319" t="s">
        <v>6325</v>
      </c>
    </row>
    <row r="183">
      <c r="A183" s="81" t="s">
        <v>6326</v>
      </c>
      <c r="B183" s="82" t="s">
        <v>6327</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3941</v>
      </c>
      <c r="Y183" s="98"/>
      <c r="Z183" s="93" t="s">
        <v>1867</v>
      </c>
      <c r="AA183" s="98"/>
      <c r="AB183" s="88" t="s">
        <v>6328</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6329</v>
      </c>
      <c r="CG183" s="93" t="s">
        <v>517</v>
      </c>
      <c r="CH183" s="93" t="s">
        <v>6330</v>
      </c>
      <c r="CI183" s="98"/>
      <c r="CJ183" s="98" t="s">
        <v>3554</v>
      </c>
      <c r="CK183" s="98"/>
      <c r="CL183" s="93" t="s">
        <v>4829</v>
      </c>
      <c r="CM183" s="98"/>
      <c r="CN183" s="98"/>
      <c r="CO183" s="98"/>
      <c r="CP183" s="98"/>
      <c r="CQ183" s="98"/>
      <c r="CR183" s="98"/>
      <c r="CS183" s="101"/>
      <c r="CT183" s="93" t="s">
        <v>6331</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6332</v>
      </c>
      <c r="B184" s="103" t="s">
        <v>6333</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3834</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6334</v>
      </c>
      <c r="B185" s="82" t="s">
        <v>6335</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6337</v>
      </c>
      <c r="DP185" s="98"/>
      <c r="DQ185" s="98"/>
      <c r="DR185" s="98"/>
      <c r="DS185" s="98"/>
      <c r="DT185" s="98"/>
      <c r="DU185" s="93" t="s">
        <v>332</v>
      </c>
      <c r="DV185" s="98"/>
      <c r="DW185" s="98"/>
      <c r="DX185" s="98"/>
      <c r="DY185" s="98"/>
      <c r="DZ185" s="98"/>
      <c r="EA185" s="98"/>
      <c r="EB185" s="288"/>
    </row>
    <row r="186">
      <c r="A186" s="455" t="s">
        <v>6338</v>
      </c>
      <c r="B186" s="103" t="s">
        <v>221</v>
      </c>
      <c r="C186" s="104" t="s">
        <v>1483</v>
      </c>
      <c r="D186" s="105" t="s">
        <v>1483</v>
      </c>
      <c r="E186" s="106" t="s">
        <v>1483</v>
      </c>
      <c r="F186" s="107" t="s">
        <v>1483</v>
      </c>
      <c r="G186" s="103" t="s">
        <v>1033</v>
      </c>
      <c r="H186" s="222"/>
      <c r="I186" s="166" t="s">
        <v>6339</v>
      </c>
      <c r="J186" s="166" t="s">
        <v>6340</v>
      </c>
      <c r="K186" s="166" t="s">
        <v>2051</v>
      </c>
      <c r="L186" s="166" t="s">
        <v>6341</v>
      </c>
      <c r="M186" s="166" t="s">
        <v>6342</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5388</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6343</v>
      </c>
      <c r="CK186" s="281"/>
      <c r="CL186" s="281"/>
      <c r="CM186" s="281"/>
      <c r="CN186" s="281"/>
      <c r="CO186" s="281"/>
      <c r="CP186" s="281"/>
      <c r="CQ186" s="281"/>
      <c r="CR186" s="281"/>
      <c r="CS186" s="101"/>
      <c r="CT186" s="282"/>
      <c r="CU186" s="282"/>
      <c r="CV186" s="282"/>
      <c r="CW186" s="282"/>
      <c r="CX186" s="282"/>
      <c r="CY186" s="282"/>
      <c r="CZ186" s="282"/>
      <c r="DA186" s="205" t="s">
        <v>6344</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6345</v>
      </c>
      <c r="B187" s="82" t="s">
        <v>5922</v>
      </c>
      <c r="C187" s="83" t="s">
        <v>1483</v>
      </c>
      <c r="D187" s="84" t="s">
        <v>1483</v>
      </c>
      <c r="E187" s="85" t="s">
        <v>1483</v>
      </c>
      <c r="F187" s="86" t="s">
        <v>1483</v>
      </c>
      <c r="G187" s="82" t="s">
        <v>3599</v>
      </c>
      <c r="H187" s="98"/>
      <c r="I187" s="93" t="s">
        <v>6346</v>
      </c>
      <c r="J187" s="93" t="s">
        <v>1426</v>
      </c>
      <c r="K187" s="93" t="s">
        <v>1106</v>
      </c>
      <c r="L187" s="93" t="s">
        <v>6347</v>
      </c>
      <c r="M187" s="93" t="s">
        <v>6348</v>
      </c>
      <c r="N187" s="93" t="s">
        <v>6349</v>
      </c>
      <c r="O187" s="93" t="s">
        <v>6350</v>
      </c>
      <c r="P187" s="93" t="s">
        <v>4717</v>
      </c>
      <c r="Q187" s="98"/>
      <c r="R187" s="98"/>
      <c r="S187" s="98"/>
      <c r="T187" s="98"/>
      <c r="U187" s="98"/>
      <c r="V187" s="98"/>
      <c r="W187" s="92"/>
      <c r="X187" s="93" t="s">
        <v>340</v>
      </c>
      <c r="Y187" s="93" t="s">
        <v>2257</v>
      </c>
      <c r="Z187" s="93" t="s">
        <v>3396</v>
      </c>
      <c r="AA187" s="93" t="s">
        <v>6351</v>
      </c>
      <c r="AB187" s="93" t="s">
        <v>6352</v>
      </c>
      <c r="AC187" s="93" t="s">
        <v>3358</v>
      </c>
      <c r="AD187" s="98"/>
      <c r="AE187" s="93" t="s">
        <v>2002</v>
      </c>
      <c r="AF187" s="93" t="s">
        <v>1321</v>
      </c>
      <c r="AG187" s="98"/>
      <c r="AH187" s="98"/>
      <c r="AI187" s="98"/>
      <c r="AJ187" s="98"/>
      <c r="AK187" s="92"/>
      <c r="AL187" s="93" t="s">
        <v>5102</v>
      </c>
      <c r="AM187" s="93" t="s">
        <v>1338</v>
      </c>
      <c r="AN187" s="93" t="s">
        <v>6353</v>
      </c>
      <c r="AO187" s="93" t="s">
        <v>6354</v>
      </c>
      <c r="AP187" s="93" t="s">
        <v>6355</v>
      </c>
      <c r="AQ187" s="93"/>
      <c r="AR187" s="93" t="s">
        <v>4797</v>
      </c>
      <c r="AS187" s="93" t="s">
        <v>6356</v>
      </c>
      <c r="AT187" s="93" t="s">
        <v>3899</v>
      </c>
      <c r="AU187" s="93" t="s">
        <v>717</v>
      </c>
      <c r="AV187" s="98"/>
      <c r="AW187" s="98"/>
      <c r="AX187" s="98"/>
      <c r="AY187" s="98"/>
      <c r="AZ187" s="262"/>
      <c r="BA187" s="93" t="s">
        <v>648</v>
      </c>
      <c r="BB187" s="93" t="s">
        <v>6357</v>
      </c>
      <c r="BC187" s="93" t="s">
        <v>6358</v>
      </c>
      <c r="BD187" s="93" t="s">
        <v>6359</v>
      </c>
      <c r="BE187" s="93" t="s">
        <v>6360</v>
      </c>
      <c r="BF187" s="93" t="s">
        <v>6361</v>
      </c>
      <c r="BG187" s="93" t="s">
        <v>6362</v>
      </c>
      <c r="BH187" s="93" t="s">
        <v>6084</v>
      </c>
      <c r="BI187" s="93"/>
      <c r="BJ187" s="93"/>
      <c r="BK187" s="93" t="s">
        <v>886</v>
      </c>
      <c r="BL187" s="98"/>
      <c r="BM187" s="98"/>
      <c r="BN187" s="98"/>
      <c r="BO187" s="98"/>
      <c r="BP187" s="262"/>
      <c r="BQ187" s="93"/>
      <c r="BR187" s="93" t="s">
        <v>6363</v>
      </c>
      <c r="BS187" s="93" t="s">
        <v>6364</v>
      </c>
      <c r="BT187" s="93" t="s">
        <v>599</v>
      </c>
      <c r="BU187" s="93" t="s">
        <v>6365</v>
      </c>
      <c r="BV187" s="93" t="s">
        <v>6366</v>
      </c>
      <c r="BW187" s="93" t="s">
        <v>6367</v>
      </c>
      <c r="BX187" s="93" t="s">
        <v>6368</v>
      </c>
      <c r="BY187" s="98"/>
      <c r="BZ187" s="93" t="s">
        <v>6369</v>
      </c>
      <c r="CA187" s="98"/>
      <c r="CB187" s="98"/>
      <c r="CC187" s="98"/>
      <c r="CD187" s="98"/>
      <c r="CE187" s="262"/>
      <c r="CF187" s="93" t="s">
        <v>6370</v>
      </c>
      <c r="CG187" s="93" t="s">
        <v>6371</v>
      </c>
      <c r="CH187" s="93" t="s">
        <v>2866</v>
      </c>
      <c r="CI187" s="93" t="s">
        <v>6372</v>
      </c>
      <c r="CJ187" s="93" t="s">
        <v>4346</v>
      </c>
      <c r="CK187" s="93" t="s">
        <v>6373</v>
      </c>
      <c r="CL187" s="93" t="s">
        <v>938</v>
      </c>
      <c r="CM187" s="93" t="s">
        <v>1500</v>
      </c>
      <c r="CN187" s="98"/>
      <c r="CO187" s="98"/>
      <c r="CP187" s="98"/>
      <c r="CQ187" s="98"/>
      <c r="CR187" s="98"/>
      <c r="CS187" s="101"/>
      <c r="CT187" s="93" t="s">
        <v>6374</v>
      </c>
      <c r="CU187" s="93" t="s">
        <v>2131</v>
      </c>
      <c r="CV187" s="93" t="s">
        <v>1816</v>
      </c>
      <c r="CW187" s="93" t="s">
        <v>6375</v>
      </c>
      <c r="CX187" s="93" t="s">
        <v>6376</v>
      </c>
      <c r="CY187" s="93" t="s">
        <v>6377</v>
      </c>
      <c r="CZ187" s="93" t="s">
        <v>1581</v>
      </c>
      <c r="DA187" s="93" t="s">
        <v>6378</v>
      </c>
      <c r="DB187" s="98"/>
      <c r="DC187" s="98"/>
      <c r="DD187" s="98"/>
      <c r="DE187" s="98"/>
      <c r="DF187" s="262"/>
      <c r="DG187" s="98"/>
      <c r="DH187" s="98"/>
      <c r="DI187" s="98"/>
      <c r="DJ187" s="98"/>
      <c r="DK187" s="98"/>
      <c r="DL187" s="98"/>
      <c r="DM187" s="98"/>
      <c r="DN187" s="98"/>
      <c r="DO187" s="98"/>
      <c r="DP187" s="93" t="s">
        <v>6379</v>
      </c>
      <c r="DQ187" s="93"/>
      <c r="DR187" s="98"/>
      <c r="DS187" s="98"/>
      <c r="DT187" s="98"/>
      <c r="DU187" s="98"/>
      <c r="DV187" s="98"/>
      <c r="DW187" s="98"/>
      <c r="DX187" s="98"/>
      <c r="DY187" s="98"/>
      <c r="DZ187" s="98"/>
      <c r="EA187" s="98"/>
      <c r="EB187" s="288"/>
    </row>
    <row r="188">
      <c r="A188" s="165" t="s">
        <v>6380</v>
      </c>
      <c r="B188" s="103" t="s">
        <v>6381</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3876</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6382</v>
      </c>
      <c r="B189" s="82" t="s">
        <v>6383</v>
      </c>
      <c r="C189" s="83" t="s">
        <v>1483</v>
      </c>
      <c r="D189" s="84" t="s">
        <v>1483</v>
      </c>
      <c r="E189" s="85" t="s">
        <v>1483</v>
      </c>
      <c r="F189" s="86" t="s">
        <v>1483</v>
      </c>
      <c r="G189" s="82" t="s">
        <v>4095</v>
      </c>
      <c r="H189" s="93" t="s">
        <v>6384</v>
      </c>
      <c r="I189" s="93" t="s">
        <v>6385</v>
      </c>
      <c r="J189" s="93" t="s">
        <v>6386</v>
      </c>
      <c r="K189" s="93" t="s">
        <v>1694</v>
      </c>
      <c r="L189" s="93" t="s">
        <v>4112</v>
      </c>
      <c r="M189" s="93" t="s">
        <v>6387</v>
      </c>
      <c r="N189" s="93" t="s">
        <v>6388</v>
      </c>
      <c r="O189" s="93" t="s">
        <v>4518</v>
      </c>
      <c r="P189" s="93" t="s">
        <v>4760</v>
      </c>
      <c r="Q189" s="98"/>
      <c r="R189" s="98"/>
      <c r="S189" s="98"/>
      <c r="T189" s="98"/>
      <c r="U189" s="98"/>
      <c r="V189" s="98"/>
      <c r="W189" s="92"/>
      <c r="X189" s="93" t="s">
        <v>6389</v>
      </c>
      <c r="Y189" s="93" t="s">
        <v>1057</v>
      </c>
      <c r="Z189" s="98"/>
      <c r="AA189" s="98"/>
      <c r="AB189" s="93" t="s">
        <v>6390</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2"/>
      <c r="BA189" s="93" t="s">
        <v>3556</v>
      </c>
      <c r="BB189" s="98"/>
      <c r="BC189" s="93" t="s">
        <v>2624</v>
      </c>
      <c r="BD189" s="98"/>
      <c r="BE189" s="98"/>
      <c r="BF189" s="98"/>
      <c r="BG189" s="98"/>
      <c r="BH189" s="93" t="s">
        <v>3977</v>
      </c>
      <c r="BI189" s="98"/>
      <c r="BJ189" s="98"/>
      <c r="BK189" s="93" t="s">
        <v>6391</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6392</v>
      </c>
      <c r="CG189" s="93" t="s">
        <v>6014</v>
      </c>
      <c r="CH189" s="93" t="s">
        <v>817</v>
      </c>
      <c r="CI189" s="93" t="s">
        <v>6393</v>
      </c>
      <c r="CJ189" s="93" t="s">
        <v>821</v>
      </c>
      <c r="CK189" s="93" t="s">
        <v>6394</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6395</v>
      </c>
      <c r="B190" s="103" t="s">
        <v>861</v>
      </c>
      <c r="C190" s="104" t="s">
        <v>1483</v>
      </c>
      <c r="D190" s="105" t="s">
        <v>1483</v>
      </c>
      <c r="E190" s="106" t="s">
        <v>1483</v>
      </c>
      <c r="F190" s="107" t="s">
        <v>1483</v>
      </c>
      <c r="G190" s="103" t="s">
        <v>220</v>
      </c>
      <c r="H190" s="166"/>
      <c r="I190" s="166" t="s">
        <v>6396</v>
      </c>
      <c r="J190" s="166" t="s">
        <v>3588</v>
      </c>
      <c r="K190" s="166" t="s">
        <v>1900</v>
      </c>
      <c r="L190" s="222"/>
      <c r="M190" s="222"/>
      <c r="N190" s="222"/>
      <c r="O190" s="222"/>
      <c r="P190" s="166" t="s">
        <v>909</v>
      </c>
      <c r="Q190" s="222"/>
      <c r="R190" s="222"/>
      <c r="S190" s="222"/>
      <c r="T190" s="222"/>
      <c r="U190" s="222"/>
      <c r="V190" s="222"/>
      <c r="W190" s="92"/>
      <c r="X190" s="271"/>
      <c r="Y190" s="271"/>
      <c r="Z190" s="197" t="s">
        <v>3782</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6397</v>
      </c>
      <c r="BE190" s="172"/>
      <c r="BF190" s="172"/>
      <c r="BG190" s="172"/>
      <c r="BH190" s="173" t="s">
        <v>4546</v>
      </c>
      <c r="BI190" s="172"/>
      <c r="BJ190" s="172"/>
      <c r="BK190" s="172"/>
      <c r="BL190" s="172"/>
      <c r="BM190" s="172"/>
      <c r="BN190" s="172"/>
      <c r="BO190" s="172"/>
      <c r="BP190" s="275"/>
      <c r="BQ190" s="278"/>
      <c r="BR190" s="174" t="s">
        <v>4931</v>
      </c>
      <c r="BS190" s="174" t="s">
        <v>6398</v>
      </c>
      <c r="BT190" s="174" t="s">
        <v>5506</v>
      </c>
      <c r="BU190" s="278"/>
      <c r="BV190" s="278"/>
      <c r="BW190" s="278"/>
      <c r="BX190" s="278"/>
      <c r="BY190" s="278"/>
      <c r="BZ190" s="278"/>
      <c r="CA190" s="278"/>
      <c r="CB190" s="278"/>
      <c r="CC190" s="278"/>
      <c r="CD190" s="278"/>
      <c r="CE190" s="279"/>
      <c r="CF190" s="176" t="s">
        <v>6399</v>
      </c>
      <c r="CG190" s="176" t="s">
        <v>1805</v>
      </c>
      <c r="CH190" s="281"/>
      <c r="CI190" s="281"/>
      <c r="CJ190" s="281"/>
      <c r="CK190" s="281"/>
      <c r="CL190" s="281"/>
      <c r="CM190" s="281"/>
      <c r="CN190" s="281"/>
      <c r="CO190" s="281"/>
      <c r="CP190" s="281"/>
      <c r="CQ190" s="281"/>
      <c r="CR190" s="281"/>
      <c r="CS190" s="101"/>
      <c r="CT190" s="282"/>
      <c r="CU190" s="282"/>
      <c r="CV190" s="205" t="s">
        <v>6400</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6401</v>
      </c>
      <c r="DR190" s="284"/>
      <c r="DS190" s="284"/>
      <c r="DT190" s="284"/>
      <c r="DU190" s="284"/>
      <c r="DV190" s="284"/>
      <c r="DW190" s="284"/>
      <c r="DX190" s="284"/>
      <c r="DY190" s="284"/>
      <c r="DZ190" s="284"/>
      <c r="EA190" s="284"/>
      <c r="EB190" s="470"/>
    </row>
    <row r="191">
      <c r="A191" s="181" t="s">
        <v>6402</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6403</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6404</v>
      </c>
      <c r="Q192" s="222"/>
      <c r="R192" s="222"/>
      <c r="S192" s="222"/>
      <c r="T192" s="222"/>
      <c r="U192" s="222"/>
      <c r="V192" s="222"/>
      <c r="W192" s="92"/>
      <c r="X192" s="271"/>
      <c r="Y192" s="271"/>
      <c r="Z192" s="197" t="s">
        <v>4843</v>
      </c>
      <c r="AA192" s="271"/>
      <c r="AB192" s="271"/>
      <c r="AC192" s="271"/>
      <c r="AD192" s="271"/>
      <c r="AE192" s="271"/>
      <c r="AF192" s="197" t="s">
        <v>3921</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6233</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6405</v>
      </c>
      <c r="B193" s="82" t="s">
        <v>6406</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6407</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6408</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6409</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4245</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6410</v>
      </c>
      <c r="B196" s="103" t="s">
        <v>2188</v>
      </c>
      <c r="C196" s="104" t="s">
        <v>1483</v>
      </c>
      <c r="D196" s="105" t="s">
        <v>1483</v>
      </c>
      <c r="E196" s="106" t="s">
        <v>1483</v>
      </c>
      <c r="F196" s="107" t="s">
        <v>219</v>
      </c>
      <c r="G196" s="103" t="s">
        <v>219</v>
      </c>
      <c r="H196" s="112" t="s">
        <v>6411</v>
      </c>
      <c r="I196" s="222"/>
      <c r="J196" s="222"/>
      <c r="K196" s="112" t="s">
        <v>4440</v>
      </c>
      <c r="L196" s="222"/>
      <c r="M196" s="222"/>
      <c r="N196" s="222"/>
      <c r="O196" s="222"/>
      <c r="P196" s="222"/>
      <c r="Q196" s="222"/>
      <c r="R196" s="222"/>
      <c r="S196" s="222"/>
      <c r="T196" s="222"/>
      <c r="U196" s="222"/>
      <c r="V196" s="222"/>
      <c r="W196" s="92"/>
      <c r="X196" s="271"/>
      <c r="Y196" s="116" t="s">
        <v>6221</v>
      </c>
      <c r="Z196" s="271"/>
      <c r="AA196" s="271"/>
      <c r="AB196" s="271"/>
      <c r="AC196" s="271"/>
      <c r="AD196" s="271"/>
      <c r="AE196" s="271"/>
      <c r="AF196" s="271"/>
      <c r="AG196" s="271"/>
      <c r="AH196" s="271"/>
      <c r="AI196" s="271"/>
      <c r="AJ196" s="271"/>
      <c r="AK196" s="92"/>
      <c r="AL196" s="272"/>
      <c r="AM196" s="121" t="s">
        <v>3136</v>
      </c>
      <c r="AN196" s="272"/>
      <c r="AO196" s="121" t="s">
        <v>6412</v>
      </c>
      <c r="AP196" s="272"/>
      <c r="AQ196" s="272"/>
      <c r="AR196" s="272"/>
      <c r="AS196" s="272"/>
      <c r="AT196" s="272"/>
      <c r="AU196" s="272"/>
      <c r="AV196" s="272"/>
      <c r="AW196" s="272"/>
      <c r="AX196" s="121" t="s">
        <v>536</v>
      </c>
      <c r="AY196" s="272"/>
      <c r="AZ196" s="273"/>
      <c r="BA196" s="127" t="s">
        <v>6413</v>
      </c>
      <c r="BB196" s="172"/>
      <c r="BC196" s="127" t="s">
        <v>4810</v>
      </c>
      <c r="BD196" s="172"/>
      <c r="BE196" s="172"/>
      <c r="BF196" s="172"/>
      <c r="BG196" s="172"/>
      <c r="BH196" s="172"/>
      <c r="BI196" s="172"/>
      <c r="BJ196" s="172"/>
      <c r="BK196" s="172"/>
      <c r="BL196" s="172"/>
      <c r="BM196" s="127" t="s">
        <v>6414</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5897</v>
      </c>
      <c r="DO196" s="145" t="s">
        <v>6415</v>
      </c>
      <c r="DP196" s="284"/>
      <c r="DQ196" s="284"/>
      <c r="DR196" s="284"/>
      <c r="DS196" s="284"/>
      <c r="DT196" s="284"/>
      <c r="DU196" s="284"/>
      <c r="DV196" s="284"/>
      <c r="DW196" s="284"/>
      <c r="DX196" s="284"/>
      <c r="DY196" s="284"/>
      <c r="DZ196" s="284"/>
      <c r="EA196" s="284"/>
      <c r="EB196" s="142" t="s">
        <v>2000</v>
      </c>
    </row>
    <row r="197">
      <c r="A197" s="148" t="s">
        <v>6416</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6417</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6418</v>
      </c>
      <c r="B199" s="82" t="s">
        <v>5163</v>
      </c>
      <c r="C199" s="83" t="s">
        <v>1483</v>
      </c>
      <c r="D199" s="84" t="s">
        <v>1483</v>
      </c>
      <c r="E199" s="85" t="s">
        <v>1483</v>
      </c>
      <c r="F199" s="86" t="s">
        <v>1483</v>
      </c>
      <c r="G199" s="82" t="s">
        <v>667</v>
      </c>
      <c r="H199" s="98"/>
      <c r="I199" s="93" t="s">
        <v>6419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5877</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6420</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6421</v>
      </c>
      <c r="B200" s="103" t="s">
        <v>3228</v>
      </c>
      <c r="C200" s="104" t="s">
        <v>1483</v>
      </c>
      <c r="D200" s="105" t="s">
        <v>1483</v>
      </c>
      <c r="E200" s="106" t="s">
        <v>1483</v>
      </c>
      <c r="F200" s="107" t="s">
        <v>1483</v>
      </c>
      <c r="G200" s="103" t="s">
        <v>667</v>
      </c>
      <c r="H200" s="222"/>
      <c r="I200" s="166"/>
      <c r="J200" s="222"/>
      <c r="K200" s="166" t="s">
        <v>4978</v>
      </c>
      <c r="L200" s="166" t="s">
        <v>6422</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6423</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3802</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6424</v>
      </c>
      <c r="B202" s="103" t="s">
        <v>6130</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6072</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6425</v>
      </c>
      <c r="CG202" s="176" t="s">
        <v>4212</v>
      </c>
      <c r="CH202" s="176" t="s">
        <v>6426</v>
      </c>
      <c r="CI202" s="281"/>
      <c r="CJ202" s="281" t="s">
        <v>6427</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6428</v>
      </c>
      <c r="DL202" s="206"/>
      <c r="DM202" s="284"/>
      <c r="DN202" s="284"/>
      <c r="DO202" s="284"/>
      <c r="DP202" s="284"/>
      <c r="DQ202" s="284"/>
      <c r="DR202" s="284"/>
      <c r="DS202" s="284"/>
      <c r="DT202" s="284"/>
      <c r="DU202" s="284"/>
      <c r="DV202" s="284"/>
      <c r="DW202" s="284"/>
      <c r="DX202" s="284"/>
      <c r="DY202" s="284"/>
      <c r="DZ202" s="284"/>
      <c r="EA202" s="284"/>
      <c r="EB202" s="470"/>
    </row>
    <row r="203">
      <c r="A203" s="736" t="s">
        <v>6429</v>
      </c>
      <c r="B203" s="82" t="s">
        <v>6130</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6430</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6431</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6432</v>
      </c>
      <c r="B206" s="103" t="s">
        <v>219</v>
      </c>
      <c r="C206" s="104" t="s">
        <v>1483</v>
      </c>
      <c r="D206" s="105" t="s">
        <v>1483</v>
      </c>
      <c r="E206" s="106" t="s">
        <v>1483</v>
      </c>
      <c r="F206" s="107" t="s">
        <v>448</v>
      </c>
      <c r="G206" s="103" t="s">
        <v>448</v>
      </c>
      <c r="H206" s="112" t="s">
        <v>6433</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6434</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6435</v>
      </c>
      <c r="B207" s="82" t="s">
        <v>1033</v>
      </c>
      <c r="C207" s="83" t="s">
        <v>1483</v>
      </c>
      <c r="D207" s="84" t="s">
        <v>1483</v>
      </c>
      <c r="E207" s="85" t="s">
        <v>1483</v>
      </c>
      <c r="F207" s="86" t="s">
        <v>1483</v>
      </c>
      <c r="G207" s="82" t="s">
        <v>562</v>
      </c>
      <c r="H207" s="100"/>
      <c r="I207" s="94"/>
      <c r="J207" s="100"/>
      <c r="K207" s="737" t="s">
        <v>6436</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6437</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6438</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3869</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6439</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6440</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M53"/>
    <hyperlink r:id="rId2740" ref="BN53"/>
    <hyperlink r:id="rId2741" ref="BO53"/>
    <hyperlink r:id="rId2742" ref="BQ53"/>
    <hyperlink r:id="rId2743" ref="BR53"/>
    <hyperlink r:id="rId2744" ref="BS53"/>
    <hyperlink r:id="rId2745" ref="BT53"/>
    <hyperlink r:id="rId2746" ref="BU53"/>
    <hyperlink r:id="rId2747" ref="BV53"/>
    <hyperlink r:id="rId2748" ref="BW53"/>
    <hyperlink r:id="rId2749" ref="BY53"/>
    <hyperlink r:id="rId2750" ref="BZ53"/>
    <hyperlink r:id="rId2751" ref="CA53"/>
    <hyperlink r:id="rId2752" ref="CD53"/>
    <hyperlink r:id="rId2753" ref="CF53"/>
    <hyperlink r:id="rId2754" ref="CG53"/>
    <hyperlink r:id="rId2755" ref="CH53"/>
    <hyperlink r:id="rId2756" ref="CI53"/>
    <hyperlink r:id="rId2757" ref="CJ53"/>
    <hyperlink r:id="rId2758" ref="CK53"/>
    <hyperlink r:id="rId2759" ref="CL53"/>
    <hyperlink r:id="rId2760" ref="CM53"/>
    <hyperlink r:id="rId2761" ref="CR53"/>
    <hyperlink r:id="rId2762" ref="CT53"/>
    <hyperlink r:id="rId2763" ref="CU53"/>
    <hyperlink r:id="rId2764" ref="CV53"/>
    <hyperlink r:id="rId2765" ref="CW53"/>
    <hyperlink r:id="rId2766" ref="CX53"/>
    <hyperlink r:id="rId2767" ref="CY53"/>
    <hyperlink r:id="rId2768" ref="CZ53"/>
    <hyperlink r:id="rId2769" ref="DA53"/>
    <hyperlink r:id="rId2770" ref="DB53"/>
    <hyperlink r:id="rId2771" ref="DC53"/>
    <hyperlink r:id="rId2772" ref="DE53"/>
    <hyperlink r:id="rId2773" ref="DG53"/>
    <hyperlink r:id="rId2774" ref="DK53"/>
    <hyperlink r:id="rId2775" ref="DL53"/>
    <hyperlink r:id="rId2776" ref="DM53"/>
    <hyperlink r:id="rId2777" ref="DP53"/>
    <hyperlink r:id="rId2778" ref="DQ53"/>
    <hyperlink r:id="rId2779" ref="DR53"/>
    <hyperlink r:id="rId2780" ref="DS53"/>
    <hyperlink r:id="rId2781" ref="DU53"/>
    <hyperlink r:id="rId2782" ref="DY53"/>
    <hyperlink r:id="rId2783" ref="DZ53"/>
    <hyperlink r:id="rId2784" ref="EA53"/>
    <hyperlink r:id="rId2785" ref="EB53"/>
    <hyperlink r:id="rId2786" ref="H54"/>
    <hyperlink r:id="rId2787" ref="I54"/>
    <hyperlink r:id="rId2788" ref="M54"/>
    <hyperlink r:id="rId2789" ref="O54"/>
    <hyperlink r:id="rId2790" ref="AA54"/>
    <hyperlink r:id="rId2791" ref="AD54"/>
    <hyperlink r:id="rId2792" ref="AE54"/>
    <hyperlink r:id="rId2793" ref="AL54"/>
    <hyperlink r:id="rId2794" ref="AM54"/>
    <hyperlink r:id="rId2795" ref="AP54"/>
    <hyperlink r:id="rId2796" ref="AQ54"/>
    <hyperlink r:id="rId2797" ref="AU54"/>
    <hyperlink r:id="rId2798" ref="BD54"/>
    <hyperlink r:id="rId2799" ref="BV54"/>
    <hyperlink r:id="rId2800" ref="CC54"/>
    <hyperlink r:id="rId2801" ref="CK54"/>
    <hyperlink r:id="rId2802" ref="CT54"/>
    <hyperlink r:id="rId2803" ref="CV54"/>
    <hyperlink r:id="rId2804" ref="CW54"/>
    <hyperlink r:id="rId2805" ref="CZ54"/>
    <hyperlink r:id="rId2806" ref="DL54"/>
    <hyperlink r:id="rId2807" ref="K55"/>
    <hyperlink r:id="rId2808" ref="O55"/>
    <hyperlink r:id="rId2809" ref="P55"/>
    <hyperlink r:id="rId2810" ref="Q55"/>
    <hyperlink r:id="rId2811" ref="U55"/>
    <hyperlink r:id="rId2812" ref="X55"/>
    <hyperlink r:id="rId2813" ref="AB55"/>
    <hyperlink r:id="rId2814" ref="BE55"/>
    <hyperlink r:id="rId2815" ref="BF55"/>
    <hyperlink r:id="rId2816" ref="BV55"/>
    <hyperlink r:id="rId2817" ref="CB55"/>
    <hyperlink r:id="rId2818" ref="CC55"/>
    <hyperlink r:id="rId2819" ref="CY55"/>
    <hyperlink r:id="rId2820" ref="DK55"/>
    <hyperlink r:id="rId2821" ref="DX55"/>
    <hyperlink r:id="rId2822" ref="L56"/>
    <hyperlink r:id="rId2823" ref="AA56"/>
    <hyperlink r:id="rId2824" ref="BR56"/>
    <hyperlink r:id="rId2825" ref="BU56"/>
    <hyperlink r:id="rId2826" ref="CI56"/>
    <hyperlink r:id="rId2827" ref="CV56"/>
    <hyperlink r:id="rId2828" ref="DB56"/>
    <hyperlink r:id="rId2829" ref="DE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W61"/>
    <hyperlink r:id="rId2951" ref="CZ61"/>
    <hyperlink r:id="rId2952" ref="DA61"/>
    <hyperlink r:id="rId2953" ref="DK61"/>
    <hyperlink r:id="rId2954" ref="DN61"/>
    <hyperlink r:id="rId2955" ref="DP61"/>
    <hyperlink r:id="rId2956" ref="EB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H75"/>
    <hyperlink r:id="rId3251" ref="BS75"/>
    <hyperlink r:id="rId3252" ref="CF75"/>
    <hyperlink r:id="rId3253" ref="CG75"/>
    <hyperlink r:id="rId3254" ref="CH75"/>
    <hyperlink r:id="rId3255" ref="CV75"/>
    <hyperlink r:id="rId3256" ref="CY75"/>
    <hyperlink r:id="rId3257" ref="CZ75"/>
    <hyperlink r:id="rId3258" ref="BW76"/>
    <hyperlink r:id="rId3259" ref="CI76"/>
    <hyperlink r:id="rId3260" ref="BW79"/>
    <hyperlink r:id="rId3261" ref="I80"/>
    <hyperlink r:id="rId3262" ref="L80"/>
    <hyperlink r:id="rId3263" ref="P80"/>
    <hyperlink r:id="rId3264" ref="X80"/>
    <hyperlink r:id="rId3265" ref="Z80"/>
    <hyperlink r:id="rId3266" ref="AB80"/>
    <hyperlink r:id="rId3267" ref="BD80"/>
    <hyperlink r:id="rId3268" ref="BT80"/>
    <hyperlink r:id="rId3269" ref="BV80"/>
    <hyperlink r:id="rId3270" ref="CL80"/>
    <hyperlink r:id="rId3271" ref="CM80"/>
    <hyperlink r:id="rId3272" ref="CZ80"/>
    <hyperlink r:id="rId3273" ref="H81"/>
    <hyperlink r:id="rId3274" ref="Q81"/>
    <hyperlink r:id="rId3275" ref="AC81"/>
    <hyperlink r:id="rId3276" ref="AE81"/>
    <hyperlink r:id="rId3277" ref="BC81"/>
    <hyperlink r:id="rId3278" ref="BQ81"/>
    <hyperlink r:id="rId3279" ref="BT81"/>
    <hyperlink r:id="rId3280" ref="CL81"/>
    <hyperlink r:id="rId3281" ref="CR81"/>
    <hyperlink r:id="rId3282" ref="DE81"/>
    <hyperlink r:id="rId3283" ref="DK81"/>
    <hyperlink r:id="rId3284" ref="DZ81"/>
    <hyperlink r:id="rId3285" ref="EA81"/>
    <hyperlink r:id="rId3286" ref="EB81"/>
    <hyperlink r:id="rId3287" ref="H82"/>
    <hyperlink r:id="rId3288" ref="I82"/>
    <hyperlink r:id="rId3289" ref="K82"/>
    <hyperlink r:id="rId3290" ref="L82"/>
    <hyperlink r:id="rId3291" ref="M82"/>
    <hyperlink r:id="rId3292" ref="N82"/>
    <hyperlink r:id="rId3293" ref="O82"/>
    <hyperlink r:id="rId3294" ref="P82"/>
    <hyperlink r:id="rId3295" ref="Q82"/>
    <hyperlink r:id="rId3296" ref="X82"/>
    <hyperlink r:id="rId3297" ref="Y82"/>
    <hyperlink r:id="rId3298" ref="Z82"/>
    <hyperlink r:id="rId3299" ref="AC82"/>
    <hyperlink r:id="rId3300" ref="AD82"/>
    <hyperlink r:id="rId3301" ref="AE82"/>
    <hyperlink r:id="rId3302" ref="AF82"/>
    <hyperlink r:id="rId3303" ref="AT82"/>
    <hyperlink r:id="rId3304" ref="AU82"/>
    <hyperlink r:id="rId3305" ref="AV82"/>
    <hyperlink r:id="rId3306" ref="BA82"/>
    <hyperlink r:id="rId3307" ref="BB82"/>
    <hyperlink r:id="rId3308" ref="BC82"/>
    <hyperlink r:id="rId3309" ref="BD82"/>
    <hyperlink r:id="rId3310" ref="BH82"/>
    <hyperlink r:id="rId3311" ref="BK82"/>
    <hyperlink r:id="rId3312" ref="BN82"/>
    <hyperlink r:id="rId3313" ref="BS82"/>
    <hyperlink r:id="rId3314" ref="BT82"/>
    <hyperlink r:id="rId3315" ref="BU82"/>
    <hyperlink r:id="rId3316" ref="BV82"/>
    <hyperlink r:id="rId3317" ref="BZ82"/>
    <hyperlink r:id="rId3318" ref="CA82"/>
    <hyperlink r:id="rId3319" ref="CB82"/>
    <hyperlink r:id="rId3320" ref="CG82"/>
    <hyperlink r:id="rId3321" ref="CH82"/>
    <hyperlink r:id="rId3322" ref="CJ82"/>
    <hyperlink r:id="rId3323" ref="CK82"/>
    <hyperlink r:id="rId3324" ref="CL82"/>
    <hyperlink r:id="rId3325" ref="CM82"/>
    <hyperlink r:id="rId3326" ref="CU82"/>
    <hyperlink r:id="rId3327" ref="CZ82"/>
    <hyperlink r:id="rId3328" ref="DJ82"/>
    <hyperlink r:id="rId3329" ref="DK82"/>
    <hyperlink r:id="rId3330" ref="DP82"/>
    <hyperlink r:id="rId3331" ref="DQ82"/>
    <hyperlink r:id="rId3332" ref="DR82"/>
    <hyperlink r:id="rId3333" ref="DU82"/>
    <hyperlink r:id="rId3334" ref="EB82"/>
    <hyperlink r:id="rId3335" ref="M83"/>
    <hyperlink r:id="rId3336" ref="BW83"/>
    <hyperlink r:id="rId3337" ref="CH84"/>
    <hyperlink r:id="rId3338" ref="CW84"/>
    <hyperlink r:id="rId3339" ref="P88"/>
    <hyperlink r:id="rId3340" ref="Q88"/>
    <hyperlink r:id="rId3341" ref="R88"/>
    <hyperlink r:id="rId3342" ref="S88"/>
    <hyperlink r:id="rId3343" ref="T88"/>
    <hyperlink r:id="rId3344" ref="U88"/>
    <hyperlink r:id="rId3345" ref="AF88"/>
    <hyperlink r:id="rId3346" ref="AH88"/>
    <hyperlink r:id="rId3347" ref="AI88"/>
    <hyperlink r:id="rId3348" ref="AJ88"/>
    <hyperlink r:id="rId3349" ref="AO88"/>
    <hyperlink r:id="rId3350" ref="AP88"/>
    <hyperlink r:id="rId3351" ref="AQ88"/>
    <hyperlink r:id="rId3352" ref="AS88"/>
    <hyperlink r:id="rId3353" ref="AT88"/>
    <hyperlink r:id="rId3354" ref="AU88"/>
    <hyperlink r:id="rId3355" ref="AW88"/>
    <hyperlink r:id="rId3356" ref="AX88"/>
    <hyperlink r:id="rId3357" ref="AY88"/>
    <hyperlink r:id="rId3358" ref="BB88"/>
    <hyperlink r:id="rId3359" ref="BR88"/>
    <hyperlink r:id="rId3360" ref="BT88"/>
    <hyperlink r:id="rId3361" ref="BZ88"/>
    <hyperlink r:id="rId3362" ref="CH88"/>
    <hyperlink r:id="rId3363" ref="CM88"/>
    <hyperlink r:id="rId3364" ref="CO88"/>
    <hyperlink r:id="rId3365" ref="CP88"/>
    <hyperlink r:id="rId3366" ref="CV88"/>
    <hyperlink r:id="rId3367" ref="CX88"/>
    <hyperlink r:id="rId3368" ref="DA88"/>
    <hyperlink r:id="rId3369" ref="DQ88"/>
    <hyperlink r:id="rId3370" ref="EB88"/>
    <hyperlink r:id="rId3371" ref="AI89"/>
    <hyperlink r:id="rId3372" ref="AU89"/>
    <hyperlink r:id="rId3373" ref="CD89"/>
    <hyperlink r:id="rId3374" ref="CR89"/>
    <hyperlink r:id="rId3375" ref="CU89"/>
    <hyperlink r:id="rId3376" ref="DB89"/>
    <hyperlink r:id="rId3377" ref="DM89"/>
    <hyperlink r:id="rId3378" ref="P90"/>
    <hyperlink r:id="rId3379" ref="Z90"/>
    <hyperlink r:id="rId3380" ref="AA90"/>
    <hyperlink r:id="rId3381" ref="AB90"/>
    <hyperlink r:id="rId3382" ref="AF90"/>
    <hyperlink r:id="rId3383" ref="AX90"/>
    <hyperlink r:id="rId3384" ref="BD90"/>
    <hyperlink r:id="rId3385" ref="BS90"/>
    <hyperlink r:id="rId3386" ref="BZ90"/>
    <hyperlink r:id="rId3387" ref="CA90"/>
    <hyperlink r:id="rId3388" ref="CC90"/>
    <hyperlink r:id="rId3389" ref="CG90"/>
    <hyperlink r:id="rId3390" ref="CM90"/>
    <hyperlink r:id="rId3391" ref="DE90"/>
    <hyperlink r:id="rId3392" ref="L91"/>
    <hyperlink r:id="rId3393" ref="P91"/>
    <hyperlink r:id="rId3394" ref="S91"/>
    <hyperlink r:id="rId3395" ref="V91"/>
    <hyperlink r:id="rId3396" ref="X91"/>
    <hyperlink r:id="rId3397" ref="Y91"/>
    <hyperlink r:id="rId3398" ref="Z91"/>
    <hyperlink r:id="rId3399" ref="AA91"/>
    <hyperlink r:id="rId3400" ref="AB91"/>
    <hyperlink r:id="rId3401" ref="AF91"/>
    <hyperlink r:id="rId3402" ref="AO91"/>
    <hyperlink r:id="rId3403" ref="AQ91"/>
    <hyperlink r:id="rId3404" ref="AV91"/>
    <hyperlink r:id="rId3405" ref="BC91"/>
    <hyperlink r:id="rId3406" ref="BD91"/>
    <hyperlink r:id="rId3407" ref="BH91"/>
    <hyperlink r:id="rId3408" ref="BM91"/>
    <hyperlink r:id="rId3409" ref="BO91"/>
    <hyperlink r:id="rId3410" ref="BQ91"/>
    <hyperlink r:id="rId3411" ref="BT91"/>
    <hyperlink r:id="rId3412" ref="BX91"/>
    <hyperlink r:id="rId3413" ref="CA91"/>
    <hyperlink r:id="rId3414" ref="CD91"/>
    <hyperlink r:id="rId3415" ref="CG91"/>
    <hyperlink r:id="rId3416" ref="CM91"/>
    <hyperlink r:id="rId3417" ref="CR91"/>
    <hyperlink r:id="rId3418" ref="CZ91"/>
    <hyperlink r:id="rId3419" ref="DJ91"/>
    <hyperlink r:id="rId3420" ref="DK91"/>
    <hyperlink r:id="rId3421" ref="DM91"/>
    <hyperlink r:id="rId3422" ref="DN91"/>
    <hyperlink r:id="rId3423" ref="DO91"/>
    <hyperlink r:id="rId3424" ref="I92"/>
    <hyperlink r:id="rId3425" ref="J92"/>
    <hyperlink r:id="rId3426" ref="K92"/>
    <hyperlink r:id="rId3427" ref="L92"/>
    <hyperlink r:id="rId3428" ref="M92"/>
    <hyperlink r:id="rId3429" ref="N92"/>
    <hyperlink r:id="rId3430" ref="O92"/>
    <hyperlink r:id="rId3431" ref="P92"/>
    <hyperlink r:id="rId3432" ref="Q92"/>
    <hyperlink r:id="rId3433" ref="S92"/>
    <hyperlink r:id="rId3434" ref="T92"/>
    <hyperlink r:id="rId3435" ref="X92"/>
    <hyperlink r:id="rId3436" ref="Z92"/>
    <hyperlink r:id="rId3437" ref="AB92"/>
    <hyperlink r:id="rId3438" ref="AE92"/>
    <hyperlink r:id="rId3439" ref="AF92"/>
    <hyperlink r:id="rId3440" ref="AT92"/>
    <hyperlink r:id="rId3441" ref="AU92"/>
    <hyperlink r:id="rId3442" ref="AV92"/>
    <hyperlink r:id="rId3443" ref="AX92"/>
    <hyperlink r:id="rId3444" ref="BD92"/>
    <hyperlink r:id="rId3445" ref="BE92"/>
    <hyperlink r:id="rId3446" ref="BH92"/>
    <hyperlink r:id="rId3447" ref="BJ92"/>
    <hyperlink r:id="rId3448" ref="BK92"/>
    <hyperlink r:id="rId3449" ref="BM92"/>
    <hyperlink r:id="rId3450" ref="BQ92"/>
    <hyperlink r:id="rId3451" ref="BT92"/>
    <hyperlink r:id="rId3452" ref="BZ92"/>
    <hyperlink r:id="rId3453" ref="CA92"/>
    <hyperlink r:id="rId3454" ref="CC92"/>
    <hyperlink r:id="rId3455" ref="CF92"/>
    <hyperlink r:id="rId3456" ref="CG92"/>
    <hyperlink r:id="rId3457" ref="CI92"/>
    <hyperlink r:id="rId3458" ref="CJ92"/>
    <hyperlink r:id="rId3459" ref="CK92"/>
    <hyperlink r:id="rId3460" ref="CM92"/>
    <hyperlink r:id="rId3461" ref="CQ92"/>
    <hyperlink r:id="rId3462" ref="CW92"/>
    <hyperlink r:id="rId3463" ref="DA92"/>
    <hyperlink r:id="rId3464" ref="DD92"/>
    <hyperlink r:id="rId3465" ref="DM92"/>
    <hyperlink r:id="rId3466" ref="DY92"/>
    <hyperlink r:id="rId3467" ref="I93"/>
    <hyperlink r:id="rId3468" ref="J93"/>
    <hyperlink r:id="rId3469" ref="L93"/>
    <hyperlink r:id="rId3470" ref="O93"/>
    <hyperlink r:id="rId3471" ref="S93"/>
    <hyperlink r:id="rId3472" ref="T93"/>
    <hyperlink r:id="rId3473" ref="X93"/>
    <hyperlink r:id="rId3474" ref="Y93"/>
    <hyperlink r:id="rId3475" ref="Z93"/>
    <hyperlink r:id="rId3476" ref="AA93"/>
    <hyperlink r:id="rId3477" ref="AC93"/>
    <hyperlink r:id="rId3478" ref="AD93"/>
    <hyperlink r:id="rId3479" ref="AI93"/>
    <hyperlink r:id="rId3480" ref="AR93"/>
    <hyperlink r:id="rId3481" ref="AU93"/>
    <hyperlink r:id="rId3482" ref="AW93"/>
    <hyperlink r:id="rId3483" ref="BD93"/>
    <hyperlink r:id="rId3484" ref="BI93"/>
    <hyperlink r:id="rId3485" ref="BM93"/>
    <hyperlink r:id="rId3486" ref="BN93"/>
    <hyperlink r:id="rId3487" ref="BR93"/>
    <hyperlink r:id="rId3488" ref="BS93"/>
    <hyperlink r:id="rId3489" ref="BT93"/>
    <hyperlink r:id="rId3490" ref="BV93"/>
    <hyperlink r:id="rId3491" ref="BX93"/>
    <hyperlink r:id="rId3492" ref="BY93"/>
    <hyperlink r:id="rId3493" ref="CA93"/>
    <hyperlink r:id="rId3494" ref="CB93"/>
    <hyperlink r:id="rId3495" ref="CC93"/>
    <hyperlink r:id="rId3496" ref="CF93"/>
    <hyperlink r:id="rId3497" ref="CG93"/>
    <hyperlink r:id="rId3498" ref="CK93"/>
    <hyperlink r:id="rId3499" ref="CL93"/>
    <hyperlink r:id="rId3500" ref="CQ93"/>
    <hyperlink r:id="rId3501" ref="CT93"/>
    <hyperlink r:id="rId3502" ref="CV93"/>
    <hyperlink r:id="rId3503" ref="CX93"/>
    <hyperlink r:id="rId3504" ref="CY93"/>
    <hyperlink r:id="rId3505" ref="CZ93"/>
    <hyperlink r:id="rId3506" ref="DC93"/>
    <hyperlink r:id="rId3507" ref="DH93"/>
    <hyperlink r:id="rId3508" ref="DM93"/>
    <hyperlink r:id="rId3509" ref="DN93"/>
    <hyperlink r:id="rId3510" ref="DO93"/>
    <hyperlink r:id="rId3511" ref="DP93"/>
    <hyperlink r:id="rId3512" ref="DU93"/>
    <hyperlink r:id="rId3513" ref="DY93"/>
    <hyperlink r:id="rId3514" ref="EA93"/>
    <hyperlink r:id="rId3515" ref="M94"/>
    <hyperlink r:id="rId3516" ref="AF94"/>
    <hyperlink r:id="rId3517" ref="BQ94"/>
    <hyperlink r:id="rId3518" ref="CF94"/>
    <hyperlink r:id="rId3519" ref="CI94"/>
    <hyperlink r:id="rId3520" ref="CN94"/>
    <hyperlink r:id="rId3521" ref="H96"/>
    <hyperlink r:id="rId3522" ref="K96"/>
    <hyperlink r:id="rId3523" ref="L96"/>
    <hyperlink r:id="rId3524" ref="M96"/>
    <hyperlink r:id="rId3525" ref="R96"/>
    <hyperlink r:id="rId3526" ref="S96"/>
    <hyperlink r:id="rId3527" ref="U96"/>
    <hyperlink r:id="rId3528" ref="V96"/>
    <hyperlink r:id="rId3529" ref="AE96"/>
    <hyperlink r:id="rId3530" ref="AF96"/>
    <hyperlink r:id="rId3531" ref="AG96"/>
    <hyperlink r:id="rId3532" ref="AI96"/>
    <hyperlink r:id="rId3533" ref="AJ96"/>
    <hyperlink r:id="rId3534" ref="AL96"/>
    <hyperlink r:id="rId3535" ref="AM96"/>
    <hyperlink r:id="rId3536" ref="AU96"/>
    <hyperlink r:id="rId3537" ref="AV96"/>
    <hyperlink r:id="rId3538" ref="AW96"/>
    <hyperlink r:id="rId3539" ref="AX96"/>
    <hyperlink r:id="rId3540" ref="BB96"/>
    <hyperlink r:id="rId3541" ref="BE96"/>
    <hyperlink r:id="rId3542" ref="BF96"/>
    <hyperlink r:id="rId3543" ref="BG96"/>
    <hyperlink r:id="rId3544" ref="BM96"/>
    <hyperlink r:id="rId3545" ref="BQ96"/>
    <hyperlink r:id="rId3546" ref="BT96"/>
    <hyperlink r:id="rId3547" ref="BW96"/>
    <hyperlink r:id="rId3548" ref="CA96"/>
    <hyperlink r:id="rId3549" ref="CF96"/>
    <hyperlink r:id="rId3550" ref="CG96"/>
    <hyperlink r:id="rId3551" ref="CH96"/>
    <hyperlink r:id="rId3552" ref="CJ96"/>
    <hyperlink r:id="rId3553" ref="CL96"/>
    <hyperlink r:id="rId3554" ref="CM96"/>
    <hyperlink r:id="rId3555" ref="CR96"/>
    <hyperlink r:id="rId3556" ref="CT96"/>
    <hyperlink r:id="rId3557" ref="CX96"/>
    <hyperlink r:id="rId3558" ref="DE96"/>
    <hyperlink r:id="rId3559" ref="DK96"/>
    <hyperlink r:id="rId3560" ref="DL96"/>
    <hyperlink r:id="rId3561" ref="DS96"/>
    <hyperlink r:id="rId3562" ref="DW96"/>
    <hyperlink r:id="rId3563" ref="EB96"/>
    <hyperlink r:id="rId3564" ref="AB97"/>
    <hyperlink r:id="rId3565" ref="BF97"/>
    <hyperlink r:id="rId3566" ref="BH97"/>
    <hyperlink r:id="rId3567" ref="CG97"/>
    <hyperlink r:id="rId3568" ref="CZ97"/>
    <hyperlink r:id="rId3569" ref="I98"/>
    <hyperlink r:id="rId3570" ref="J98"/>
    <hyperlink r:id="rId3571" ref="K98"/>
    <hyperlink r:id="rId3572" ref="L98"/>
    <hyperlink r:id="rId3573" ref="N98"/>
    <hyperlink r:id="rId3574" ref="O98"/>
    <hyperlink r:id="rId3575" ref="P98"/>
    <hyperlink r:id="rId3576" ref="X98"/>
    <hyperlink r:id="rId3577" ref="Z98"/>
    <hyperlink r:id="rId3578" ref="AA98"/>
    <hyperlink r:id="rId3579" ref="AB98"/>
    <hyperlink r:id="rId3580" ref="AC98"/>
    <hyperlink r:id="rId3581" ref="AF98"/>
    <hyperlink r:id="rId3582" ref="AT98"/>
    <hyperlink r:id="rId3583" ref="AU98"/>
    <hyperlink r:id="rId3584" ref="BB98"/>
    <hyperlink r:id="rId3585" ref="BC98"/>
    <hyperlink r:id="rId3586" ref="BH98"/>
    <hyperlink r:id="rId3587" ref="BJ98"/>
    <hyperlink r:id="rId3588" ref="BK98"/>
    <hyperlink r:id="rId3589" ref="BQ98"/>
    <hyperlink r:id="rId3590" ref="BS98"/>
    <hyperlink r:id="rId3591" ref="BT98"/>
    <hyperlink r:id="rId3592" ref="BV98"/>
    <hyperlink r:id="rId3593" ref="BY98"/>
    <hyperlink r:id="rId3594" ref="BZ98"/>
    <hyperlink r:id="rId3595" ref="CL98"/>
    <hyperlink r:id="rId3596" ref="CM98"/>
    <hyperlink r:id="rId3597" ref="CT98"/>
    <hyperlink r:id="rId3598" ref="CV98"/>
    <hyperlink r:id="rId3599" ref="CW98"/>
    <hyperlink r:id="rId3600" ref="CX98"/>
    <hyperlink r:id="rId3601" ref="CZ98"/>
    <hyperlink r:id="rId3602" ref="DA98"/>
    <hyperlink r:id="rId3603" ref="DG98"/>
    <hyperlink r:id="rId3604" ref="DK98"/>
    <hyperlink r:id="rId3605" ref="DP98"/>
    <hyperlink r:id="rId3606" ref="DQ98"/>
    <hyperlink r:id="rId3607" ref="DZ98"/>
    <hyperlink r:id="rId3608" ref="EB98"/>
    <hyperlink r:id="rId3609" ref="AB99"/>
    <hyperlink r:id="rId3610" ref="H101"/>
    <hyperlink r:id="rId3611" ref="I101"/>
    <hyperlink r:id="rId3612" ref="J101"/>
    <hyperlink r:id="rId3613" ref="P101"/>
    <hyperlink r:id="rId3614" ref="AT101"/>
    <hyperlink r:id="rId3615" ref="BK101"/>
    <hyperlink r:id="rId3616" ref="CA101"/>
    <hyperlink r:id="rId3617" ref="CV101"/>
    <hyperlink r:id="rId3618" ref="BE104"/>
    <hyperlink r:id="rId3619" ref="CL104"/>
    <hyperlink r:id="rId3620" ref="CY104"/>
    <hyperlink r:id="rId3621" ref="BT106"/>
    <hyperlink r:id="rId3622" ref="BV106"/>
    <hyperlink r:id="rId3623" ref="J107"/>
    <hyperlink r:id="rId3624" ref="K108"/>
    <hyperlink r:id="rId3625" ref="X108"/>
    <hyperlink r:id="rId3626" ref="BV108"/>
    <hyperlink r:id="rId3627" ref="P111"/>
    <hyperlink r:id="rId3628" ref="S111"/>
    <hyperlink r:id="rId3629" ref="V111"/>
    <hyperlink r:id="rId3630" ref="AF111"/>
    <hyperlink r:id="rId3631" ref="AI111"/>
    <hyperlink r:id="rId3632" ref="AO111"/>
    <hyperlink r:id="rId3633" ref="AT111"/>
    <hyperlink r:id="rId3634" ref="AX111"/>
    <hyperlink r:id="rId3635" ref="BX111"/>
    <hyperlink r:id="rId3636" ref="BZ111"/>
    <hyperlink r:id="rId3637" ref="CA111"/>
    <hyperlink r:id="rId3638" ref="CB111"/>
    <hyperlink r:id="rId3639" ref="CM111"/>
    <hyperlink r:id="rId3640" ref="CZ111"/>
    <hyperlink r:id="rId3641" ref="DA111"/>
    <hyperlink r:id="rId3642" ref="H114"/>
    <hyperlink r:id="rId3643" ref="L114"/>
    <hyperlink r:id="rId3644" ref="P114"/>
    <hyperlink r:id="rId3645" ref="Z114"/>
    <hyperlink r:id="rId3646" ref="AB114"/>
    <hyperlink r:id="rId3647" ref="AR114"/>
    <hyperlink r:id="rId3648" ref="AV114"/>
    <hyperlink r:id="rId3649" ref="BC114"/>
    <hyperlink r:id="rId3650" ref="CU114"/>
    <hyperlink r:id="rId3651" ref="DN114"/>
    <hyperlink r:id="rId3652" ref="DU114"/>
    <hyperlink r:id="rId3653" ref="O116"/>
    <hyperlink r:id="rId3654" ref="AB116"/>
    <hyperlink r:id="rId3655" ref="BD116"/>
    <hyperlink r:id="rId3656" ref="I117"/>
    <hyperlink r:id="rId3657" ref="L117"/>
    <hyperlink r:id="rId3658" ref="Y117"/>
    <hyperlink r:id="rId3659" ref="BV117"/>
    <hyperlink r:id="rId3660" ref="CV117"/>
    <hyperlink r:id="rId3661" ref="DK117"/>
    <hyperlink r:id="rId3662" ref="DX117"/>
    <hyperlink r:id="rId3663" ref="P118"/>
    <hyperlink r:id="rId3664" ref="Q118"/>
    <hyperlink r:id="rId3665" ref="AF118"/>
    <hyperlink r:id="rId3666" ref="J119"/>
    <hyperlink r:id="rId3667" ref="K119"/>
    <hyperlink r:id="rId3668" ref="P119"/>
    <hyperlink r:id="rId3669" ref="L121"/>
    <hyperlink r:id="rId3670" ref="CG121"/>
    <hyperlink r:id="rId3671" ref="DS121"/>
    <hyperlink r:id="rId3672" ref="DY121"/>
    <hyperlink r:id="rId3673" ref="I123"/>
    <hyperlink r:id="rId3674" ref="J123"/>
    <hyperlink r:id="rId3675" ref="K123"/>
    <hyperlink r:id="rId3676" ref="L123"/>
    <hyperlink r:id="rId3677" ref="M123"/>
    <hyperlink r:id="rId3678" ref="N123"/>
    <hyperlink r:id="rId3679" ref="O123"/>
    <hyperlink r:id="rId3680" ref="X123"/>
    <hyperlink r:id="rId3681" ref="Y123"/>
    <hyperlink r:id="rId3682" ref="AB123"/>
    <hyperlink r:id="rId3683" ref="AF123"/>
    <hyperlink r:id="rId3684" ref="AT123"/>
    <hyperlink r:id="rId3685" ref="AU123"/>
    <hyperlink r:id="rId3686" ref="BA123"/>
    <hyperlink r:id="rId3687" ref="BD123"/>
    <hyperlink r:id="rId3688" ref="BE123"/>
    <hyperlink r:id="rId3689" ref="BH123"/>
    <hyperlink r:id="rId3690" ref="BQ123"/>
    <hyperlink r:id="rId3691" ref="BY123"/>
    <hyperlink r:id="rId3692" ref="CG123"/>
    <hyperlink r:id="rId3693" ref="CH123"/>
    <hyperlink r:id="rId3694" ref="CI123"/>
    <hyperlink r:id="rId3695" ref="CJ123"/>
    <hyperlink r:id="rId3696" ref="CL123"/>
    <hyperlink r:id="rId3697" ref="CT123"/>
    <hyperlink r:id="rId3698" ref="CU123"/>
    <hyperlink r:id="rId3699" ref="CV123"/>
    <hyperlink r:id="rId3700" ref="CW123"/>
    <hyperlink r:id="rId3701" ref="CX123"/>
    <hyperlink r:id="rId3702" ref="CY123"/>
    <hyperlink r:id="rId3703" ref="CZ123"/>
    <hyperlink r:id="rId3704" ref="DA123"/>
    <hyperlink r:id="rId3705" ref="DG123"/>
    <hyperlink r:id="rId3706" ref="DK123"/>
    <hyperlink r:id="rId3707" ref="CM124"/>
    <hyperlink r:id="rId3708" ref="K125"/>
    <hyperlink r:id="rId3709" ref="O125"/>
    <hyperlink r:id="rId3710" ref="P125"/>
    <hyperlink r:id="rId3711" ref="Y125"/>
    <hyperlink r:id="rId3712" ref="Z125"/>
    <hyperlink r:id="rId3713" ref="AB125"/>
    <hyperlink r:id="rId3714" ref="BV125"/>
    <hyperlink r:id="rId3715" ref="CM125"/>
    <hyperlink r:id="rId3716" ref="CZ125"/>
    <hyperlink r:id="rId3717" ref="H127"/>
    <hyperlink r:id="rId3718" ref="I127"/>
    <hyperlink r:id="rId3719" ref="J127"/>
    <hyperlink r:id="rId3720" ref="L127"/>
    <hyperlink r:id="rId3721" ref="M127"/>
    <hyperlink r:id="rId3722" ref="P127"/>
    <hyperlink r:id="rId3723" ref="X127"/>
    <hyperlink r:id="rId3724" ref="Y127"/>
    <hyperlink r:id="rId3725" ref="Z127"/>
    <hyperlink r:id="rId3726" ref="AE127"/>
    <hyperlink r:id="rId3727" ref="BE127"/>
    <hyperlink r:id="rId3728" ref="BQ127"/>
    <hyperlink r:id="rId3729" ref="BS127"/>
    <hyperlink r:id="rId3730" ref="BZ127"/>
    <hyperlink r:id="rId3731" ref="CF127"/>
    <hyperlink r:id="rId3732" ref="CG127"/>
    <hyperlink r:id="rId3733" ref="CI127"/>
    <hyperlink r:id="rId3734" ref="CK127"/>
    <hyperlink r:id="rId3735" ref="CL127"/>
    <hyperlink r:id="rId3736" ref="CZ127"/>
    <hyperlink r:id="rId3737" ref="DG127"/>
    <hyperlink r:id="rId3738" ref="DK127"/>
    <hyperlink r:id="rId3739" ref="L132"/>
    <hyperlink r:id="rId3740" ref="P132"/>
    <hyperlink r:id="rId3741" ref="BH132"/>
    <hyperlink r:id="rId3742" ref="BJ132"/>
    <hyperlink r:id="rId3743" ref="BU132"/>
    <hyperlink r:id="rId3744" ref="BV132"/>
    <hyperlink r:id="rId3745" ref="BZ132"/>
    <hyperlink r:id="rId3746" ref="CY132"/>
    <hyperlink r:id="rId3747" ref="CZ132"/>
    <hyperlink r:id="rId3748" ref="Z134"/>
    <hyperlink r:id="rId3749" ref="CW134"/>
    <hyperlink r:id="rId3750" ref="DA134"/>
    <hyperlink r:id="rId3751" ref="Y136"/>
    <hyperlink r:id="rId3752" ref="CZ136"/>
    <hyperlink r:id="rId3753" ref="L137"/>
    <hyperlink r:id="rId3754" ref="Q137"/>
    <hyperlink r:id="rId3755" ref="S137"/>
    <hyperlink r:id="rId3756" ref="AI137"/>
    <hyperlink r:id="rId3757" ref="AJ137"/>
    <hyperlink r:id="rId3758" ref="BM137"/>
    <hyperlink r:id="rId3759" ref="CB137"/>
    <hyperlink r:id="rId3760" ref="CC137"/>
    <hyperlink r:id="rId3761" ref="CG137"/>
    <hyperlink r:id="rId3762" ref="CR137"/>
    <hyperlink r:id="rId3763" ref="CZ137"/>
    <hyperlink r:id="rId3764" ref="DE137"/>
    <hyperlink r:id="rId3765" ref="O139"/>
    <hyperlink r:id="rId3766" ref="P139"/>
    <hyperlink r:id="rId3767" ref="Z139"/>
    <hyperlink r:id="rId3768" ref="AB139"/>
    <hyperlink r:id="rId3769" ref="AF139"/>
    <hyperlink r:id="rId3770" ref="AT139"/>
    <hyperlink r:id="rId3771" ref="BC139"/>
    <hyperlink r:id="rId3772" ref="BH139"/>
    <hyperlink r:id="rId3773" ref="BK139"/>
    <hyperlink r:id="rId3774" ref="BT139"/>
    <hyperlink r:id="rId3775" ref="BV139"/>
    <hyperlink r:id="rId3776" ref="BZ139"/>
    <hyperlink r:id="rId3777" ref="CI139"/>
    <hyperlink r:id="rId3778" ref="CJ139"/>
    <hyperlink r:id="rId3779" ref="CM139"/>
    <hyperlink r:id="rId3780" ref="CT139"/>
    <hyperlink r:id="rId3781" ref="CU139"/>
    <hyperlink r:id="rId3782" ref="DA139"/>
    <hyperlink r:id="rId3783" ref="DK139"/>
    <hyperlink r:id="rId3784" ref="K140"/>
    <hyperlink r:id="rId3785" ref="L140"/>
    <hyperlink r:id="rId3786" ref="O140"/>
    <hyperlink r:id="rId3787" ref="P140"/>
    <hyperlink r:id="rId3788" ref="Z140"/>
    <hyperlink r:id="rId3789" ref="AB140"/>
    <hyperlink r:id="rId3790" ref="AF140"/>
    <hyperlink r:id="rId3791" ref="AM140"/>
    <hyperlink r:id="rId3792" ref="AT140"/>
    <hyperlink r:id="rId3793" ref="AV140"/>
    <hyperlink r:id="rId3794" ref="BC140"/>
    <hyperlink r:id="rId3795" ref="BH140"/>
    <hyperlink r:id="rId3796" ref="BV140"/>
    <hyperlink r:id="rId3797" ref="CG140"/>
    <hyperlink r:id="rId3798" ref="CV140"/>
    <hyperlink r:id="rId3799" ref="DK140"/>
    <hyperlink r:id="rId3800" ref="I142"/>
    <hyperlink r:id="rId3801" ref="J142"/>
    <hyperlink r:id="rId3802" ref="K142"/>
    <hyperlink r:id="rId3803" ref="L142"/>
    <hyperlink r:id="rId3804" ref="N142"/>
    <hyperlink r:id="rId3805" ref="P142"/>
    <hyperlink r:id="rId3806" ref="X142"/>
    <hyperlink r:id="rId3807" ref="AT142"/>
    <hyperlink r:id="rId3808" ref="AU142"/>
    <hyperlink r:id="rId3809" ref="BA142"/>
    <hyperlink r:id="rId3810" ref="BD142"/>
    <hyperlink r:id="rId3811" ref="BE142"/>
    <hyperlink r:id="rId3812" ref="BH142"/>
    <hyperlink r:id="rId3813" ref="CL142"/>
    <hyperlink r:id="rId3814" ref="CT142"/>
    <hyperlink r:id="rId3815" ref="CX142"/>
    <hyperlink r:id="rId3816" ref="CZ142"/>
    <hyperlink r:id="rId3817" ref="I145"/>
    <hyperlink r:id="rId3818" ref="J145"/>
    <hyperlink r:id="rId3819" ref="K145"/>
    <hyperlink r:id="rId3820" ref="L145"/>
    <hyperlink r:id="rId3821" ref="AB145"/>
    <hyperlink r:id="rId3822" ref="BH145"/>
    <hyperlink r:id="rId3823" ref="K147"/>
    <hyperlink r:id="rId3824" ref="L147"/>
    <hyperlink r:id="rId3825" ref="Z147"/>
    <hyperlink r:id="rId3826" ref="BS147"/>
    <hyperlink r:id="rId3827" ref="BT147"/>
    <hyperlink r:id="rId3828" ref="CG147"/>
    <hyperlink r:id="rId3829" ref="DA147"/>
    <hyperlink r:id="rId3830" ref="BT148"/>
    <hyperlink r:id="rId3831" ref="Z149"/>
    <hyperlink r:id="rId3832" ref="AU149"/>
    <hyperlink r:id="rId3833" ref="CM149"/>
    <hyperlink r:id="rId3834" ref="CY149"/>
    <hyperlink r:id="rId3835" ref="CZ149"/>
    <hyperlink r:id="rId3836" ref="AC150"/>
    <hyperlink r:id="rId3837" ref="BH150"/>
    <hyperlink r:id="rId3838" ref="BC153"/>
    <hyperlink r:id="rId3839" ref="P155"/>
    <hyperlink r:id="rId3840" ref="AU155"/>
    <hyperlink r:id="rId3841" ref="CF156"/>
    <hyperlink r:id="rId3842" ref="K157"/>
    <hyperlink r:id="rId3843" ref="BK157"/>
    <hyperlink r:id="rId3844" ref="CV157"/>
    <hyperlink r:id="rId3845" ref="DA157"/>
    <hyperlink r:id="rId3846" ref="AG159"/>
    <hyperlink r:id="rId3847" ref="DC159"/>
    <hyperlink r:id="rId3848" ref="AB160"/>
    <hyperlink r:id="rId3849" ref="BH160"/>
    <hyperlink r:id="rId3850" ref="CF160"/>
    <hyperlink r:id="rId3851" ref="CM160"/>
    <hyperlink r:id="rId3852" ref="CZ160"/>
    <hyperlink r:id="rId3853" ref="T163"/>
    <hyperlink r:id="rId3854" ref="BE163"/>
    <hyperlink r:id="rId3855" ref="BS163"/>
    <hyperlink r:id="rId3856" ref="CR163"/>
    <hyperlink r:id="rId3857" ref="P165"/>
    <hyperlink r:id="rId3858" ref="X165"/>
    <hyperlink r:id="rId3859" ref="Z165"/>
    <hyperlink r:id="rId3860" ref="AF165"/>
    <hyperlink r:id="rId3861" ref="AT165"/>
    <hyperlink r:id="rId3862" ref="BT165"/>
    <hyperlink r:id="rId3863" ref="DK167"/>
    <hyperlink r:id="rId3864" ref="K169"/>
    <hyperlink r:id="rId3865" ref="X169"/>
    <hyperlink r:id="rId3866" ref="Z169"/>
    <hyperlink r:id="rId3867" ref="BV169"/>
    <hyperlink r:id="rId3868" ref="BZ169"/>
    <hyperlink r:id="rId3869" ref="CF169"/>
    <hyperlink r:id="rId3870" ref="CL169"/>
    <hyperlink r:id="rId3871" ref="CM169"/>
    <hyperlink r:id="rId3872" ref="CZ169"/>
    <hyperlink r:id="rId3873" ref="Y170"/>
    <hyperlink r:id="rId3874" ref="BW170"/>
    <hyperlink r:id="rId3875" ref="CI170"/>
    <hyperlink r:id="rId3876" ref="AR177"/>
    <hyperlink r:id="rId3877" ref="BV177"/>
    <hyperlink r:id="rId3878" ref="CC177"/>
    <hyperlink r:id="rId3879" ref="I178"/>
    <hyperlink r:id="rId3880" ref="K178"/>
    <hyperlink r:id="rId3881" ref="CZ180"/>
    <hyperlink r:id="rId3882" ref="X181"/>
    <hyperlink r:id="rId3883" ref="AD181"/>
    <hyperlink r:id="rId3884" ref="DK181"/>
    <hyperlink r:id="rId3885" ref="AB183"/>
    <hyperlink r:id="rId3886" ref="P184"/>
    <hyperlink r:id="rId3887" ref="AF184"/>
    <hyperlink r:id="rId3888" ref="H185"/>
    <hyperlink r:id="rId3889" ref="K185"/>
    <hyperlink r:id="rId3890" ref="BC185"/>
    <hyperlink r:id="rId3891" ref="AA188"/>
    <hyperlink r:id="rId3892" ref="AH193"/>
    <hyperlink r:id="rId3893" ref="DY194"/>
    <hyperlink r:id="rId3894" ref="BC195"/>
    <hyperlink r:id="rId3895" ref="DK195"/>
    <hyperlink r:id="rId3896" ref="H196"/>
    <hyperlink r:id="rId3897" ref="K196"/>
    <hyperlink r:id="rId3898" ref="Y196"/>
    <hyperlink r:id="rId3899" ref="AM196"/>
    <hyperlink r:id="rId3900" ref="AO196"/>
    <hyperlink r:id="rId3901" ref="AX196"/>
    <hyperlink r:id="rId3902" ref="BA196"/>
    <hyperlink r:id="rId3903" ref="BC196"/>
    <hyperlink r:id="rId3904" ref="BM196"/>
    <hyperlink r:id="rId3905" ref="CF196"/>
    <hyperlink r:id="rId3906" ref="DM196"/>
    <hyperlink r:id="rId3907" ref="DN196"/>
    <hyperlink r:id="rId3908" ref="DO196"/>
    <hyperlink r:id="rId3909" ref="EB196"/>
    <hyperlink r:id="rId3910" ref="H206"/>
    <hyperlink r:id="rId3911" ref="AV206"/>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6441</v>
      </c>
      <c r="D1" s="752" t="s">
        <v>1626</v>
      </c>
      <c r="E1" s="753" t="s">
        <v>6442</v>
      </c>
      <c r="F1" s="752" t="s">
        <v>6443</v>
      </c>
      <c r="G1" s="754" t="s">
        <v>3175</v>
      </c>
      <c r="H1" s="752" t="s">
        <v>1107</v>
      </c>
      <c r="I1" s="752" t="s">
        <v>6444</v>
      </c>
      <c r="J1" s="752" t="s">
        <v>6445</v>
      </c>
      <c r="K1" s="752" t="s">
        <v>6446</v>
      </c>
      <c r="L1" s="753" t="s">
        <v>6447</v>
      </c>
      <c r="M1" s="752" t="s">
        <v>767</v>
      </c>
      <c r="N1" s="752" t="s">
        <v>6448</v>
      </c>
      <c r="O1" s="752" t="s">
        <v>1031</v>
      </c>
      <c r="P1" s="755" t="s">
        <v>6449</v>
      </c>
      <c r="Q1" s="752" t="s">
        <v>1969</v>
      </c>
      <c r="R1" s="752" t="s">
        <v>6450</v>
      </c>
      <c r="S1" s="752" t="s">
        <v>6451</v>
      </c>
      <c r="T1" s="753" t="s">
        <v>6452</v>
      </c>
      <c r="U1" s="752" t="s">
        <v>6453</v>
      </c>
      <c r="V1" s="752" t="s">
        <v>6454</v>
      </c>
      <c r="W1" s="752" t="s">
        <v>4093</v>
      </c>
      <c r="X1" s="752" t="s">
        <v>6455</v>
      </c>
      <c r="Y1" s="752" t="s">
        <v>3406</v>
      </c>
      <c r="Z1" s="752" t="s">
        <v>6456</v>
      </c>
      <c r="AA1" s="752" t="s">
        <v>4170</v>
      </c>
      <c r="AB1" s="752" t="s">
        <v>6457</v>
      </c>
      <c r="AC1" s="752" t="s">
        <v>6458</v>
      </c>
      <c r="AD1" s="752" t="s">
        <v>6459</v>
      </c>
      <c r="AE1" s="752" t="s">
        <v>1248</v>
      </c>
      <c r="AF1" s="752" t="s">
        <v>216</v>
      </c>
      <c r="AG1" s="752" t="s">
        <v>1802</v>
      </c>
      <c r="AH1" s="752" t="s">
        <v>2099</v>
      </c>
      <c r="AI1" s="752" t="s">
        <v>6460</v>
      </c>
      <c r="AJ1" s="752" t="s">
        <v>6461</v>
      </c>
      <c r="AK1" s="752" t="s">
        <v>2036</v>
      </c>
      <c r="AL1" s="752" t="s">
        <v>6462</v>
      </c>
      <c r="AM1" s="752" t="s">
        <v>6463</v>
      </c>
      <c r="AN1" s="752" t="s">
        <v>6095</v>
      </c>
      <c r="AO1" s="752" t="s">
        <v>6464</v>
      </c>
      <c r="AP1" s="752" t="s">
        <v>6465</v>
      </c>
      <c r="AQ1" s="752" t="s">
        <v>5806</v>
      </c>
      <c r="AR1" s="752" t="s">
        <v>3340</v>
      </c>
      <c r="AS1" s="752" t="s">
        <v>6466</v>
      </c>
      <c r="AT1" s="752" t="s">
        <v>4025</v>
      </c>
      <c r="AU1" s="752" t="s">
        <v>5493</v>
      </c>
      <c r="AV1" s="752" t="s">
        <v>6467</v>
      </c>
      <c r="AW1" s="752" t="s">
        <v>6468</v>
      </c>
      <c r="AX1" s="753" t="s">
        <v>6469</v>
      </c>
      <c r="AY1" s="752" t="s">
        <v>6470</v>
      </c>
      <c r="AZ1" s="752" t="s">
        <v>6471</v>
      </c>
      <c r="BA1" s="752" t="s">
        <v>1710</v>
      </c>
      <c r="BB1" s="752" t="s">
        <v>6472</v>
      </c>
      <c r="BC1" s="756" t="s">
        <v>6438</v>
      </c>
      <c r="BD1" s="756" t="s">
        <v>6473</v>
      </c>
      <c r="BE1" s="752" t="s">
        <v>955</v>
      </c>
      <c r="BF1" s="752"/>
      <c r="BG1" s="752"/>
      <c r="BH1" s="757"/>
      <c r="BI1" s="757"/>
      <c r="BJ1" s="757"/>
    </row>
    <row r="2" ht="15.75" customHeight="1">
      <c r="A2" s="758" t="s">
        <v>6474</v>
      </c>
      <c r="B2" s="759"/>
      <c r="C2" s="760"/>
      <c r="D2" s="761">
        <f t="shared" ref="D2:BJ2" si="1">COUNTIF(D4:D327,"*")</f>
        <v>173</v>
      </c>
      <c r="E2" s="761">
        <f t="shared" si="1"/>
        <v>149</v>
      </c>
      <c r="F2" s="761">
        <f t="shared" si="1"/>
        <v>125</v>
      </c>
      <c r="G2" s="761">
        <f t="shared" si="1"/>
        <v>121</v>
      </c>
      <c r="H2" s="761">
        <f t="shared" si="1"/>
        <v>116</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6475</v>
      </c>
      <c r="B4" s="768" t="s">
        <v>6476</v>
      </c>
      <c r="C4" s="769" t="s">
        <v>339</v>
      </c>
      <c r="D4" s="770" t="s">
        <v>871</v>
      </c>
      <c r="E4" s="771" t="s">
        <v>339</v>
      </c>
      <c r="F4" s="772" t="s">
        <v>1386</v>
      </c>
      <c r="G4" s="773"/>
      <c r="H4" s="774" t="s">
        <v>6477</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6478</v>
      </c>
      <c r="B5" s="768" t="s">
        <v>6479</v>
      </c>
      <c r="C5" s="769" t="s">
        <v>6480</v>
      </c>
      <c r="D5" s="778" t="s">
        <v>6481</v>
      </c>
      <c r="E5" s="778" t="s">
        <v>6482</v>
      </c>
      <c r="F5" s="772" t="s">
        <v>6483</v>
      </c>
      <c r="G5" s="779"/>
      <c r="H5" s="778"/>
      <c r="I5" s="778" t="s">
        <v>6484</v>
      </c>
      <c r="J5" s="778"/>
      <c r="K5" s="778" t="s">
        <v>4984</v>
      </c>
      <c r="L5" s="778"/>
      <c r="M5" s="778"/>
      <c r="N5" s="778" t="s">
        <v>6485</v>
      </c>
      <c r="O5" s="778" t="str">
        <f>HYPERLINK("https://youtu.be/y9FQ4EcrohI", "1:21.52")</f>
        <v>1:21.52</v>
      </c>
      <c r="P5" s="776" t="s">
        <v>6486</v>
      </c>
      <c r="Q5" s="778"/>
      <c r="R5" s="778" t="s">
        <v>6480</v>
      </c>
      <c r="S5" s="778" t="s">
        <v>2674</v>
      </c>
      <c r="T5" s="778"/>
      <c r="U5" s="778"/>
      <c r="V5" s="778"/>
      <c r="W5" s="778"/>
      <c r="X5" s="778"/>
      <c r="Y5" s="778"/>
      <c r="Z5" s="778"/>
      <c r="AA5" s="778" t="s">
        <v>6487</v>
      </c>
      <c r="AB5" s="778"/>
      <c r="AC5" s="778"/>
      <c r="AD5" s="778" t="s">
        <v>6488</v>
      </c>
      <c r="AE5" s="778"/>
      <c r="AF5" s="778"/>
      <c r="AG5" s="778"/>
      <c r="AH5" s="778"/>
      <c r="AI5" s="778"/>
      <c r="AJ5" s="778"/>
      <c r="AK5" s="778"/>
      <c r="AL5" s="778"/>
      <c r="AM5" s="778"/>
      <c r="AN5" s="778" t="s">
        <v>6097</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6489</v>
      </c>
      <c r="C6" s="769" t="s">
        <v>340</v>
      </c>
      <c r="D6" s="783" t="s">
        <v>1631</v>
      </c>
      <c r="E6" s="774" t="s">
        <v>340</v>
      </c>
      <c r="F6" s="772" t="s">
        <v>1387</v>
      </c>
      <c r="G6" s="784" t="s">
        <v>3177</v>
      </c>
      <c r="H6" s="774" t="s">
        <v>3184</v>
      </c>
      <c r="I6" s="774" t="str">
        <f>HYPERLINK("https://youtu.be/ZP_d48CVxG0","1:19.30")</f>
        <v>1:19.30</v>
      </c>
      <c r="J6" s="775"/>
      <c r="K6" s="775"/>
      <c r="L6" s="775" t="s">
        <v>862</v>
      </c>
      <c r="M6" s="775" t="s">
        <v>772</v>
      </c>
      <c r="N6" s="775" t="s">
        <v>4704</v>
      </c>
      <c r="O6" s="774" t="s">
        <v>1036</v>
      </c>
      <c r="P6" s="776" t="s">
        <v>6490</v>
      </c>
      <c r="Q6" s="775" t="s">
        <v>862</v>
      </c>
      <c r="R6" s="775"/>
      <c r="S6" s="775"/>
      <c r="T6" s="775"/>
      <c r="U6" s="775"/>
      <c r="V6" s="775"/>
      <c r="W6" s="775"/>
      <c r="X6" s="775"/>
      <c r="Y6" s="774" t="s">
        <v>6491</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6492</v>
      </c>
      <c r="B7" s="786" t="s">
        <v>6476</v>
      </c>
      <c r="C7" s="769" t="s">
        <v>6493</v>
      </c>
      <c r="D7" s="778" t="s">
        <v>3211</v>
      </c>
      <c r="E7" s="778" t="s">
        <v>6493</v>
      </c>
      <c r="F7" s="787"/>
      <c r="G7" s="788" t="s">
        <v>1202</v>
      </c>
      <c r="H7" s="778"/>
      <c r="I7" s="778" t="s">
        <v>1340</v>
      </c>
      <c r="J7" s="778"/>
      <c r="K7" s="778"/>
      <c r="L7" s="778" t="s">
        <v>1187</v>
      </c>
      <c r="M7" s="778" t="s">
        <v>1187</v>
      </c>
      <c r="N7" s="778" t="s">
        <v>6494</v>
      </c>
      <c r="O7" s="778"/>
      <c r="P7" s="776"/>
      <c r="Q7" s="778" t="s">
        <v>968</v>
      </c>
      <c r="R7" s="778" t="s">
        <v>3898</v>
      </c>
      <c r="S7" s="778" t="s">
        <v>6495</v>
      </c>
      <c r="T7" s="778" t="s">
        <v>6496</v>
      </c>
      <c r="U7" s="778"/>
      <c r="V7" s="778" t="s">
        <v>968</v>
      </c>
      <c r="W7" s="778"/>
      <c r="X7" s="778" t="s">
        <v>3660</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6497</v>
      </c>
      <c r="B8" s="786" t="s">
        <v>6479</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6498</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6489</v>
      </c>
      <c r="C9" s="769" t="s">
        <v>6499</v>
      </c>
      <c r="D9" s="775"/>
      <c r="E9" s="774" t="s">
        <v>1294</v>
      </c>
      <c r="F9" s="772" t="s">
        <v>2164</v>
      </c>
      <c r="G9" s="790" t="s">
        <v>1008</v>
      </c>
      <c r="H9" s="775"/>
      <c r="I9" s="775"/>
      <c r="J9" s="775"/>
      <c r="K9" s="775"/>
      <c r="L9" s="775"/>
      <c r="M9" s="775"/>
      <c r="N9" s="775"/>
      <c r="O9" s="774" t="s">
        <v>6499</v>
      </c>
      <c r="P9" s="776"/>
      <c r="Q9" s="775"/>
      <c r="R9" s="775"/>
      <c r="S9" s="775"/>
      <c r="T9" s="775"/>
      <c r="U9" s="775"/>
      <c r="V9" s="775"/>
      <c r="W9" s="775"/>
      <c r="X9" s="774" t="s">
        <v>6500</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6501</v>
      </c>
      <c r="B10" s="768" t="s">
        <v>6502</v>
      </c>
      <c r="C10" s="769" t="s">
        <v>2926</v>
      </c>
      <c r="D10" s="778" t="s">
        <v>1784</v>
      </c>
      <c r="E10" s="778" t="s">
        <v>2926</v>
      </c>
      <c r="F10" s="772" t="s">
        <v>6503</v>
      </c>
      <c r="G10" s="784" t="s">
        <v>6504</v>
      </c>
      <c r="H10" s="778"/>
      <c r="I10" s="778" t="s">
        <v>6505</v>
      </c>
      <c r="J10" s="778"/>
      <c r="K10" s="778" t="s">
        <v>4187</v>
      </c>
      <c r="L10" s="778"/>
      <c r="M10" s="778" t="s">
        <v>3178</v>
      </c>
      <c r="N10" s="778" t="s">
        <v>6506</v>
      </c>
      <c r="O10" s="778"/>
      <c r="P10" s="776" t="s">
        <v>3466</v>
      </c>
      <c r="Q10" s="778" t="s">
        <v>3178</v>
      </c>
      <c r="R10" s="778"/>
      <c r="S10" s="778" t="s">
        <v>4400</v>
      </c>
      <c r="T10" s="778"/>
      <c r="U10" s="778" t="s">
        <v>2819</v>
      </c>
      <c r="V10" s="778"/>
      <c r="W10" s="778"/>
      <c r="X10" s="778"/>
      <c r="Y10" s="778" t="s">
        <v>673</v>
      </c>
      <c r="Z10" s="778"/>
      <c r="AA10" s="778" t="s">
        <v>6507</v>
      </c>
      <c r="AB10" s="778"/>
      <c r="AC10" s="778"/>
      <c r="AD10" s="778"/>
      <c r="AE10" s="778"/>
      <c r="AF10" s="778"/>
      <c r="AG10" s="778"/>
      <c r="AH10" s="778"/>
      <c r="AI10" s="778"/>
      <c r="AJ10" s="778"/>
      <c r="AK10" s="778"/>
      <c r="AL10" s="778" t="s">
        <v>2045</v>
      </c>
      <c r="AM10" s="778"/>
      <c r="AN10" s="778" t="s">
        <v>6040</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6508</v>
      </c>
      <c r="C11" s="769" t="s">
        <v>4328</v>
      </c>
      <c r="D11" s="783" t="s">
        <v>1632</v>
      </c>
      <c r="E11" s="774" t="s">
        <v>341</v>
      </c>
      <c r="F11" s="772" t="s">
        <v>1388</v>
      </c>
      <c r="G11" s="788" t="s">
        <v>3178</v>
      </c>
      <c r="H11" s="774" t="s">
        <v>4328</v>
      </c>
      <c r="I11" s="775" t="s">
        <v>6509</v>
      </c>
      <c r="J11" s="774" t="s">
        <v>749</v>
      </c>
      <c r="K11" s="775"/>
      <c r="L11" s="775" t="s">
        <v>2431</v>
      </c>
      <c r="M11" s="774" t="s">
        <v>2191</v>
      </c>
      <c r="N11" s="775" t="s">
        <v>6510</v>
      </c>
      <c r="O11" s="774" t="s">
        <v>6511</v>
      </c>
      <c r="P11" s="776" t="s">
        <v>2926</v>
      </c>
      <c r="Q11" s="775" t="s">
        <v>3915</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6492</v>
      </c>
      <c r="B12" s="792" t="s">
        <v>6502</v>
      </c>
      <c r="C12" s="769" t="s">
        <v>6105</v>
      </c>
      <c r="D12" s="778" t="s">
        <v>1325</v>
      </c>
      <c r="E12" s="778" t="s">
        <v>6105</v>
      </c>
      <c r="F12" s="772" t="str">
        <f>HYPERLINK("https://www.twitch.tv/videos/569558488","14.31")</f>
        <v>14.31</v>
      </c>
      <c r="G12" s="773"/>
      <c r="H12" s="778" t="s">
        <v>4545</v>
      </c>
      <c r="I12" s="778" t="str">
        <f>HYPERLINK("https://youtu.be/F4XtupQ5d4o","14.33")</f>
        <v>14.33</v>
      </c>
      <c r="J12" s="778" t="s">
        <v>4545</v>
      </c>
      <c r="K12" s="778" t="s">
        <v>3207</v>
      </c>
      <c r="L12" s="778"/>
      <c r="M12" s="778" t="str">
        <f>HYPERLINK("https://www.youtube.com/watch?v=h3GaauXfeR4","14.16")</f>
        <v>14.16</v>
      </c>
      <c r="N12" s="778" t="str">
        <f>HYPERLINK("https://youtu.be/rZW3Nzg9CsM","14.20")</f>
        <v>14.20</v>
      </c>
      <c r="O12" s="778"/>
      <c r="P12" s="776" t="s">
        <v>4422</v>
      </c>
      <c r="Q12" s="778" t="s">
        <v>2361</v>
      </c>
      <c r="R12" s="778" t="s">
        <v>4028</v>
      </c>
      <c r="S12" s="778"/>
      <c r="T12" s="778"/>
      <c r="U12" s="778" t="s">
        <v>5619</v>
      </c>
      <c r="V12" s="778"/>
      <c r="W12" s="778" t="s">
        <v>4660</v>
      </c>
      <c r="X12" s="778"/>
      <c r="Y12" s="778"/>
      <c r="Z12" s="778"/>
      <c r="AA12" s="778" t="s">
        <v>6297</v>
      </c>
      <c r="AB12" s="778"/>
      <c r="AC12" s="778"/>
      <c r="AD12" s="778" t="s">
        <v>683</v>
      </c>
      <c r="AE12" s="778" t="s">
        <v>6512</v>
      </c>
      <c r="AF12" s="778"/>
      <c r="AG12" s="778" t="s">
        <v>5371</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6508</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6497</v>
      </c>
      <c r="B14" s="794" t="s">
        <v>6513</v>
      </c>
      <c r="C14" s="769" t="s">
        <v>6514</v>
      </c>
      <c r="D14" s="778" t="s">
        <v>5533</v>
      </c>
      <c r="E14" s="778"/>
      <c r="F14" s="787"/>
      <c r="G14" s="784" t="s">
        <v>2230</v>
      </c>
      <c r="H14" s="778"/>
      <c r="I14" s="778"/>
      <c r="J14" s="778"/>
      <c r="K14" s="778"/>
      <c r="L14" s="778"/>
      <c r="M14" s="778" t="s">
        <v>6514</v>
      </c>
      <c r="N14" s="778"/>
      <c r="O14" s="778"/>
      <c r="P14" s="776"/>
      <c r="Q14" s="778"/>
      <c r="R14" s="778"/>
      <c r="S14" s="778" t="s">
        <v>6515</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6516</v>
      </c>
      <c r="C15" s="769" t="s">
        <v>6517</v>
      </c>
      <c r="D15" s="775" t="s">
        <v>6518</v>
      </c>
      <c r="E15" s="774" t="s">
        <v>1143</v>
      </c>
      <c r="F15" s="772" t="s">
        <v>2305</v>
      </c>
      <c r="G15" s="790" t="s">
        <v>6519</v>
      </c>
      <c r="H15" s="775" t="s">
        <v>6520</v>
      </c>
      <c r="I15" s="775"/>
      <c r="J15" s="774" t="s">
        <v>6521</v>
      </c>
      <c r="K15" s="775"/>
      <c r="L15" s="775" t="s">
        <v>6521</v>
      </c>
      <c r="M15" s="775"/>
      <c r="N15" s="775"/>
      <c r="O15" s="774" t="s">
        <v>1931</v>
      </c>
      <c r="P15" s="776" t="s">
        <v>6522</v>
      </c>
      <c r="Q15" s="775" t="s">
        <v>6523</v>
      </c>
      <c r="R15" s="775"/>
      <c r="S15" s="775"/>
      <c r="T15" s="775" t="s">
        <v>6514</v>
      </c>
      <c r="U15" s="775"/>
      <c r="V15" s="775" t="s">
        <v>6521</v>
      </c>
      <c r="W15" s="775"/>
      <c r="X15" s="774" t="s">
        <v>1931</v>
      </c>
      <c r="Y15" s="775"/>
      <c r="Z15" s="775"/>
      <c r="AA15" s="775"/>
      <c r="AB15" s="775"/>
      <c r="AC15" s="775"/>
      <c r="AD15" s="775"/>
      <c r="AE15" s="775"/>
      <c r="AF15" s="774" t="s">
        <v>6517</v>
      </c>
      <c r="AG15" s="775" t="s">
        <v>3930</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6524</v>
      </c>
      <c r="B16" s="786" t="s">
        <v>6525</v>
      </c>
      <c r="C16" s="769" t="s">
        <v>2524</v>
      </c>
      <c r="D16" s="795" t="s">
        <v>1321</v>
      </c>
      <c r="E16" s="778" t="s">
        <v>2524</v>
      </c>
      <c r="F16" s="787"/>
      <c r="G16" s="773"/>
      <c r="H16" s="778"/>
      <c r="I16" s="778" t="str">
        <f>HYPERLINK("https://youtu.be/t-1yqXLdZMA","38.05")</f>
        <v>38.05</v>
      </c>
      <c r="J16" s="778" t="s">
        <v>6526</v>
      </c>
      <c r="K16" s="778" t="s">
        <v>2356</v>
      </c>
      <c r="L16" s="778" t="s">
        <v>966</v>
      </c>
      <c r="M16" s="778" t="s">
        <v>3120</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6527</v>
      </c>
      <c r="B17" s="786" t="s">
        <v>6525</v>
      </c>
      <c r="C17" s="796"/>
      <c r="D17" s="797" t="s">
        <v>6528</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6529</v>
      </c>
      <c r="B18" s="768" t="s">
        <v>6530</v>
      </c>
      <c r="C18" s="769" t="s">
        <v>1864</v>
      </c>
      <c r="D18" s="778" t="s">
        <v>4747</v>
      </c>
      <c r="E18" s="778" t="s">
        <v>1221</v>
      </c>
      <c r="F18" s="772" t="s">
        <v>4546</v>
      </c>
      <c r="G18" s="779"/>
      <c r="H18" s="778"/>
      <c r="I18" s="778" t="s">
        <v>4301</v>
      </c>
      <c r="J18" s="778"/>
      <c r="K18" s="778" t="s">
        <v>6531</v>
      </c>
      <c r="L18" s="778"/>
      <c r="M18" s="778" t="s">
        <v>6532</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4180</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6533</v>
      </c>
      <c r="C19" s="769" t="s">
        <v>2963</v>
      </c>
      <c r="D19" s="778"/>
      <c r="E19" s="778" t="s">
        <v>1012</v>
      </c>
      <c r="F19" s="787"/>
      <c r="G19" s="773"/>
      <c r="H19" s="778"/>
      <c r="I19" s="778"/>
      <c r="J19" s="778"/>
      <c r="K19" s="778" t="s">
        <v>6534</v>
      </c>
      <c r="L19" s="778"/>
      <c r="M19" s="778"/>
      <c r="N19" s="778"/>
      <c r="O19" s="778"/>
      <c r="P19" s="776"/>
      <c r="Q19" s="778" t="s">
        <v>6535</v>
      </c>
      <c r="R19" s="778" t="s">
        <v>6536</v>
      </c>
      <c r="S19" s="778"/>
      <c r="T19" s="778"/>
      <c r="U19" s="778"/>
      <c r="V19" s="778"/>
      <c r="W19" s="778"/>
      <c r="X19" s="778"/>
      <c r="Y19" s="778"/>
      <c r="Z19" s="778"/>
      <c r="AA19" s="778"/>
      <c r="AB19" s="778"/>
      <c r="AC19" s="778"/>
      <c r="AD19" s="778"/>
      <c r="AE19" s="778"/>
      <c r="AF19" s="778"/>
      <c r="AG19" s="778"/>
      <c r="AH19" s="778"/>
      <c r="AI19" s="778" t="s">
        <v>3958</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6537</v>
      </c>
      <c r="C20" s="769" t="s">
        <v>6538</v>
      </c>
      <c r="D20" s="778" t="s">
        <v>1634</v>
      </c>
      <c r="E20" s="778" t="s">
        <v>6538</v>
      </c>
      <c r="F20" s="772" t="s">
        <v>1390</v>
      </c>
      <c r="G20" s="788" t="s">
        <v>684</v>
      </c>
      <c r="H20" s="778" t="s">
        <v>4407</v>
      </c>
      <c r="I20" s="778" t="str">
        <f>HYPERLINK("https://clips.twitch.tv/EnergeticBeautifulMallardRalpherZ","42.96")</f>
        <v>42.96</v>
      </c>
      <c r="J20" s="778" t="s">
        <v>376</v>
      </c>
      <c r="K20" s="778" t="s">
        <v>1500</v>
      </c>
      <c r="L20" s="778" t="s">
        <v>646</v>
      </c>
      <c r="M20" s="778" t="s">
        <v>609</v>
      </c>
      <c r="N20" s="778" t="s">
        <v>1982</v>
      </c>
      <c r="O20" s="778" t="s">
        <v>1039</v>
      </c>
      <c r="P20" s="776" t="s">
        <v>3267</v>
      </c>
      <c r="Q20" s="778" t="s">
        <v>1634</v>
      </c>
      <c r="R20" s="778"/>
      <c r="S20" s="778" t="s">
        <v>2676</v>
      </c>
      <c r="T20" s="778"/>
      <c r="U20" s="778" t="s">
        <v>2321</v>
      </c>
      <c r="V20" s="778" t="s">
        <v>568</v>
      </c>
      <c r="W20" s="778"/>
      <c r="X20" s="778"/>
      <c r="Y20" s="778" t="s">
        <v>3908</v>
      </c>
      <c r="Z20" s="778"/>
      <c r="AA20" s="778" t="s">
        <v>5214</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6539</v>
      </c>
      <c r="B21" s="768" t="s">
        <v>6540</v>
      </c>
      <c r="C21" s="769" t="s">
        <v>6514</v>
      </c>
      <c r="D21" s="798"/>
      <c r="E21" s="798" t="s">
        <v>753</v>
      </c>
      <c r="F21" s="787" t="s">
        <v>4253</v>
      </c>
      <c r="G21" s="773"/>
      <c r="H21" s="798"/>
      <c r="I21" s="798"/>
      <c r="J21" s="798"/>
      <c r="K21" s="798"/>
      <c r="L21" s="798"/>
      <c r="M21" s="798"/>
      <c r="N21" s="798"/>
      <c r="O21" s="798"/>
      <c r="P21" s="799"/>
      <c r="Q21" s="798" t="s">
        <v>6541</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6542</v>
      </c>
      <c r="C22" s="769" t="s">
        <v>6543</v>
      </c>
      <c r="D22" s="778"/>
      <c r="E22" s="778" t="s">
        <v>3930</v>
      </c>
      <c r="F22" s="787"/>
      <c r="G22" s="790" t="s">
        <v>552</v>
      </c>
      <c r="H22" s="778" t="s">
        <v>6544</v>
      </c>
      <c r="I22" s="778"/>
      <c r="J22" s="778"/>
      <c r="K22" s="778"/>
      <c r="L22" s="778" t="s">
        <v>816</v>
      </c>
      <c r="M22" s="778"/>
      <c r="N22" s="778"/>
      <c r="O22" s="778"/>
      <c r="P22" s="776"/>
      <c r="Q22" s="778" t="s">
        <v>3192</v>
      </c>
      <c r="R22" s="778"/>
      <c r="S22" s="778"/>
      <c r="T22" s="778"/>
      <c r="U22" s="778"/>
      <c r="V22" s="778"/>
      <c r="W22" s="778"/>
      <c r="X22" s="778" t="s">
        <v>6545</v>
      </c>
      <c r="Y22" s="778"/>
      <c r="Z22" s="778"/>
      <c r="AA22" s="778"/>
      <c r="AB22" s="778"/>
      <c r="AC22" s="778"/>
      <c r="AD22" s="778"/>
      <c r="AE22" s="778"/>
      <c r="AF22" s="778" t="s">
        <v>6543</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6546</v>
      </c>
      <c r="B23" s="768" t="s">
        <v>6547</v>
      </c>
      <c r="C23" s="769" t="s">
        <v>253</v>
      </c>
      <c r="D23" s="778"/>
      <c r="E23" s="778" t="s">
        <v>253</v>
      </c>
      <c r="F23" s="787"/>
      <c r="G23" s="773"/>
      <c r="H23" s="778"/>
      <c r="I23" s="778"/>
      <c r="J23" s="778"/>
      <c r="K23" s="778"/>
      <c r="L23" s="778"/>
      <c r="M23" s="778"/>
      <c r="N23" s="778" t="s">
        <v>6548</v>
      </c>
      <c r="O23" s="778"/>
      <c r="P23" s="776"/>
      <c r="Q23" s="778" t="s">
        <v>6549</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6550</v>
      </c>
      <c r="C24" s="769" t="s">
        <v>6551</v>
      </c>
      <c r="D24" s="778"/>
      <c r="E24" s="778" t="s">
        <v>1148</v>
      </c>
      <c r="F24" s="787"/>
      <c r="G24" s="788" t="s">
        <v>3550</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6552</v>
      </c>
      <c r="C25" s="769" t="s">
        <v>2929</v>
      </c>
      <c r="D25" s="774" t="s">
        <v>1636</v>
      </c>
      <c r="E25" s="778" t="s">
        <v>6553</v>
      </c>
      <c r="F25" s="787"/>
      <c r="G25" s="802" t="s">
        <v>3180</v>
      </c>
      <c r="H25" s="778"/>
      <c r="I25" s="778"/>
      <c r="J25" s="778"/>
      <c r="K25" s="778"/>
      <c r="L25" s="778"/>
      <c r="M25" s="778"/>
      <c r="N25" s="778"/>
      <c r="O25" s="778"/>
      <c r="P25" s="776"/>
      <c r="Q25" s="778"/>
      <c r="R25" s="778"/>
      <c r="S25" s="778"/>
      <c r="T25" s="778"/>
      <c r="U25" s="778"/>
      <c r="V25" s="778"/>
      <c r="W25" s="778"/>
      <c r="X25" s="778"/>
      <c r="Y25" s="778" t="s">
        <v>4620</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6554</v>
      </c>
      <c r="C26" s="769" t="s">
        <v>6555</v>
      </c>
      <c r="D26" s="778"/>
      <c r="E26" s="778" t="s">
        <v>6555</v>
      </c>
      <c r="F26" s="772" t="s">
        <v>1392</v>
      </c>
      <c r="G26" s="779"/>
      <c r="H26" s="778"/>
      <c r="I26" s="778"/>
      <c r="J26" s="778" t="s">
        <v>6556</v>
      </c>
      <c r="K26" s="778" t="s">
        <v>6557</v>
      </c>
      <c r="L26" s="778"/>
      <c r="M26" s="778"/>
      <c r="N26" s="778"/>
      <c r="O26" s="778" t="s">
        <v>6558</v>
      </c>
      <c r="P26" s="776" t="s">
        <v>6559</v>
      </c>
      <c r="Q26" s="778" t="s">
        <v>6560</v>
      </c>
      <c r="R26" s="778"/>
      <c r="S26" s="778" t="s">
        <v>2678</v>
      </c>
      <c r="T26" s="778" t="s">
        <v>3284</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6492</v>
      </c>
      <c r="B27" s="786" t="s">
        <v>6561</v>
      </c>
      <c r="C27" s="769" t="s">
        <v>5401</v>
      </c>
      <c r="D27" s="778" t="s">
        <v>493</v>
      </c>
      <c r="E27" s="778" t="s">
        <v>5401</v>
      </c>
      <c r="F27" s="772" t="s">
        <v>5573</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6562</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6563</v>
      </c>
      <c r="C28" s="769" t="s">
        <v>2887</v>
      </c>
      <c r="D28" s="778"/>
      <c r="E28" s="778" t="s">
        <v>2887</v>
      </c>
      <c r="F28" s="787"/>
      <c r="G28" s="779"/>
      <c r="H28" s="778"/>
      <c r="I28" s="778"/>
      <c r="J28" s="778"/>
      <c r="K28" s="778" t="s">
        <v>6564</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6565</v>
      </c>
      <c r="C29" s="769" t="s">
        <v>4319</v>
      </c>
      <c r="D29" s="778"/>
      <c r="E29" s="778" t="s">
        <v>1908</v>
      </c>
      <c r="F29" s="787"/>
      <c r="G29" s="802" t="s">
        <v>6564</v>
      </c>
      <c r="H29" s="778"/>
      <c r="I29" s="778" t="s">
        <v>4940</v>
      </c>
      <c r="J29" s="778" t="s">
        <v>802</v>
      </c>
      <c r="K29" s="778" t="s">
        <v>3551</v>
      </c>
      <c r="L29" s="778"/>
      <c r="M29" s="778" t="s">
        <v>1516</v>
      </c>
      <c r="N29" s="778" t="s">
        <v>6564</v>
      </c>
      <c r="O29" s="778"/>
      <c r="P29" s="776"/>
      <c r="Q29" s="778"/>
      <c r="R29" s="778"/>
      <c r="S29" s="778"/>
      <c r="T29" s="778"/>
      <c r="U29" s="778"/>
      <c r="V29" s="778"/>
      <c r="W29" s="778" t="s">
        <v>462</v>
      </c>
      <c r="X29" s="778"/>
      <c r="Y29" s="778"/>
      <c r="Z29" s="778"/>
      <c r="AA29" s="778" t="s">
        <v>6566</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6567</v>
      </c>
      <c r="C30" s="769" t="s">
        <v>2055</v>
      </c>
      <c r="D30" s="778"/>
      <c r="E30" s="778" t="s">
        <v>1493</v>
      </c>
      <c r="F30" s="772" t="s">
        <v>4888</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6568</v>
      </c>
      <c r="C31" s="769" t="s">
        <v>3918</v>
      </c>
      <c r="D31" s="778"/>
      <c r="E31" s="778" t="s">
        <v>3918</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6569</v>
      </c>
      <c r="C32" s="769" t="s">
        <v>2803</v>
      </c>
      <c r="D32" s="778"/>
      <c r="E32" s="778" t="s">
        <v>3153</v>
      </c>
      <c r="F32" s="787"/>
      <c r="G32" s="779"/>
      <c r="H32" s="778"/>
      <c r="I32" s="778"/>
      <c r="J32" s="778"/>
      <c r="K32" s="778" t="s">
        <v>4319</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6570</v>
      </c>
      <c r="C33" s="769" t="s">
        <v>2930</v>
      </c>
      <c r="D33" s="778"/>
      <c r="E33" s="778" t="s">
        <v>3551</v>
      </c>
      <c r="F33" s="787"/>
      <c r="G33" s="773"/>
      <c r="H33" s="778"/>
      <c r="I33" s="778"/>
      <c r="J33" s="778" t="s">
        <v>2930</v>
      </c>
      <c r="K33" s="778" t="s">
        <v>3918</v>
      </c>
      <c r="L33" s="778"/>
      <c r="M33" s="778" t="s">
        <v>4951</v>
      </c>
      <c r="N33" s="778"/>
      <c r="O33" s="778"/>
      <c r="P33" s="776"/>
      <c r="Q33" s="778" t="s">
        <v>6571</v>
      </c>
      <c r="R33" s="774" t="s">
        <v>2930</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6572</v>
      </c>
      <c r="C34" s="769" t="s">
        <v>4233</v>
      </c>
      <c r="D34" s="778"/>
      <c r="E34" s="778" t="s">
        <v>3893</v>
      </c>
      <c r="F34" s="787"/>
      <c r="G34" s="779"/>
      <c r="H34" s="778"/>
      <c r="I34" s="778"/>
      <c r="J34" s="778" t="s">
        <v>4233</v>
      </c>
      <c r="K34" s="778" t="s">
        <v>6573</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6574</v>
      </c>
      <c r="C35" s="769" t="s">
        <v>2399</v>
      </c>
      <c r="D35" s="778" t="s">
        <v>1637</v>
      </c>
      <c r="E35" s="778" t="s">
        <v>2930</v>
      </c>
      <c r="F35" s="787"/>
      <c r="G35" s="802" t="s">
        <v>2869</v>
      </c>
      <c r="H35" s="778"/>
      <c r="I35" s="778" t="s">
        <v>6575</v>
      </c>
      <c r="J35" s="778" t="s">
        <v>2399</v>
      </c>
      <c r="K35" s="778" t="s">
        <v>2354</v>
      </c>
      <c r="L35" s="778"/>
      <c r="M35" s="778" t="s">
        <v>6573</v>
      </c>
      <c r="N35" s="778"/>
      <c r="O35" s="778"/>
      <c r="P35" s="776"/>
      <c r="Q35" s="778" t="s">
        <v>1824</v>
      </c>
      <c r="R35" s="778"/>
      <c r="S35" s="778"/>
      <c r="T35" s="778"/>
      <c r="U35" s="778" t="s">
        <v>5880</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6576</v>
      </c>
      <c r="C36" s="769" t="s">
        <v>791</v>
      </c>
      <c r="D36" s="778"/>
      <c r="E36" s="778" t="s">
        <v>4000</v>
      </c>
      <c r="F36" s="772" t="s">
        <v>3764</v>
      </c>
      <c r="G36" s="788" t="s">
        <v>2803</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4000</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6497</v>
      </c>
      <c r="B37" s="786" t="s">
        <v>6577</v>
      </c>
      <c r="C37" s="769" t="s">
        <v>4393</v>
      </c>
      <c r="D37" s="778" t="s">
        <v>6578</v>
      </c>
      <c r="E37" s="778" t="s">
        <v>4393</v>
      </c>
      <c r="F37" s="772" t="s">
        <v>2999</v>
      </c>
      <c r="G37" s="802" t="s">
        <v>2612</v>
      </c>
      <c r="H37" s="778"/>
      <c r="I37" s="778"/>
      <c r="J37" s="778"/>
      <c r="K37" s="778" t="s">
        <v>358</v>
      </c>
      <c r="L37" s="778"/>
      <c r="M37" s="778"/>
      <c r="N37" s="778"/>
      <c r="O37" s="778"/>
      <c r="P37" s="776"/>
      <c r="Q37" s="778" t="s">
        <v>3161</v>
      </c>
      <c r="R37" s="778"/>
      <c r="S37" s="778"/>
      <c r="T37" s="778"/>
      <c r="U37" s="778"/>
      <c r="V37" s="778"/>
      <c r="W37" s="778" t="s">
        <v>6579</v>
      </c>
      <c r="X37" s="778" t="s">
        <v>1883</v>
      </c>
      <c r="Y37" s="778"/>
      <c r="Z37" s="778"/>
      <c r="AA37" s="778" t="s">
        <v>3622</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6580</v>
      </c>
      <c r="C38" s="769" t="s">
        <v>2629</v>
      </c>
      <c r="D38" s="778" t="s">
        <v>3363</v>
      </c>
      <c r="E38" s="778" t="s">
        <v>3673</v>
      </c>
      <c r="F38" s="772" t="s">
        <v>735</v>
      </c>
      <c r="G38" s="788" t="s">
        <v>4622</v>
      </c>
      <c r="H38" s="778" t="s">
        <v>6581</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6524</v>
      </c>
      <c r="B39" s="786" t="s">
        <v>6525</v>
      </c>
      <c r="C39" s="769" t="s">
        <v>3401</v>
      </c>
      <c r="D39" s="783" t="s">
        <v>668</v>
      </c>
      <c r="E39" s="778" t="s">
        <v>2942</v>
      </c>
      <c r="F39" s="787"/>
      <c r="G39" s="773"/>
      <c r="H39" s="778"/>
      <c r="I39" s="778" t="s">
        <v>1805</v>
      </c>
      <c r="J39" s="778"/>
      <c r="K39" s="778" t="s">
        <v>6582</v>
      </c>
      <c r="L39" s="778" t="s">
        <v>277</v>
      </c>
      <c r="M39" s="778" t="s">
        <v>815</v>
      </c>
      <c r="N39" s="778" t="str">
        <f>HYPERLINK("https://youtu.be/Z3lDpXDeu-A","48.50")</f>
        <v>48.50</v>
      </c>
      <c r="O39" s="778"/>
      <c r="P39" s="776"/>
      <c r="Q39" s="778"/>
      <c r="R39" s="778"/>
      <c r="S39" s="778" t="s">
        <v>3401</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6583</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6584</v>
      </c>
      <c r="C41" s="769" t="s">
        <v>3378</v>
      </c>
      <c r="D41" s="776"/>
      <c r="E41" s="776"/>
      <c r="F41" s="787"/>
      <c r="G41" s="773"/>
      <c r="H41" s="776"/>
      <c r="I41" s="805" t="s">
        <v>3378</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6585</v>
      </c>
      <c r="C42" s="769" t="s">
        <v>5399</v>
      </c>
      <c r="D42" s="797" t="s">
        <v>6145</v>
      </c>
      <c r="E42" s="776"/>
      <c r="F42" s="787"/>
      <c r="G42" s="779"/>
      <c r="H42" s="776"/>
      <c r="I42" s="805" t="s">
        <v>5399</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6527</v>
      </c>
      <c r="B43" s="786" t="s">
        <v>6525</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6586</v>
      </c>
      <c r="C44" s="796"/>
      <c r="D44" s="797" t="s">
        <v>6587</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6588</v>
      </c>
      <c r="B45" s="768" t="s">
        <v>6589</v>
      </c>
      <c r="C45" s="769" t="s">
        <v>1046</v>
      </c>
      <c r="D45" s="778" t="s">
        <v>5282</v>
      </c>
      <c r="E45" s="778" t="s">
        <v>6590</v>
      </c>
      <c r="F45" s="787"/>
      <c r="G45" s="773"/>
      <c r="H45" s="778" t="s">
        <v>5296</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5446</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6591</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3528</v>
      </c>
      <c r="V46" s="775"/>
      <c r="W46" s="775"/>
      <c r="X46" s="775"/>
      <c r="Y46" s="774" t="s">
        <v>3413</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6592</v>
      </c>
      <c r="B47" s="768" t="s">
        <v>6593</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6476</v>
      </c>
      <c r="C48" s="769" t="s">
        <v>353</v>
      </c>
      <c r="D48" s="783" t="s">
        <v>6594</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6595</v>
      </c>
      <c r="B50" s="817" t="s">
        <v>6596</v>
      </c>
      <c r="C50" s="818" t="s">
        <v>2004</v>
      </c>
      <c r="D50" s="778"/>
      <c r="E50" s="778" t="s">
        <v>1550</v>
      </c>
      <c r="F50" s="772" t="s">
        <v>1962</v>
      </c>
      <c r="G50" s="773"/>
      <c r="H50" s="778"/>
      <c r="I50" s="778" t="s">
        <v>6144</v>
      </c>
      <c r="J50" s="778" t="s">
        <v>2004</v>
      </c>
      <c r="K50" s="778" t="s">
        <v>4695</v>
      </c>
      <c r="L50" s="778" t="s">
        <v>871</v>
      </c>
      <c r="M50" s="778" t="s">
        <v>782</v>
      </c>
      <c r="N50" s="778" t="s">
        <v>3010</v>
      </c>
      <c r="O50" s="778"/>
      <c r="P50" s="776" t="s">
        <v>3485</v>
      </c>
      <c r="Q50" s="778" t="s">
        <v>1184</v>
      </c>
      <c r="R50" s="778" t="s">
        <v>6597</v>
      </c>
      <c r="S50" s="778"/>
      <c r="T50" s="778"/>
      <c r="U50" s="778" t="s">
        <v>2751</v>
      </c>
      <c r="V50" s="778"/>
      <c r="W50" s="778"/>
      <c r="X50" s="778"/>
      <c r="Y50" s="778" t="s">
        <v>3520</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6598</v>
      </c>
      <c r="C51" s="818" t="s">
        <v>3344</v>
      </c>
      <c r="D51" s="778"/>
      <c r="E51" s="778" t="s">
        <v>3344</v>
      </c>
      <c r="F51" s="787"/>
      <c r="G51" s="823"/>
      <c r="H51" s="778"/>
      <c r="I51" s="778"/>
      <c r="J51" s="778"/>
      <c r="K51" s="778"/>
      <c r="L51" s="778"/>
      <c r="M51" s="778"/>
      <c r="N51" s="778"/>
      <c r="O51" s="778" t="s">
        <v>410</v>
      </c>
      <c r="P51" s="776" t="s">
        <v>1433</v>
      </c>
      <c r="Q51" s="778" t="s">
        <v>834</v>
      </c>
      <c r="R51" s="778"/>
      <c r="S51" s="778"/>
      <c r="T51" s="778" t="s">
        <v>5858</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6599</v>
      </c>
      <c r="C52" s="818">
        <v>52.89</v>
      </c>
      <c r="D52" s="824" t="s">
        <v>4709</v>
      </c>
      <c r="E52" s="825"/>
      <c r="F52" s="787"/>
      <c r="G52" s="773"/>
      <c r="H52" s="825"/>
      <c r="I52" s="825"/>
      <c r="J52" s="825"/>
      <c r="K52" s="825"/>
      <c r="L52" s="825"/>
      <c r="M52" s="825"/>
      <c r="N52" s="826" t="s">
        <v>6600</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6601</v>
      </c>
      <c r="C53" s="818" t="s">
        <v>238</v>
      </c>
      <c r="D53" s="778" t="s">
        <v>506</v>
      </c>
      <c r="E53" s="824" t="s">
        <v>354</v>
      </c>
      <c r="F53" s="772" t="s">
        <v>1398</v>
      </c>
      <c r="G53" s="827" t="s">
        <v>3181</v>
      </c>
      <c r="H53" s="772" t="s">
        <v>370</v>
      </c>
      <c r="I53" s="824"/>
      <c r="J53" s="824"/>
      <c r="K53" s="824"/>
      <c r="L53" s="824"/>
      <c r="M53" s="824"/>
      <c r="N53" s="824"/>
      <c r="O53" s="824" t="s">
        <v>6602</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6497</v>
      </c>
      <c r="B54" s="829" t="s">
        <v>6596</v>
      </c>
      <c r="C54" s="818" t="s">
        <v>3776</v>
      </c>
      <c r="D54" s="824"/>
      <c r="E54" s="824" t="s">
        <v>5177</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6598</v>
      </c>
      <c r="C55" s="818" t="s">
        <v>479</v>
      </c>
      <c r="D55" s="824"/>
      <c r="E55" s="824" t="s">
        <v>6603</v>
      </c>
      <c r="F55" s="787"/>
      <c r="G55" s="823"/>
      <c r="H55" s="824" t="s">
        <v>479</v>
      </c>
      <c r="I55" s="824"/>
      <c r="J55" s="824"/>
      <c r="K55" s="824"/>
      <c r="L55" s="824"/>
      <c r="M55" s="824"/>
      <c r="N55" s="824"/>
      <c r="O55" s="824"/>
      <c r="P55" s="776" t="s">
        <v>6604</v>
      </c>
      <c r="Q55" s="824" t="s">
        <v>2231</v>
      </c>
      <c r="R55" s="824"/>
      <c r="S55" s="824"/>
      <c r="T55" s="824"/>
      <c r="U55" s="824"/>
      <c r="V55" s="824"/>
      <c r="W55" s="824"/>
      <c r="X55" s="824" t="s">
        <v>4247</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6599</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6601</v>
      </c>
      <c r="C57" s="818" t="s">
        <v>423</v>
      </c>
      <c r="D57" s="824"/>
      <c r="E57" s="824" t="s">
        <v>3210</v>
      </c>
      <c r="F57" s="772" t="s">
        <v>6605</v>
      </c>
      <c r="G57" s="827" t="s">
        <v>3361</v>
      </c>
      <c r="H57" s="772" t="s">
        <v>641</v>
      </c>
      <c r="I57" s="824"/>
      <c r="J57" s="824"/>
      <c r="K57" s="824"/>
      <c r="L57" s="824"/>
      <c r="M57" s="824"/>
      <c r="N57" s="824"/>
      <c r="O57" s="772" t="s">
        <v>3975</v>
      </c>
      <c r="P57" s="776" t="s">
        <v>6606</v>
      </c>
      <c r="Q57" s="824" t="s">
        <v>6535</v>
      </c>
      <c r="R57" s="824" t="s">
        <v>799</v>
      </c>
      <c r="S57" s="824"/>
      <c r="T57" s="824"/>
      <c r="U57" s="824"/>
      <c r="V57" s="824"/>
      <c r="W57" s="824"/>
      <c r="X57" s="824"/>
      <c r="Y57" s="824"/>
      <c r="Z57" s="824" t="s">
        <v>3975</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6492</v>
      </c>
      <c r="B58" s="831" t="s">
        <v>6476</v>
      </c>
      <c r="C58" s="818" t="s">
        <v>4227</v>
      </c>
      <c r="D58" s="780"/>
      <c r="E58" s="780"/>
      <c r="F58" s="787"/>
      <c r="G58" s="802" t="s">
        <v>759</v>
      </c>
      <c r="H58" s="832" t="s">
        <v>4227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6478</v>
      </c>
      <c r="B59" s="817" t="s">
        <v>6476</v>
      </c>
      <c r="C59" s="818" t="s">
        <v>2107</v>
      </c>
      <c r="D59" s="808" t="s">
        <v>6607</v>
      </c>
      <c r="E59" s="808"/>
      <c r="F59" s="787"/>
      <c r="G59" s="827" t="s">
        <v>3329</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6492</v>
      </c>
      <c r="B60" s="829" t="s">
        <v>6608</v>
      </c>
      <c r="C60" s="818" t="s">
        <v>3748</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6609</v>
      </c>
      <c r="Z60" s="808"/>
      <c r="AA60" s="808"/>
      <c r="AB60" s="808"/>
      <c r="AC60" s="808"/>
      <c r="AD60" s="808"/>
      <c r="AE60" s="808"/>
      <c r="AF60" s="808"/>
      <c r="AG60" s="808"/>
      <c r="AH60" s="808"/>
      <c r="AI60" s="808"/>
      <c r="AJ60" s="808"/>
      <c r="AK60" s="808"/>
      <c r="AL60" s="808"/>
      <c r="AM60" s="808"/>
      <c r="AN60" s="808"/>
      <c r="AO60" s="808"/>
      <c r="AP60" s="771" t="s">
        <v>6610</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6611</v>
      </c>
      <c r="C61" s="818" t="s">
        <v>1307</v>
      </c>
      <c r="D61" s="776" t="s">
        <v>6535</v>
      </c>
      <c r="E61" s="776"/>
      <c r="F61" s="787"/>
      <c r="G61" s="827" t="s">
        <v>2458</v>
      </c>
      <c r="H61" s="805" t="s">
        <v>1307</v>
      </c>
      <c r="I61" s="776"/>
      <c r="J61" s="776"/>
      <c r="K61" s="776"/>
      <c r="L61" s="776"/>
      <c r="M61" s="776"/>
      <c r="N61" s="776"/>
      <c r="O61" s="776"/>
      <c r="P61" s="776"/>
      <c r="Q61" s="776"/>
      <c r="R61" s="774" t="s">
        <v>6612</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6497</v>
      </c>
      <c r="B62" s="829" t="s">
        <v>6608</v>
      </c>
      <c r="C62" s="836" t="s">
        <v>1078</v>
      </c>
      <c r="D62" s="776" t="s">
        <v>4310</v>
      </c>
      <c r="E62" s="776"/>
      <c r="F62" s="787"/>
      <c r="G62" s="773"/>
      <c r="H62" s="776"/>
      <c r="I62" s="776"/>
      <c r="J62" s="805" t="s">
        <v>6220</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5100</v>
      </c>
      <c r="AV62" s="776"/>
      <c r="AW62" s="776"/>
      <c r="AX62" s="776"/>
      <c r="AY62" s="776"/>
      <c r="AZ62" s="776"/>
      <c r="BA62" s="776"/>
      <c r="BB62" s="776"/>
      <c r="BC62" s="780"/>
      <c r="BD62" s="780"/>
      <c r="BE62" s="776"/>
      <c r="BF62" s="835"/>
      <c r="BG62" s="835"/>
      <c r="BH62" s="780"/>
      <c r="BI62" s="780"/>
      <c r="BJ62" s="780"/>
    </row>
    <row r="63" ht="15.75" customHeight="1">
      <c r="A63" s="834"/>
      <c r="B63" s="822" t="s">
        <v>6611</v>
      </c>
      <c r="C63" s="818" t="s">
        <v>2411</v>
      </c>
      <c r="D63" s="778" t="s">
        <v>2438</v>
      </c>
      <c r="E63" s="778" t="s">
        <v>3585</v>
      </c>
      <c r="F63" s="787"/>
      <c r="G63" s="827" t="s">
        <v>2137</v>
      </c>
      <c r="H63" s="778" t="s">
        <v>591</v>
      </c>
      <c r="I63" s="778"/>
      <c r="J63" s="778" t="s">
        <v>6613</v>
      </c>
      <c r="K63" s="778"/>
      <c r="L63" s="778"/>
      <c r="M63" s="778" t="s">
        <v>3585</v>
      </c>
      <c r="N63" s="778"/>
      <c r="O63" s="778"/>
      <c r="P63" s="776"/>
      <c r="Q63" s="778"/>
      <c r="R63" s="778"/>
      <c r="S63" s="778"/>
      <c r="T63" s="778" t="s">
        <v>2940</v>
      </c>
      <c r="U63" s="778"/>
      <c r="V63" s="778" t="s">
        <v>3259</v>
      </c>
      <c r="W63" s="778" t="s">
        <v>5127</v>
      </c>
      <c r="X63" s="778"/>
      <c r="Y63" s="778"/>
      <c r="Z63" s="778" t="s">
        <v>4843</v>
      </c>
      <c r="AA63" s="778"/>
      <c r="AB63" s="778"/>
      <c r="AC63" s="778"/>
      <c r="AD63" s="778"/>
      <c r="AE63" s="778" t="s">
        <v>3776</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6614</v>
      </c>
      <c r="B64" s="817" t="s">
        <v>6615</v>
      </c>
      <c r="C64" s="818" t="str">
        <f>HYPERLINK("https://youtu.be/4OqNmNgyDyw","16.24")</f>
        <v>16.24</v>
      </c>
      <c r="D64" s="837"/>
      <c r="E64" s="837" t="s">
        <v>1260</v>
      </c>
      <c r="F64" s="787"/>
      <c r="G64" s="773"/>
      <c r="H64" s="837"/>
      <c r="I64" s="837"/>
      <c r="J64" s="837"/>
      <c r="K64" s="837"/>
      <c r="L64" s="837"/>
      <c r="M64" s="837"/>
      <c r="N64" s="774" t="s">
        <v>4104</v>
      </c>
      <c r="O64" s="837"/>
      <c r="P64" s="789"/>
      <c r="Q64" s="837" t="str">
        <f>HYPERLINK("https://clips.twitch.tv/ThankfulSpoopyHerdWOOP","16.58")</f>
        <v>16.58</v>
      </c>
      <c r="R64" s="837"/>
      <c r="S64" s="837"/>
      <c r="T64" s="837"/>
      <c r="U64" s="837" t="s">
        <v>3206</v>
      </c>
      <c r="V64" s="837"/>
      <c r="W64" s="837" t="s">
        <v>3417</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6616</v>
      </c>
      <c r="C65" s="818" t="s">
        <v>4177</v>
      </c>
      <c r="D65" s="778" t="s">
        <v>544</v>
      </c>
      <c r="E65" s="778"/>
      <c r="F65" s="772" t="s">
        <v>2262</v>
      </c>
      <c r="G65" s="823"/>
      <c r="H65" s="778" t="s">
        <v>4068</v>
      </c>
      <c r="I65" s="778" t="s">
        <v>412</v>
      </c>
      <c r="J65" s="778" t="s">
        <v>3795</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6617</v>
      </c>
      <c r="C66" s="818" t="s">
        <v>683</v>
      </c>
      <c r="D66" s="778" t="s">
        <v>1400</v>
      </c>
      <c r="E66" s="808" t="s">
        <v>872</v>
      </c>
      <c r="F66" s="772" t="s">
        <v>1400</v>
      </c>
      <c r="G66" s="773"/>
      <c r="H66" s="808" t="s">
        <v>1261</v>
      </c>
      <c r="I66" s="808" t="s">
        <v>1499</v>
      </c>
      <c r="J66" s="808" t="s">
        <v>4405</v>
      </c>
      <c r="K66" s="808" t="s">
        <v>2980</v>
      </c>
      <c r="L66" s="808" t="s">
        <v>6618</v>
      </c>
      <c r="M66" s="808" t="s">
        <v>5857</v>
      </c>
      <c r="N66" s="808" t="s">
        <v>362</v>
      </c>
      <c r="O66" s="808" t="s">
        <v>6619</v>
      </c>
      <c r="P66" s="809"/>
      <c r="Q66" s="808" t="s">
        <v>1900</v>
      </c>
      <c r="R66" s="808"/>
      <c r="S66" s="808" t="s">
        <v>1685</v>
      </c>
      <c r="T66" s="808"/>
      <c r="U66" s="808"/>
      <c r="V66" s="808"/>
      <c r="W66" s="808"/>
      <c r="X66" s="808"/>
      <c r="Y66" s="808"/>
      <c r="Z66" s="808"/>
      <c r="AA66" s="808" t="s">
        <v>4177</v>
      </c>
      <c r="AB66" s="808"/>
      <c r="AC66" s="808"/>
      <c r="AD66" s="808"/>
      <c r="AE66" s="808"/>
      <c r="AF66" s="808"/>
      <c r="AG66" s="808"/>
      <c r="AH66" s="808" t="s">
        <v>683</v>
      </c>
      <c r="AI66" s="808"/>
      <c r="AJ66" s="808" t="s">
        <v>6620</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6621</v>
      </c>
      <c r="B67" s="817" t="s">
        <v>6622</v>
      </c>
      <c r="C67" s="818" t="s">
        <v>2246</v>
      </c>
      <c r="D67" s="778"/>
      <c r="E67" s="778" t="s">
        <v>2246</v>
      </c>
      <c r="F67" s="772" t="s">
        <v>6400</v>
      </c>
      <c r="G67" s="823"/>
      <c r="H67" s="778"/>
      <c r="I67" s="778" t="s">
        <v>6623</v>
      </c>
      <c r="J67" s="778"/>
      <c r="K67" s="778" t="s">
        <v>6624</v>
      </c>
      <c r="L67" s="778"/>
      <c r="M67" s="778"/>
      <c r="N67" s="778" t="s">
        <v>6625</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6626</v>
      </c>
      <c r="C68" s="818" t="s">
        <v>357</v>
      </c>
      <c r="D68" s="778" t="s">
        <v>1549</v>
      </c>
      <c r="E68" s="778" t="s">
        <v>357</v>
      </c>
      <c r="F68" s="772" t="s">
        <v>1401</v>
      </c>
      <c r="G68" s="802" t="s">
        <v>1401</v>
      </c>
      <c r="H68" s="778" t="s">
        <v>1611</v>
      </c>
      <c r="I68" s="778" t="s">
        <v>1500</v>
      </c>
      <c r="J68" s="778" t="s">
        <v>4979</v>
      </c>
      <c r="K68" s="778" t="s">
        <v>6627</v>
      </c>
      <c r="L68" s="778" t="s">
        <v>873</v>
      </c>
      <c r="M68" s="778" t="s">
        <v>784</v>
      </c>
      <c r="N68" s="778" t="s">
        <v>1326</v>
      </c>
      <c r="O68" s="778" t="s">
        <v>2408</v>
      </c>
      <c r="P68" s="776" t="s">
        <v>3922</v>
      </c>
      <c r="Q68" s="778" t="s">
        <v>6628</v>
      </c>
      <c r="R68" s="778"/>
      <c r="S68" s="778" t="s">
        <v>4690</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6492</v>
      </c>
      <c r="B69" s="829" t="s">
        <v>6629</v>
      </c>
      <c r="C69" s="838" t="s">
        <v>4105</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4105</v>
      </c>
      <c r="BE69" s="778"/>
      <c r="BF69" s="819"/>
      <c r="BG69" s="819"/>
      <c r="BH69" s="780"/>
      <c r="BI69" s="780"/>
      <c r="BJ69" s="780"/>
    </row>
    <row r="70" ht="15.75" customHeight="1">
      <c r="A70" s="821"/>
      <c r="B70" s="822" t="s">
        <v>6630</v>
      </c>
      <c r="C70" s="818" t="s">
        <v>6035</v>
      </c>
      <c r="D70" s="778" t="s">
        <v>1643</v>
      </c>
      <c r="E70" s="778" t="s">
        <v>785</v>
      </c>
      <c r="F70" s="772" t="s">
        <v>1402</v>
      </c>
      <c r="G70" s="802" t="s">
        <v>2409</v>
      </c>
      <c r="H70" s="778" t="s">
        <v>6035</v>
      </c>
      <c r="I70" s="778" t="str">
        <f>HYPERLINK("https://www.youtube.com/watch?v=Imyo7x5mfG4&amp;feature=youtu.be","30.15")</f>
        <v>30.15</v>
      </c>
      <c r="J70" s="778" t="s">
        <v>1726</v>
      </c>
      <c r="K70" s="778" t="s">
        <v>1905</v>
      </c>
      <c r="L70" s="778" t="s">
        <v>582</v>
      </c>
      <c r="M70" s="778" t="s">
        <v>785</v>
      </c>
      <c r="N70" s="778" t="s">
        <v>582</v>
      </c>
      <c r="O70" s="778" t="s">
        <v>1049</v>
      </c>
      <c r="P70" s="776" t="s">
        <v>3308</v>
      </c>
      <c r="Q70" s="778" t="s">
        <v>6631</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6632</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6497</v>
      </c>
      <c r="B71" s="829" t="s">
        <v>6622</v>
      </c>
      <c r="C71" s="818" t="s">
        <v>4097</v>
      </c>
      <c r="D71" s="778"/>
      <c r="E71" s="778" t="s">
        <v>4097</v>
      </c>
      <c r="F71" s="772" t="s">
        <v>2566</v>
      </c>
      <c r="G71" s="823"/>
      <c r="H71" s="778"/>
      <c r="I71" s="778"/>
      <c r="J71" s="778"/>
      <c r="K71" s="778"/>
      <c r="L71" s="778"/>
      <c r="M71" s="778"/>
      <c r="N71" s="778"/>
      <c r="O71" s="778"/>
      <c r="P71" s="776"/>
      <c r="Q71" s="778"/>
      <c r="R71" s="778"/>
      <c r="S71" s="778"/>
      <c r="T71" s="778"/>
      <c r="U71" s="778"/>
      <c r="V71" s="778"/>
      <c r="W71" s="778" t="s">
        <v>3749</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6633</v>
      </c>
      <c r="C72" s="818" t="s">
        <v>2826</v>
      </c>
      <c r="D72" s="778" t="s">
        <v>2625</v>
      </c>
      <c r="E72" s="778" t="s">
        <v>2522</v>
      </c>
      <c r="F72" s="772" t="s">
        <v>6634</v>
      </c>
      <c r="G72" s="802" t="s">
        <v>4190</v>
      </c>
      <c r="H72" s="778"/>
      <c r="I72" s="778"/>
      <c r="J72" s="778"/>
      <c r="K72" s="778"/>
      <c r="L72" s="778"/>
      <c r="M72" s="778" t="s">
        <v>6635</v>
      </c>
      <c r="N72" s="778"/>
      <c r="O72" s="778"/>
      <c r="P72" s="776" t="s">
        <v>6636</v>
      </c>
      <c r="Q72" s="778"/>
      <c r="R72" s="778"/>
      <c r="S72" s="778" t="s">
        <v>3960</v>
      </c>
      <c r="T72" s="778"/>
      <c r="U72" s="778"/>
      <c r="V72" s="778" t="s">
        <v>6636</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6637</v>
      </c>
      <c r="C73" s="818" t="s">
        <v>3033</v>
      </c>
      <c r="D73" s="824"/>
      <c r="E73" s="824"/>
      <c r="F73" s="787"/>
      <c r="G73" s="823"/>
      <c r="H73" s="837" t="s">
        <v>3033</v>
      </c>
      <c r="I73" s="824"/>
      <c r="J73" s="824"/>
      <c r="K73" s="824"/>
      <c r="L73" s="824"/>
      <c r="M73" s="824"/>
      <c r="N73" s="824"/>
      <c r="O73" s="824" t="s">
        <v>3033</v>
      </c>
      <c r="P73" s="776" t="s">
        <v>5005</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6524</v>
      </c>
      <c r="B74" s="829" t="s">
        <v>6525</v>
      </c>
      <c r="C74" s="818" t="s">
        <v>6638</v>
      </c>
      <c r="D74" s="797" t="s">
        <v>1783</v>
      </c>
      <c r="E74" s="778" t="s">
        <v>364</v>
      </c>
      <c r="F74" s="787"/>
      <c r="G74" s="773"/>
      <c r="H74" s="778"/>
      <c r="I74" s="778"/>
      <c r="J74" s="778"/>
      <c r="K74" s="778"/>
      <c r="L74" s="778" t="s">
        <v>4322</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6527</v>
      </c>
      <c r="B75" s="829" t="s">
        <v>6525</v>
      </c>
      <c r="C75" s="818" t="s">
        <v>6639</v>
      </c>
      <c r="D75" s="797" t="s">
        <v>6639</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6539</v>
      </c>
      <c r="B76" s="817" t="s">
        <v>6640</v>
      </c>
      <c r="C76" s="818" t="s">
        <v>2304</v>
      </c>
      <c r="D76" s="778"/>
      <c r="E76" s="778" t="s">
        <v>2304</v>
      </c>
      <c r="F76" s="772" t="s">
        <v>6641</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6642</v>
      </c>
      <c r="C77" s="818" t="s">
        <v>2644</v>
      </c>
      <c r="D77" s="778" t="s">
        <v>3659</v>
      </c>
      <c r="E77" s="778" t="s">
        <v>2644</v>
      </c>
      <c r="F77" s="787"/>
      <c r="G77" s="773"/>
      <c r="H77" s="778"/>
      <c r="I77" s="778"/>
      <c r="J77" s="778"/>
      <c r="K77" s="778" t="s">
        <v>6643</v>
      </c>
      <c r="L77" s="778" t="s">
        <v>5222</v>
      </c>
      <c r="M77" s="778"/>
      <c r="N77" s="778" t="str">
        <f>HYPERLINK("https://youtu.be/HUwmtKe7cOY","56.54")</f>
        <v>56.54</v>
      </c>
      <c r="O77" s="778"/>
      <c r="P77" s="776" t="s">
        <v>3763</v>
      </c>
      <c r="Q77" s="778"/>
      <c r="R77" s="778"/>
      <c r="S77" s="778"/>
      <c r="T77" s="778"/>
      <c r="U77" s="778" t="s">
        <v>2362</v>
      </c>
      <c r="V77" s="778"/>
      <c r="W77" s="778"/>
      <c r="X77" s="778"/>
      <c r="Y77" s="778" t="s">
        <v>6644</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6645</v>
      </c>
      <c r="C78" s="818" t="s">
        <v>918</v>
      </c>
      <c r="D78" s="778" t="s">
        <v>1644</v>
      </c>
      <c r="E78" s="778" t="s">
        <v>5571</v>
      </c>
      <c r="F78" s="772" t="s">
        <v>1403</v>
      </c>
      <c r="G78" s="823"/>
      <c r="H78" s="778" t="s">
        <v>918</v>
      </c>
      <c r="I78" s="778" t="s">
        <v>2877</v>
      </c>
      <c r="J78" s="778" t="s">
        <v>4513</v>
      </c>
      <c r="K78" s="778"/>
      <c r="L78" s="778"/>
      <c r="M78" s="778"/>
      <c r="N78" s="778" t="str">
        <f>HYPERLINK("https://youtu.be/vycxuqUj3Q4","56.44")</f>
        <v>56.44</v>
      </c>
      <c r="O78" s="778" t="s">
        <v>3142</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6646</v>
      </c>
      <c r="B79" s="817" t="s">
        <v>6647</v>
      </c>
      <c r="C79" s="818" t="s">
        <v>3516</v>
      </c>
      <c r="D79" s="778"/>
      <c r="E79" s="778" t="s">
        <v>6648</v>
      </c>
      <c r="F79" s="772" t="s">
        <v>5299</v>
      </c>
      <c r="G79" s="773"/>
      <c r="H79" s="778"/>
      <c r="I79" s="778"/>
      <c r="J79" s="778"/>
      <c r="K79" s="778"/>
      <c r="L79" s="778"/>
      <c r="M79" s="778"/>
      <c r="N79" s="778"/>
      <c r="O79" s="778"/>
      <c r="P79" s="776"/>
      <c r="Q79" s="778"/>
      <c r="R79" s="778"/>
      <c r="S79" s="778"/>
      <c r="T79" s="778"/>
      <c r="U79" s="778"/>
      <c r="V79" s="778"/>
      <c r="W79" s="778"/>
      <c r="X79" s="778"/>
      <c r="Y79" s="778"/>
      <c r="Z79" s="778"/>
      <c r="AA79" s="778"/>
      <c r="AB79" s="778" t="s">
        <v>3516</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6649</v>
      </c>
      <c r="C80" s="818" t="s">
        <v>1645</v>
      </c>
      <c r="D80" s="778" t="s">
        <v>1645</v>
      </c>
      <c r="E80" s="825"/>
      <c r="F80" s="787"/>
      <c r="G80" s="827" t="s">
        <v>3182</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6650</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6651</v>
      </c>
      <c r="C81" s="818" t="s">
        <v>6377</v>
      </c>
      <c r="D81" s="824"/>
      <c r="E81" s="824" t="s">
        <v>6652</v>
      </c>
      <c r="F81" s="772" t="s">
        <v>1405</v>
      </c>
      <c r="G81" s="773"/>
      <c r="H81" s="824" t="s">
        <v>1123</v>
      </c>
      <c r="I81" s="824" t="s">
        <v>2983</v>
      </c>
      <c r="J81" s="824"/>
      <c r="K81" s="824" t="s">
        <v>6653</v>
      </c>
      <c r="L81" s="824" t="s">
        <v>788</v>
      </c>
      <c r="M81" s="824" t="s">
        <v>788</v>
      </c>
      <c r="N81" s="824" t="s">
        <v>6377</v>
      </c>
      <c r="O81" s="824" t="s">
        <v>687</v>
      </c>
      <c r="P81" s="776" t="s">
        <v>6654</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6655</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6656</v>
      </c>
      <c r="B82" s="831" t="s">
        <v>6476</v>
      </c>
      <c r="C82" s="836" t="s">
        <v>6657</v>
      </c>
      <c r="D82" s="774" t="s">
        <v>6657</v>
      </c>
      <c r="E82" s="824"/>
      <c r="F82" s="787"/>
      <c r="G82" s="827" t="s">
        <v>6658</v>
      </c>
      <c r="H82" s="824" t="s">
        <v>4948</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6659</v>
      </c>
      <c r="B83" s="831" t="s">
        <v>6476</v>
      </c>
      <c r="C83" s="836" t="s">
        <v>6660</v>
      </c>
      <c r="D83" s="774" t="s">
        <v>6660</v>
      </c>
      <c r="E83" s="824"/>
      <c r="F83" s="787"/>
      <c r="G83" s="802" t="s">
        <v>6661</v>
      </c>
      <c r="H83" s="824"/>
      <c r="I83" s="824"/>
      <c r="J83" s="824"/>
      <c r="K83" s="824"/>
      <c r="L83" s="824"/>
      <c r="M83" s="824"/>
      <c r="N83" s="824"/>
      <c r="O83" s="824"/>
      <c r="P83" s="776"/>
      <c r="Q83" s="824"/>
      <c r="R83" s="824"/>
      <c r="S83" s="824"/>
      <c r="T83" s="824"/>
      <c r="U83" s="824"/>
      <c r="V83" s="824"/>
      <c r="W83" s="824"/>
      <c r="X83" s="824"/>
      <c r="Y83" s="774" t="s">
        <v>6662</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6588</v>
      </c>
      <c r="B84" s="817" t="s">
        <v>6589</v>
      </c>
      <c r="C84" s="818" t="s">
        <v>5354</v>
      </c>
      <c r="D84" s="778" t="s">
        <v>6663</v>
      </c>
      <c r="E84" s="778" t="s">
        <v>5354</v>
      </c>
      <c r="F84" s="787"/>
      <c r="G84" s="823"/>
      <c r="H84" s="778" t="s">
        <v>5354</v>
      </c>
      <c r="I84" s="778" t="s">
        <v>5188</v>
      </c>
      <c r="J84" s="778"/>
      <c r="K84" s="778" t="s">
        <v>4777</v>
      </c>
      <c r="L84" s="778"/>
      <c r="M84" s="778" t="s">
        <v>3400</v>
      </c>
      <c r="N84" s="778" t="str">
        <f>HYPERLINK("https://youtu.be/HjDDp_Mj_yI","16.74")</f>
        <v>16.74</v>
      </c>
      <c r="O84" s="778"/>
      <c r="P84" s="776" t="s">
        <v>5242</v>
      </c>
      <c r="Q84" s="778"/>
      <c r="R84" s="778" t="s">
        <v>5354</v>
      </c>
      <c r="S84" s="778"/>
      <c r="T84" s="778"/>
      <c r="U84" s="778" t="s">
        <v>5188</v>
      </c>
      <c r="V84" s="778"/>
      <c r="W84" s="778"/>
      <c r="X84" s="778"/>
      <c r="Y84" s="778"/>
      <c r="Z84" s="778"/>
      <c r="AA84" s="778"/>
      <c r="AB84" s="778"/>
      <c r="AC84" s="778"/>
      <c r="AD84" s="778" t="s">
        <v>5354</v>
      </c>
      <c r="AE84" s="778"/>
      <c r="AF84" s="778"/>
      <c r="AG84" s="778"/>
      <c r="AH84" s="778"/>
      <c r="AI84" s="778"/>
      <c r="AJ84" s="778"/>
      <c r="AK84" s="778"/>
      <c r="AL84" s="778" t="s">
        <v>5596</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6664</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6665</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6666</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4006</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6667</v>
      </c>
      <c r="C87" s="818" t="s">
        <v>1124</v>
      </c>
      <c r="D87" s="778" t="s">
        <v>1646</v>
      </c>
      <c r="E87" s="774" t="s">
        <v>362</v>
      </c>
      <c r="F87" s="772" t="s">
        <v>1406</v>
      </c>
      <c r="G87" s="773"/>
      <c r="H87" s="774" t="s">
        <v>1124</v>
      </c>
      <c r="I87" s="775"/>
      <c r="J87" s="774" t="s">
        <v>6668</v>
      </c>
      <c r="K87" s="775"/>
      <c r="L87" s="775" t="s">
        <v>875</v>
      </c>
      <c r="M87" s="774" t="s">
        <v>5972</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6669</v>
      </c>
      <c r="C88" s="818" t="s">
        <v>2566</v>
      </c>
      <c r="D88" s="778" t="s">
        <v>2566</v>
      </c>
      <c r="E88" s="778"/>
      <c r="F88" s="787"/>
      <c r="G88" s="827" t="s">
        <v>2566</v>
      </c>
      <c r="H88" s="775" t="s">
        <v>6670</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6592</v>
      </c>
      <c r="B89" s="817" t="s">
        <v>6671</v>
      </c>
      <c r="C89" s="818" t="s">
        <v>363</v>
      </c>
      <c r="D89" s="783" t="s">
        <v>1647</v>
      </c>
      <c r="E89" s="778" t="s">
        <v>1747</v>
      </c>
      <c r="F89" s="772" t="s">
        <v>5037</v>
      </c>
      <c r="G89" s="773"/>
      <c r="H89" s="778"/>
      <c r="I89" s="778" t="str">
        <f>HYPERLINK("https://youtu.be/VjOXmvP4h2s","46.37")</f>
        <v>46.37</v>
      </c>
      <c r="J89" s="778" t="s">
        <v>363</v>
      </c>
      <c r="K89" s="778"/>
      <c r="L89" s="778"/>
      <c r="M89" s="778"/>
      <c r="N89" s="778" t="s">
        <v>3485</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6476</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6672</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6475</v>
      </c>
      <c r="B92" s="848"/>
      <c r="C92" s="849" t="s">
        <v>4297</v>
      </c>
      <c r="D92" s="783" t="s">
        <v>1650</v>
      </c>
      <c r="E92" s="850" t="s">
        <v>2474</v>
      </c>
      <c r="F92" s="772" t="s">
        <v>5942</v>
      </c>
      <c r="G92" s="773"/>
      <c r="H92" s="850"/>
      <c r="I92" s="850" t="str">
        <f>HYPERLINK("https://youtu.be/ycBfir2aflI","41.70")</f>
        <v>41.70</v>
      </c>
      <c r="J92" s="850" t="s">
        <v>6509</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6492</v>
      </c>
      <c r="B93" s="855"/>
      <c r="C93" s="849" t="s">
        <v>1694</v>
      </c>
      <c r="D93" s="783" t="s">
        <v>1651</v>
      </c>
      <c r="E93" s="856"/>
      <c r="F93" s="772" t="s">
        <v>6603</v>
      </c>
      <c r="G93" s="857"/>
      <c r="H93" s="856"/>
      <c r="I93" s="856" t="s">
        <v>3314</v>
      </c>
      <c r="J93" s="856" t="s">
        <v>4247</v>
      </c>
      <c r="K93" s="856" t="s">
        <v>1287</v>
      </c>
      <c r="L93" s="856" t="s">
        <v>881</v>
      </c>
      <c r="M93" s="856" t="s">
        <v>792</v>
      </c>
      <c r="N93" s="856" t="s">
        <v>3730</v>
      </c>
      <c r="O93" s="856" t="s">
        <v>1694</v>
      </c>
      <c r="P93" s="858" t="s">
        <v>2842</v>
      </c>
      <c r="Q93" s="856"/>
      <c r="R93" s="856" t="s">
        <v>5746</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6497</v>
      </c>
      <c r="B94" s="859"/>
      <c r="C94" s="849" t="s">
        <v>3338</v>
      </c>
      <c r="D94" s="860" t="s">
        <v>4663</v>
      </c>
      <c r="E94" s="856"/>
      <c r="F94" s="772" t="s">
        <v>5984</v>
      </c>
      <c r="G94" s="773"/>
      <c r="H94" s="856"/>
      <c r="I94" s="856"/>
      <c r="J94" s="856" t="s">
        <v>3338</v>
      </c>
      <c r="K94" s="856"/>
      <c r="L94" s="856" t="s">
        <v>3585</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6524</v>
      </c>
      <c r="B95" s="855" t="s">
        <v>6525</v>
      </c>
      <c r="C95" s="849" t="s">
        <v>888</v>
      </c>
      <c r="D95" s="783" t="s">
        <v>1658</v>
      </c>
      <c r="E95" s="856"/>
      <c r="F95" s="787"/>
      <c r="G95" s="857"/>
      <c r="H95" s="856" t="s">
        <v>5198</v>
      </c>
      <c r="I95" s="856" t="s">
        <v>3671</v>
      </c>
      <c r="J95" s="856"/>
      <c r="K95" s="856" t="s">
        <v>3089</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5905</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6527</v>
      </c>
      <c r="B96" s="855" t="s">
        <v>6525</v>
      </c>
      <c r="C96" s="849"/>
      <c r="D96" s="795" t="s">
        <v>6673</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6674</v>
      </c>
      <c r="B97" s="861" t="s">
        <v>6675</v>
      </c>
      <c r="C97" s="849" t="s">
        <v>1585</v>
      </c>
      <c r="D97" s="795" t="s">
        <v>6676</v>
      </c>
      <c r="E97" s="856"/>
      <c r="F97" s="772" t="s">
        <v>1413</v>
      </c>
      <c r="G97" s="773"/>
      <c r="H97" s="856"/>
      <c r="I97" s="856" t="s">
        <v>6677</v>
      </c>
      <c r="J97" s="856" t="s">
        <v>6678</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6679</v>
      </c>
      <c r="C98" s="849" t="s">
        <v>6680</v>
      </c>
      <c r="D98" s="783" t="s">
        <v>1652</v>
      </c>
      <c r="E98" s="856"/>
      <c r="F98" s="787"/>
      <c r="G98" s="857"/>
      <c r="H98" s="856"/>
      <c r="I98" s="856"/>
      <c r="J98" s="856" t="s">
        <v>6680</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6614</v>
      </c>
      <c r="B99" s="861" t="s">
        <v>6681</v>
      </c>
      <c r="C99" s="849" t="s">
        <v>5685</v>
      </c>
      <c r="D99" s="795" t="s">
        <v>6682</v>
      </c>
      <c r="E99" s="856"/>
      <c r="F99" s="772" t="s">
        <v>631</v>
      </c>
      <c r="G99" s="773"/>
      <c r="H99" s="856"/>
      <c r="I99" s="856"/>
      <c r="J99" s="856" t="s">
        <v>6683</v>
      </c>
      <c r="K99" s="856" t="s">
        <v>3651</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6684</v>
      </c>
      <c r="AZ99" s="856"/>
      <c r="BA99" s="856"/>
      <c r="BB99" s="856"/>
      <c r="BC99" s="853"/>
      <c r="BD99" s="853"/>
      <c r="BE99" s="856"/>
      <c r="BF99" s="852"/>
      <c r="BG99" s="852"/>
      <c r="BH99" s="853"/>
      <c r="BI99" s="853"/>
      <c r="BJ99" s="853"/>
    </row>
    <row r="100" ht="15.75" customHeight="1">
      <c r="A100" s="847" t="s">
        <v>6621</v>
      </c>
      <c r="B100" s="861" t="s">
        <v>6685</v>
      </c>
      <c r="C100" s="849" t="s">
        <v>6686</v>
      </c>
      <c r="D100" s="795" t="s">
        <v>3727</v>
      </c>
      <c r="E100" s="856"/>
      <c r="F100" s="772" t="s">
        <v>4780</v>
      </c>
      <c r="G100" s="857"/>
      <c r="H100" s="856"/>
      <c r="I100" s="856" t="s">
        <v>6687</v>
      </c>
      <c r="J100" s="856" t="s">
        <v>6688</v>
      </c>
      <c r="K100" s="856" t="s">
        <v>3652</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6492</v>
      </c>
      <c r="B101" s="855" t="s">
        <v>6685</v>
      </c>
      <c r="C101" s="769" t="s">
        <v>6689</v>
      </c>
      <c r="D101" s="783" t="s">
        <v>6612</v>
      </c>
      <c r="E101" s="850" t="s">
        <v>371</v>
      </c>
      <c r="F101" s="772" t="s">
        <v>6690</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6689</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6497</v>
      </c>
      <c r="B102" s="865" t="s">
        <v>6675</v>
      </c>
      <c r="C102" s="849" t="s">
        <v>1781</v>
      </c>
      <c r="D102" s="856"/>
      <c r="E102" s="856"/>
      <c r="F102" s="772" t="s">
        <v>4325</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3361</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6691</v>
      </c>
      <c r="B103" s="866" t="s">
        <v>6476</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6646</v>
      </c>
      <c r="B104" s="861" t="s">
        <v>6525</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6692</v>
      </c>
      <c r="C105" s="849" t="s">
        <v>1386</v>
      </c>
      <c r="D105" s="783" t="s">
        <v>1655</v>
      </c>
      <c r="E105" s="856"/>
      <c r="F105" s="772" t="s">
        <v>1416</v>
      </c>
      <c r="G105" s="773"/>
      <c r="H105" s="856"/>
      <c r="I105" s="856" t="s">
        <v>6693</v>
      </c>
      <c r="J105" s="856" t="s">
        <v>1386</v>
      </c>
      <c r="K105" s="856" t="s">
        <v>3654</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6588</v>
      </c>
      <c r="B106" s="861" t="s">
        <v>6589</v>
      </c>
      <c r="C106" s="849" t="s">
        <v>1106</v>
      </c>
      <c r="D106" s="850" t="s">
        <v>1624</v>
      </c>
      <c r="E106" s="850" t="s">
        <v>5984</v>
      </c>
      <c r="F106" s="787"/>
      <c r="G106" s="868" t="s">
        <v>5527</v>
      </c>
      <c r="H106" s="850" t="s">
        <v>5984</v>
      </c>
      <c r="I106" s="850" t="str">
        <f>HYPERLINK("https://youtu.be/NIfI1hsvvFQ","19.73")</f>
        <v>19.73</v>
      </c>
      <c r="J106" s="850" t="s">
        <v>1106</v>
      </c>
      <c r="K106" s="850" t="s">
        <v>2692</v>
      </c>
      <c r="L106" s="850"/>
      <c r="M106" s="850" t="s">
        <v>1740</v>
      </c>
      <c r="N106" s="850" t="str">
        <f>HYPERLINK("https://youtu.be/vlD8b3WQME8","20.08")</f>
        <v>20.08</v>
      </c>
      <c r="O106" s="850"/>
      <c r="P106" s="851" t="s">
        <v>3135</v>
      </c>
      <c r="Q106" s="850"/>
      <c r="R106" s="850" t="s">
        <v>5984</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6591</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6592</v>
      </c>
      <c r="B108" s="861" t="s">
        <v>6694</v>
      </c>
      <c r="C108" s="849" t="s">
        <v>2291</v>
      </c>
      <c r="D108" s="856"/>
      <c r="E108" s="856"/>
      <c r="F108" s="772" t="s">
        <v>4356</v>
      </c>
      <c r="G108" s="857"/>
      <c r="H108" s="856"/>
      <c r="I108" s="856"/>
      <c r="J108" s="856"/>
      <c r="K108" s="856" t="s">
        <v>4008</v>
      </c>
      <c r="L108" s="856"/>
      <c r="M108" s="856"/>
      <c r="N108" s="856" t="s">
        <v>5404</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6100</v>
      </c>
      <c r="AO108" s="856"/>
      <c r="AP108" s="852"/>
      <c r="AQ108" s="856"/>
      <c r="AR108" s="856"/>
      <c r="AS108" s="856"/>
      <c r="AT108" s="856"/>
      <c r="AU108" s="856"/>
      <c r="AV108" s="856"/>
      <c r="AW108" s="856"/>
      <c r="AX108" s="856"/>
      <c r="AY108" s="856"/>
      <c r="AZ108" s="856"/>
      <c r="BA108" s="856"/>
      <c r="BB108" s="856"/>
      <c r="BC108" s="870" t="s">
        <v>3869</v>
      </c>
      <c r="BD108" s="853"/>
      <c r="BE108" s="856"/>
      <c r="BF108" s="852"/>
      <c r="BG108" s="852"/>
      <c r="BH108" s="853"/>
      <c r="BI108" s="853"/>
      <c r="BJ108" s="853"/>
    </row>
    <row r="109" ht="15.75" customHeight="1">
      <c r="A109" s="867"/>
      <c r="B109" s="863" t="s">
        <v>6695</v>
      </c>
      <c r="C109" s="849" t="s">
        <v>1007</v>
      </c>
      <c r="D109" s="856" t="s">
        <v>3984</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3194</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6696</v>
      </c>
      <c r="C110" s="849" t="s">
        <v>6697</v>
      </c>
      <c r="D110" s="778" t="s">
        <v>1656</v>
      </c>
      <c r="E110" s="850" t="s">
        <v>6697</v>
      </c>
      <c r="F110" s="787"/>
      <c r="G110" s="784" t="s">
        <v>2065</v>
      </c>
      <c r="H110" s="850"/>
      <c r="I110" s="850" t="s">
        <v>259</v>
      </c>
      <c r="J110" s="850" t="s">
        <v>5059</v>
      </c>
      <c r="K110" s="850" t="s">
        <v>977</v>
      </c>
      <c r="L110" s="850"/>
      <c r="M110" s="850" t="s">
        <v>800</v>
      </c>
      <c r="N110" s="850"/>
      <c r="O110" s="850" t="s">
        <v>2341</v>
      </c>
      <c r="P110" s="851" t="s">
        <v>6019</v>
      </c>
      <c r="Q110" s="850" t="s">
        <v>6698</v>
      </c>
      <c r="R110" s="850" t="s">
        <v>3255</v>
      </c>
      <c r="S110" s="850"/>
      <c r="T110" s="850" t="s">
        <v>6699</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6700</v>
      </c>
      <c r="C111" s="849" t="s">
        <v>6701</v>
      </c>
      <c r="D111" s="856"/>
      <c r="E111" s="856"/>
      <c r="F111" s="787"/>
      <c r="G111" s="773"/>
      <c r="H111" s="856"/>
      <c r="I111" s="856"/>
      <c r="J111" s="856"/>
      <c r="K111" s="856"/>
      <c r="L111" s="856"/>
      <c r="M111" s="856"/>
      <c r="N111" s="856"/>
      <c r="O111" s="856"/>
      <c r="P111" s="858"/>
      <c r="Q111" s="856"/>
      <c r="R111" s="856"/>
      <c r="S111" s="856" t="s">
        <v>6702</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6703</v>
      </c>
      <c r="B112" s="866" t="s">
        <v>6476</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6675</v>
      </c>
      <c r="C113" s="849" t="s">
        <v>2888</v>
      </c>
      <c r="D113" s="783" t="s">
        <v>6704</v>
      </c>
      <c r="E113" s="856"/>
      <c r="F113" s="787"/>
      <c r="G113" s="773"/>
      <c r="H113" s="856"/>
      <c r="I113" s="856" t="s">
        <v>6705</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6706</v>
      </c>
      <c r="B115" s="878"/>
      <c r="C115" s="849" t="s">
        <v>4151</v>
      </c>
      <c r="D115" s="850" t="s">
        <v>6707</v>
      </c>
      <c r="E115" s="850" t="s">
        <v>6708</v>
      </c>
      <c r="F115" s="787"/>
      <c r="G115" s="784" t="s">
        <v>6709</v>
      </c>
      <c r="H115" s="850" t="s">
        <v>4151</v>
      </c>
      <c r="I115" s="850"/>
      <c r="J115" s="850"/>
      <c r="K115" s="850"/>
      <c r="L115" s="850" t="s">
        <v>6708</v>
      </c>
      <c r="M115" s="850"/>
      <c r="N115" s="850"/>
      <c r="O115" s="850"/>
      <c r="P115" s="851" t="s">
        <v>6710</v>
      </c>
      <c r="Q115" s="850"/>
      <c r="R115" s="850"/>
      <c r="S115" s="850" t="s">
        <v>6711</v>
      </c>
      <c r="T115" s="850"/>
      <c r="U115" s="850"/>
      <c r="V115" s="850" t="s">
        <v>6710</v>
      </c>
      <c r="W115" s="850"/>
      <c r="X115" s="850"/>
      <c r="Y115" s="850"/>
      <c r="Z115" s="850" t="s">
        <v>6709</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6475</v>
      </c>
      <c r="B116" s="880" t="s">
        <v>6712</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6713</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4184</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6714</v>
      </c>
      <c r="C118" s="849" t="s">
        <v>2268</v>
      </c>
      <c r="D118" s="778" t="s">
        <v>681</v>
      </c>
      <c r="E118" s="856"/>
      <c r="F118" s="772" t="s">
        <v>1315</v>
      </c>
      <c r="G118" s="784" t="s">
        <v>1231</v>
      </c>
      <c r="H118" s="856"/>
      <c r="I118" s="856"/>
      <c r="J118" s="856" t="s">
        <v>2753</v>
      </c>
      <c r="K118" s="856" t="s">
        <v>6715</v>
      </c>
      <c r="L118" s="856"/>
      <c r="M118" s="856"/>
      <c r="N118" s="856"/>
      <c r="O118" s="856"/>
      <c r="P118" s="858" t="s">
        <v>6716</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6717</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6492</v>
      </c>
      <c r="B120" s="885" t="s">
        <v>6476</v>
      </c>
      <c r="C120" s="849" t="s">
        <v>3472</v>
      </c>
      <c r="D120" s="852"/>
      <c r="E120" s="852"/>
      <c r="F120" s="787"/>
      <c r="G120" s="886" t="s">
        <v>1514</v>
      </c>
      <c r="H120" s="864" t="s">
        <v>3472</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6497</v>
      </c>
      <c r="B121" s="889" t="s">
        <v>6476</v>
      </c>
      <c r="C121" s="849" t="s">
        <v>6718</v>
      </c>
      <c r="D121" s="856"/>
      <c r="E121" s="856"/>
      <c r="F121" s="772" t="s">
        <v>6719</v>
      </c>
      <c r="G121" s="784" t="s">
        <v>2185</v>
      </c>
      <c r="H121" s="772" t="s">
        <v>6718</v>
      </c>
      <c r="I121" s="856"/>
      <c r="J121" s="856"/>
      <c r="K121" s="856"/>
      <c r="L121" s="856"/>
      <c r="M121" s="856"/>
      <c r="N121" s="856"/>
      <c r="O121" s="856"/>
      <c r="P121" s="858"/>
      <c r="Q121" s="856"/>
      <c r="R121" s="856"/>
      <c r="S121" s="856" t="s">
        <v>6718</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6478</v>
      </c>
      <c r="B122" s="878"/>
      <c r="C122" s="849" t="s">
        <v>805</v>
      </c>
      <c r="D122" s="778" t="s">
        <v>901</v>
      </c>
      <c r="E122" s="856"/>
      <c r="F122" s="772" t="s">
        <v>1422</v>
      </c>
      <c r="G122" s="890" t="s">
        <v>1918</v>
      </c>
      <c r="H122" s="856"/>
      <c r="I122" s="864" t="str">
        <f>HYPERLINK("https://youtu.be/6f5dBhAmU1g","42.10")</f>
        <v>42.10</v>
      </c>
      <c r="J122" s="856" t="s">
        <v>6720</v>
      </c>
      <c r="K122" s="856" t="s">
        <v>2226</v>
      </c>
      <c r="L122" s="864" t="s">
        <v>891</v>
      </c>
      <c r="M122" s="864" t="s">
        <v>805</v>
      </c>
      <c r="N122" s="856" t="s">
        <v>4795</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6492</v>
      </c>
      <c r="B123" s="889" t="s">
        <v>6476</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3657</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6497</v>
      </c>
      <c r="B124" s="889" t="s">
        <v>6476</v>
      </c>
      <c r="C124" s="849" t="s">
        <v>6721</v>
      </c>
      <c r="D124" s="850"/>
      <c r="E124" s="850" t="s">
        <v>6721</v>
      </c>
      <c r="F124" s="772" t="s">
        <v>6722</v>
      </c>
      <c r="G124" s="886" t="s">
        <v>1621</v>
      </c>
      <c r="H124" s="850"/>
      <c r="I124" s="850"/>
      <c r="J124" s="850"/>
      <c r="K124" s="850"/>
      <c r="L124" s="850" t="s">
        <v>3033</v>
      </c>
      <c r="M124" s="850" t="s">
        <v>6722</v>
      </c>
      <c r="N124" s="850"/>
      <c r="O124" s="850"/>
      <c r="P124" s="851" t="s">
        <v>6721</v>
      </c>
      <c r="Q124" s="850" t="s">
        <v>500</v>
      </c>
      <c r="R124" s="850"/>
      <c r="S124" s="850"/>
      <c r="T124" s="850"/>
      <c r="U124" s="850"/>
      <c r="V124" s="850"/>
      <c r="W124" s="850"/>
      <c r="X124" s="850" t="s">
        <v>6723</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6524</v>
      </c>
      <c r="B125" s="885" t="s">
        <v>6724</v>
      </c>
      <c r="C125" s="849" t="s">
        <v>6725</v>
      </c>
      <c r="D125" s="856" t="s">
        <v>5918</v>
      </c>
      <c r="E125" s="856"/>
      <c r="F125" s="787"/>
      <c r="G125" s="773"/>
      <c r="H125" s="856"/>
      <c r="I125" s="856"/>
      <c r="J125" s="856"/>
      <c r="K125" s="856" t="s">
        <v>6187</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6726</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6527</v>
      </c>
      <c r="B127" s="889" t="s">
        <v>6724</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6726</v>
      </c>
      <c r="C128" s="849"/>
      <c r="D128" s="891" t="s">
        <v>6727</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6614</v>
      </c>
      <c r="B129" s="880" t="s">
        <v>6728</v>
      </c>
      <c r="C129" s="849" t="s">
        <v>6729</v>
      </c>
      <c r="D129" s="856"/>
      <c r="E129" s="856"/>
      <c r="F129" s="772" t="s">
        <v>4830</v>
      </c>
      <c r="G129" s="773"/>
      <c r="H129" s="856"/>
      <c r="I129" s="856"/>
      <c r="J129" s="856"/>
      <c r="K129" s="856" t="s">
        <v>4546</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6730</v>
      </c>
      <c r="C130" s="849" t="s">
        <v>1974</v>
      </c>
      <c r="D130" s="856" t="s">
        <v>2694</v>
      </c>
      <c r="E130" s="856"/>
      <c r="F130" s="787"/>
      <c r="G130" s="881"/>
      <c r="H130" s="856"/>
      <c r="I130" s="856"/>
      <c r="J130" s="856"/>
      <c r="K130" s="856" t="s">
        <v>3658</v>
      </c>
      <c r="L130" s="856"/>
      <c r="M130" s="856"/>
      <c r="N130" s="856"/>
      <c r="O130" s="856"/>
      <c r="P130" s="858"/>
      <c r="Q130" s="856"/>
      <c r="R130" s="856" t="s">
        <v>3079</v>
      </c>
      <c r="S130" s="856"/>
      <c r="T130" s="856"/>
      <c r="U130" s="856"/>
      <c r="V130" s="856"/>
      <c r="W130" s="856" t="s">
        <v>1720</v>
      </c>
      <c r="X130" s="856"/>
      <c r="Y130" s="856"/>
      <c r="Z130" s="856" t="s">
        <v>5248</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6731</v>
      </c>
      <c r="C131" s="849" t="s">
        <v>3612</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3612</v>
      </c>
      <c r="AG131" s="856"/>
      <c r="AH131" s="856"/>
      <c r="AI131" s="856"/>
      <c r="AJ131" s="856"/>
      <c r="AK131" s="856"/>
      <c r="AL131" s="856"/>
      <c r="AM131" s="856"/>
      <c r="AN131" s="856"/>
      <c r="AO131" s="856"/>
      <c r="AP131" s="852"/>
      <c r="AQ131" s="856"/>
      <c r="AR131" s="856"/>
      <c r="AS131" s="856"/>
      <c r="AT131" s="856" t="s">
        <v>6323</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6732</v>
      </c>
      <c r="C132" s="849" t="s">
        <v>382</v>
      </c>
      <c r="D132" s="778" t="s">
        <v>806</v>
      </c>
      <c r="E132" s="772" t="s">
        <v>382</v>
      </c>
      <c r="F132" s="772" t="s">
        <v>1423</v>
      </c>
      <c r="G132" s="869" t="s">
        <v>3183</v>
      </c>
      <c r="H132" s="892" t="s">
        <v>6733</v>
      </c>
      <c r="I132" s="772" t="s">
        <v>5476</v>
      </c>
      <c r="J132" s="787"/>
      <c r="K132" s="787"/>
      <c r="L132" s="772" t="s">
        <v>893</v>
      </c>
      <c r="M132" s="772" t="s">
        <v>4958</v>
      </c>
      <c r="N132" s="787"/>
      <c r="O132" s="772" t="s">
        <v>6734</v>
      </c>
      <c r="P132" s="851" t="s">
        <v>5158</v>
      </c>
      <c r="Q132" s="787"/>
      <c r="R132" s="772" t="s">
        <v>1837</v>
      </c>
      <c r="S132" s="787"/>
      <c r="T132" s="787"/>
      <c r="U132" s="787"/>
      <c r="V132" s="787"/>
      <c r="W132" s="787"/>
      <c r="X132" s="787"/>
      <c r="Y132" s="772" t="s">
        <v>3431</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6735</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6529</v>
      </c>
      <c r="B133" s="880" t="s">
        <v>6736</v>
      </c>
      <c r="C133" s="849" t="s">
        <v>583</v>
      </c>
      <c r="D133" s="856" t="s">
        <v>4439</v>
      </c>
      <c r="E133" s="856"/>
      <c r="F133" s="787"/>
      <c r="G133" s="773"/>
      <c r="H133" s="856"/>
      <c r="I133" s="856"/>
      <c r="J133" s="772" t="s">
        <v>5669</v>
      </c>
      <c r="K133" s="856" t="s">
        <v>1821</v>
      </c>
      <c r="L133" s="856"/>
      <c r="M133" s="856"/>
      <c r="N133" s="856" t="str">
        <f>HYPERLINK("https://youtu.be/wzsts4r5VHY","56.24")</f>
        <v>56.24</v>
      </c>
      <c r="O133" s="772" t="s">
        <v>6737</v>
      </c>
      <c r="P133" s="858"/>
      <c r="Q133" s="856"/>
      <c r="R133" s="856"/>
      <c r="S133" s="856" t="s">
        <v>583</v>
      </c>
      <c r="T133" s="856"/>
      <c r="U133" s="856"/>
      <c r="V133" s="856"/>
      <c r="W133" s="856"/>
      <c r="X133" s="856"/>
      <c r="Y133" s="856"/>
      <c r="Z133" s="856"/>
      <c r="AA133" s="856"/>
      <c r="AB133" s="856"/>
      <c r="AC133" s="856"/>
      <c r="AD133" s="856" t="s">
        <v>6738</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6739</v>
      </c>
      <c r="C134" s="849" t="s">
        <v>4615</v>
      </c>
      <c r="D134" s="893"/>
      <c r="E134" s="893"/>
      <c r="F134" s="787"/>
      <c r="G134" s="881"/>
      <c r="H134" s="893"/>
      <c r="I134" s="893"/>
      <c r="J134" s="772" t="s">
        <v>6740</v>
      </c>
      <c r="K134" s="893"/>
      <c r="L134" s="893"/>
      <c r="M134" s="893"/>
      <c r="N134" s="893"/>
      <c r="O134" s="893"/>
      <c r="P134" s="851"/>
      <c r="Q134" s="893"/>
      <c r="R134" s="893" t="s">
        <v>4615</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6741</v>
      </c>
      <c r="C135" s="849" t="s">
        <v>6742</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6539</v>
      </c>
      <c r="B136" s="880" t="s">
        <v>6743</v>
      </c>
      <c r="C136" s="849" t="s">
        <v>4222</v>
      </c>
      <c r="D136" s="856"/>
      <c r="E136" s="856"/>
      <c r="F136" s="787"/>
      <c r="G136" s="881"/>
      <c r="H136" s="856"/>
      <c r="I136" s="856"/>
      <c r="J136" s="856"/>
      <c r="K136" s="856" t="s">
        <v>4080</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6744</v>
      </c>
      <c r="C137" s="849" t="s">
        <v>6745</v>
      </c>
      <c r="D137" s="778" t="s">
        <v>598</v>
      </c>
      <c r="E137" s="856"/>
      <c r="F137" s="772" t="s">
        <v>1425</v>
      </c>
      <c r="G137" s="773"/>
      <c r="H137" s="856"/>
      <c r="I137" s="856"/>
      <c r="J137" s="772" t="s">
        <v>1503</v>
      </c>
      <c r="K137" s="856"/>
      <c r="L137" s="856" t="s">
        <v>895</v>
      </c>
      <c r="M137" s="856"/>
      <c r="N137" s="856"/>
      <c r="O137" s="772" t="s">
        <v>3410</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6546</v>
      </c>
      <c r="B138" s="880" t="s">
        <v>6746</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6747</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6492</v>
      </c>
      <c r="B140" s="885" t="s">
        <v>6746</v>
      </c>
      <c r="C140" s="849" t="s">
        <v>4186</v>
      </c>
      <c r="D140" s="850" t="s">
        <v>5391</v>
      </c>
      <c r="E140" s="850" t="s">
        <v>4186</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6748</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6747</v>
      </c>
      <c r="C141" s="849" t="s">
        <v>1513</v>
      </c>
      <c r="D141" s="783" t="s">
        <v>1662</v>
      </c>
      <c r="E141" s="850" t="s">
        <v>5480</v>
      </c>
      <c r="F141" s="772" t="s">
        <v>3255</v>
      </c>
      <c r="G141" s="869" t="s">
        <v>1693</v>
      </c>
      <c r="H141" s="860" t="s">
        <v>1337</v>
      </c>
      <c r="I141" s="850" t="str">
        <f>HYPERLINK("https://youtu.be/NPrbRwZDn1I","27.54")</f>
        <v>27.54</v>
      </c>
      <c r="J141" s="850" t="s">
        <v>520</v>
      </c>
      <c r="K141" s="850" t="s">
        <v>6698</v>
      </c>
      <c r="L141" s="850"/>
      <c r="M141" s="850" t="s">
        <v>5480</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6497</v>
      </c>
      <c r="B142" s="885" t="s">
        <v>6476</v>
      </c>
      <c r="C142" s="849" t="s">
        <v>6749</v>
      </c>
      <c r="D142" s="893"/>
      <c r="E142" s="893"/>
      <c r="F142" s="772" t="s">
        <v>2788</v>
      </c>
      <c r="G142" s="881"/>
      <c r="H142" s="893"/>
      <c r="I142" s="893"/>
      <c r="J142" s="893"/>
      <c r="K142" s="893"/>
      <c r="L142" s="893"/>
      <c r="M142" s="893"/>
      <c r="N142" s="893"/>
      <c r="O142" s="864" t="s">
        <v>6749</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6750</v>
      </c>
      <c r="B143" s="889" t="s">
        <v>6751</v>
      </c>
      <c r="C143" s="849" t="s">
        <v>6752</v>
      </c>
      <c r="D143" s="850" t="s">
        <v>6753</v>
      </c>
      <c r="E143" s="850" t="s">
        <v>6752</v>
      </c>
      <c r="F143" s="787"/>
      <c r="G143" s="773"/>
      <c r="H143" s="850"/>
      <c r="I143" s="850" t="s">
        <v>6754</v>
      </c>
      <c r="J143" s="850" t="s">
        <v>6755</v>
      </c>
      <c r="K143" s="850"/>
      <c r="L143" s="850" t="s">
        <v>898</v>
      </c>
      <c r="M143" s="850"/>
      <c r="N143" s="850" t="s">
        <v>6756</v>
      </c>
      <c r="O143" s="850"/>
      <c r="P143" s="851"/>
      <c r="Q143" s="850"/>
      <c r="R143" s="850"/>
      <c r="S143" s="850"/>
      <c r="T143" s="850" t="s">
        <v>6757</v>
      </c>
      <c r="U143" s="850" t="s">
        <v>5097</v>
      </c>
      <c r="V143" s="850"/>
      <c r="W143" s="850"/>
      <c r="X143" s="850"/>
      <c r="Y143" s="850"/>
      <c r="Z143" s="850"/>
      <c r="AA143" s="850"/>
      <c r="AB143" s="850"/>
      <c r="AC143" s="850"/>
      <c r="AD143" s="850"/>
      <c r="AE143" s="850"/>
      <c r="AF143" s="850"/>
      <c r="AG143" s="850"/>
      <c r="AH143" s="850"/>
      <c r="AI143" s="850" t="s">
        <v>6758</v>
      </c>
      <c r="AJ143" s="850"/>
      <c r="AK143" s="850"/>
      <c r="AL143" s="850"/>
      <c r="AM143" s="850"/>
      <c r="AN143" s="850"/>
      <c r="AO143" s="850"/>
      <c r="AP143" s="852"/>
      <c r="AQ143" s="850"/>
      <c r="AR143" s="850"/>
      <c r="AS143" s="850"/>
      <c r="AT143" s="850"/>
      <c r="AU143" s="850"/>
      <c r="AV143" s="850"/>
      <c r="AW143" s="850"/>
      <c r="AX143" s="850" t="s">
        <v>6759</v>
      </c>
      <c r="AY143" s="850"/>
      <c r="AZ143" s="850"/>
      <c r="BA143" s="850"/>
      <c r="BB143" s="850"/>
      <c r="BC143" s="879"/>
      <c r="BD143" s="879"/>
      <c r="BE143" s="850"/>
      <c r="BF143" s="852"/>
      <c r="BG143" s="852"/>
      <c r="BH143" s="879"/>
      <c r="BI143" s="879"/>
      <c r="BJ143" s="879"/>
    </row>
    <row r="144" ht="15.75" customHeight="1">
      <c r="A144" s="882"/>
      <c r="B144" s="883" t="s">
        <v>6760</v>
      </c>
      <c r="C144" s="849" t="s">
        <v>6761</v>
      </c>
      <c r="D144" s="856"/>
      <c r="E144" s="856"/>
      <c r="F144" s="787"/>
      <c r="G144" s="881"/>
      <c r="H144" s="856"/>
      <c r="I144" s="856"/>
      <c r="J144" s="856"/>
      <c r="K144" s="856" t="s">
        <v>6762</v>
      </c>
      <c r="L144" s="856"/>
      <c r="M144" s="856"/>
      <c r="N144" s="856"/>
      <c r="O144" s="856" t="s">
        <v>6761</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6763</v>
      </c>
      <c r="C145" s="849" t="s">
        <v>6764</v>
      </c>
      <c r="D145" s="824" t="s">
        <v>1664</v>
      </c>
      <c r="E145" s="772" t="s">
        <v>388</v>
      </c>
      <c r="F145" s="787"/>
      <c r="G145" s="869" t="s">
        <v>3184</v>
      </c>
      <c r="H145" s="787" t="s">
        <v>6765</v>
      </c>
      <c r="I145" s="772" t="s">
        <v>606</v>
      </c>
      <c r="J145" s="772" t="s">
        <v>3786</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6766</v>
      </c>
      <c r="C146" s="769" t="s">
        <v>3602</v>
      </c>
      <c r="D146" s="783" t="s">
        <v>1663</v>
      </c>
      <c r="E146" s="856"/>
      <c r="F146" s="772" t="s">
        <v>1427</v>
      </c>
      <c r="G146" s="881"/>
      <c r="H146" s="856"/>
      <c r="I146" s="856"/>
      <c r="J146" s="856"/>
      <c r="K146" s="856"/>
      <c r="L146" s="856"/>
      <c r="M146" s="856" t="s">
        <v>6767</v>
      </c>
      <c r="N146" s="856"/>
      <c r="O146" s="856" t="s">
        <v>1069</v>
      </c>
      <c r="P146" s="858"/>
      <c r="Q146" s="856"/>
      <c r="R146" s="856"/>
      <c r="S146" s="772" t="s">
        <v>3602</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6768</v>
      </c>
      <c r="B147" s="889" t="s">
        <v>6751</v>
      </c>
      <c r="C147" s="849" t="s">
        <v>807</v>
      </c>
      <c r="D147" s="894" t="s">
        <v>5094</v>
      </c>
      <c r="E147" s="894" t="s">
        <v>3666</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6760</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6763</v>
      </c>
      <c r="C149" s="769" t="s">
        <v>2722</v>
      </c>
      <c r="D149" s="894" t="s">
        <v>6769</v>
      </c>
      <c r="E149" s="894"/>
      <c r="F149" s="787"/>
      <c r="G149" s="802" t="s">
        <v>3898</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6766</v>
      </c>
      <c r="C150" s="769" t="s">
        <v>1500</v>
      </c>
      <c r="D150" s="894"/>
      <c r="E150" s="894"/>
      <c r="F150" s="772" t="s">
        <v>6770</v>
      </c>
      <c r="G150" s="881"/>
      <c r="H150" s="894" t="s">
        <v>6771</v>
      </c>
      <c r="I150" s="894" t="s">
        <v>286</v>
      </c>
      <c r="J150" s="894"/>
      <c r="K150" s="894"/>
      <c r="L150" s="894"/>
      <c r="M150" s="850" t="s">
        <v>5056</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6772</v>
      </c>
      <c r="B151" s="889" t="s">
        <v>6773</v>
      </c>
      <c r="C151" s="849" t="s">
        <v>6774</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6775</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6776</v>
      </c>
      <c r="B153" s="889" t="s">
        <v>6777</v>
      </c>
      <c r="C153" s="769" t="s">
        <v>6778</v>
      </c>
      <c r="D153" s="894"/>
      <c r="E153" s="894"/>
      <c r="F153" s="772" t="s">
        <v>6779</v>
      </c>
      <c r="G153" s="784" t="s">
        <v>6780</v>
      </c>
      <c r="H153" s="850" t="s">
        <v>6781</v>
      </c>
      <c r="I153" s="894" t="s">
        <v>6782</v>
      </c>
      <c r="J153" s="894"/>
      <c r="K153" s="894"/>
      <c r="L153" s="894"/>
      <c r="M153" s="850" t="s">
        <v>1455</v>
      </c>
      <c r="N153" s="894"/>
      <c r="O153" s="894"/>
      <c r="P153" s="851"/>
      <c r="Q153" s="894"/>
      <c r="R153" s="894"/>
      <c r="S153" s="772" t="s">
        <v>6778</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6783</v>
      </c>
      <c r="C154" s="849" t="s">
        <v>6784</v>
      </c>
      <c r="D154" s="894"/>
      <c r="E154" s="894"/>
      <c r="F154" s="787"/>
      <c r="G154" s="886" t="s">
        <v>6785</v>
      </c>
      <c r="H154" s="850" t="s">
        <v>6786</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6787</v>
      </c>
      <c r="C155" s="849" t="s">
        <v>6788</v>
      </c>
      <c r="D155" s="894"/>
      <c r="E155" s="894"/>
      <c r="F155" s="787"/>
      <c r="G155" s="784" t="s">
        <v>6789</v>
      </c>
      <c r="H155" s="850" t="s">
        <v>6788</v>
      </c>
      <c r="I155" s="894" t="s">
        <v>6790</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6791</v>
      </c>
      <c r="C156" s="849" t="s">
        <v>773</v>
      </c>
      <c r="D156" s="894"/>
      <c r="E156" s="894"/>
      <c r="F156" s="787"/>
      <c r="G156" s="886" t="s">
        <v>1815</v>
      </c>
      <c r="H156" s="850" t="s">
        <v>773</v>
      </c>
      <c r="I156" s="894"/>
      <c r="J156" s="894"/>
      <c r="K156" s="894"/>
      <c r="L156" s="894"/>
      <c r="M156" s="850" t="s">
        <v>3447</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6524</v>
      </c>
      <c r="B157" s="885" t="s">
        <v>6476</v>
      </c>
      <c r="C157" s="849" t="s">
        <v>1594</v>
      </c>
      <c r="D157" s="795" t="s">
        <v>1666</v>
      </c>
      <c r="E157" s="850" t="s">
        <v>6792</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6527</v>
      </c>
      <c r="B158" s="885" t="s">
        <v>6476</v>
      </c>
      <c r="C158" s="849"/>
      <c r="D158" s="797" t="s">
        <v>6793</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6588</v>
      </c>
      <c r="B159" s="895" t="s">
        <v>6794</v>
      </c>
      <c r="C159" s="849" t="s">
        <v>2701</v>
      </c>
      <c r="D159" s="856" t="s">
        <v>2701</v>
      </c>
      <c r="E159" s="856"/>
      <c r="F159" s="772" t="s">
        <v>2959</v>
      </c>
      <c r="G159" s="886" t="s">
        <v>2907</v>
      </c>
      <c r="H159" s="850" t="s">
        <v>2701</v>
      </c>
      <c r="I159" s="856"/>
      <c r="J159" s="856"/>
      <c r="K159" s="856" t="s">
        <v>3851</v>
      </c>
      <c r="L159" s="856"/>
      <c r="M159" s="856"/>
      <c r="N159" s="856"/>
      <c r="O159" s="856" t="s">
        <v>2701</v>
      </c>
      <c r="P159" s="858" t="s">
        <v>2907</v>
      </c>
      <c r="Q159" s="856"/>
      <c r="R159" s="856" t="s">
        <v>2701</v>
      </c>
      <c r="S159" s="856" t="s">
        <v>2701</v>
      </c>
      <c r="T159" s="856"/>
      <c r="U159" s="856"/>
      <c r="V159" s="856"/>
      <c r="W159" s="856"/>
      <c r="X159" s="856"/>
      <c r="Y159" s="856"/>
      <c r="Z159" s="856"/>
      <c r="AA159" s="772" t="s">
        <v>4190</v>
      </c>
      <c r="AB159" s="856"/>
      <c r="AC159" s="856"/>
      <c r="AD159" s="856"/>
      <c r="AE159" s="856" t="s">
        <v>2701</v>
      </c>
      <c r="AF159" s="856"/>
      <c r="AG159" s="856"/>
      <c r="AH159" s="856"/>
      <c r="AI159" s="856"/>
      <c r="AJ159" s="856"/>
      <c r="AK159" s="856"/>
      <c r="AL159" s="856" t="s">
        <v>5603</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6795</v>
      </c>
      <c r="C160" s="849" t="s">
        <v>2478</v>
      </c>
      <c r="D160" s="778" t="s">
        <v>1665</v>
      </c>
      <c r="E160" s="850" t="s">
        <v>6796</v>
      </c>
      <c r="F160" s="787"/>
      <c r="G160" s="784" t="s">
        <v>6797</v>
      </c>
      <c r="H160" s="850" t="s">
        <v>6798</v>
      </c>
      <c r="I160" s="850"/>
      <c r="J160" s="850" t="s">
        <v>532</v>
      </c>
      <c r="K160" s="850" t="s">
        <v>3662</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6592</v>
      </c>
      <c r="B161" s="895" t="s">
        <v>6799</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6497</v>
      </c>
      <c r="B162" s="889" t="s">
        <v>6476</v>
      </c>
      <c r="C162" s="849" t="s">
        <v>6800</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6476</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6801</v>
      </c>
      <c r="B165" s="903" t="s">
        <v>6802</v>
      </c>
      <c r="C165" s="849" t="s">
        <v>6803</v>
      </c>
      <c r="D165" s="778" t="s">
        <v>6780</v>
      </c>
      <c r="E165" s="778" t="s">
        <v>6804</v>
      </c>
      <c r="F165" s="772" t="s">
        <v>6805</v>
      </c>
      <c r="G165" s="784" t="s">
        <v>6806</v>
      </c>
      <c r="H165" s="778" t="s">
        <v>6804</v>
      </c>
      <c r="I165" s="778"/>
      <c r="J165" s="778" t="s">
        <v>6807</v>
      </c>
      <c r="K165" s="778" t="s">
        <v>6808</v>
      </c>
      <c r="L165" s="778" t="s">
        <v>6806</v>
      </c>
      <c r="M165" s="778" t="s">
        <v>6806</v>
      </c>
      <c r="N165" s="778"/>
      <c r="O165" s="778"/>
      <c r="P165" s="776" t="s">
        <v>6804</v>
      </c>
      <c r="Q165" s="778"/>
      <c r="R165" s="778" t="s">
        <v>2326</v>
      </c>
      <c r="S165" s="778" t="s">
        <v>6809</v>
      </c>
      <c r="T165" s="778"/>
      <c r="U165" s="778"/>
      <c r="V165" s="778"/>
      <c r="W165" s="778"/>
      <c r="X165" s="778"/>
      <c r="Y165" s="778"/>
      <c r="Z165" s="778"/>
      <c r="AA165" s="778"/>
      <c r="AB165" s="778" t="s">
        <v>6781</v>
      </c>
      <c r="AC165" s="778" t="s">
        <v>6805</v>
      </c>
      <c r="AD165" s="778"/>
      <c r="AE165" s="778"/>
      <c r="AF165" s="778" t="s">
        <v>6803</v>
      </c>
      <c r="AG165" s="778"/>
      <c r="AH165" s="778"/>
      <c r="AI165" s="778"/>
      <c r="AJ165" s="778"/>
      <c r="AK165" s="778" t="s">
        <v>6808</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6810</v>
      </c>
      <c r="C166" s="849" t="s">
        <v>6811</v>
      </c>
      <c r="D166" s="778"/>
      <c r="E166" s="778" t="s">
        <v>6807</v>
      </c>
      <c r="F166" s="787"/>
      <c r="G166" s="907"/>
      <c r="H166" s="778" t="s">
        <v>6811</v>
      </c>
      <c r="I166" s="778"/>
      <c r="J166" s="778"/>
      <c r="K166" s="778"/>
      <c r="L166" s="778"/>
      <c r="M166" s="778"/>
      <c r="N166" s="778"/>
      <c r="O166" s="778"/>
      <c r="P166" s="776" t="s">
        <v>6812</v>
      </c>
      <c r="Q166" s="778"/>
      <c r="R166" s="778"/>
      <c r="S166" s="778"/>
      <c r="T166" s="778" t="s">
        <v>6807</v>
      </c>
      <c r="U166" s="778"/>
      <c r="V166" s="778"/>
      <c r="W166" s="778"/>
      <c r="X166" s="778"/>
      <c r="Y166" s="778"/>
      <c r="Z166" s="778" t="s">
        <v>6804</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6813</v>
      </c>
      <c r="B167" s="903" t="s">
        <v>6476</v>
      </c>
      <c r="C167" s="849" t="s">
        <v>2015</v>
      </c>
      <c r="D167" s="778" t="s">
        <v>5451</v>
      </c>
      <c r="E167" s="778" t="s">
        <v>6814</v>
      </c>
      <c r="F167" s="772" t="s">
        <v>6815</v>
      </c>
      <c r="G167" s="802" t="s">
        <v>6815</v>
      </c>
      <c r="H167" s="778" t="s">
        <v>3016</v>
      </c>
      <c r="I167" s="778"/>
      <c r="J167" s="778"/>
      <c r="K167" s="778"/>
      <c r="L167" s="778" t="s">
        <v>4594</v>
      </c>
      <c r="M167" s="778"/>
      <c r="N167" s="778"/>
      <c r="O167" s="778"/>
      <c r="P167" s="776"/>
      <c r="Q167" s="778"/>
      <c r="R167" s="778"/>
      <c r="S167" s="778" t="s">
        <v>4274</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6492</v>
      </c>
      <c r="B168" s="909" t="s">
        <v>6476</v>
      </c>
      <c r="C168" s="849" t="s">
        <v>6816</v>
      </c>
      <c r="D168" s="837"/>
      <c r="E168" s="837" t="s">
        <v>6817</v>
      </c>
      <c r="F168" s="787"/>
      <c r="G168" s="910" t="s">
        <v>6818</v>
      </c>
      <c r="H168" s="837" t="s">
        <v>6816</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6478</v>
      </c>
      <c r="B169" s="911" t="s">
        <v>6819</v>
      </c>
      <c r="C169" s="849" t="s">
        <v>5122</v>
      </c>
      <c r="D169" s="912"/>
      <c r="E169" s="912"/>
      <c r="F169" s="787"/>
      <c r="G169" s="773"/>
      <c r="H169" s="912"/>
      <c r="I169" s="912"/>
      <c r="J169" s="912" t="s">
        <v>5122</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6820</v>
      </c>
      <c r="C170" s="849" t="s">
        <v>6821</v>
      </c>
      <c r="D170" s="778" t="s">
        <v>6822</v>
      </c>
      <c r="E170" s="778" t="s">
        <v>6821</v>
      </c>
      <c r="F170" s="772" t="s">
        <v>1433</v>
      </c>
      <c r="G170" s="784" t="s">
        <v>3187</v>
      </c>
      <c r="H170" s="778" t="s">
        <v>6144</v>
      </c>
      <c r="I170" s="778"/>
      <c r="J170" s="778" t="s">
        <v>629</v>
      </c>
      <c r="K170" s="778" t="s">
        <v>359</v>
      </c>
      <c r="L170" s="778"/>
      <c r="M170" s="778"/>
      <c r="N170" s="778" t="s">
        <v>2593</v>
      </c>
      <c r="O170" s="778" t="s">
        <v>6823</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6492</v>
      </c>
      <c r="B171" s="913" t="s">
        <v>6824</v>
      </c>
      <c r="C171" s="849" t="s">
        <v>6825</v>
      </c>
      <c r="D171" s="824"/>
      <c r="E171" s="824"/>
      <c r="F171" s="787"/>
      <c r="G171" s="773"/>
      <c r="H171" s="824"/>
      <c r="I171" s="824"/>
      <c r="J171" s="824" t="s">
        <v>4216</v>
      </c>
      <c r="K171" s="824"/>
      <c r="L171" s="824"/>
      <c r="M171" s="824"/>
      <c r="N171" s="824"/>
      <c r="O171" s="824"/>
      <c r="P171" s="776"/>
      <c r="Q171" s="824"/>
      <c r="R171" s="824"/>
      <c r="S171" s="824"/>
      <c r="T171" s="824"/>
      <c r="U171" s="824"/>
      <c r="V171" s="824"/>
      <c r="W171" s="824" t="s">
        <v>6826</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6827</v>
      </c>
      <c r="C172" s="849" t="s">
        <v>6828</v>
      </c>
      <c r="D172" s="778" t="s">
        <v>1669</v>
      </c>
      <c r="E172" s="778" t="s">
        <v>6828</v>
      </c>
      <c r="F172" s="772" t="s">
        <v>1434</v>
      </c>
      <c r="G172" s="869" t="s">
        <v>3188</v>
      </c>
      <c r="H172" s="778" t="s">
        <v>3100</v>
      </c>
      <c r="I172" s="778" t="s">
        <v>1530</v>
      </c>
      <c r="J172" s="778" t="s">
        <v>2151</v>
      </c>
      <c r="K172" s="778" t="s">
        <v>5395</v>
      </c>
      <c r="L172" s="778" t="s">
        <v>906</v>
      </c>
      <c r="M172" s="778" t="s">
        <v>2919</v>
      </c>
      <c r="N172" s="778" t="s">
        <v>1929</v>
      </c>
      <c r="O172" s="778" t="s">
        <v>4841</v>
      </c>
      <c r="P172" s="776" t="s">
        <v>1929</v>
      </c>
      <c r="Q172" s="778"/>
      <c r="R172" s="778"/>
      <c r="S172" s="778"/>
      <c r="T172" s="778"/>
      <c r="U172" s="778" t="s">
        <v>6829</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6830</v>
      </c>
      <c r="C173" s="849" t="s">
        <v>4010</v>
      </c>
      <c r="D173" s="778"/>
      <c r="E173" s="778" t="s">
        <v>4010</v>
      </c>
      <c r="F173" s="787"/>
      <c r="G173" s="773"/>
      <c r="H173" s="778"/>
      <c r="I173" s="778" t="s">
        <v>5337</v>
      </c>
      <c r="J173" s="778"/>
      <c r="K173" s="778"/>
      <c r="L173" s="778"/>
      <c r="M173" s="778" t="s">
        <v>1075</v>
      </c>
      <c r="N173" s="778" t="s">
        <v>4535</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6831</v>
      </c>
      <c r="B174" s="913" t="s">
        <v>6615</v>
      </c>
      <c r="C174" s="849" t="s">
        <v>4037</v>
      </c>
      <c r="D174" s="912"/>
      <c r="E174" s="912"/>
      <c r="F174" s="787"/>
      <c r="G174" s="914" t="s">
        <v>3062</v>
      </c>
      <c r="H174" s="912"/>
      <c r="I174" s="912"/>
      <c r="J174" s="912"/>
      <c r="K174" s="912"/>
      <c r="L174" s="912" t="s">
        <v>2961</v>
      </c>
      <c r="M174" s="912"/>
      <c r="N174" s="912"/>
      <c r="O174" s="912"/>
      <c r="P174" s="793"/>
      <c r="Q174" s="912"/>
      <c r="R174" s="912"/>
      <c r="S174" s="912"/>
      <c r="T174" s="912"/>
      <c r="U174" s="912"/>
      <c r="V174" s="912"/>
      <c r="W174" s="912"/>
      <c r="X174" s="912"/>
      <c r="Y174" s="912"/>
      <c r="Z174" s="912"/>
      <c r="AA174" s="912" t="s">
        <v>3270</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6832</v>
      </c>
      <c r="C175" s="849" t="s">
        <v>5209</v>
      </c>
      <c r="D175" s="915" t="s">
        <v>316</v>
      </c>
      <c r="E175" s="778" t="s">
        <v>5209</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6833</v>
      </c>
      <c r="B176" s="913" t="s">
        <v>6615</v>
      </c>
      <c r="C176" s="849" t="s">
        <v>6834</v>
      </c>
      <c r="D176" s="912"/>
      <c r="E176" s="912"/>
      <c r="F176" s="787"/>
      <c r="G176" s="910" t="s">
        <v>6835</v>
      </c>
      <c r="H176" s="912" t="s">
        <v>6834</v>
      </c>
      <c r="I176" s="912"/>
      <c r="J176" s="912" t="s">
        <v>6836</v>
      </c>
      <c r="K176" s="912"/>
      <c r="L176" s="912"/>
      <c r="M176" s="912"/>
      <c r="N176" s="912"/>
      <c r="O176" s="912"/>
      <c r="P176" s="793"/>
      <c r="Q176" s="912"/>
      <c r="R176" s="912"/>
      <c r="S176" s="912"/>
      <c r="T176" s="912"/>
      <c r="U176" s="912"/>
      <c r="V176" s="912"/>
      <c r="W176" s="912" t="s">
        <v>6818</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6832</v>
      </c>
      <c r="C177" s="849" t="s">
        <v>6837</v>
      </c>
      <c r="D177" s="775" t="s">
        <v>6838</v>
      </c>
      <c r="E177" s="774" t="s">
        <v>6837</v>
      </c>
      <c r="F177" s="787"/>
      <c r="G177" s="773"/>
      <c r="H177" s="775" t="s">
        <v>6837</v>
      </c>
      <c r="I177" s="775"/>
      <c r="J177" s="775"/>
      <c r="K177" s="775"/>
      <c r="L177" s="775"/>
      <c r="M177" s="775"/>
      <c r="N177" s="775"/>
      <c r="O177" s="775"/>
      <c r="P177" s="776"/>
      <c r="Q177" s="775"/>
      <c r="R177" s="775"/>
      <c r="S177" s="775"/>
      <c r="T177" s="775"/>
      <c r="U177" s="775"/>
      <c r="V177" s="775"/>
      <c r="W177" s="775"/>
      <c r="X177" s="774" t="s">
        <v>6837</v>
      </c>
      <c r="Y177" s="775"/>
      <c r="Z177" s="775"/>
      <c r="AA177" s="775"/>
      <c r="AB177" s="775"/>
      <c r="AC177" s="775"/>
      <c r="AD177" s="775"/>
      <c r="AE177" s="775"/>
      <c r="AF177" s="775"/>
      <c r="AG177" s="775" t="s">
        <v>6839</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6524</v>
      </c>
      <c r="B178" s="913" t="s">
        <v>6476</v>
      </c>
      <c r="C178" s="849" t="str">
        <f>HYPERLINK("https://www.youtube.com/watch?v=_HQgQjbTLjM","1:11.32")</f>
        <v>1:11.32</v>
      </c>
      <c r="D178" s="783" t="s">
        <v>1676</v>
      </c>
      <c r="E178" s="912"/>
      <c r="F178" s="772" t="s">
        <v>1441</v>
      </c>
      <c r="G178" s="907"/>
      <c r="H178" s="912"/>
      <c r="I178" s="912" t="s">
        <v>1546</v>
      </c>
      <c r="J178" s="912" t="s">
        <v>6840</v>
      </c>
      <c r="K178" s="912" t="s">
        <v>3670</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6527</v>
      </c>
      <c r="B179" s="913" t="s">
        <v>6476</v>
      </c>
      <c r="C179" s="849" t="s">
        <v>325</v>
      </c>
      <c r="D179" s="808" t="s">
        <v>6841</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6842</v>
      </c>
      <c r="B180" s="913" t="s">
        <v>6843</v>
      </c>
      <c r="C180" s="849" t="s">
        <v>6844</v>
      </c>
      <c r="D180" s="912"/>
      <c r="E180" s="912"/>
      <c r="F180" s="787"/>
      <c r="G180" s="907"/>
      <c r="H180" s="912"/>
      <c r="I180" s="912"/>
      <c r="J180" s="912" t="s">
        <v>6844</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6845</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6501</v>
      </c>
      <c r="B182" s="911" t="s">
        <v>6846</v>
      </c>
      <c r="C182" s="849" t="s">
        <v>2708</v>
      </c>
      <c r="D182" s="912"/>
      <c r="E182" s="912"/>
      <c r="F182" s="772" t="s">
        <v>6847</v>
      </c>
      <c r="G182" s="907"/>
      <c r="H182" s="912"/>
      <c r="I182" s="912"/>
      <c r="J182" s="912"/>
      <c r="K182" s="912"/>
      <c r="L182" s="912"/>
      <c r="M182" s="912"/>
      <c r="N182" s="912" t="s">
        <v>4634</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6848</v>
      </c>
      <c r="C183" s="849" t="s">
        <v>853</v>
      </c>
      <c r="D183" s="912" t="s">
        <v>3573</v>
      </c>
      <c r="E183" s="912"/>
      <c r="F183" s="787"/>
      <c r="G183" s="802" t="s">
        <v>6849</v>
      </c>
      <c r="H183" s="912"/>
      <c r="I183" s="912" t="s">
        <v>6277</v>
      </c>
      <c r="J183" s="912"/>
      <c r="K183" s="912" t="s">
        <v>3248</v>
      </c>
      <c r="L183" s="912"/>
      <c r="M183" s="912"/>
      <c r="N183" s="912" t="s">
        <v>6850</v>
      </c>
      <c r="O183" s="912"/>
      <c r="P183" s="793"/>
      <c r="Q183" s="912"/>
      <c r="R183" s="912"/>
      <c r="S183" s="912"/>
      <c r="T183" s="912"/>
      <c r="U183" s="912"/>
      <c r="V183" s="912"/>
      <c r="W183" s="912"/>
      <c r="X183" s="912"/>
      <c r="Y183" s="912"/>
      <c r="Z183" s="912"/>
      <c r="AA183" s="912"/>
      <c r="AB183" s="912"/>
      <c r="AC183" s="912"/>
      <c r="AD183" s="912"/>
      <c r="AE183" s="912"/>
      <c r="AF183" s="912"/>
      <c r="AG183" s="912" t="s">
        <v>4672</v>
      </c>
      <c r="AH183" s="912"/>
      <c r="AI183" s="912"/>
      <c r="AJ183" s="912"/>
      <c r="AK183" s="912"/>
      <c r="AL183" s="912"/>
      <c r="AM183" s="912"/>
      <c r="AN183" s="912"/>
      <c r="AO183" s="912"/>
      <c r="AP183" s="819"/>
      <c r="AQ183" s="912"/>
      <c r="AR183" s="912"/>
      <c r="AS183" s="912" t="s">
        <v>3298</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6851</v>
      </c>
      <c r="C184" s="849" t="s">
        <v>508</v>
      </c>
      <c r="D184" s="778" t="s">
        <v>2855</v>
      </c>
      <c r="E184" s="912"/>
      <c r="F184" s="772" t="s">
        <v>650</v>
      </c>
      <c r="G184" s="910" t="s">
        <v>1789</v>
      </c>
      <c r="H184" s="912" t="s">
        <v>816</v>
      </c>
      <c r="I184" s="912"/>
      <c r="J184" s="912" t="s">
        <v>5626</v>
      </c>
      <c r="K184" s="912"/>
      <c r="L184" s="912" t="s">
        <v>907</v>
      </c>
      <c r="M184" s="912"/>
      <c r="N184" s="912"/>
      <c r="O184" s="912" t="s">
        <v>1076</v>
      </c>
      <c r="P184" s="793"/>
      <c r="Q184" s="912" t="s">
        <v>6404</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6492</v>
      </c>
      <c r="B185" s="913" t="s">
        <v>6852</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6853</v>
      </c>
      <c r="C186" s="849" t="s">
        <v>6789</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6854</v>
      </c>
      <c r="C187" s="849" t="s">
        <v>6855</v>
      </c>
      <c r="D187" s="912" t="s">
        <v>1621</v>
      </c>
      <c r="E187" s="912"/>
      <c r="F187" s="787"/>
      <c r="G187" s="802" t="s">
        <v>6856</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6857</v>
      </c>
      <c r="C188" s="849" t="s">
        <v>2326</v>
      </c>
      <c r="D188" s="808" t="s">
        <v>6858</v>
      </c>
      <c r="E188" s="912"/>
      <c r="F188" s="787"/>
      <c r="G188" s="910" t="s">
        <v>607</v>
      </c>
      <c r="H188" s="912" t="s">
        <v>3091</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6621</v>
      </c>
      <c r="B189" s="918" t="s">
        <v>6859</v>
      </c>
      <c r="C189" s="849" t="s">
        <v>5452</v>
      </c>
      <c r="D189" s="912"/>
      <c r="E189" s="912"/>
      <c r="F189" s="772" t="s">
        <v>2944</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6860</v>
      </c>
      <c r="C190" s="849" t="s">
        <v>5413</v>
      </c>
      <c r="D190" s="912" t="s">
        <v>5150</v>
      </c>
      <c r="E190" s="912"/>
      <c r="F190" s="772" t="s">
        <v>6420</v>
      </c>
      <c r="G190" s="910" t="s">
        <v>679</v>
      </c>
      <c r="H190" s="912"/>
      <c r="I190" s="912"/>
      <c r="J190" s="912"/>
      <c r="K190" s="912" t="s">
        <v>5643</v>
      </c>
      <c r="L190" s="912" t="s">
        <v>1755</v>
      </c>
      <c r="M190" s="912"/>
      <c r="N190" s="912" t="s">
        <v>4750</v>
      </c>
      <c r="O190" s="912"/>
      <c r="P190" s="793"/>
      <c r="Q190" s="912"/>
      <c r="R190" s="912"/>
      <c r="S190" s="912"/>
      <c r="T190" s="912" t="s">
        <v>3511</v>
      </c>
      <c r="U190" s="912" t="s">
        <v>6861</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6862</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6863</v>
      </c>
      <c r="C192" s="849" t="s">
        <v>370</v>
      </c>
      <c r="D192" s="775" t="s">
        <v>5779</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6864</v>
      </c>
      <c r="C193" s="849" t="s">
        <v>908</v>
      </c>
      <c r="D193" s="778" t="s">
        <v>1670</v>
      </c>
      <c r="E193" s="808"/>
      <c r="F193" s="772" t="s">
        <v>1435</v>
      </c>
      <c r="G193" s="802" t="s">
        <v>3189</v>
      </c>
      <c r="H193" s="850" t="s">
        <v>6865</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6492</v>
      </c>
      <c r="B194" s="913" t="s">
        <v>6859</v>
      </c>
      <c r="C194" s="849" t="s">
        <v>1564</v>
      </c>
      <c r="D194" s="808"/>
      <c r="E194" s="808"/>
      <c r="F194" s="787"/>
      <c r="G194" s="907"/>
      <c r="H194" s="808"/>
      <c r="I194" s="808"/>
      <c r="J194" s="808" t="s">
        <v>5501</v>
      </c>
      <c r="K194" s="808"/>
      <c r="L194" s="808"/>
      <c r="M194" s="808"/>
      <c r="N194" s="808"/>
      <c r="O194" s="808"/>
      <c r="P194" s="809"/>
      <c r="Q194" s="808"/>
      <c r="R194" s="808"/>
      <c r="S194" s="808"/>
      <c r="T194" s="808"/>
      <c r="U194" s="808"/>
      <c r="V194" s="808"/>
      <c r="W194" s="850" t="s">
        <v>976</v>
      </c>
      <c r="X194" s="808"/>
      <c r="Y194" s="808"/>
      <c r="Z194" s="808"/>
      <c r="AA194" s="808"/>
      <c r="AB194" s="808"/>
      <c r="AC194" s="850" t="s">
        <v>6866</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6867</v>
      </c>
      <c r="BA194" s="808"/>
      <c r="BB194" s="808"/>
      <c r="BC194" s="904"/>
      <c r="BD194" s="904"/>
      <c r="BE194" s="808"/>
      <c r="BF194" s="819"/>
      <c r="BG194" s="819"/>
      <c r="BH194" s="904"/>
      <c r="BI194" s="904"/>
      <c r="BJ194" s="904"/>
    </row>
    <row r="195" ht="15.75" customHeight="1">
      <c r="A195" s="905"/>
      <c r="B195" s="906" t="s">
        <v>6860</v>
      </c>
      <c r="C195" s="849" t="s">
        <v>6868</v>
      </c>
      <c r="D195" s="808" t="s">
        <v>332</v>
      </c>
      <c r="E195" s="808" t="s">
        <v>3771</v>
      </c>
      <c r="F195" s="772" t="s">
        <v>6869</v>
      </c>
      <c r="G195" s="773"/>
      <c r="H195" s="808"/>
      <c r="I195" s="808" t="s">
        <v>6870</v>
      </c>
      <c r="J195" s="808"/>
      <c r="K195" s="808"/>
      <c r="L195" s="808" t="s">
        <v>3771</v>
      </c>
      <c r="M195" s="808"/>
      <c r="N195" s="808" t="s">
        <v>6871</v>
      </c>
      <c r="O195" s="808"/>
      <c r="P195" s="809" t="s">
        <v>3902</v>
      </c>
      <c r="Q195" s="808"/>
      <c r="R195" s="824" t="s">
        <v>6872</v>
      </c>
      <c r="S195" s="808"/>
      <c r="T195" s="808"/>
      <c r="U195" s="808" t="s">
        <v>3148</v>
      </c>
      <c r="V195" s="808"/>
      <c r="W195" s="808" t="s">
        <v>4060</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6862</v>
      </c>
      <c r="C196" s="849" t="s">
        <v>4941</v>
      </c>
      <c r="D196" s="912"/>
      <c r="E196" s="912"/>
      <c r="F196" s="787"/>
      <c r="G196" s="910" t="s">
        <v>5012</v>
      </c>
      <c r="H196" s="912"/>
      <c r="I196" s="912" t="str">
        <f>HYPERLINK("https://youtu.be/hsc9lXHQpts","23.75")</f>
        <v>23.75</v>
      </c>
      <c r="J196" s="912"/>
      <c r="K196" s="912"/>
      <c r="L196" s="912"/>
      <c r="M196" s="912"/>
      <c r="N196" s="912"/>
      <c r="O196" s="912"/>
      <c r="P196" s="793"/>
      <c r="Q196" s="912"/>
      <c r="R196" s="912"/>
      <c r="S196" s="912"/>
      <c r="T196" s="912"/>
      <c r="U196" s="912"/>
      <c r="V196" s="912"/>
      <c r="W196" s="912" t="s">
        <v>4790</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6863</v>
      </c>
      <c r="C197" s="849" t="s">
        <v>2858</v>
      </c>
      <c r="D197" s="778" t="s">
        <v>558</v>
      </c>
      <c r="E197" s="778" t="s">
        <v>2858</v>
      </c>
      <c r="F197" s="787"/>
      <c r="G197" s="802" t="s">
        <v>6872</v>
      </c>
      <c r="H197" s="778"/>
      <c r="I197" s="778" t="s">
        <v>1531</v>
      </c>
      <c r="J197" s="778" t="s">
        <v>6873</v>
      </c>
      <c r="K197" s="778" t="s">
        <v>4353</v>
      </c>
      <c r="L197" s="778"/>
      <c r="M197" s="778" t="s">
        <v>6874</v>
      </c>
      <c r="N197" s="778" t="s">
        <v>4599</v>
      </c>
      <c r="O197" s="778" t="s">
        <v>4850</v>
      </c>
      <c r="P197" s="774" t="s">
        <v>6875</v>
      </c>
      <c r="Q197" s="778"/>
      <c r="R197" s="774" t="s">
        <v>5816</v>
      </c>
      <c r="S197" s="778"/>
      <c r="T197" s="778"/>
      <c r="U197" s="778"/>
      <c r="V197" s="778" t="s">
        <v>2621</v>
      </c>
      <c r="W197" s="778" t="s">
        <v>6876</v>
      </c>
      <c r="X197" s="778"/>
      <c r="Y197" s="778"/>
      <c r="Z197" s="778"/>
      <c r="AA197" s="778"/>
      <c r="AB197" s="778"/>
      <c r="AC197" s="778"/>
      <c r="AD197" s="778"/>
      <c r="AE197" s="778"/>
      <c r="AF197" s="778"/>
      <c r="AG197" s="778"/>
      <c r="AH197" s="778"/>
      <c r="AI197" s="778"/>
      <c r="AJ197" s="778" t="s">
        <v>4850</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6864</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6497</v>
      </c>
      <c r="B199" s="913" t="s">
        <v>6476</v>
      </c>
      <c r="C199" s="849" t="s">
        <v>1026</v>
      </c>
      <c r="D199" s="775" t="s">
        <v>5908</v>
      </c>
      <c r="E199" s="774" t="s">
        <v>386</v>
      </c>
      <c r="F199" s="772" t="s">
        <v>6877</v>
      </c>
      <c r="G199" s="802" t="s">
        <v>6877</v>
      </c>
      <c r="H199" s="775" t="s">
        <v>2324</v>
      </c>
      <c r="I199" s="775"/>
      <c r="J199" s="775"/>
      <c r="K199" s="775"/>
      <c r="L199" s="775" t="s">
        <v>6878</v>
      </c>
      <c r="M199" s="775"/>
      <c r="N199" s="775"/>
      <c r="O199" s="775"/>
      <c r="P199" s="776"/>
      <c r="Q199" s="775"/>
      <c r="R199" s="775"/>
      <c r="S199" s="775"/>
      <c r="T199" s="775"/>
      <c r="U199" s="775"/>
      <c r="V199" s="775" t="s">
        <v>4520</v>
      </c>
      <c r="W199" s="775"/>
      <c r="X199" s="775"/>
      <c r="Y199" s="775"/>
      <c r="Z199" s="774" t="s">
        <v>4520</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6879</v>
      </c>
      <c r="B200" s="913" t="s">
        <v>6476</v>
      </c>
      <c r="C200" s="849" t="s">
        <v>6880</v>
      </c>
      <c r="D200" s="775"/>
      <c r="E200" s="774" t="s">
        <v>6880</v>
      </c>
      <c r="F200" s="787"/>
      <c r="G200" s="910" t="s">
        <v>6881</v>
      </c>
      <c r="H200" s="775" t="s">
        <v>6882</v>
      </c>
      <c r="I200" s="775"/>
      <c r="J200" s="775" t="s">
        <v>6883</v>
      </c>
      <c r="K200" s="775"/>
      <c r="L200" s="775"/>
      <c r="M200" s="775"/>
      <c r="N200" s="775"/>
      <c r="O200" s="774" t="s">
        <v>6880</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6524</v>
      </c>
      <c r="B201" s="913" t="s">
        <v>6476</v>
      </c>
      <c r="C201" s="849" t="s">
        <v>376</v>
      </c>
      <c r="D201" s="778" t="s">
        <v>376</v>
      </c>
      <c r="E201" s="778" t="s">
        <v>312</v>
      </c>
      <c r="F201" s="787"/>
      <c r="G201" s="773"/>
      <c r="H201" s="778"/>
      <c r="I201" s="778"/>
      <c r="J201" s="778" t="s">
        <v>603</v>
      </c>
      <c r="K201" s="778" t="s">
        <v>3671</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6527</v>
      </c>
      <c r="B202" s="913" t="s">
        <v>6476</v>
      </c>
      <c r="C202" s="849"/>
      <c r="D202" s="774" t="s">
        <v>6884</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6691</v>
      </c>
      <c r="B203" s="911" t="s">
        <v>6885</v>
      </c>
      <c r="C203" s="849" t="s">
        <v>6886</v>
      </c>
      <c r="D203" s="778" t="s">
        <v>1672</v>
      </c>
      <c r="E203" s="778" t="s">
        <v>6886</v>
      </c>
      <c r="F203" s="772" t="s">
        <v>1437</v>
      </c>
      <c r="G203" s="914" t="s">
        <v>3190</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6497</v>
      </c>
      <c r="B204" s="913" t="s">
        <v>6476</v>
      </c>
      <c r="C204" s="849" t="s">
        <v>4555</v>
      </c>
      <c r="D204" s="778" t="s">
        <v>3333</v>
      </c>
      <c r="E204" s="778" t="s">
        <v>4555</v>
      </c>
      <c r="F204" s="772" t="s">
        <v>939</v>
      </c>
      <c r="G204" s="802" t="s">
        <v>1873</v>
      </c>
      <c r="H204" s="778" t="s">
        <v>1100</v>
      </c>
      <c r="I204" s="778"/>
      <c r="J204" s="778"/>
      <c r="K204" s="778"/>
      <c r="L204" s="778" t="s">
        <v>317</v>
      </c>
      <c r="M204" s="778"/>
      <c r="N204" s="778"/>
      <c r="O204" s="778"/>
      <c r="P204" s="776"/>
      <c r="Q204" s="778"/>
      <c r="R204" s="778"/>
      <c r="S204" s="778" t="s">
        <v>6887</v>
      </c>
      <c r="T204" s="778"/>
      <c r="U204" s="778"/>
      <c r="V204" s="778" t="s">
        <v>6888</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6546</v>
      </c>
      <c r="B205" s="911" t="s">
        <v>6889</v>
      </c>
      <c r="C205" s="849"/>
      <c r="D205" s="912"/>
      <c r="E205" s="912"/>
      <c r="F205" s="787"/>
      <c r="G205" s="910" t="s">
        <v>6607</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6890</v>
      </c>
      <c r="C206" s="849"/>
      <c r="D206" s="912"/>
      <c r="E206" s="912"/>
      <c r="F206" s="787"/>
      <c r="G206" s="773"/>
      <c r="H206" s="912" t="s">
        <v>6720</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6588</v>
      </c>
      <c r="B207" s="911" t="s">
        <v>6891</v>
      </c>
      <c r="C207" s="849" t="s">
        <v>2031</v>
      </c>
      <c r="D207" s="912" t="s">
        <v>4253</v>
      </c>
      <c r="E207" s="912"/>
      <c r="F207" s="772" t="s">
        <v>2996</v>
      </c>
      <c r="G207" s="910" t="s">
        <v>6892</v>
      </c>
      <c r="H207" s="912"/>
      <c r="I207" s="912"/>
      <c r="J207" s="912"/>
      <c r="K207" s="912" t="s">
        <v>1172</v>
      </c>
      <c r="L207" s="912"/>
      <c r="M207" s="912"/>
      <c r="N207" s="912" t="s">
        <v>6893</v>
      </c>
      <c r="O207" s="850" t="s">
        <v>6894</v>
      </c>
      <c r="P207" s="793" t="s">
        <v>6895</v>
      </c>
      <c r="Q207" s="912"/>
      <c r="R207" s="912" t="s">
        <v>1020</v>
      </c>
      <c r="S207" s="912" t="s">
        <v>6895</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6896</v>
      </c>
      <c r="C208" s="849" t="s">
        <v>401</v>
      </c>
      <c r="D208" s="778" t="s">
        <v>1596</v>
      </c>
      <c r="E208" s="912"/>
      <c r="F208" s="772" t="s">
        <v>1439</v>
      </c>
      <c r="G208" s="802" t="s">
        <v>3192</v>
      </c>
      <c r="H208" s="912"/>
      <c r="I208" s="912"/>
      <c r="J208" s="912"/>
      <c r="K208" s="912"/>
      <c r="L208" s="850" t="s">
        <v>913</v>
      </c>
      <c r="M208" s="850" t="s">
        <v>821</v>
      </c>
      <c r="N208" s="912"/>
      <c r="O208" s="850" t="s">
        <v>1935</v>
      </c>
      <c r="P208" s="793" t="s">
        <v>1535</v>
      </c>
      <c r="Q208" s="912"/>
      <c r="R208" s="912" t="s">
        <v>3543</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6592</v>
      </c>
      <c r="B209" s="911" t="s">
        <v>6897</v>
      </c>
      <c r="C209" s="849" t="s">
        <v>1536</v>
      </c>
      <c r="D209" s="797" t="s">
        <v>1675</v>
      </c>
      <c r="E209" s="912"/>
      <c r="F209" s="787"/>
      <c r="G209" s="907"/>
      <c r="H209" s="912"/>
      <c r="I209" s="912" t="s">
        <v>1536</v>
      </c>
      <c r="J209" s="912" t="s">
        <v>6898</v>
      </c>
      <c r="K209" s="912" t="s">
        <v>3669</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6899</v>
      </c>
      <c r="BB209" s="912"/>
      <c r="BC209" s="904"/>
      <c r="BD209" s="904"/>
      <c r="BE209" s="912"/>
      <c r="BF209" s="819"/>
      <c r="BG209" s="819"/>
      <c r="BH209" s="904"/>
      <c r="BI209" s="904"/>
      <c r="BJ209" s="904"/>
    </row>
    <row r="210" ht="15.75" customHeight="1">
      <c r="A210" s="902" t="s">
        <v>57</v>
      </c>
      <c r="B210" s="911" t="s">
        <v>6900</v>
      </c>
      <c r="C210" s="849" t="s">
        <v>1538</v>
      </c>
      <c r="D210" s="783" t="s">
        <v>6901</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6902</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6475</v>
      </c>
      <c r="B212" s="929" t="s">
        <v>6476</v>
      </c>
      <c r="C212" s="849" t="s">
        <v>1001</v>
      </c>
      <c r="D212" s="778" t="s">
        <v>1678</v>
      </c>
      <c r="E212" s="856"/>
      <c r="F212" s="772" t="s">
        <v>1444</v>
      </c>
      <c r="G212" s="802" t="s">
        <v>3193</v>
      </c>
      <c r="H212" s="850" t="s">
        <v>1149</v>
      </c>
      <c r="I212" s="856" t="s">
        <v>6903</v>
      </c>
      <c r="J212" s="850" t="s">
        <v>4631</v>
      </c>
      <c r="K212" s="850" t="s">
        <v>1811</v>
      </c>
      <c r="L212" s="850" t="s">
        <v>918</v>
      </c>
      <c r="M212" s="850" t="s">
        <v>257</v>
      </c>
      <c r="N212" s="856" t="s">
        <v>4513</v>
      </c>
      <c r="O212" s="850" t="s">
        <v>1223</v>
      </c>
      <c r="P212" s="858" t="s">
        <v>359</v>
      </c>
      <c r="Q212" s="856"/>
      <c r="R212" s="856"/>
      <c r="S212" s="856"/>
      <c r="T212" s="856"/>
      <c r="U212" s="856" t="s">
        <v>3954</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6674</v>
      </c>
      <c r="B213" s="929" t="s">
        <v>6904</v>
      </c>
      <c r="C213" s="849" t="s">
        <v>1693</v>
      </c>
      <c r="D213" s="778" t="s">
        <v>1679</v>
      </c>
      <c r="E213" s="850" t="s">
        <v>1693</v>
      </c>
      <c r="F213" s="772" t="s">
        <v>3460</v>
      </c>
      <c r="G213" s="931" t="s">
        <v>3194</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6501</v>
      </c>
      <c r="B214" s="929" t="s">
        <v>6476</v>
      </c>
      <c r="C214" s="849" t="str">
        <f>HYPERLINK("https://www.youtube.com/watch?v=aWzlUqH0LaM","41.87")</f>
        <v>41.87</v>
      </c>
      <c r="D214" s="860"/>
      <c r="E214" s="856"/>
      <c r="F214" s="772" t="s">
        <v>6905</v>
      </c>
      <c r="G214" s="773"/>
      <c r="H214" s="850" t="s">
        <v>312</v>
      </c>
      <c r="I214" s="850" t="s">
        <v>1717</v>
      </c>
      <c r="J214" s="856"/>
      <c r="K214" s="850" t="s">
        <v>6390</v>
      </c>
      <c r="L214" s="850" t="s">
        <v>4530</v>
      </c>
      <c r="M214" s="850" t="str">
        <f>HYPERLINK("https://www.youtube.com/watch?v=aWzlUqH0LaM","41.87")</f>
        <v>41.87</v>
      </c>
      <c r="N214" s="856" t="s">
        <v>2243</v>
      </c>
      <c r="O214" s="850" t="s">
        <v>1608</v>
      </c>
      <c r="P214" s="858" t="s">
        <v>3267</v>
      </c>
      <c r="Q214" s="856"/>
      <c r="R214" s="856"/>
      <c r="S214" s="856"/>
      <c r="T214" s="856"/>
      <c r="U214" s="856" t="s">
        <v>6906</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6621</v>
      </c>
      <c r="B215" s="929" t="s">
        <v>6907</v>
      </c>
      <c r="C215" s="849" t="str">
        <f>HYPERLINK("https://youtu.be/F-20O1FDNbI","1:45.11")</f>
        <v>1:45.11</v>
      </c>
      <c r="D215" s="856" t="s">
        <v>6908</v>
      </c>
      <c r="E215" s="856"/>
      <c r="F215" s="772" t="s">
        <v>6909</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6910</v>
      </c>
      <c r="C216" s="849" t="s">
        <v>522</v>
      </c>
      <c r="D216" s="778" t="s">
        <v>6911</v>
      </c>
      <c r="E216" s="856"/>
      <c r="F216" s="772" t="s">
        <v>1447</v>
      </c>
      <c r="G216" s="802" t="s">
        <v>3196</v>
      </c>
      <c r="H216" s="856" t="s">
        <v>6912</v>
      </c>
      <c r="I216" s="856"/>
      <c r="J216" s="850" t="s">
        <v>6913</v>
      </c>
      <c r="K216" s="856"/>
      <c r="L216" s="856" t="s">
        <v>921</v>
      </c>
      <c r="M216" s="850" t="s">
        <v>825</v>
      </c>
      <c r="N216" s="856"/>
      <c r="O216" s="856"/>
      <c r="P216" s="858" t="s">
        <v>4288</v>
      </c>
      <c r="Q216" s="856"/>
      <c r="R216" s="856"/>
      <c r="S216" s="856"/>
      <c r="T216" s="850" t="s">
        <v>522</v>
      </c>
      <c r="U216" s="856" t="s">
        <v>6176</v>
      </c>
      <c r="V216" s="856"/>
      <c r="W216" s="856"/>
      <c r="X216" s="856"/>
      <c r="Y216" s="856"/>
      <c r="Z216" s="856"/>
      <c r="AA216" s="856"/>
      <c r="AB216" s="856" t="s">
        <v>6914</v>
      </c>
      <c r="AC216" s="856" t="s">
        <v>6915</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6916</v>
      </c>
      <c r="C217" s="849" t="s">
        <v>6917</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6917</v>
      </c>
      <c r="AC217" s="856"/>
      <c r="AD217" s="856"/>
      <c r="AE217" s="856"/>
      <c r="AF217" s="856"/>
      <c r="AG217" s="856"/>
      <c r="AH217" s="856"/>
      <c r="AI217" s="856"/>
      <c r="AJ217" s="856"/>
      <c r="AK217" s="856"/>
      <c r="AL217" s="856"/>
      <c r="AM217" s="850" t="s">
        <v>3582</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6918</v>
      </c>
      <c r="C218" s="849" t="s">
        <v>2998</v>
      </c>
      <c r="D218" s="856"/>
      <c r="E218" s="856"/>
      <c r="F218" s="787"/>
      <c r="G218" s="773"/>
      <c r="H218" s="850" t="s">
        <v>6919</v>
      </c>
      <c r="I218" s="856"/>
      <c r="J218" s="856"/>
      <c r="K218" s="856"/>
      <c r="L218" s="856"/>
      <c r="M218" s="856"/>
      <c r="N218" s="856"/>
      <c r="O218" s="856"/>
      <c r="P218" s="858"/>
      <c r="Q218" s="856"/>
      <c r="R218" s="856"/>
      <c r="S218" s="856"/>
      <c r="T218" s="856"/>
      <c r="U218" s="856"/>
      <c r="V218" s="856"/>
      <c r="W218" s="856"/>
      <c r="X218" s="856"/>
      <c r="Y218" s="856"/>
      <c r="Z218" s="856"/>
      <c r="AA218" s="856"/>
      <c r="AB218" s="850" t="s">
        <v>6920</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6492</v>
      </c>
      <c r="B219" s="937" t="s">
        <v>6907</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6910</v>
      </c>
      <c r="C220" s="941" t="s">
        <v>6921</v>
      </c>
      <c r="D220" s="942" t="s">
        <v>6921</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6916</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6918</v>
      </c>
      <c r="C222" s="769" t="s">
        <v>794</v>
      </c>
      <c r="D222" s="938"/>
      <c r="E222" s="938"/>
      <c r="F222" s="787"/>
      <c r="G222" s="773"/>
      <c r="H222" s="938"/>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6497</v>
      </c>
      <c r="B223" s="937" t="s">
        <v>6922</v>
      </c>
      <c r="C223" s="849" t="s">
        <v>6923</v>
      </c>
      <c r="D223" s="943">
        <v>13.23</v>
      </c>
      <c r="E223" s="938"/>
      <c r="F223" s="772" t="s">
        <v>6924</v>
      </c>
      <c r="G223" s="931" t="s">
        <v>6925</v>
      </c>
      <c r="H223" s="938"/>
      <c r="I223" s="938"/>
      <c r="J223" s="944" t="s">
        <v>4190</v>
      </c>
      <c r="K223" s="938"/>
      <c r="L223" s="938"/>
      <c r="M223" s="938"/>
      <c r="N223" s="938"/>
      <c r="O223" s="938"/>
      <c r="P223" s="939"/>
      <c r="Q223" s="938"/>
      <c r="R223" s="944" t="s">
        <v>6779</v>
      </c>
      <c r="S223" s="938"/>
      <c r="T223" s="938"/>
      <c r="U223" s="938"/>
      <c r="V223" s="944" t="s">
        <v>2701</v>
      </c>
      <c r="W223" s="938"/>
      <c r="X223" s="938"/>
      <c r="Y223" s="938"/>
      <c r="Z223" s="938"/>
      <c r="AA223" s="938"/>
      <c r="AB223" s="944" t="s">
        <v>6923</v>
      </c>
      <c r="AC223" s="938"/>
      <c r="AD223" s="938"/>
      <c r="AE223" s="938"/>
      <c r="AF223" s="938"/>
      <c r="AG223" s="938"/>
      <c r="AH223" s="938"/>
      <c r="AI223" s="938"/>
      <c r="AJ223" s="938"/>
      <c r="AK223" s="938" t="s">
        <v>6925</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6926</v>
      </c>
      <c r="C224" s="849" t="s">
        <v>500</v>
      </c>
      <c r="D224" s="850"/>
      <c r="E224" s="850" t="s">
        <v>832</v>
      </c>
      <c r="F224" s="772" t="s">
        <v>6927</v>
      </c>
      <c r="G224" s="773"/>
      <c r="H224" s="850" t="s">
        <v>500</v>
      </c>
      <c r="I224" s="850"/>
      <c r="J224" s="850"/>
      <c r="K224" s="850"/>
      <c r="L224" s="850" t="s">
        <v>6923</v>
      </c>
      <c r="M224" s="850"/>
      <c r="N224" s="850"/>
      <c r="O224" s="850"/>
      <c r="P224" s="851"/>
      <c r="Q224" s="850"/>
      <c r="R224" s="850"/>
      <c r="S224" s="850" t="s">
        <v>6928</v>
      </c>
      <c r="T224" s="850"/>
      <c r="U224" s="850"/>
      <c r="V224" s="850"/>
      <c r="W224" s="850"/>
      <c r="X224" s="850" t="s">
        <v>6779</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6691</v>
      </c>
      <c r="B225" s="929" t="s">
        <v>6476</v>
      </c>
      <c r="C225" s="849"/>
      <c r="D225" s="856"/>
      <c r="E225" s="856"/>
      <c r="F225" s="787"/>
      <c r="G225" s="931" t="s">
        <v>6929</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6930</v>
      </c>
      <c r="B226" s="946" t="s">
        <v>6476</v>
      </c>
      <c r="C226" s="769" t="s">
        <v>6931</v>
      </c>
      <c r="D226" s="772" t="s">
        <v>6932</v>
      </c>
      <c r="E226" s="856"/>
      <c r="F226" s="787"/>
      <c r="G226" s="802" t="s">
        <v>6933</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6546</v>
      </c>
      <c r="B227" s="929" t="s">
        <v>6934</v>
      </c>
      <c r="C227" s="849" t="s">
        <v>6935</v>
      </c>
      <c r="D227" s="856" t="s">
        <v>4283</v>
      </c>
      <c r="E227" s="856"/>
      <c r="F227" s="787"/>
      <c r="G227" s="932"/>
      <c r="H227" s="856"/>
      <c r="I227" s="856"/>
      <c r="J227" s="856"/>
      <c r="K227" s="850" t="s">
        <v>5465</v>
      </c>
      <c r="L227" s="856"/>
      <c r="M227" s="856"/>
      <c r="N227" s="856"/>
      <c r="O227" s="856"/>
      <c r="P227" s="858"/>
      <c r="Q227" s="856"/>
      <c r="R227" s="856"/>
      <c r="S227" s="850" t="s">
        <v>4691</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6936</v>
      </c>
      <c r="C228" s="849" t="s">
        <v>1769</v>
      </c>
      <c r="D228" s="778" t="s">
        <v>1943</v>
      </c>
      <c r="E228" s="856"/>
      <c r="F228" s="772" t="s">
        <v>1448</v>
      </c>
      <c r="G228" s="802" t="s">
        <v>834</v>
      </c>
      <c r="H228" s="856"/>
      <c r="I228" s="856" t="s">
        <v>4410</v>
      </c>
      <c r="J228" s="850" t="s">
        <v>6937</v>
      </c>
      <c r="K228" s="850" t="s">
        <v>3520</v>
      </c>
      <c r="L228" s="856"/>
      <c r="M228" s="856"/>
      <c r="N228" s="856" t="s">
        <v>4392</v>
      </c>
      <c r="O228" s="850" t="s">
        <v>1448</v>
      </c>
      <c r="P228" s="858" t="s">
        <v>2227</v>
      </c>
      <c r="Q228" s="856" t="s">
        <v>1943</v>
      </c>
      <c r="R228" s="772" t="s">
        <v>5717</v>
      </c>
      <c r="S228" s="772" t="s">
        <v>1184</v>
      </c>
      <c r="T228" s="850" t="s">
        <v>3961</v>
      </c>
      <c r="U228" s="856" t="s">
        <v>4518</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6938</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6492</v>
      </c>
      <c r="B230" s="948" t="s">
        <v>6939</v>
      </c>
      <c r="C230" s="849" t="s">
        <v>2886</v>
      </c>
      <c r="D230" s="856" t="s">
        <v>396</v>
      </c>
      <c r="E230" s="856"/>
      <c r="F230" s="787"/>
      <c r="G230" s="773"/>
      <c r="H230" s="856"/>
      <c r="I230" s="856"/>
      <c r="J230" s="856"/>
      <c r="K230" s="856" t="s">
        <v>5155</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6940</v>
      </c>
      <c r="C231" s="849" t="s">
        <v>4349</v>
      </c>
      <c r="D231" s="850"/>
      <c r="E231" s="850" t="s">
        <v>4349</v>
      </c>
      <c r="F231" s="787"/>
      <c r="G231" s="949" t="s">
        <v>2441</v>
      </c>
      <c r="H231" s="850"/>
      <c r="I231" s="850"/>
      <c r="J231" s="850"/>
      <c r="K231" s="850"/>
      <c r="L231" s="850"/>
      <c r="M231" s="850"/>
      <c r="N231" s="850"/>
      <c r="O231" s="850"/>
      <c r="P231" s="851"/>
      <c r="Q231" s="850"/>
      <c r="R231" s="850" t="s">
        <v>2329</v>
      </c>
      <c r="S231" s="850"/>
      <c r="T231" s="850"/>
      <c r="U231" s="850"/>
      <c r="V231" s="850"/>
      <c r="W231" s="850" t="s">
        <v>3800</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6941</v>
      </c>
      <c r="C232" s="849" t="s">
        <v>3449</v>
      </c>
      <c r="D232" s="856" t="s">
        <v>1702</v>
      </c>
      <c r="E232" s="856"/>
      <c r="F232" s="772" t="s">
        <v>1773</v>
      </c>
      <c r="G232" s="802" t="s">
        <v>1684</v>
      </c>
      <c r="H232" s="856"/>
      <c r="I232" s="856" t="s">
        <v>2535</v>
      </c>
      <c r="J232" s="856"/>
      <c r="K232" s="850" t="s">
        <v>4132</v>
      </c>
      <c r="L232" s="856"/>
      <c r="M232" s="856"/>
      <c r="N232" s="856" t="s">
        <v>3382</v>
      </c>
      <c r="O232" s="856"/>
      <c r="P232" s="858" t="s">
        <v>6942</v>
      </c>
      <c r="Q232" s="856"/>
      <c r="R232" s="856" t="s">
        <v>3449</v>
      </c>
      <c r="S232" s="856"/>
      <c r="T232" s="856"/>
      <c r="U232" s="856" t="s">
        <v>3840</v>
      </c>
      <c r="V232" s="856"/>
      <c r="W232" s="856"/>
      <c r="X232" s="856"/>
      <c r="Y232" s="856"/>
      <c r="Z232" s="856"/>
      <c r="AA232" s="856"/>
      <c r="AB232" s="856"/>
      <c r="AC232" s="856"/>
      <c r="AD232" s="856"/>
      <c r="AE232" s="850" t="s">
        <v>435</v>
      </c>
      <c r="AF232" s="850" t="s">
        <v>435</v>
      </c>
      <c r="AG232" s="856" t="s">
        <v>2563</v>
      </c>
      <c r="AH232" s="856"/>
      <c r="AI232" s="856"/>
      <c r="AJ232" s="856"/>
      <c r="AK232" s="850" t="s">
        <v>4863</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6943</v>
      </c>
      <c r="C233" s="849" t="s">
        <v>6944</v>
      </c>
      <c r="D233" s="778" t="s">
        <v>1684</v>
      </c>
      <c r="E233" s="856"/>
      <c r="F233" s="787"/>
      <c r="G233" s="932"/>
      <c r="H233" s="850" t="s">
        <v>2612</v>
      </c>
      <c r="I233" s="856"/>
      <c r="J233" s="850" t="s">
        <v>1125</v>
      </c>
      <c r="K233" s="856"/>
      <c r="L233" s="850" t="s">
        <v>923</v>
      </c>
      <c r="M233" s="850" t="s">
        <v>242</v>
      </c>
      <c r="N233" s="856"/>
      <c r="O233" s="850" t="s">
        <v>2999</v>
      </c>
      <c r="P233" s="858"/>
      <c r="Q233" s="856" t="s">
        <v>6945</v>
      </c>
      <c r="R233" s="772" t="s">
        <v>2228</v>
      </c>
      <c r="S233" s="856"/>
      <c r="T233" s="856"/>
      <c r="U233" s="856"/>
      <c r="V233" s="856"/>
      <c r="W233" s="856"/>
      <c r="X233" s="856"/>
      <c r="Y233" s="856"/>
      <c r="Z233" s="856"/>
      <c r="AA233" s="856"/>
      <c r="AB233" s="856"/>
      <c r="AC233" s="856"/>
      <c r="AD233" s="856"/>
      <c r="AE233" s="856"/>
      <c r="AF233" s="856"/>
      <c r="AG233" s="856"/>
      <c r="AH233" s="772" t="s">
        <v>6944</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6497</v>
      </c>
      <c r="B234" s="948" t="s">
        <v>6946</v>
      </c>
      <c r="C234" s="849" t="s">
        <v>5732</v>
      </c>
      <c r="D234" s="950"/>
      <c r="E234" s="850" t="s">
        <v>5740</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6947</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6948</v>
      </c>
      <c r="C235" s="849" t="s">
        <v>1478</v>
      </c>
      <c r="D235" s="850" t="s">
        <v>1436</v>
      </c>
      <c r="E235" s="850" t="s">
        <v>1478</v>
      </c>
      <c r="F235" s="772" t="s">
        <v>3396</v>
      </c>
      <c r="G235" s="932"/>
      <c r="H235" s="772" t="s">
        <v>5535</v>
      </c>
      <c r="I235" s="850"/>
      <c r="J235" s="850" t="s">
        <v>1873</v>
      </c>
      <c r="K235" s="850" t="s">
        <v>1081</v>
      </c>
      <c r="L235" s="850" t="s">
        <v>545</v>
      </c>
      <c r="M235" s="850"/>
      <c r="N235" s="850"/>
      <c r="O235" s="850"/>
      <c r="P235" s="851"/>
      <c r="Q235" s="850"/>
      <c r="R235" s="772" t="s">
        <v>844</v>
      </c>
      <c r="S235" s="850" t="s">
        <v>1475</v>
      </c>
      <c r="T235" s="850"/>
      <c r="U235" s="850"/>
      <c r="V235" s="850" t="s">
        <v>4555</v>
      </c>
      <c r="W235" s="850"/>
      <c r="X235" s="850"/>
      <c r="Y235" s="850"/>
      <c r="Z235" s="850"/>
      <c r="AA235" s="850"/>
      <c r="AB235" s="850"/>
      <c r="AC235" s="850"/>
      <c r="AD235" s="850"/>
      <c r="AE235" s="850"/>
      <c r="AF235" s="850" t="s">
        <v>6949</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6950</v>
      </c>
      <c r="C236" s="849"/>
      <c r="D236" s="951" t="s">
        <v>4714</v>
      </c>
      <c r="E236" s="850"/>
      <c r="F236" s="787"/>
      <c r="G236" s="952" t="s">
        <v>6949</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6524</v>
      </c>
      <c r="B237" s="953" t="s">
        <v>6525</v>
      </c>
      <c r="C237" s="849" t="s">
        <v>6951</v>
      </c>
      <c r="D237" s="783" t="s">
        <v>1688</v>
      </c>
      <c r="E237" s="856"/>
      <c r="F237" s="787"/>
      <c r="G237" s="932"/>
      <c r="H237" s="856"/>
      <c r="I237" s="856" t="s">
        <v>2016</v>
      </c>
      <c r="J237" s="850" t="s">
        <v>1537</v>
      </c>
      <c r="K237" s="856" t="s">
        <v>6952</v>
      </c>
      <c r="L237" s="856" t="s">
        <v>5934</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6527</v>
      </c>
      <c r="B238" s="953" t="s">
        <v>6525</v>
      </c>
      <c r="C238" s="849"/>
      <c r="D238" s="954" t="s">
        <v>6953</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6588</v>
      </c>
      <c r="B239" s="929" t="s">
        <v>6891</v>
      </c>
      <c r="C239" s="849" t="s">
        <v>5527</v>
      </c>
      <c r="D239" s="850" t="s">
        <v>1382</v>
      </c>
      <c r="E239" s="850" t="s">
        <v>2692</v>
      </c>
      <c r="F239" s="787"/>
      <c r="G239" s="802" t="s">
        <v>4207</v>
      </c>
      <c r="H239" s="850" t="s">
        <v>5527</v>
      </c>
      <c r="I239" s="850"/>
      <c r="J239" s="850"/>
      <c r="K239" s="850" t="s">
        <v>5634</v>
      </c>
      <c r="L239" s="850"/>
      <c r="M239" s="850"/>
      <c r="N239" s="850" t="s">
        <v>5283</v>
      </c>
      <c r="O239" s="850" t="s">
        <v>4207</v>
      </c>
      <c r="P239" s="851" t="s">
        <v>5566</v>
      </c>
      <c r="Q239" s="850"/>
      <c r="R239" s="850" t="s">
        <v>5527</v>
      </c>
      <c r="S239" s="850"/>
      <c r="T239" s="850"/>
      <c r="U239" s="850" t="s">
        <v>4336</v>
      </c>
      <c r="V239" s="850"/>
      <c r="W239" s="850"/>
      <c r="X239" s="850"/>
      <c r="Y239" s="850"/>
      <c r="Z239" s="850"/>
      <c r="AA239" s="850"/>
      <c r="AB239" s="850"/>
      <c r="AC239" s="850"/>
      <c r="AD239" s="850"/>
      <c r="AE239" s="850"/>
      <c r="AF239" s="850"/>
      <c r="AG239" s="850"/>
      <c r="AH239" s="850"/>
      <c r="AI239" s="850"/>
      <c r="AJ239" s="850"/>
      <c r="AK239" s="850"/>
      <c r="AL239" s="850" t="s">
        <v>3135</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6664</v>
      </c>
      <c r="C240" s="849" t="s">
        <v>3086</v>
      </c>
      <c r="D240" s="850"/>
      <c r="E240" s="850" t="s">
        <v>4325</v>
      </c>
      <c r="F240" s="787"/>
      <c r="G240" s="949" t="s">
        <v>6954</v>
      </c>
      <c r="H240" s="850" t="s">
        <v>3086</v>
      </c>
      <c r="I240" s="850" t="str">
        <f>HYPERLINK("https://youtu.be/yGR2akJEjQQ","19.18")</f>
        <v>19.18</v>
      </c>
      <c r="J240" s="850"/>
      <c r="K240" s="850"/>
      <c r="L240" s="850"/>
      <c r="M240" s="850"/>
      <c r="N240" s="850"/>
      <c r="O240" s="850"/>
      <c r="P240" s="851"/>
      <c r="Q240" s="850"/>
      <c r="R240" s="772" t="s">
        <v>5479</v>
      </c>
      <c r="S240" s="850"/>
      <c r="T240" s="850" t="s">
        <v>2539</v>
      </c>
      <c r="U240" s="850"/>
      <c r="V240" s="850" t="s">
        <v>3051</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6955</v>
      </c>
      <c r="C241" s="849" t="s">
        <v>3199</v>
      </c>
      <c r="D241" s="850"/>
      <c r="E241" s="850" t="s">
        <v>881</v>
      </c>
      <c r="F241" s="787"/>
      <c r="G241" s="773"/>
      <c r="H241" s="850" t="s">
        <v>3199</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6956</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6957</v>
      </c>
      <c r="C243" s="769" t="s">
        <v>5068</v>
      </c>
      <c r="D243" s="856"/>
      <c r="E243" s="856"/>
      <c r="F243" s="787"/>
      <c r="G243" s="784" t="s">
        <v>467</v>
      </c>
      <c r="H243" s="772" t="s">
        <v>5068</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6958</v>
      </c>
      <c r="B244" s="929" t="s">
        <v>6476</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6959</v>
      </c>
      <c r="C245" s="849" t="s">
        <v>3428</v>
      </c>
      <c r="D245" s="850"/>
      <c r="E245" s="850" t="s">
        <v>3428</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6960</v>
      </c>
      <c r="C246" s="849" t="s">
        <v>297</v>
      </c>
      <c r="D246" s="783" t="s">
        <v>1687</v>
      </c>
      <c r="E246" s="772" t="s">
        <v>414</v>
      </c>
      <c r="F246" s="772" t="s">
        <v>1451</v>
      </c>
      <c r="G246" s="932"/>
      <c r="H246" s="772" t="s">
        <v>830</v>
      </c>
      <c r="I246" s="787"/>
      <c r="J246" s="772" t="s">
        <v>358</v>
      </c>
      <c r="K246" s="787"/>
      <c r="L246" s="787" t="s">
        <v>3493</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6476</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6961</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6475</v>
      </c>
      <c r="B249" s="962" t="s">
        <v>6962</v>
      </c>
      <c r="C249" s="849" t="s">
        <v>1836</v>
      </c>
      <c r="D249" s="856" t="s">
        <v>3977</v>
      </c>
      <c r="E249" s="856"/>
      <c r="F249" s="787"/>
      <c r="G249" s="773"/>
      <c r="H249" s="856"/>
      <c r="I249" s="856"/>
      <c r="J249" s="850" t="s">
        <v>3115</v>
      </c>
      <c r="K249" s="856"/>
      <c r="L249" s="856"/>
      <c r="M249" s="856"/>
      <c r="N249" s="856"/>
      <c r="O249" s="856"/>
      <c r="P249" s="858"/>
      <c r="Q249" s="856"/>
      <c r="R249" s="856"/>
      <c r="S249" s="856"/>
      <c r="T249" s="856"/>
      <c r="U249" s="856"/>
      <c r="V249" s="856"/>
      <c r="W249" s="856" t="s">
        <v>6963</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6964</v>
      </c>
      <c r="C250" s="849" t="s">
        <v>4611</v>
      </c>
      <c r="D250" s="856"/>
      <c r="E250" s="856"/>
      <c r="F250" s="787"/>
      <c r="G250" s="966" t="s">
        <v>3847</v>
      </c>
      <c r="H250" s="856"/>
      <c r="I250" s="850" t="str">
        <f>HYPERLINK("https://youtu.be/K8Egs0-qumI","48.41")</f>
        <v>48.41</v>
      </c>
      <c r="J250" s="856"/>
      <c r="K250" s="856"/>
      <c r="L250" s="856"/>
      <c r="M250" s="856"/>
      <c r="N250" s="856"/>
      <c r="O250" s="856"/>
      <c r="P250" s="858"/>
      <c r="Q250" s="856"/>
      <c r="R250" s="772" t="s">
        <v>6965</v>
      </c>
      <c r="S250" s="856"/>
      <c r="T250" s="850" t="s">
        <v>4611</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6966</v>
      </c>
      <c r="C251" s="849" t="s">
        <v>438</v>
      </c>
      <c r="D251" s="856" t="s">
        <v>4611</v>
      </c>
      <c r="E251" s="856"/>
      <c r="F251" s="787"/>
      <c r="G251" s="773"/>
      <c r="H251" s="856"/>
      <c r="I251" s="856" t="s">
        <v>6967</v>
      </c>
      <c r="J251" s="850" t="s">
        <v>4856</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6968</v>
      </c>
      <c r="C252" s="849" t="s">
        <v>3922</v>
      </c>
      <c r="D252" s="856"/>
      <c r="E252" s="856"/>
      <c r="F252" s="772" t="s">
        <v>6324</v>
      </c>
      <c r="G252" s="967"/>
      <c r="H252" s="856"/>
      <c r="I252" s="850" t="s">
        <v>6969</v>
      </c>
      <c r="J252" s="856"/>
      <c r="K252" s="856"/>
      <c r="L252" s="856"/>
      <c r="M252" s="856"/>
      <c r="N252" s="856"/>
      <c r="O252" s="856"/>
      <c r="P252" s="858"/>
      <c r="Q252" s="856" t="s">
        <v>586</v>
      </c>
      <c r="R252" s="856"/>
      <c r="S252" s="856"/>
      <c r="T252" s="856"/>
      <c r="U252" s="856"/>
      <c r="V252" s="856"/>
      <c r="W252" s="856"/>
      <c r="X252" s="856"/>
      <c r="Y252" s="856"/>
      <c r="Z252" s="856"/>
      <c r="AA252" s="856"/>
      <c r="AB252" s="856" t="s">
        <v>3531</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6970</v>
      </c>
      <c r="C253" s="849" t="s">
        <v>2082</v>
      </c>
      <c r="D253" s="850"/>
      <c r="E253" s="850" t="s">
        <v>1608</v>
      </c>
      <c r="F253" s="787"/>
      <c r="G253" s="784" t="s">
        <v>895</v>
      </c>
      <c r="H253" s="850" t="s">
        <v>2082</v>
      </c>
      <c r="I253" s="850"/>
      <c r="J253" s="850" t="s">
        <v>2250</v>
      </c>
      <c r="K253" s="850"/>
      <c r="L253" s="851" t="s">
        <v>6971</v>
      </c>
      <c r="M253" s="850"/>
      <c r="N253" s="850"/>
      <c r="O253" s="850" t="s">
        <v>1364</v>
      </c>
      <c r="P253" s="851" t="s">
        <v>6972</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6973</v>
      </c>
      <c r="C254" s="849" t="s">
        <v>2250</v>
      </c>
      <c r="D254" s="850"/>
      <c r="E254" s="850" t="s">
        <v>2250</v>
      </c>
      <c r="F254" s="787"/>
      <c r="G254" s="966" t="s">
        <v>6974</v>
      </c>
      <c r="H254" s="851" t="s">
        <v>3001</v>
      </c>
      <c r="I254" s="850"/>
      <c r="J254" s="850"/>
      <c r="K254" s="850"/>
      <c r="L254" s="850"/>
      <c r="M254" s="850"/>
      <c r="N254" s="850"/>
      <c r="O254" s="850"/>
      <c r="P254" s="851"/>
      <c r="Q254" s="772" t="s">
        <v>3267</v>
      </c>
      <c r="R254" s="850"/>
      <c r="S254" s="850"/>
      <c r="T254" s="850"/>
      <c r="U254" s="850"/>
      <c r="V254" s="851" t="s">
        <v>4645</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6975</v>
      </c>
      <c r="C255" s="849" t="s">
        <v>363</v>
      </c>
      <c r="D255" s="850"/>
      <c r="E255" s="850" t="s">
        <v>833</v>
      </c>
      <c r="F255" s="787"/>
      <c r="G255" s="784" t="s">
        <v>1364</v>
      </c>
      <c r="H255" s="851" t="s">
        <v>5585</v>
      </c>
      <c r="I255" s="850"/>
      <c r="J255" s="850"/>
      <c r="K255" s="850"/>
      <c r="L255" s="850"/>
      <c r="M255" s="850"/>
      <c r="N255" s="850"/>
      <c r="O255" s="850" t="s">
        <v>6281</v>
      </c>
      <c r="P255" s="851"/>
      <c r="Q255" s="850"/>
      <c r="R255" s="850"/>
      <c r="S255" s="850"/>
      <c r="T255" s="850"/>
      <c r="U255" s="850"/>
      <c r="V255" s="851" t="s">
        <v>6976</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6977</v>
      </c>
      <c r="C256" s="849" t="s">
        <v>6978</v>
      </c>
      <c r="D256" s="850" t="s">
        <v>978</v>
      </c>
      <c r="E256" s="850" t="s">
        <v>6978</v>
      </c>
      <c r="F256" s="772" t="s">
        <v>2643</v>
      </c>
      <c r="G256" s="784" t="s">
        <v>3197</v>
      </c>
      <c r="H256" s="850"/>
      <c r="I256" s="850"/>
      <c r="J256" s="850"/>
      <c r="K256" s="850"/>
      <c r="L256" s="850"/>
      <c r="M256" s="850"/>
      <c r="N256" s="850"/>
      <c r="O256" s="850" t="s">
        <v>6979</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6478</v>
      </c>
      <c r="B257" s="962" t="s">
        <v>6476</v>
      </c>
      <c r="C257" s="849"/>
      <c r="D257" s="856"/>
      <c r="E257" s="856"/>
      <c r="F257" s="787"/>
      <c r="G257" s="784" t="s">
        <v>6980</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6614</v>
      </c>
      <c r="B258" s="962" t="s">
        <v>6981</v>
      </c>
      <c r="C258" s="849" t="s">
        <v>1702</v>
      </c>
      <c r="D258" s="856" t="s">
        <v>1837</v>
      </c>
      <c r="E258" s="856"/>
      <c r="F258" s="772" t="s">
        <v>4365</v>
      </c>
      <c r="G258" s="967"/>
      <c r="H258" s="856"/>
      <c r="I258" s="850" t="str">
        <f>HYPERLINK("https://youtu.be/_GZXmZdCc5s","31.80")</f>
        <v>31.80</v>
      </c>
      <c r="J258" s="856"/>
      <c r="K258" s="850" t="s">
        <v>6982</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6983</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4132</v>
      </c>
      <c r="V259" s="856"/>
      <c r="W259" s="856"/>
      <c r="X259" s="856"/>
      <c r="Y259" s="856"/>
      <c r="Z259" s="856"/>
      <c r="AA259" s="856"/>
      <c r="AB259" s="856"/>
      <c r="AC259" s="856"/>
      <c r="AD259" s="856"/>
      <c r="AE259" s="856"/>
      <c r="AF259" s="856"/>
      <c r="AG259" s="856" t="s">
        <v>3414</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6984</v>
      </c>
      <c r="C260" s="849" t="s">
        <v>6631</v>
      </c>
      <c r="D260" s="856" t="s">
        <v>3493</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6985</v>
      </c>
      <c r="C261" s="849" t="s">
        <v>3657</v>
      </c>
      <c r="D261" s="850" t="s">
        <v>242</v>
      </c>
      <c r="E261" s="850" t="s">
        <v>3657</v>
      </c>
      <c r="F261" s="772" t="s">
        <v>1456</v>
      </c>
      <c r="G261" s="869" t="s">
        <v>925</v>
      </c>
      <c r="H261" s="850" t="s">
        <v>1610</v>
      </c>
      <c r="I261" s="850" t="s">
        <v>3254</v>
      </c>
      <c r="J261" s="850" t="s">
        <v>2228</v>
      </c>
      <c r="K261" s="850" t="s">
        <v>5502</v>
      </c>
      <c r="L261" s="850" t="s">
        <v>874</v>
      </c>
      <c r="M261" s="850" t="s">
        <v>278</v>
      </c>
      <c r="N261" s="850" t="s">
        <v>5782</v>
      </c>
      <c r="O261" s="850" t="s">
        <v>741</v>
      </c>
      <c r="P261" s="851" t="s">
        <v>435</v>
      </c>
      <c r="Q261" s="850" t="s">
        <v>4132</v>
      </c>
      <c r="R261" s="850"/>
      <c r="S261" s="850"/>
      <c r="T261" s="850"/>
      <c r="U261" s="850" t="s">
        <v>6986</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6529</v>
      </c>
      <c r="B262" s="962" t="s">
        <v>6987</v>
      </c>
      <c r="C262" s="849" t="s">
        <v>6988</v>
      </c>
      <c r="D262" s="850" t="s">
        <v>6628</v>
      </c>
      <c r="E262" s="850" t="s">
        <v>4249</v>
      </c>
      <c r="F262" s="772" t="s">
        <v>6989</v>
      </c>
      <c r="G262" s="968" t="s">
        <v>6990</v>
      </c>
      <c r="H262" s="850"/>
      <c r="I262" s="850" t="str">
        <f>HYPERLINK("https://youtu.be/fNmQmNF7N9I","46.93")</f>
        <v>46.93</v>
      </c>
      <c r="J262" s="850" t="s">
        <v>6988</v>
      </c>
      <c r="K262" s="850" t="s">
        <v>551</v>
      </c>
      <c r="L262" s="850" t="s">
        <v>6991</v>
      </c>
      <c r="M262" s="850" t="s">
        <v>1647</v>
      </c>
      <c r="N262" s="850"/>
      <c r="O262" s="850"/>
      <c r="P262" s="851"/>
      <c r="Q262" s="850"/>
      <c r="R262" s="850"/>
      <c r="S262" s="850" t="s">
        <v>3987</v>
      </c>
      <c r="T262" s="850" t="s">
        <v>6967</v>
      </c>
      <c r="U262" s="850" t="s">
        <v>6992</v>
      </c>
      <c r="V262" s="850" t="s">
        <v>4424</v>
      </c>
      <c r="W262" s="850" t="s">
        <v>6993</v>
      </c>
      <c r="X262" s="850"/>
      <c r="Y262" s="850"/>
      <c r="Z262" s="850"/>
      <c r="AA262" s="850" t="s">
        <v>6994</v>
      </c>
      <c r="AB262" s="850" t="s">
        <v>6995</v>
      </c>
      <c r="AC262" s="850"/>
      <c r="AD262" s="850"/>
      <c r="AE262" s="850"/>
      <c r="AF262" s="850"/>
      <c r="AG262" s="850"/>
      <c r="AH262" s="850"/>
      <c r="AI262" s="850"/>
      <c r="AJ262" s="850"/>
      <c r="AK262" s="850"/>
      <c r="AL262" s="850"/>
      <c r="AM262" s="850"/>
      <c r="AN262" s="850"/>
      <c r="AO262" s="850" t="s">
        <v>6293</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6996</v>
      </c>
      <c r="C263" s="849" t="s">
        <v>3973</v>
      </c>
      <c r="D263" s="850" t="s">
        <v>5214</v>
      </c>
      <c r="E263" s="850" t="s">
        <v>3494</v>
      </c>
      <c r="F263" s="772" t="s">
        <v>6997</v>
      </c>
      <c r="G263" s="802" t="s">
        <v>6998</v>
      </c>
      <c r="H263" s="850"/>
      <c r="I263" s="850" t="str">
        <f>HYPERLINK(" https://youtu.be/dsDcBzsPA5s","45.74")</f>
        <v>45.74</v>
      </c>
      <c r="J263" s="850" t="s">
        <v>3973</v>
      </c>
      <c r="K263" s="850" t="s">
        <v>6999</v>
      </c>
      <c r="L263" s="850" t="s">
        <v>4029</v>
      </c>
      <c r="M263" s="850" t="s">
        <v>1779</v>
      </c>
      <c r="N263" s="850" t="s">
        <v>2083</v>
      </c>
      <c r="O263" s="850" t="s">
        <v>3958</v>
      </c>
      <c r="P263" s="851" t="s">
        <v>3531</v>
      </c>
      <c r="Q263" s="850" t="s">
        <v>7000</v>
      </c>
      <c r="R263" s="850"/>
      <c r="S263" s="850" t="s">
        <v>7001</v>
      </c>
      <c r="T263" s="850" t="s">
        <v>286</v>
      </c>
      <c r="U263" s="850" t="s">
        <v>6976</v>
      </c>
      <c r="V263" s="850" t="s">
        <v>728</v>
      </c>
      <c r="W263" s="850" t="s">
        <v>7002</v>
      </c>
      <c r="X263" s="850"/>
      <c r="Y263" s="850"/>
      <c r="Z263" s="850"/>
      <c r="AA263" s="850"/>
      <c r="AB263" s="850" t="s">
        <v>6686</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7003</v>
      </c>
      <c r="C264" s="849" t="s">
        <v>1094</v>
      </c>
      <c r="D264" s="850" t="s">
        <v>4696</v>
      </c>
      <c r="E264" s="850" t="s">
        <v>419</v>
      </c>
      <c r="F264" s="772" t="s">
        <v>1457</v>
      </c>
      <c r="G264" s="968" t="s">
        <v>2169</v>
      </c>
      <c r="H264" s="850" t="s">
        <v>2147</v>
      </c>
      <c r="I264" s="850" t="str">
        <f>HYPERLINK("https://youtu.be/9O9oqhlyCxY","45.20")</f>
        <v>45.20</v>
      </c>
      <c r="J264" s="850" t="s">
        <v>7004</v>
      </c>
      <c r="K264" s="772" t="s">
        <v>3679</v>
      </c>
      <c r="L264" s="850" t="s">
        <v>325</v>
      </c>
      <c r="M264" s="850" t="s">
        <v>1366</v>
      </c>
      <c r="N264" s="850" t="s">
        <v>6969</v>
      </c>
      <c r="O264" s="850" t="s">
        <v>1094</v>
      </c>
      <c r="P264" s="851"/>
      <c r="Q264" s="850" t="s">
        <v>2020</v>
      </c>
      <c r="R264" s="850"/>
      <c r="S264" s="850" t="s">
        <v>438</v>
      </c>
      <c r="T264" s="850" t="s">
        <v>534</v>
      </c>
      <c r="U264" s="850"/>
      <c r="V264" s="850" t="s">
        <v>637</v>
      </c>
      <c r="W264" s="850"/>
      <c r="X264" s="850"/>
      <c r="Y264" s="850"/>
      <c r="Z264" s="850"/>
      <c r="AA264" s="850" t="s">
        <v>4421</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6691</v>
      </c>
      <c r="B265" s="970" t="s">
        <v>7005</v>
      </c>
      <c r="C265" s="849" t="s">
        <v>1013</v>
      </c>
      <c r="D265" s="783" t="s">
        <v>1692</v>
      </c>
      <c r="E265" s="971" t="s">
        <v>420</v>
      </c>
      <c r="F265" s="772" t="s">
        <v>1458</v>
      </c>
      <c r="G265" s="869" t="s">
        <v>3198</v>
      </c>
      <c r="H265" s="971" t="s">
        <v>4609</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6492</v>
      </c>
      <c r="B266" s="974" t="s">
        <v>7005</v>
      </c>
      <c r="C266" s="849" t="s">
        <v>7006</v>
      </c>
      <c r="D266" s="971" t="s">
        <v>1693</v>
      </c>
      <c r="E266" s="971" t="s">
        <v>421</v>
      </c>
      <c r="F266" s="787"/>
      <c r="G266" s="968" t="s">
        <v>919</v>
      </c>
      <c r="H266" s="971" t="s">
        <v>7006</v>
      </c>
      <c r="I266" s="971"/>
      <c r="J266" s="971"/>
      <c r="K266" s="971"/>
      <c r="L266" s="971" t="s">
        <v>930</v>
      </c>
      <c r="M266" s="971" t="s">
        <v>744</v>
      </c>
      <c r="N266" s="971"/>
      <c r="O266" s="971" t="s">
        <v>1096</v>
      </c>
      <c r="P266" s="972"/>
      <c r="Q266" s="971"/>
      <c r="R266" s="971"/>
      <c r="S266" s="971"/>
      <c r="T266" s="971" t="s">
        <v>3111</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6497</v>
      </c>
      <c r="B267" s="976" t="s">
        <v>6476</v>
      </c>
      <c r="C267" s="849" t="s">
        <v>5746</v>
      </c>
      <c r="D267" s="850" t="s">
        <v>5768</v>
      </c>
      <c r="E267" s="850" t="s">
        <v>2881</v>
      </c>
      <c r="F267" s="772" t="s">
        <v>5709</v>
      </c>
      <c r="G267" s="784" t="s">
        <v>7007</v>
      </c>
      <c r="H267" s="850" t="s">
        <v>5746</v>
      </c>
      <c r="I267" s="850"/>
      <c r="J267" s="850" t="s">
        <v>5283</v>
      </c>
      <c r="K267" s="850"/>
      <c r="L267" s="850" t="s">
        <v>7008</v>
      </c>
      <c r="M267" s="850"/>
      <c r="N267" s="850"/>
      <c r="O267" s="850" t="s">
        <v>5746</v>
      </c>
      <c r="P267" s="851"/>
      <c r="Q267" s="850"/>
      <c r="R267" s="772" t="s">
        <v>7009</v>
      </c>
      <c r="S267" s="850"/>
      <c r="T267" s="850" t="s">
        <v>5746</v>
      </c>
      <c r="U267" s="850"/>
      <c r="V267" s="850" t="s">
        <v>4207</v>
      </c>
      <c r="W267" s="850" t="s">
        <v>6277</v>
      </c>
      <c r="X267" s="850" t="s">
        <v>7010</v>
      </c>
      <c r="Y267" s="850"/>
      <c r="Z267" s="850" t="s">
        <v>6167</v>
      </c>
      <c r="AA267" s="850"/>
      <c r="AB267" s="850"/>
      <c r="AC267" s="850"/>
      <c r="AD267" s="850"/>
      <c r="AE267" s="850" t="s">
        <v>3562</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6527</v>
      </c>
      <c r="B268" s="976" t="s">
        <v>6476</v>
      </c>
      <c r="C268" s="849"/>
      <c r="D268" s="851" t="s">
        <v>7011</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6646</v>
      </c>
      <c r="B269" s="978" t="s">
        <v>7012</v>
      </c>
      <c r="C269" s="849" t="s">
        <v>7013</v>
      </c>
      <c r="D269" s="778" t="s">
        <v>1551</v>
      </c>
      <c r="E269" s="850" t="s">
        <v>4511</v>
      </c>
      <c r="F269" s="772" t="s">
        <v>1460</v>
      </c>
      <c r="G269" s="869" t="s">
        <v>1976</v>
      </c>
      <c r="H269" s="850" t="s">
        <v>7013</v>
      </c>
      <c r="I269" s="850" t="s">
        <v>1551</v>
      </c>
      <c r="J269" s="850" t="s">
        <v>3779</v>
      </c>
      <c r="K269" s="850"/>
      <c r="L269" s="850" t="s">
        <v>931</v>
      </c>
      <c r="M269" s="850"/>
      <c r="N269" s="850"/>
      <c r="O269" s="850" t="s">
        <v>7014</v>
      </c>
      <c r="P269" s="851"/>
      <c r="Q269" s="850" t="s">
        <v>2229</v>
      </c>
      <c r="R269" s="850"/>
      <c r="S269" s="850"/>
      <c r="T269" s="850" t="s">
        <v>537</v>
      </c>
      <c r="U269" s="850"/>
      <c r="V269" s="850" t="s">
        <v>7015</v>
      </c>
      <c r="W269" s="850"/>
      <c r="X269" s="850"/>
      <c r="Y269" s="850"/>
      <c r="Z269" s="850"/>
      <c r="AA269" s="850"/>
      <c r="AB269" s="850"/>
      <c r="AC269" s="850"/>
      <c r="AD269" s="850"/>
      <c r="AE269" s="850"/>
      <c r="AF269" s="850" t="s">
        <v>7016</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6656</v>
      </c>
      <c r="B270" s="976" t="s">
        <v>7012</v>
      </c>
      <c r="C270" s="849"/>
      <c r="D270" s="850" t="s">
        <v>7017</v>
      </c>
      <c r="E270" s="850"/>
      <c r="F270" s="787"/>
      <c r="G270" s="784" t="s">
        <v>7018</v>
      </c>
      <c r="H270" s="851" t="s">
        <v>7019</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6588</v>
      </c>
      <c r="B271" s="962" t="s">
        <v>7020</v>
      </c>
      <c r="C271" s="849" t="s">
        <v>4307</v>
      </c>
      <c r="D271" s="787"/>
      <c r="E271" s="772" t="s">
        <v>4381</v>
      </c>
      <c r="F271" s="772" t="s">
        <v>3397</v>
      </c>
      <c r="G271" s="967"/>
      <c r="H271" s="772" t="s">
        <v>4307</v>
      </c>
      <c r="I271" s="787"/>
      <c r="J271" s="787"/>
      <c r="K271" s="787"/>
      <c r="L271" s="787"/>
      <c r="M271" s="787"/>
      <c r="N271" s="787" t="s">
        <v>4479</v>
      </c>
      <c r="O271" s="787"/>
      <c r="P271" s="851" t="s">
        <v>7021</v>
      </c>
      <c r="Q271" s="787"/>
      <c r="R271" s="787"/>
      <c r="S271" s="787"/>
      <c r="T271" s="787"/>
      <c r="U271" s="787"/>
      <c r="V271" s="787"/>
      <c r="W271" s="787"/>
      <c r="X271" s="787"/>
      <c r="Y271" s="772" t="s">
        <v>6954</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7022</v>
      </c>
      <c r="C272" s="849" t="s">
        <v>4534</v>
      </c>
      <c r="D272" s="850" t="s">
        <v>1694</v>
      </c>
      <c r="E272" s="850" t="s">
        <v>2849</v>
      </c>
      <c r="F272" s="787"/>
      <c r="G272" s="784" t="s">
        <v>3199</v>
      </c>
      <c r="H272" s="851" t="s">
        <v>1333</v>
      </c>
      <c r="I272" s="850"/>
      <c r="J272" s="850"/>
      <c r="K272" s="850"/>
      <c r="L272" s="850"/>
      <c r="M272" s="850"/>
      <c r="N272" s="850"/>
      <c r="O272" s="850"/>
      <c r="P272" s="851" t="s">
        <v>5286</v>
      </c>
      <c r="Q272" s="850" t="s">
        <v>2726</v>
      </c>
      <c r="R272" s="850" t="s">
        <v>1694</v>
      </c>
      <c r="S272" s="850"/>
      <c r="T272" s="850" t="s">
        <v>4534</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7023</v>
      </c>
      <c r="C273" s="849" t="s">
        <v>641</v>
      </c>
      <c r="D273" s="850"/>
      <c r="E273" s="850" t="s">
        <v>374</v>
      </c>
      <c r="F273" s="772" t="s">
        <v>3767</v>
      </c>
      <c r="G273" s="968" t="s">
        <v>3199</v>
      </c>
      <c r="H273" s="851" t="s">
        <v>6243</v>
      </c>
      <c r="I273" s="850"/>
      <c r="J273" s="850" t="s">
        <v>1694</v>
      </c>
      <c r="K273" s="850"/>
      <c r="L273" s="850"/>
      <c r="M273" s="850" t="s">
        <v>1234</v>
      </c>
      <c r="N273" s="850"/>
      <c r="O273" s="850" t="s">
        <v>3767</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6592</v>
      </c>
      <c r="B274" s="962" t="s">
        <v>6476</v>
      </c>
      <c r="C274" s="849" t="s">
        <v>7024</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6703</v>
      </c>
      <c r="B275" s="962" t="s">
        <v>6675</v>
      </c>
      <c r="C275" s="849" t="s">
        <v>4265</v>
      </c>
      <c r="D275" s="795" t="s">
        <v>1696</v>
      </c>
      <c r="E275" s="856"/>
      <c r="F275" s="772" t="s">
        <v>1720</v>
      </c>
      <c r="G275" s="967"/>
      <c r="H275" s="856"/>
      <c r="I275" s="856" t="s">
        <v>4265</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6679</v>
      </c>
      <c r="C276" s="849" t="s">
        <v>4848</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6476</v>
      </c>
      <c r="C277" s="849" t="s">
        <v>7025</v>
      </c>
      <c r="D277" s="856" t="s">
        <v>7026</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7027</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7028</v>
      </c>
      <c r="C279" s="849" t="s">
        <v>7029</v>
      </c>
      <c r="D279" s="850" t="s">
        <v>7030</v>
      </c>
      <c r="E279" s="850" t="s">
        <v>7029</v>
      </c>
      <c r="F279" s="772" t="s">
        <v>4865</v>
      </c>
      <c r="G279" s="773"/>
      <c r="H279" s="850"/>
      <c r="I279" s="850"/>
      <c r="J279" s="850"/>
      <c r="K279" s="851" t="s">
        <v>7031</v>
      </c>
      <c r="L279" s="850"/>
      <c r="M279" s="850"/>
      <c r="N279" s="850"/>
      <c r="O279" s="850"/>
      <c r="P279" s="851" t="s">
        <v>7032</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7033</v>
      </c>
      <c r="C280" s="849" t="s">
        <v>434</v>
      </c>
      <c r="D280" s="778" t="s">
        <v>1701</v>
      </c>
      <c r="E280" s="772" t="s">
        <v>434</v>
      </c>
      <c r="F280" s="772" t="s">
        <v>1472</v>
      </c>
      <c r="G280" s="827" t="s">
        <v>2990</v>
      </c>
      <c r="H280" s="772" t="s">
        <v>7034</v>
      </c>
      <c r="I280" s="772" t="str">
        <f>HYPERLINK("https://youtu.be/ZpzmhXUsVhA","1:19.38")</f>
        <v>1:19.38</v>
      </c>
      <c r="J280" s="787"/>
      <c r="K280" s="772" t="s">
        <v>3684</v>
      </c>
      <c r="L280" s="787" t="s">
        <v>942</v>
      </c>
      <c r="M280" s="787" t="s">
        <v>5994</v>
      </c>
      <c r="N280" s="787" t="s">
        <v>7035</v>
      </c>
      <c r="O280" s="772" t="s">
        <v>7036</v>
      </c>
      <c r="P280" s="851" t="s">
        <v>7037</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7038</v>
      </c>
      <c r="B281" s="993" t="s">
        <v>7028</v>
      </c>
      <c r="C281" s="849" t="s">
        <v>5554</v>
      </c>
      <c r="D281" s="850" t="s">
        <v>1064</v>
      </c>
      <c r="E281" s="850" t="s">
        <v>3285</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7033</v>
      </c>
      <c r="C282" s="849" t="s">
        <v>2269</v>
      </c>
      <c r="D282" s="994" t="s">
        <v>7039</v>
      </c>
      <c r="E282" s="850" t="s">
        <v>4185</v>
      </c>
      <c r="F282" s="772" t="s">
        <v>2937</v>
      </c>
      <c r="G282" s="827" t="s">
        <v>2174</v>
      </c>
      <c r="H282" s="892" t="s">
        <v>4795</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7040</v>
      </c>
      <c r="B283" s="995" t="s">
        <v>7041</v>
      </c>
      <c r="C283" s="849" t="s">
        <v>4332</v>
      </c>
      <c r="D283" s="951" t="s">
        <v>1877</v>
      </c>
      <c r="E283" s="850" t="s">
        <v>4332</v>
      </c>
      <c r="F283" s="787"/>
      <c r="G283" s="773"/>
      <c r="H283" s="850"/>
      <c r="I283" s="850"/>
      <c r="J283" s="850"/>
      <c r="K283" s="850" t="s">
        <v>2423</v>
      </c>
      <c r="L283" s="850"/>
      <c r="M283" s="850"/>
      <c r="N283" s="850"/>
      <c r="O283" s="850"/>
      <c r="P283" s="851" t="s">
        <v>7042</v>
      </c>
      <c r="Q283" s="850"/>
      <c r="R283" s="850"/>
      <c r="S283" s="850" t="s">
        <v>7043</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7044</v>
      </c>
      <c r="C284" s="849" t="s">
        <v>6986</v>
      </c>
      <c r="D284" s="778" t="s">
        <v>1702</v>
      </c>
      <c r="E284" s="772" t="s">
        <v>435</v>
      </c>
      <c r="F284" s="772" t="s">
        <v>1473</v>
      </c>
      <c r="G284" s="869" t="s">
        <v>757</v>
      </c>
      <c r="H284" s="772" t="s">
        <v>2178</v>
      </c>
      <c r="I284" s="787"/>
      <c r="J284" s="787"/>
      <c r="K284" s="787"/>
      <c r="L284" s="772" t="s">
        <v>943</v>
      </c>
      <c r="M284" s="787" t="s">
        <v>849</v>
      </c>
      <c r="N284" s="787"/>
      <c r="O284" s="772" t="s">
        <v>6986</v>
      </c>
      <c r="P284" s="851" t="s">
        <v>1514</v>
      </c>
      <c r="Q284" s="787"/>
      <c r="R284" s="787"/>
      <c r="S284" s="787"/>
      <c r="T284" s="787" t="s">
        <v>1684</v>
      </c>
      <c r="U284" s="787"/>
      <c r="V284" s="787"/>
      <c r="W284" s="787"/>
      <c r="X284" s="787"/>
      <c r="Y284" s="787"/>
      <c r="Z284" s="772" t="s">
        <v>3449</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7045</v>
      </c>
      <c r="B285" s="996" t="s">
        <v>7046</v>
      </c>
      <c r="C285" s="849" t="s">
        <v>6111</v>
      </c>
      <c r="D285" s="850"/>
      <c r="E285" s="850" t="s">
        <v>6111</v>
      </c>
      <c r="F285" s="787"/>
      <c r="G285" s="773"/>
      <c r="H285" s="850"/>
      <c r="I285" s="850" t="s">
        <v>6923</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7047</v>
      </c>
      <c r="C286" s="849" t="s">
        <v>6855</v>
      </c>
      <c r="D286" s="850"/>
      <c r="E286" s="850" t="s">
        <v>1377</v>
      </c>
      <c r="F286" s="787"/>
      <c r="G286" s="823"/>
      <c r="H286" s="850"/>
      <c r="I286" s="850" t="s">
        <v>6855</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7048</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7049</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7050</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7051</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6492</v>
      </c>
      <c r="B291" s="995" t="s">
        <v>6525</v>
      </c>
      <c r="C291" s="849" t="s">
        <v>3209</v>
      </c>
      <c r="D291" s="850"/>
      <c r="E291" s="850" t="s">
        <v>3840</v>
      </c>
      <c r="F291" s="787"/>
      <c r="G291" s="773"/>
      <c r="H291" s="850" t="s">
        <v>3209</v>
      </c>
      <c r="I291" s="850" t="s">
        <v>7052</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7053</v>
      </c>
      <c r="B292" s="999"/>
      <c r="C292" s="769" t="s">
        <v>7054</v>
      </c>
      <c r="D292" s="856"/>
      <c r="E292" s="856"/>
      <c r="F292" s="787"/>
      <c r="G292" s="823"/>
      <c r="H292" s="772" t="s">
        <v>7054</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7055</v>
      </c>
      <c r="B293" s="995" t="s">
        <v>7056</v>
      </c>
      <c r="C293" s="849" t="s">
        <v>3646</v>
      </c>
      <c r="D293" s="778" t="s">
        <v>3646</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7057</v>
      </c>
      <c r="C294" s="849" t="s">
        <v>4068</v>
      </c>
      <c r="D294" s="1000"/>
      <c r="E294" s="1000" t="s">
        <v>4274</v>
      </c>
      <c r="F294" s="787"/>
      <c r="G294" s="823"/>
      <c r="H294" s="1000"/>
      <c r="I294" s="772" t="s">
        <v>4068</v>
      </c>
      <c r="J294" s="1000"/>
      <c r="K294" s="1000"/>
      <c r="L294" s="1000"/>
      <c r="M294" s="1000" t="s">
        <v>6535</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7058</v>
      </c>
      <c r="B295" s="988" t="s">
        <v>7059</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7060</v>
      </c>
      <c r="C296" s="849"/>
      <c r="D296" s="856"/>
      <c r="E296" s="856"/>
      <c r="F296" s="787"/>
      <c r="G296" s="823"/>
      <c r="H296" s="856"/>
      <c r="I296" s="856"/>
      <c r="J296" s="856"/>
      <c r="K296" s="856"/>
      <c r="L296" s="856"/>
      <c r="M296" s="856"/>
      <c r="N296" s="856" t="s">
        <v>5515</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7061</v>
      </c>
      <c r="B297" s="988" t="s">
        <v>7062</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7063</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7064</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7065</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7065</v>
      </c>
      <c r="C301" s="849" t="s">
        <v>7066</v>
      </c>
      <c r="D301" s="856"/>
      <c r="E301" s="856"/>
      <c r="F301" s="787"/>
      <c r="G301" s="773"/>
      <c r="H301" s="856"/>
      <c r="I301" s="772" t="s">
        <v>7066</v>
      </c>
      <c r="J301" s="856"/>
      <c r="K301" s="856"/>
      <c r="L301" s="856"/>
      <c r="M301" s="856"/>
      <c r="N301" s="856" t="s">
        <v>5834</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7067</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7068</v>
      </c>
      <c r="B303" s="996" t="s">
        <v>6479</v>
      </c>
      <c r="C303" s="849" t="s">
        <v>548</v>
      </c>
      <c r="D303" s="860" t="s">
        <v>3493</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7069</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7070</v>
      </c>
      <c r="C305" s="849" t="s">
        <v>3046</v>
      </c>
      <c r="D305" s="772" t="s">
        <v>414</v>
      </c>
      <c r="E305" s="772" t="s">
        <v>5351</v>
      </c>
      <c r="F305" s="787"/>
      <c r="G305" s="802" t="s">
        <v>2999</v>
      </c>
      <c r="H305" s="787" t="s">
        <v>2143</v>
      </c>
      <c r="I305" s="787"/>
      <c r="J305" s="787"/>
      <c r="K305" s="787"/>
      <c r="L305" s="787"/>
      <c r="M305" s="787"/>
      <c r="N305" s="787"/>
      <c r="O305" s="787"/>
      <c r="P305" s="851"/>
      <c r="Q305" s="787"/>
      <c r="R305" s="772" t="s">
        <v>5351</v>
      </c>
      <c r="S305" s="787"/>
      <c r="T305" s="772" t="s">
        <v>3046</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7071</v>
      </c>
      <c r="B306" s="996" t="s">
        <v>6589</v>
      </c>
      <c r="C306" s="849" t="s">
        <v>7072</v>
      </c>
      <c r="D306" s="787"/>
      <c r="E306" s="772" t="s">
        <v>7072</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6591</v>
      </c>
      <c r="C307" s="849" t="s">
        <v>6328</v>
      </c>
      <c r="D307" s="787" t="s">
        <v>5158</v>
      </c>
      <c r="E307" s="772" t="s">
        <v>4580</v>
      </c>
      <c r="F307" s="787"/>
      <c r="G307" s="784" t="s">
        <v>7073</v>
      </c>
      <c r="H307" s="772" t="s">
        <v>6328</v>
      </c>
      <c r="I307" s="787"/>
      <c r="J307" s="787"/>
      <c r="K307" s="787"/>
      <c r="L307" s="787"/>
      <c r="M307" s="787"/>
      <c r="N307" s="787"/>
      <c r="O307" s="787"/>
      <c r="P307" s="851"/>
      <c r="Q307" s="787"/>
      <c r="R307" s="772" t="s">
        <v>6734</v>
      </c>
      <c r="S307" s="787"/>
      <c r="T307" s="787"/>
      <c r="U307" s="787"/>
      <c r="V307" s="772" t="s">
        <v>5986</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6734</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7074</v>
      </c>
      <c r="B308" s="996" t="s">
        <v>6476</v>
      </c>
      <c r="C308" s="849" t="s">
        <v>2508</v>
      </c>
      <c r="D308" s="800"/>
      <c r="E308" s="1003" t="s">
        <v>1864</v>
      </c>
      <c r="F308" s="787"/>
      <c r="G308" s="1004" t="s">
        <v>3085</v>
      </c>
      <c r="H308" s="1003" t="s">
        <v>2508</v>
      </c>
      <c r="I308" s="800"/>
      <c r="J308" s="1003" t="s">
        <v>1864</v>
      </c>
      <c r="K308" s="800"/>
      <c r="L308" s="1003" t="s">
        <v>7075</v>
      </c>
      <c r="M308" s="1003" t="s">
        <v>4947</v>
      </c>
      <c r="N308" s="800"/>
      <c r="O308" s="800"/>
      <c r="P308" s="799"/>
      <c r="Q308" s="800"/>
      <c r="R308" s="800"/>
      <c r="S308" s="800"/>
      <c r="T308" s="800"/>
      <c r="U308" s="800"/>
      <c r="V308" s="1003" t="s">
        <v>2937</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7076</v>
      </c>
      <c r="B309" s="996" t="s">
        <v>7077</v>
      </c>
      <c r="C309" s="849" t="s">
        <v>7078</v>
      </c>
      <c r="D309" s="787"/>
      <c r="E309" s="772" t="s">
        <v>7078</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7079</v>
      </c>
      <c r="C310" s="849" t="s">
        <v>7080</v>
      </c>
      <c r="D310" s="787"/>
      <c r="E310" s="772" t="s">
        <v>7081</v>
      </c>
      <c r="F310" s="787"/>
      <c r="G310" s="1004" t="s">
        <v>7082</v>
      </c>
      <c r="H310" s="787" t="s">
        <v>1491</v>
      </c>
      <c r="I310" s="787"/>
      <c r="J310" s="787"/>
      <c r="K310" s="787"/>
      <c r="L310" s="787"/>
      <c r="M310" s="787"/>
      <c r="N310" s="787"/>
      <c r="O310" s="787"/>
      <c r="P310" s="851"/>
      <c r="Q310" s="787"/>
      <c r="R310" s="787"/>
      <c r="S310" s="787"/>
      <c r="T310" s="787"/>
      <c r="U310" s="787"/>
      <c r="V310" s="787"/>
      <c r="W310" s="787"/>
      <c r="X310" s="772" t="s">
        <v>7080</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7083</v>
      </c>
      <c r="B311" s="996" t="s">
        <v>7084</v>
      </c>
      <c r="C311" s="849" t="s">
        <v>4474</v>
      </c>
      <c r="D311" s="787"/>
      <c r="E311" s="772" t="s">
        <v>4474</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7085</v>
      </c>
      <c r="C312" s="849" t="s">
        <v>3676</v>
      </c>
      <c r="D312" s="787"/>
      <c r="E312" s="772" t="s">
        <v>3676</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7086</v>
      </c>
      <c r="C313" s="849" t="s">
        <v>7087</v>
      </c>
      <c r="D313" s="787"/>
      <c r="E313" s="772" t="s">
        <v>7087</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7088</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7089</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7090</v>
      </c>
      <c r="C316" s="849" t="s">
        <v>7091</v>
      </c>
      <c r="D316" s="787"/>
      <c r="E316" s="772" t="s">
        <v>4046</v>
      </c>
      <c r="F316" s="787"/>
      <c r="G316" s="1004" t="s">
        <v>1153</v>
      </c>
      <c r="H316" s="772" t="s">
        <v>7091</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7092</v>
      </c>
      <c r="C317" s="849" t="s">
        <v>7093</v>
      </c>
      <c r="D317" s="856" t="s">
        <v>7094</v>
      </c>
      <c r="E317" s="856"/>
      <c r="F317" s="787"/>
      <c r="G317" s="1006" t="str">
        <f>HYPERLINK("https://youtu.be/wR4-nYMM6Xk","10.74")</f>
        <v>10.74</v>
      </c>
      <c r="H317" s="772" t="s">
        <v>7095</v>
      </c>
      <c r="I317" s="856"/>
      <c r="J317" s="856"/>
      <c r="K317" s="856"/>
      <c r="L317" s="856"/>
      <c r="M317" s="856"/>
      <c r="N317" s="856"/>
      <c r="O317" s="856"/>
      <c r="P317" s="858"/>
      <c r="Q317" s="856"/>
      <c r="R317" s="772" t="s">
        <v>7096</v>
      </c>
      <c r="S317" s="856"/>
      <c r="T317" s="772" t="s">
        <v>7097</v>
      </c>
      <c r="U317" s="856"/>
      <c r="V317" s="856"/>
      <c r="W317" s="856"/>
      <c r="X317" s="772" t="s">
        <v>7093</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7098</v>
      </c>
      <c r="B318" s="996" t="s">
        <v>6476</v>
      </c>
      <c r="C318" s="849" t="s">
        <v>545</v>
      </c>
      <c r="D318" s="860" t="s">
        <v>5551</v>
      </c>
      <c r="E318" s="856"/>
      <c r="F318" s="787"/>
      <c r="G318" s="1004" t="s">
        <v>7099</v>
      </c>
      <c r="H318" s="772" t="s">
        <v>545</v>
      </c>
      <c r="I318" s="856"/>
      <c r="J318" s="772" t="s">
        <v>4084</v>
      </c>
      <c r="K318" s="856"/>
      <c r="L318" s="856"/>
      <c r="M318" s="856"/>
      <c r="N318" s="856"/>
      <c r="O318" s="856"/>
      <c r="P318" s="858"/>
      <c r="Q318" s="856"/>
      <c r="R318" s="856" t="s">
        <v>7100</v>
      </c>
      <c r="S318" s="856"/>
      <c r="T318" s="856"/>
      <c r="U318" s="856"/>
      <c r="V318" s="856" t="s">
        <v>6404</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7101</v>
      </c>
      <c r="B319" s="996" t="s">
        <v>7102</v>
      </c>
      <c r="C319" s="849" t="s">
        <v>4782</v>
      </c>
      <c r="D319" s="787"/>
      <c r="E319" s="772" t="s">
        <v>4782</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7103</v>
      </c>
      <c r="C320" s="769" t="s">
        <v>7104</v>
      </c>
      <c r="D320" s="787" t="s">
        <v>1058</v>
      </c>
      <c r="E320" s="772" t="s">
        <v>7105</v>
      </c>
      <c r="F320" s="787"/>
      <c r="G320" s="827" t="s">
        <v>7106</v>
      </c>
      <c r="H320" s="787"/>
      <c r="I320" s="787"/>
      <c r="J320" s="772" t="s">
        <v>7107</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7108</v>
      </c>
      <c r="C321" s="769" t="s">
        <v>7109</v>
      </c>
      <c r="D321" s="787"/>
      <c r="E321" s="787"/>
      <c r="F321" s="787"/>
      <c r="G321" s="1007" t="s">
        <v>7110</v>
      </c>
      <c r="H321" s="787" t="s">
        <v>7111</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7109</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7112</v>
      </c>
      <c r="B322" s="988" t="s">
        <v>7113</v>
      </c>
      <c r="C322" s="849" t="s">
        <v>5768</v>
      </c>
      <c r="D322" s="1008"/>
      <c r="E322" s="1008"/>
      <c r="F322" s="787"/>
      <c r="G322" s="827" t="s">
        <v>319</v>
      </c>
      <c r="H322" s="772" t="s">
        <v>1355</v>
      </c>
      <c r="I322" s="1008"/>
      <c r="J322" s="772" t="s">
        <v>5768</v>
      </c>
      <c r="K322" s="1008"/>
      <c r="L322" s="1008"/>
      <c r="M322" s="1008"/>
      <c r="N322" s="1008"/>
      <c r="O322" s="1008"/>
      <c r="P322" s="851"/>
      <c r="Q322" s="1008"/>
      <c r="R322" s="1008"/>
      <c r="S322" s="1008"/>
      <c r="T322" s="1008"/>
      <c r="U322" s="1008"/>
      <c r="V322" s="1008"/>
      <c r="W322" s="1008"/>
      <c r="X322" s="772" t="s">
        <v>4581</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7114</v>
      </c>
      <c r="C323" s="849" t="s">
        <v>4714</v>
      </c>
      <c r="D323" s="787"/>
      <c r="E323" s="772" t="s">
        <v>6191</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4714</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7115</v>
      </c>
      <c r="B324" s="996" t="s">
        <v>6476</v>
      </c>
      <c r="C324" s="849" t="s">
        <v>7116</v>
      </c>
      <c r="D324" s="893"/>
      <c r="E324" s="893"/>
      <c r="F324" s="787"/>
      <c r="G324" s="823"/>
      <c r="H324" s="772" t="s">
        <v>7116</v>
      </c>
      <c r="I324" s="893"/>
      <c r="J324" s="893"/>
      <c r="K324" s="893"/>
      <c r="L324" s="893"/>
      <c r="M324" s="772" t="s">
        <v>7117</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7118</v>
      </c>
      <c r="B325" s="996" t="s">
        <v>7119</v>
      </c>
      <c r="C325" s="849" t="s">
        <v>3388</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3388</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7120</v>
      </c>
      <c r="C326" s="849" t="s">
        <v>785</v>
      </c>
      <c r="D326" s="851"/>
      <c r="E326" s="851"/>
      <c r="F326" s="787"/>
      <c r="G326" s="827" t="s">
        <v>7121</v>
      </c>
      <c r="H326" s="772" t="s">
        <v>785</v>
      </c>
      <c r="I326" s="851"/>
      <c r="J326" s="851"/>
      <c r="K326" s="851"/>
      <c r="L326" s="851"/>
      <c r="M326" s="851"/>
      <c r="N326" s="851"/>
      <c r="O326" s="772" t="s">
        <v>470</v>
      </c>
      <c r="P326" s="851"/>
      <c r="Q326" s="851"/>
      <c r="R326" s="851"/>
      <c r="S326" s="851"/>
      <c r="T326" s="851"/>
      <c r="U326" s="851"/>
      <c r="V326" s="851"/>
      <c r="W326" s="851" t="s">
        <v>1023</v>
      </c>
      <c r="X326" s="1009" t="s">
        <v>7122</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7123</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7125</v>
      </c>
      <c r="H2" s="1016" t="s">
        <v>47</v>
      </c>
      <c r="I2" s="1016" t="s">
        <v>48</v>
      </c>
      <c r="J2" s="1016" t="s">
        <v>7126</v>
      </c>
      <c r="K2" s="1016" t="s">
        <v>54</v>
      </c>
      <c r="N2" s="1016" t="s">
        <v>7127</v>
      </c>
      <c r="P2" s="1017"/>
      <c r="Q2" s="1018" t="s">
        <v>47</v>
      </c>
      <c r="R2" s="1018" t="s">
        <v>7128</v>
      </c>
      <c r="S2" s="1018" t="s">
        <v>52</v>
      </c>
      <c r="T2" s="1018" t="s">
        <v>53</v>
      </c>
      <c r="U2" s="1018" t="s">
        <v>54</v>
      </c>
      <c r="V2" s="1018" t="s">
        <v>7129</v>
      </c>
      <c r="W2" s="1017"/>
      <c r="X2" s="1019" t="s">
        <v>47</v>
      </c>
      <c r="Y2" s="1019" t="s">
        <v>48</v>
      </c>
      <c r="Z2" s="1019" t="s">
        <v>49</v>
      </c>
      <c r="AA2" s="1019" t="s">
        <v>50</v>
      </c>
      <c r="AC2" s="1019" t="s">
        <v>52</v>
      </c>
      <c r="AD2" s="1019" t="s">
        <v>53</v>
      </c>
      <c r="AE2" s="1019" t="s">
        <v>54</v>
      </c>
      <c r="AF2" s="1019" t="s">
        <v>6703</v>
      </c>
      <c r="AG2" s="1019" t="s">
        <v>7127</v>
      </c>
      <c r="AI2" s="1017"/>
      <c r="AJ2" s="1020" t="s">
        <v>47</v>
      </c>
      <c r="AK2" s="1020" t="s">
        <v>48</v>
      </c>
      <c r="AM2" s="1020" t="s">
        <v>49</v>
      </c>
      <c r="AP2" s="1020" t="s">
        <v>51</v>
      </c>
      <c r="AR2" s="1020" t="s">
        <v>52</v>
      </c>
      <c r="AV2" s="1020" t="s">
        <v>52</v>
      </c>
      <c r="AW2" s="1020" t="s">
        <v>53</v>
      </c>
      <c r="AX2" s="1020" t="s">
        <v>7129</v>
      </c>
      <c r="AZ2" s="1021"/>
      <c r="BA2" s="1022" t="s">
        <v>47</v>
      </c>
      <c r="BB2" s="1022" t="s">
        <v>52</v>
      </c>
      <c r="BC2" s="1022" t="s">
        <v>53</v>
      </c>
      <c r="BD2" s="1022" t="s">
        <v>54</v>
      </c>
      <c r="BE2" s="1022" t="s">
        <v>7127</v>
      </c>
      <c r="BF2" s="1021"/>
      <c r="BG2" s="1023" t="s">
        <v>47</v>
      </c>
      <c r="BH2" s="1023" t="s">
        <v>48</v>
      </c>
      <c r="BI2" s="1023" t="s">
        <v>50</v>
      </c>
      <c r="BK2" s="1023" t="s">
        <v>52</v>
      </c>
      <c r="BL2" s="1023" t="s">
        <v>7127</v>
      </c>
      <c r="BN2" s="1017"/>
      <c r="BO2" s="1024" t="s">
        <v>49</v>
      </c>
      <c r="BP2" s="1024" t="s">
        <v>50</v>
      </c>
      <c r="BQ2" s="1024" t="s">
        <v>51</v>
      </c>
      <c r="BR2" s="1024" t="s">
        <v>52</v>
      </c>
      <c r="BT2" s="1024" t="s">
        <v>53</v>
      </c>
      <c r="BU2" s="1024" t="s">
        <v>54</v>
      </c>
      <c r="BW2" s="1024" t="s">
        <v>7129</v>
      </c>
      <c r="BX2" s="1021"/>
      <c r="BY2" s="1025" t="s">
        <v>7130</v>
      </c>
      <c r="BZ2" s="1026" t="s">
        <v>75</v>
      </c>
      <c r="CA2" s="1025" t="s">
        <v>80</v>
      </c>
      <c r="CD2" s="1025" t="s">
        <v>77</v>
      </c>
      <c r="CE2" s="1025" t="s">
        <v>7131</v>
      </c>
      <c r="CF2" s="1025" t="s">
        <v>7132</v>
      </c>
      <c r="CG2" s="1027" t="s">
        <v>68</v>
      </c>
      <c r="CH2" s="1025" t="s">
        <v>76</v>
      </c>
      <c r="CI2" s="1025" t="s">
        <v>66</v>
      </c>
      <c r="CJ2" s="1026" t="s">
        <v>78</v>
      </c>
    </row>
    <row r="3" ht="23.25" customHeight="1">
      <c r="J3" s="1028" t="s">
        <v>7133</v>
      </c>
      <c r="K3" s="1028" t="s">
        <v>7134</v>
      </c>
      <c r="L3" s="1029" t="s">
        <v>7135</v>
      </c>
      <c r="M3" s="1029" t="s">
        <v>7136</v>
      </c>
      <c r="N3" s="1029" t="s">
        <v>7137</v>
      </c>
      <c r="O3" s="1028" t="s">
        <v>7138</v>
      </c>
      <c r="P3" s="1017"/>
      <c r="W3" s="1017"/>
      <c r="AA3" s="1030" t="s">
        <v>7139</v>
      </c>
      <c r="AB3" s="1031" t="s">
        <v>91</v>
      </c>
      <c r="AF3" s="1031" t="s">
        <v>7140</v>
      </c>
      <c r="AG3" s="1030" t="s">
        <v>52</v>
      </c>
      <c r="AH3" s="1032" t="s">
        <v>49</v>
      </c>
      <c r="AI3" s="1017"/>
      <c r="AK3" s="1033" t="s">
        <v>7141</v>
      </c>
      <c r="AL3" s="1033" t="s">
        <v>7142</v>
      </c>
      <c r="AM3" s="1034" t="s">
        <v>7137</v>
      </c>
      <c r="AN3" s="1034" t="s">
        <v>7143</v>
      </c>
      <c r="AO3" s="1034" t="s">
        <v>7144</v>
      </c>
      <c r="AP3" s="1034" t="s">
        <v>7137</v>
      </c>
      <c r="AQ3" s="1035" t="s">
        <v>7145</v>
      </c>
      <c r="AR3" s="1034" t="s">
        <v>7146</v>
      </c>
      <c r="AS3" s="1034" t="s">
        <v>7147</v>
      </c>
      <c r="AT3" s="1034" t="s">
        <v>7148</v>
      </c>
      <c r="AU3" s="1034" t="s">
        <v>7149</v>
      </c>
      <c r="AX3" s="1034" t="s">
        <v>7150</v>
      </c>
      <c r="AY3" s="1034" t="s">
        <v>7151</v>
      </c>
      <c r="AZ3" s="1021"/>
      <c r="BF3" s="1036"/>
      <c r="BI3" s="1023" t="s">
        <v>7152</v>
      </c>
      <c r="BJ3" s="1023" t="s">
        <v>7153</v>
      </c>
      <c r="BL3" s="1037" t="s">
        <v>88</v>
      </c>
      <c r="BM3" s="1037" t="s">
        <v>7154</v>
      </c>
      <c r="BN3" s="1017"/>
      <c r="BR3" s="1038" t="s">
        <v>7144</v>
      </c>
      <c r="BS3" s="1038" t="s">
        <v>7155</v>
      </c>
      <c r="BU3" s="1038" t="s">
        <v>7137</v>
      </c>
      <c r="BV3" s="1038" t="s">
        <v>7144</v>
      </c>
      <c r="BX3" s="1021"/>
      <c r="CA3" s="1039" t="s">
        <v>7156</v>
      </c>
      <c r="CB3" s="1039" t="s">
        <v>7157</v>
      </c>
      <c r="CC3" s="1039" t="s">
        <v>7158</v>
      </c>
      <c r="CJ3" s="1039" t="s">
        <v>7159</v>
      </c>
      <c r="CK3" s="1039" t="s">
        <v>7160</v>
      </c>
    </row>
    <row r="4">
      <c r="A4" s="1040" t="s">
        <v>6456</v>
      </c>
      <c r="B4" s="1041" t="s">
        <v>7161</v>
      </c>
      <c r="C4" s="1042" t="s">
        <v>336</v>
      </c>
      <c r="D4" s="1043" t="s">
        <v>449</v>
      </c>
      <c r="E4" s="1044" t="s">
        <v>336</v>
      </c>
      <c r="F4" s="1045" t="s">
        <v>3317</v>
      </c>
      <c r="G4" s="1041" t="s">
        <v>5163</v>
      </c>
      <c r="H4" s="1046"/>
      <c r="I4" s="1047" t="s">
        <v>1387</v>
      </c>
      <c r="J4" s="1047"/>
      <c r="K4" s="1048" t="s">
        <v>7162</v>
      </c>
      <c r="L4" s="1047" t="s">
        <v>7163</v>
      </c>
      <c r="M4" s="1046"/>
      <c r="N4" s="1046"/>
      <c r="O4" s="1049" t="s">
        <v>7164</v>
      </c>
      <c r="P4" s="1050"/>
      <c r="Q4" s="1051" t="s">
        <v>7165</v>
      </c>
      <c r="R4" s="1052"/>
      <c r="S4" s="1052"/>
      <c r="T4" s="1053" t="s">
        <v>6665</v>
      </c>
      <c r="U4" s="1054"/>
      <c r="V4" s="1055" t="s">
        <v>7166</v>
      </c>
      <c r="W4" s="1050"/>
      <c r="X4" s="1056" t="s">
        <v>376</v>
      </c>
      <c r="Y4" s="1056" t="s">
        <v>7167</v>
      </c>
      <c r="Z4" s="1057" t="s">
        <v>4548</v>
      </c>
      <c r="AA4" s="1058" t="s">
        <v>2345</v>
      </c>
      <c r="AB4" s="1058" t="s">
        <v>824</v>
      </c>
      <c r="AC4" s="1059" t="s">
        <v>2910</v>
      </c>
      <c r="AD4" s="1059" t="s">
        <v>1267</v>
      </c>
      <c r="AE4" s="1058" t="s">
        <v>5693</v>
      </c>
      <c r="AF4" s="1060"/>
      <c r="AG4" s="1059" t="s">
        <v>7168</v>
      </c>
      <c r="AH4" s="1061"/>
      <c r="AI4" s="1050"/>
      <c r="AJ4" s="1062"/>
      <c r="AK4" s="1062" t="s">
        <v>4116</v>
      </c>
      <c r="AL4" s="1063"/>
      <c r="AM4" s="1062" t="s">
        <v>2163</v>
      </c>
      <c r="AN4" s="1062"/>
      <c r="AO4" s="1064" t="s">
        <v>2508</v>
      </c>
      <c r="AP4" s="1063"/>
      <c r="AQ4" s="1065" t="s">
        <v>7169</v>
      </c>
      <c r="AR4" s="1062" t="s">
        <v>7170</v>
      </c>
      <c r="AS4" s="1062" t="s">
        <v>7171</v>
      </c>
      <c r="AT4" s="1063"/>
      <c r="AU4" s="1063"/>
      <c r="AV4" s="1063"/>
      <c r="AW4" s="1066" t="s">
        <v>6102</v>
      </c>
      <c r="AX4" s="1067" t="s">
        <v>3833</v>
      </c>
      <c r="AY4" s="1062" t="s">
        <v>7172</v>
      </c>
      <c r="AZ4" s="1050"/>
      <c r="BA4" s="1068"/>
      <c r="BB4" s="1069" t="s">
        <v>7173</v>
      </c>
      <c r="BC4" s="1070" t="s">
        <v>7174</v>
      </c>
      <c r="BD4" s="1068"/>
      <c r="BE4" s="1071" t="s">
        <v>7175</v>
      </c>
      <c r="BF4" s="1050"/>
      <c r="BG4" s="1072" t="s">
        <v>7176</v>
      </c>
      <c r="BH4" s="1073" t="s">
        <v>3431</v>
      </c>
      <c r="BI4" s="1073"/>
      <c r="BJ4" s="1073"/>
      <c r="BK4" s="1074" t="s">
        <v>2060</v>
      </c>
      <c r="BL4" s="1075"/>
      <c r="BM4" s="1073" t="s">
        <v>7177</v>
      </c>
      <c r="BN4" s="1050"/>
      <c r="BO4" s="1076" t="s">
        <v>7178</v>
      </c>
      <c r="BP4" s="1077"/>
      <c r="BQ4" s="1077"/>
      <c r="BR4" s="1078" t="s">
        <v>7179</v>
      </c>
      <c r="BS4" s="1077"/>
      <c r="BT4" s="1079" t="s">
        <v>1693</v>
      </c>
      <c r="BU4" s="1077"/>
      <c r="BV4" s="1080" t="s">
        <v>3905</v>
      </c>
      <c r="BW4" s="1079" t="s">
        <v>6054</v>
      </c>
      <c r="BX4" s="1050"/>
      <c r="BY4" s="1081" t="s">
        <v>2780</v>
      </c>
      <c r="BZ4" s="1082" t="s">
        <v>4300</v>
      </c>
      <c r="CA4" s="1083"/>
      <c r="CB4" s="1083"/>
      <c r="CC4" s="1083"/>
      <c r="CD4" s="1082" t="s">
        <v>1366</v>
      </c>
      <c r="CE4" s="1084" t="s">
        <v>4771</v>
      </c>
      <c r="CF4" s="1082" t="s">
        <v>7180</v>
      </c>
      <c r="CG4" s="1083"/>
      <c r="CH4" s="1083"/>
      <c r="CI4" s="1083"/>
      <c r="CJ4" s="1083"/>
      <c r="CK4" s="1083"/>
    </row>
    <row r="5">
      <c r="A5" s="1085" t="s">
        <v>446</v>
      </c>
      <c r="B5" s="1041" t="s">
        <v>7181</v>
      </c>
      <c r="C5" s="1042" t="s">
        <v>448</v>
      </c>
      <c r="D5" s="1043" t="s">
        <v>338</v>
      </c>
      <c r="E5" s="1044" t="s">
        <v>1251</v>
      </c>
      <c r="F5" s="1045" t="s">
        <v>4095</v>
      </c>
      <c r="G5" s="1041" t="s">
        <v>1571</v>
      </c>
      <c r="H5" s="1086" t="s">
        <v>1683</v>
      </c>
      <c r="I5" s="1087" t="s">
        <v>2991</v>
      </c>
      <c r="J5" s="1049" t="s">
        <v>7182</v>
      </c>
      <c r="K5" s="1088" t="s">
        <v>5878</v>
      </c>
      <c r="L5" s="1086" t="s">
        <v>5531</v>
      </c>
      <c r="M5" s="1046"/>
      <c r="N5" s="1046"/>
      <c r="O5" s="1048" t="s">
        <v>7183</v>
      </c>
      <c r="P5" s="1089"/>
      <c r="Q5" s="1090" t="s">
        <v>7184</v>
      </c>
      <c r="R5" s="1090" t="s">
        <v>2781</v>
      </c>
      <c r="S5" s="1052"/>
      <c r="T5" s="1091" t="s">
        <v>231</v>
      </c>
      <c r="U5" s="1092"/>
      <c r="V5" s="1053" t="s">
        <v>7185</v>
      </c>
      <c r="W5" s="1089"/>
      <c r="X5" s="1093" t="s">
        <v>3802</v>
      </c>
      <c r="Y5" s="1093" t="s">
        <v>7186</v>
      </c>
      <c r="Z5" s="1093" t="s">
        <v>2689</v>
      </c>
      <c r="AA5" s="1094" t="s">
        <v>7187</v>
      </c>
      <c r="AB5" s="1056" t="s">
        <v>1403</v>
      </c>
      <c r="AC5" s="1094" t="s">
        <v>1450</v>
      </c>
      <c r="AD5" s="1059" t="s">
        <v>1267</v>
      </c>
      <c r="AE5" s="1059" t="s">
        <v>6566</v>
      </c>
      <c r="AF5" s="1095"/>
      <c r="AG5" s="1096" t="s">
        <v>7188</v>
      </c>
      <c r="AH5" s="1061"/>
      <c r="AI5" s="1097"/>
      <c r="AJ5" s="1062"/>
      <c r="AK5" s="1062" t="s">
        <v>7189</v>
      </c>
      <c r="AL5" s="1063"/>
      <c r="AM5" s="1098" t="s">
        <v>3807</v>
      </c>
      <c r="AN5" s="1099" t="s">
        <v>3517</v>
      </c>
      <c r="AO5" s="1062" t="s">
        <v>7190</v>
      </c>
      <c r="AP5" s="1098" t="s">
        <v>2557</v>
      </c>
      <c r="AQ5" s="1100" t="s">
        <v>7191</v>
      </c>
      <c r="AR5" s="1062" t="s">
        <v>7192</v>
      </c>
      <c r="AS5" s="1063"/>
      <c r="AT5" s="1064" t="s">
        <v>4923</v>
      </c>
      <c r="AU5" s="1063"/>
      <c r="AV5" s="1063"/>
      <c r="AW5" s="1067" t="s">
        <v>5068</v>
      </c>
      <c r="AX5" s="1099" t="s">
        <v>1432</v>
      </c>
      <c r="AY5" s="1063"/>
      <c r="AZ5" s="1050"/>
      <c r="BA5" s="1101"/>
      <c r="BB5" s="1071" t="s">
        <v>7193</v>
      </c>
      <c r="BC5" s="1071" t="s">
        <v>6619</v>
      </c>
      <c r="BD5" s="1101"/>
      <c r="BE5" s="1102" t="s">
        <v>7194</v>
      </c>
      <c r="BF5" s="1050"/>
      <c r="BG5" s="1103" t="s">
        <v>3384</v>
      </c>
      <c r="BH5" s="1072" t="s">
        <v>1434</v>
      </c>
      <c r="BI5" s="1104" t="s">
        <v>5888</v>
      </c>
      <c r="BJ5" s="1105"/>
      <c r="BK5" s="1072" t="s">
        <v>7195</v>
      </c>
      <c r="BL5" s="1075"/>
      <c r="BM5" s="1073" t="s">
        <v>7196</v>
      </c>
      <c r="BN5" s="1089"/>
      <c r="BO5" s="1106" t="s">
        <v>4201</v>
      </c>
      <c r="BP5" s="1078"/>
      <c r="BQ5" s="1107" t="s">
        <v>1847</v>
      </c>
      <c r="BR5" s="1078" t="s">
        <v>7197</v>
      </c>
      <c r="BS5" s="1077"/>
      <c r="BT5" s="1107" t="s">
        <v>2140</v>
      </c>
      <c r="BU5" s="1077"/>
      <c r="BV5" s="1078" t="s">
        <v>7198</v>
      </c>
      <c r="BW5" s="1078" t="s">
        <v>2216</v>
      </c>
      <c r="BX5" s="1089"/>
      <c r="BY5" s="1108" t="s">
        <v>303</v>
      </c>
      <c r="BZ5" s="1082" t="s">
        <v>3512</v>
      </c>
      <c r="CA5" s="1109"/>
      <c r="CB5" s="1109"/>
      <c r="CC5" s="1109"/>
      <c r="CD5" s="1083"/>
      <c r="CE5" s="1083"/>
      <c r="CF5" s="1083"/>
      <c r="CG5" s="1083"/>
      <c r="CH5" s="1083"/>
      <c r="CI5" s="1083"/>
      <c r="CJ5" s="1109"/>
      <c r="CK5" s="1109"/>
    </row>
    <row r="6">
      <c r="A6" s="1040" t="s">
        <v>7199</v>
      </c>
      <c r="B6" s="1041" t="s">
        <v>7200</v>
      </c>
      <c r="C6" s="1042" t="s">
        <v>220</v>
      </c>
      <c r="D6" s="1043" t="s">
        <v>1251</v>
      </c>
      <c r="E6" s="1044" t="s">
        <v>562</v>
      </c>
      <c r="F6" s="1045" t="s">
        <v>2972</v>
      </c>
      <c r="G6" s="1041" t="s">
        <v>2101</v>
      </c>
      <c r="H6" s="1048" t="s">
        <v>3010</v>
      </c>
      <c r="I6" s="1046"/>
      <c r="J6" s="1087" t="s">
        <v>2040</v>
      </c>
      <c r="K6" s="1110" t="s">
        <v>7201</v>
      </c>
      <c r="L6" s="1087" t="s">
        <v>7202</v>
      </c>
      <c r="M6" s="1111" t="s">
        <v>3375</v>
      </c>
      <c r="N6" s="1046"/>
      <c r="O6" s="1112" t="s">
        <v>7203</v>
      </c>
      <c r="P6" s="1089"/>
      <c r="Q6" s="1091" t="s">
        <v>7204</v>
      </c>
      <c r="R6" s="1055" t="s">
        <v>1726</v>
      </c>
      <c r="S6" s="1051" t="s">
        <v>5120</v>
      </c>
      <c r="T6" s="1051" t="s">
        <v>5648</v>
      </c>
      <c r="U6" s="1051"/>
      <c r="V6" s="1059" t="s">
        <v>7205</v>
      </c>
      <c r="W6" s="1089"/>
      <c r="X6" s="1055" t="s">
        <v>2501</v>
      </c>
      <c r="Y6" s="1059" t="s">
        <v>7206</v>
      </c>
      <c r="Z6" s="1059" t="s">
        <v>7207</v>
      </c>
      <c r="AA6" s="1057" t="s">
        <v>5065</v>
      </c>
      <c r="AB6" s="1057" t="s">
        <v>7208</v>
      </c>
      <c r="AC6" s="1056" t="s">
        <v>2789</v>
      </c>
      <c r="AD6" s="1093" t="s">
        <v>4325</v>
      </c>
      <c r="AE6" s="1093" t="s">
        <v>2618</v>
      </c>
      <c r="AF6" s="1060"/>
      <c r="AG6" s="1057" t="s">
        <v>7209</v>
      </c>
      <c r="AH6" s="1061"/>
      <c r="AI6" s="1097"/>
      <c r="AJ6" s="1062"/>
      <c r="AK6" s="1063"/>
      <c r="AL6" s="1063"/>
      <c r="AM6" s="1099" t="s">
        <v>1258</v>
      </c>
      <c r="AN6" s="1062"/>
      <c r="AO6" s="1063"/>
      <c r="AP6" s="1064" t="s">
        <v>869</v>
      </c>
      <c r="AQ6" s="1063"/>
      <c r="AR6" s="1063"/>
      <c r="AS6" s="1063"/>
      <c r="AT6" s="1098"/>
      <c r="AU6" s="1063"/>
      <c r="AV6" s="1063"/>
      <c r="AW6" s="1067" t="s">
        <v>4777</v>
      </c>
      <c r="AX6" s="1064" t="s">
        <v>1752</v>
      </c>
      <c r="AY6" s="1064" t="s">
        <v>2252</v>
      </c>
      <c r="AZ6" s="1050"/>
      <c r="BA6" s="1064" t="s">
        <v>7210</v>
      </c>
      <c r="BB6" s="1070" t="s">
        <v>7211</v>
      </c>
      <c r="BC6" s="1113" t="s">
        <v>295</v>
      </c>
      <c r="BD6" s="1069" t="s">
        <v>4330</v>
      </c>
      <c r="BE6" s="1114" t="s">
        <v>7212</v>
      </c>
      <c r="BF6" s="1050"/>
      <c r="BG6" s="1072" t="s">
        <v>7213</v>
      </c>
      <c r="BH6" s="1072" t="s">
        <v>718</v>
      </c>
      <c r="BI6" s="1115" t="s">
        <v>7214</v>
      </c>
      <c r="BJ6" s="1115" t="s">
        <v>7215</v>
      </c>
      <c r="BK6" s="1116" t="s">
        <v>7216</v>
      </c>
      <c r="BL6" s="1075"/>
      <c r="BM6" s="1117" t="s">
        <v>7217</v>
      </c>
      <c r="BN6" s="1097"/>
      <c r="BO6" s="1078"/>
      <c r="BP6" s="1118"/>
      <c r="BQ6" s="1077"/>
      <c r="BR6" s="1078" t="s">
        <v>2785</v>
      </c>
      <c r="BS6" s="1077"/>
      <c r="BT6" s="1079" t="s">
        <v>5455</v>
      </c>
      <c r="BU6" s="1080" t="s">
        <v>2894</v>
      </c>
      <c r="BV6" s="1078"/>
      <c r="BW6" s="1079" t="s">
        <v>7218</v>
      </c>
      <c r="BX6" s="1089"/>
      <c r="BY6" s="1119" t="s">
        <v>3327</v>
      </c>
      <c r="BZ6" s="1120" t="s">
        <v>7219</v>
      </c>
      <c r="CA6" s="1121" t="s">
        <v>7220</v>
      </c>
      <c r="CB6" s="1109"/>
      <c r="CC6" s="1122"/>
      <c r="CD6" s="1121" t="s">
        <v>7221</v>
      </c>
      <c r="CE6" s="1123" t="s">
        <v>7222</v>
      </c>
      <c r="CF6" s="1121" t="s">
        <v>1667</v>
      </c>
      <c r="CG6" s="1108" t="s">
        <v>5157</v>
      </c>
      <c r="CH6" s="1081" t="s">
        <v>7223</v>
      </c>
      <c r="CI6" s="1083"/>
      <c r="CJ6" s="1121" t="s">
        <v>2263</v>
      </c>
      <c r="CK6" s="1121" t="s">
        <v>3916</v>
      </c>
    </row>
    <row r="7">
      <c r="A7" s="1124" t="s">
        <v>1626</v>
      </c>
      <c r="B7" s="1041" t="s">
        <v>7224</v>
      </c>
      <c r="C7" s="1042" t="s">
        <v>336</v>
      </c>
      <c r="D7" s="1043" t="s">
        <v>338</v>
      </c>
      <c r="E7" s="1044" t="s">
        <v>449</v>
      </c>
      <c r="F7" s="1045" t="s">
        <v>2865</v>
      </c>
      <c r="G7" s="1041" t="s">
        <v>5808</v>
      </c>
      <c r="H7" s="1086" t="s">
        <v>1424</v>
      </c>
      <c r="I7" s="1111" t="s">
        <v>7225</v>
      </c>
      <c r="J7" s="1046"/>
      <c r="K7" s="1047" t="s">
        <v>7226</v>
      </c>
      <c r="L7" s="1111" t="s">
        <v>7227</v>
      </c>
      <c r="M7" s="1046"/>
      <c r="N7" s="1048" t="s">
        <v>7228</v>
      </c>
      <c r="O7" s="1046"/>
      <c r="P7" s="1089"/>
      <c r="Q7" s="1051" t="s">
        <v>4255</v>
      </c>
      <c r="R7" s="1091" t="s">
        <v>3161</v>
      </c>
      <c r="S7" s="1092" t="s">
        <v>5861</v>
      </c>
      <c r="T7" s="1125" t="s">
        <v>5388</v>
      </c>
      <c r="U7" s="1125" t="s">
        <v>7229</v>
      </c>
      <c r="V7" s="1090" t="s">
        <v>7230</v>
      </c>
      <c r="W7" s="1089"/>
      <c r="X7" s="1094" t="s">
        <v>873</v>
      </c>
      <c r="Y7" s="1094" t="s">
        <v>7231</v>
      </c>
      <c r="Z7" s="1093" t="s">
        <v>6682</v>
      </c>
      <c r="AA7" s="1126" t="s">
        <v>4960</v>
      </c>
      <c r="AB7" s="1056" t="s">
        <v>4992</v>
      </c>
      <c r="AC7" s="1056" t="s">
        <v>5167</v>
      </c>
      <c r="AD7" s="1094" t="s">
        <v>4997</v>
      </c>
      <c r="AE7" s="1056" t="s">
        <v>6534</v>
      </c>
      <c r="AF7" s="1056"/>
      <c r="AG7" s="1127"/>
      <c r="AH7" s="1128" t="s">
        <v>7232</v>
      </c>
      <c r="AI7" s="1089"/>
      <c r="AJ7" s="1062"/>
      <c r="AK7" s="1062" t="s">
        <v>7233</v>
      </c>
      <c r="AL7" s="1062" t="s">
        <v>5574</v>
      </c>
      <c r="AM7" s="1062" t="s">
        <v>577</v>
      </c>
      <c r="AN7" s="1067" t="s">
        <v>7234</v>
      </c>
      <c r="AO7" s="1063"/>
      <c r="AP7" s="1067" t="s">
        <v>7235</v>
      </c>
      <c r="AQ7" s="1129" t="s">
        <v>5115</v>
      </c>
      <c r="AR7" s="1062" t="s">
        <v>7236</v>
      </c>
      <c r="AS7" s="1099" t="s">
        <v>7237</v>
      </c>
      <c r="AT7" s="1098"/>
      <c r="AU7" s="1062" t="s">
        <v>7238</v>
      </c>
      <c r="AV7" s="1063"/>
      <c r="AW7" s="1062" t="s">
        <v>486</v>
      </c>
      <c r="AX7" s="1067" t="s">
        <v>7239</v>
      </c>
      <c r="AY7" s="1099" t="s">
        <v>2017</v>
      </c>
      <c r="AZ7" s="1050"/>
      <c r="BA7" s="1114" t="s">
        <v>7240</v>
      </c>
      <c r="BB7" s="1070" t="s">
        <v>7241</v>
      </c>
      <c r="BC7" s="1130" t="s">
        <v>3528</v>
      </c>
      <c r="BD7" s="1101"/>
      <c r="BE7" s="1102" t="s">
        <v>7242</v>
      </c>
      <c r="BF7" s="1050"/>
      <c r="BG7" s="1103" t="s">
        <v>3384</v>
      </c>
      <c r="BH7" s="1072" t="s">
        <v>7243</v>
      </c>
      <c r="BI7" s="1073" t="s">
        <v>801</v>
      </c>
      <c r="BJ7" s="1131"/>
      <c r="BK7" s="1072" t="s">
        <v>7244</v>
      </c>
      <c r="BL7" s="1074" t="s">
        <v>7245</v>
      </c>
      <c r="BM7" s="1132" t="s">
        <v>7246</v>
      </c>
      <c r="BN7" s="1089"/>
      <c r="BO7" s="1078" t="s">
        <v>7247</v>
      </c>
      <c r="BP7" s="1118"/>
      <c r="BQ7" s="1078" t="s">
        <v>6894</v>
      </c>
      <c r="BR7" s="1133" t="s">
        <v>7248</v>
      </c>
      <c r="BS7" s="1080" t="s">
        <v>7249</v>
      </c>
      <c r="BT7" s="1078" t="s">
        <v>6699</v>
      </c>
      <c r="BU7" s="1133" t="s">
        <v>7240</v>
      </c>
      <c r="BV7" s="1079" t="s">
        <v>7250</v>
      </c>
      <c r="BW7" s="1107" t="s">
        <v>7251</v>
      </c>
      <c r="BX7" s="1089"/>
      <c r="BY7" s="1082" t="s">
        <v>7252</v>
      </c>
      <c r="BZ7" s="1082" t="s">
        <v>2637</v>
      </c>
      <c r="CA7" s="1109"/>
      <c r="CB7" s="1134" t="s">
        <v>2525</v>
      </c>
      <c r="CC7" s="1134"/>
      <c r="CD7" s="1082" t="s">
        <v>2883</v>
      </c>
      <c r="CE7" s="1135" t="s">
        <v>7253</v>
      </c>
      <c r="CF7" s="1135" t="s">
        <v>7254</v>
      </c>
      <c r="CG7" s="1119" t="s">
        <v>7255</v>
      </c>
      <c r="CH7" s="1121" t="s">
        <v>7256</v>
      </c>
      <c r="CI7" s="1121" t="s">
        <v>3654</v>
      </c>
      <c r="CJ7" s="1119" t="s">
        <v>5075</v>
      </c>
      <c r="CK7" s="1109"/>
    </row>
    <row r="8">
      <c r="A8" s="1136" t="s">
        <v>7257</v>
      </c>
      <c r="B8" s="1137" t="s">
        <v>7258</v>
      </c>
      <c r="C8" s="1042" t="s">
        <v>336</v>
      </c>
      <c r="D8" s="1043" t="s">
        <v>1251</v>
      </c>
      <c r="E8" s="1044" t="s">
        <v>1250</v>
      </c>
      <c r="F8" s="1045" t="s">
        <v>7259</v>
      </c>
      <c r="G8" s="1041" t="s">
        <v>2924</v>
      </c>
      <c r="H8" s="1138" t="s">
        <v>6963</v>
      </c>
      <c r="I8" s="1086" t="s">
        <v>7260</v>
      </c>
      <c r="J8" s="1138" t="s">
        <v>3731</v>
      </c>
      <c r="K8" s="1086" t="s">
        <v>7261</v>
      </c>
      <c r="L8" s="1139" t="s">
        <v>2040</v>
      </c>
      <c r="M8" s="1087" t="s">
        <v>7262</v>
      </c>
      <c r="N8" s="1086" t="s">
        <v>7263</v>
      </c>
      <c r="O8" s="1086" t="s">
        <v>7264</v>
      </c>
      <c r="P8" s="1089"/>
      <c r="Q8" s="1055" t="s">
        <v>7265</v>
      </c>
      <c r="R8" s="1055" t="s">
        <v>2178</v>
      </c>
      <c r="S8" s="1053" t="s">
        <v>752</v>
      </c>
      <c r="T8" s="1055" t="s">
        <v>5217</v>
      </c>
      <c r="U8" s="1090" t="s">
        <v>7266</v>
      </c>
      <c r="V8" s="1053" t="s">
        <v>7267</v>
      </c>
      <c r="W8" s="1089"/>
      <c r="X8" s="1058" t="s">
        <v>963</v>
      </c>
      <c r="Y8" s="1057" t="s">
        <v>7268</v>
      </c>
      <c r="Z8" s="1093" t="s">
        <v>7269</v>
      </c>
      <c r="AA8" s="1093" t="s">
        <v>7270</v>
      </c>
      <c r="AB8" s="1126" t="s">
        <v>4410</v>
      </c>
      <c r="AC8" s="1093" t="s">
        <v>5730</v>
      </c>
      <c r="AD8" s="1093" t="s">
        <v>2475</v>
      </c>
      <c r="AE8" s="1093" t="s">
        <v>7271</v>
      </c>
      <c r="AF8" s="1060"/>
      <c r="AG8" s="1096" t="s">
        <v>7272</v>
      </c>
      <c r="AH8" s="1140" t="s">
        <v>7273</v>
      </c>
      <c r="AI8" s="1089"/>
      <c r="AJ8" s="1141"/>
      <c r="AK8" s="1099" t="s">
        <v>862</v>
      </c>
      <c r="AL8" s="1100" t="s">
        <v>7274</v>
      </c>
      <c r="AM8" s="1067" t="s">
        <v>2278</v>
      </c>
      <c r="AN8" s="1062" t="s">
        <v>4728</v>
      </c>
      <c r="AO8" s="1062" t="s">
        <v>7275</v>
      </c>
      <c r="AP8" s="1067" t="s">
        <v>7276</v>
      </c>
      <c r="AQ8" s="1062" t="s">
        <v>7277</v>
      </c>
      <c r="AR8" s="1099" t="s">
        <v>7278</v>
      </c>
      <c r="AS8" s="1067" t="s">
        <v>7279</v>
      </c>
      <c r="AT8" s="1100" t="s">
        <v>7280</v>
      </c>
      <c r="AU8" s="1064" t="s">
        <v>7281</v>
      </c>
      <c r="AV8" s="1100" t="s">
        <v>7282</v>
      </c>
      <c r="AW8" s="1067" t="s">
        <v>2931</v>
      </c>
      <c r="AX8" s="1100" t="s">
        <v>2327</v>
      </c>
      <c r="AY8" s="1100" t="s">
        <v>7283</v>
      </c>
      <c r="AZ8" s="1050"/>
      <c r="BA8" s="1071" t="s">
        <v>7284</v>
      </c>
      <c r="BB8" s="1102" t="s">
        <v>7285</v>
      </c>
      <c r="BC8" s="1142" t="s">
        <v>3816</v>
      </c>
      <c r="BD8" s="1143"/>
      <c r="BE8" s="1070" t="s">
        <v>7286</v>
      </c>
      <c r="BF8" s="1050"/>
      <c r="BG8" s="1115" t="s">
        <v>7287</v>
      </c>
      <c r="BH8" s="1144" t="s">
        <v>3529</v>
      </c>
      <c r="BI8" s="1072" t="s">
        <v>630</v>
      </c>
      <c r="BJ8" s="1073" t="s">
        <v>7288</v>
      </c>
      <c r="BK8" s="1072" t="s">
        <v>7289</v>
      </c>
      <c r="BL8" s="1072" t="s">
        <v>7290</v>
      </c>
      <c r="BM8" s="1072" t="s">
        <v>7291</v>
      </c>
      <c r="BN8" s="1089"/>
      <c r="BO8" s="1079" t="s">
        <v>2557</v>
      </c>
      <c r="BP8" s="1080" t="s">
        <v>5747</v>
      </c>
      <c r="BQ8" s="1079" t="s">
        <v>6277</v>
      </c>
      <c r="BR8" s="1079" t="s">
        <v>4079</v>
      </c>
      <c r="BS8" s="1079" t="s">
        <v>848</v>
      </c>
      <c r="BT8" s="1079" t="s">
        <v>1338</v>
      </c>
      <c r="BU8" s="1107" t="s">
        <v>4079</v>
      </c>
      <c r="BV8" s="1106" t="s">
        <v>7292</v>
      </c>
      <c r="BW8" s="1079" t="s">
        <v>7293</v>
      </c>
      <c r="BX8" s="1089"/>
      <c r="BY8" s="1108" t="s">
        <v>7294</v>
      </c>
      <c r="BZ8" s="1119" t="s">
        <v>5248</v>
      </c>
      <c r="CA8" s="1135" t="s">
        <v>2433</v>
      </c>
      <c r="CB8" s="1119" t="s">
        <v>3566</v>
      </c>
      <c r="CC8" s="1119"/>
      <c r="CD8" s="1145"/>
      <c r="CE8" s="1108" t="s">
        <v>2789</v>
      </c>
      <c r="CF8" s="1108" t="s">
        <v>6919</v>
      </c>
      <c r="CG8" s="1108" t="s">
        <v>7295</v>
      </c>
      <c r="CH8" s="1108" t="s">
        <v>2293</v>
      </c>
      <c r="CI8" s="1135" t="s">
        <v>7296</v>
      </c>
      <c r="CJ8" s="1135" t="s">
        <v>3428</v>
      </c>
      <c r="CK8" s="1119"/>
    </row>
    <row r="9">
      <c r="A9" s="1085" t="s">
        <v>1481</v>
      </c>
      <c r="B9" s="1041" t="s">
        <v>7297</v>
      </c>
      <c r="C9" s="1042" t="s">
        <v>448</v>
      </c>
      <c r="D9" s="1043" t="s">
        <v>667</v>
      </c>
      <c r="E9" s="1044" t="s">
        <v>449</v>
      </c>
      <c r="F9" s="1045" t="s">
        <v>218</v>
      </c>
      <c r="G9" s="1041" t="s">
        <v>1804</v>
      </c>
      <c r="H9" s="1046"/>
      <c r="I9" s="1086" t="s">
        <v>7298</v>
      </c>
      <c r="J9" s="1088"/>
      <c r="K9" s="1087" t="s">
        <v>7299</v>
      </c>
      <c r="L9" s="1138" t="s">
        <v>3004</v>
      </c>
      <c r="M9" s="1046"/>
      <c r="N9" s="1046"/>
      <c r="O9" s="1111" t="s">
        <v>7300</v>
      </c>
      <c r="P9" s="1089"/>
      <c r="Q9" s="1055" t="s">
        <v>6758</v>
      </c>
      <c r="R9" s="1052"/>
      <c r="S9" s="1052"/>
      <c r="T9" s="1146" t="s">
        <v>5815</v>
      </c>
      <c r="U9" s="1051"/>
      <c r="V9" s="1125" t="s">
        <v>7301</v>
      </c>
      <c r="W9" s="1089"/>
      <c r="X9" s="1093" t="s">
        <v>609</v>
      </c>
      <c r="Y9" s="1147" t="s">
        <v>6677</v>
      </c>
      <c r="Z9" s="1094" t="s">
        <v>3225</v>
      </c>
      <c r="AA9" s="1094" t="s">
        <v>5565</v>
      </c>
      <c r="AB9" s="1093" t="s">
        <v>2437</v>
      </c>
      <c r="AC9" s="1094" t="s">
        <v>7302</v>
      </c>
      <c r="AD9" s="1148" t="s">
        <v>2539</v>
      </c>
      <c r="AE9" s="1093" t="s">
        <v>677</v>
      </c>
      <c r="AF9" s="1095"/>
      <c r="AG9" s="1058" t="s">
        <v>7303</v>
      </c>
      <c r="AH9" s="1149" t="s">
        <v>7304</v>
      </c>
      <c r="AI9" s="1097"/>
      <c r="AJ9" s="1063"/>
      <c r="AK9" s="1098" t="s">
        <v>7305</v>
      </c>
      <c r="AL9" s="1099" t="s">
        <v>5932</v>
      </c>
      <c r="AM9" s="1067" t="s">
        <v>679</v>
      </c>
      <c r="AN9" s="1150"/>
      <c r="AO9" s="1067" t="s">
        <v>5754</v>
      </c>
      <c r="AP9" s="1098" t="s">
        <v>7306</v>
      </c>
      <c r="AQ9" s="1151" t="s">
        <v>5828</v>
      </c>
      <c r="AR9" s="1063"/>
      <c r="AS9" s="1063"/>
      <c r="AT9" s="1098"/>
      <c r="AU9" s="1063"/>
      <c r="AV9" s="1098" t="s">
        <v>7307</v>
      </c>
      <c r="AW9" s="1098" t="s">
        <v>932</v>
      </c>
      <c r="AX9" s="1129" t="s">
        <v>7308</v>
      </c>
      <c r="AY9" s="1129" t="s">
        <v>7309</v>
      </c>
      <c r="AZ9" s="1050"/>
      <c r="BA9" s="1152"/>
      <c r="BB9" s="1153" t="s">
        <v>7310</v>
      </c>
      <c r="BC9" s="1070" t="s">
        <v>5412</v>
      </c>
      <c r="BD9" s="1101"/>
      <c r="BE9" s="1070" t="s">
        <v>7311</v>
      </c>
      <c r="BF9" s="1050"/>
      <c r="BG9" s="1072" t="s">
        <v>7312</v>
      </c>
      <c r="BH9" s="1154" t="s">
        <v>4800</v>
      </c>
      <c r="BI9" s="1075"/>
      <c r="BJ9" s="1131"/>
      <c r="BK9" s="1075"/>
      <c r="BL9" s="1075"/>
      <c r="BM9" s="1155" t="s">
        <v>7313</v>
      </c>
      <c r="BN9" s="1097"/>
      <c r="BO9" s="1079" t="s">
        <v>7314</v>
      </c>
      <c r="BP9" s="1118"/>
      <c r="BQ9" s="1077"/>
      <c r="BR9" s="1080" t="s">
        <v>7315</v>
      </c>
      <c r="BS9" s="1077"/>
      <c r="BT9" s="1118" t="s">
        <v>297</v>
      </c>
      <c r="BU9" s="1077"/>
      <c r="BV9" s="1118" t="s">
        <v>7316</v>
      </c>
      <c r="BW9" s="1079" t="s">
        <v>7317</v>
      </c>
      <c r="BX9" s="1097"/>
      <c r="BY9" s="1156"/>
      <c r="BZ9" s="1135" t="s">
        <v>749</v>
      </c>
      <c r="CA9" s="1109"/>
      <c r="CB9" s="1109"/>
      <c r="CC9" s="1109"/>
      <c r="CD9" s="1119" t="s">
        <v>4482</v>
      </c>
      <c r="CE9" s="1083"/>
      <c r="CF9" s="1119" t="s">
        <v>7318</v>
      </c>
      <c r="CG9" s="1134" t="s">
        <v>2732</v>
      </c>
      <c r="CH9" s="1083"/>
      <c r="CI9" s="1083"/>
      <c r="CJ9" s="1109"/>
      <c r="CK9" s="1109"/>
    </row>
    <row r="10">
      <c r="A10" s="1157" t="s">
        <v>955</v>
      </c>
      <c r="B10" s="1041" t="s">
        <v>7319</v>
      </c>
      <c r="C10" s="1042" t="s">
        <v>337</v>
      </c>
      <c r="D10" s="1043" t="s">
        <v>449</v>
      </c>
      <c r="E10" s="1044" t="s">
        <v>667</v>
      </c>
      <c r="F10" s="1045" t="s">
        <v>6130</v>
      </c>
      <c r="G10" s="1041" t="s">
        <v>3008</v>
      </c>
      <c r="H10" s="1046"/>
      <c r="I10" s="1138" t="s">
        <v>7320</v>
      </c>
      <c r="J10" s="1047" t="s">
        <v>7321</v>
      </c>
      <c r="K10" s="1047"/>
      <c r="L10" s="1048" t="s">
        <v>7322</v>
      </c>
      <c r="M10" s="1046"/>
      <c r="N10" s="1087" t="s">
        <v>7323</v>
      </c>
      <c r="O10" s="1046"/>
      <c r="P10" s="1089"/>
      <c r="Q10" s="1158" t="s">
        <v>7324</v>
      </c>
      <c r="R10" s="1158" t="s">
        <v>2204</v>
      </c>
      <c r="S10" s="1052"/>
      <c r="T10" s="1052"/>
      <c r="U10" s="1091" t="s">
        <v>7325</v>
      </c>
      <c r="V10" s="1053" t="s">
        <v>7326</v>
      </c>
      <c r="W10" s="1089"/>
      <c r="X10" s="1057" t="s">
        <v>7327</v>
      </c>
      <c r="Y10" s="1056"/>
      <c r="Z10" s="1056" t="s">
        <v>7328</v>
      </c>
      <c r="AA10" s="1159" t="s">
        <v>7329</v>
      </c>
      <c r="AB10" s="1056"/>
      <c r="AC10" s="1056" t="s">
        <v>7330</v>
      </c>
      <c r="AD10" s="1059" t="s">
        <v>1267</v>
      </c>
      <c r="AE10" s="1127"/>
      <c r="AF10" s="1127"/>
      <c r="AG10" s="1056" t="s">
        <v>7331</v>
      </c>
      <c r="AH10" s="1061"/>
      <c r="AI10" s="1089"/>
      <c r="AJ10" s="1063"/>
      <c r="AK10" s="1063"/>
      <c r="AL10" s="1063"/>
      <c r="AM10" s="1064" t="s">
        <v>6144</v>
      </c>
      <c r="AN10" s="1063"/>
      <c r="AO10" s="1099" t="s">
        <v>2074</v>
      </c>
      <c r="AP10" s="1100" t="s">
        <v>7332</v>
      </c>
      <c r="AQ10" s="1064" t="s">
        <v>7333</v>
      </c>
      <c r="AR10" s="1063"/>
      <c r="AS10" s="1063"/>
      <c r="AT10" s="1098"/>
      <c r="AU10" s="1063"/>
      <c r="AV10" s="1063"/>
      <c r="AW10" s="1064" t="s">
        <v>3418</v>
      </c>
      <c r="AX10" s="1063"/>
      <c r="AY10" s="1063"/>
      <c r="AZ10" s="1050"/>
      <c r="BA10" s="1152"/>
      <c r="BB10" s="1152"/>
      <c r="BC10" s="1069" t="s">
        <v>6512</v>
      </c>
      <c r="BD10" s="1101"/>
      <c r="BE10" s="1102" t="s">
        <v>7334</v>
      </c>
      <c r="BF10" s="1050"/>
      <c r="BG10" s="1116" t="s">
        <v>7335</v>
      </c>
      <c r="BH10" s="1116" t="s">
        <v>7052</v>
      </c>
      <c r="BI10" s="1074" t="s">
        <v>329</v>
      </c>
      <c r="BJ10" s="1131"/>
      <c r="BK10" s="1075"/>
      <c r="BL10" s="1075"/>
      <c r="BM10" s="1073" t="s">
        <v>7336</v>
      </c>
      <c r="BN10" s="1089"/>
      <c r="BO10" s="1080" t="s">
        <v>7337</v>
      </c>
      <c r="BP10" s="1118"/>
      <c r="BQ10" s="1078" t="s">
        <v>7338</v>
      </c>
      <c r="BR10" s="1077"/>
      <c r="BS10" s="1077"/>
      <c r="BT10" s="1106" t="s">
        <v>1002</v>
      </c>
      <c r="BU10" s="1077"/>
      <c r="BV10" s="1078" t="s">
        <v>4101</v>
      </c>
      <c r="BW10" s="1078" t="s">
        <v>7339</v>
      </c>
      <c r="BX10" s="1089"/>
      <c r="BY10" s="1082" t="s">
        <v>936</v>
      </c>
      <c r="BZ10" s="1121" t="s">
        <v>3437</v>
      </c>
      <c r="CA10" s="1109"/>
      <c r="CB10" s="1109"/>
      <c r="CC10" s="1109"/>
      <c r="CD10" s="1083"/>
      <c r="CE10" s="1083"/>
      <c r="CF10" s="1083"/>
      <c r="CG10" s="1083"/>
      <c r="CH10" s="1083"/>
      <c r="CI10" s="1083"/>
      <c r="CJ10" s="1109"/>
      <c r="CK10" s="1109"/>
    </row>
    <row r="11">
      <c r="A11" s="1085" t="s">
        <v>334</v>
      </c>
      <c r="B11" s="1041" t="s">
        <v>7340</v>
      </c>
      <c r="C11" s="1042" t="s">
        <v>336</v>
      </c>
      <c r="D11" s="1043" t="s">
        <v>1251</v>
      </c>
      <c r="E11" s="1044" t="s">
        <v>450</v>
      </c>
      <c r="F11" s="1045" t="s">
        <v>3785</v>
      </c>
      <c r="G11" s="1041" t="s">
        <v>1571</v>
      </c>
      <c r="H11" s="1160" t="s">
        <v>2857</v>
      </c>
      <c r="I11" s="1048" t="s">
        <v>7341</v>
      </c>
      <c r="J11" s="1048" t="s">
        <v>7342</v>
      </c>
      <c r="K11" s="1138" t="s">
        <v>737</v>
      </c>
      <c r="L11" s="1161" t="s">
        <v>7343</v>
      </c>
      <c r="M11" s="1046"/>
      <c r="N11" s="1046"/>
      <c r="O11" s="1111" t="s">
        <v>7344</v>
      </c>
      <c r="P11" s="1089"/>
      <c r="Q11" s="1055" t="s">
        <v>7345</v>
      </c>
      <c r="R11" s="1052"/>
      <c r="S11" s="1052"/>
      <c r="T11" s="1090" t="s">
        <v>5354</v>
      </c>
      <c r="U11" s="1051"/>
      <c r="V11" s="1125" t="s">
        <v>7346</v>
      </c>
      <c r="W11" s="1089"/>
      <c r="X11" s="1127"/>
      <c r="Y11" s="1094" t="s">
        <v>7347</v>
      </c>
      <c r="Z11" s="1147" t="s">
        <v>7343</v>
      </c>
      <c r="AA11" s="1147" t="s">
        <v>7348</v>
      </c>
      <c r="AB11" s="1059" t="s">
        <v>5150</v>
      </c>
      <c r="AC11" s="1094" t="s">
        <v>2825</v>
      </c>
      <c r="AD11" s="1093" t="s">
        <v>2517</v>
      </c>
      <c r="AE11" s="1057" t="s">
        <v>1301</v>
      </c>
      <c r="AF11" s="1095"/>
      <c r="AG11" s="1147" t="s">
        <v>7349</v>
      </c>
      <c r="AH11" s="1061"/>
      <c r="AI11" s="1089"/>
      <c r="AJ11" s="1162"/>
      <c r="AK11" s="1067" t="s">
        <v>7350</v>
      </c>
      <c r="AL11" s="1063"/>
      <c r="AM11" s="1163"/>
      <c r="AN11" s="1163" t="s">
        <v>6120</v>
      </c>
      <c r="AO11" s="1164" t="s">
        <v>4861</v>
      </c>
      <c r="AP11" s="1165" t="s">
        <v>7351</v>
      </c>
      <c r="AQ11" s="1165" t="s">
        <v>7352</v>
      </c>
      <c r="AR11" s="1166"/>
      <c r="AS11" s="1064" t="s">
        <v>7171</v>
      </c>
      <c r="AT11" s="1167"/>
      <c r="AU11" s="1150"/>
      <c r="AV11" s="1064" t="s">
        <v>7353</v>
      </c>
      <c r="AW11" s="1099" t="s">
        <v>7354</v>
      </c>
      <c r="AX11" s="1129" t="s">
        <v>7355</v>
      </c>
      <c r="AY11" s="1129" t="s">
        <v>7356</v>
      </c>
      <c r="AZ11" s="1050"/>
      <c r="BA11" s="1068"/>
      <c r="BB11" s="1114" t="s">
        <v>7357</v>
      </c>
      <c r="BC11" s="1070" t="s">
        <v>3829</v>
      </c>
      <c r="BD11" s="1101"/>
      <c r="BE11" s="1153" t="s">
        <v>7358</v>
      </c>
      <c r="BF11" s="1050"/>
      <c r="BG11" s="1074" t="s">
        <v>7359</v>
      </c>
      <c r="BH11" s="1103" t="s">
        <v>5485</v>
      </c>
      <c r="BI11" s="1073"/>
      <c r="BJ11" s="1168"/>
      <c r="BK11" s="1168" t="s">
        <v>7360</v>
      </c>
      <c r="BL11" s="1075"/>
      <c r="BM11" s="1168" t="s">
        <v>7361</v>
      </c>
      <c r="BN11" s="1089"/>
      <c r="BO11" s="1107" t="s">
        <v>7362</v>
      </c>
      <c r="BP11" s="1118"/>
      <c r="BQ11" s="1106" t="s">
        <v>719</v>
      </c>
      <c r="BR11" s="1133" t="s">
        <v>7363</v>
      </c>
      <c r="BS11" s="1077"/>
      <c r="BT11" s="1079" t="s">
        <v>4781</v>
      </c>
      <c r="BU11" s="1077"/>
      <c r="BV11" s="1118" t="s">
        <v>7364</v>
      </c>
      <c r="BW11" s="1169" t="s">
        <v>7365</v>
      </c>
      <c r="BX11" s="1097"/>
      <c r="BY11" s="1134" t="s">
        <v>4532</v>
      </c>
      <c r="BZ11" s="1083"/>
      <c r="CA11" s="1170"/>
      <c r="CB11" s="1121" t="s">
        <v>2947</v>
      </c>
      <c r="CC11" s="1171"/>
      <c r="CD11" s="1134" t="s">
        <v>1221</v>
      </c>
      <c r="CE11" s="1083"/>
      <c r="CF11" s="1134" t="s">
        <v>7366</v>
      </c>
      <c r="CG11" s="1083"/>
      <c r="CH11" s="1119" t="s">
        <v>4869</v>
      </c>
      <c r="CI11" s="1083"/>
      <c r="CJ11" s="1109"/>
      <c r="CK11" s="1109"/>
    </row>
    <row r="12">
      <c r="A12" s="1040" t="s">
        <v>2494</v>
      </c>
      <c r="B12" s="1041" t="s">
        <v>7367</v>
      </c>
      <c r="C12" s="1042" t="s">
        <v>448</v>
      </c>
      <c r="D12" s="1043" t="s">
        <v>336</v>
      </c>
      <c r="E12" s="1044" t="s">
        <v>449</v>
      </c>
      <c r="F12" s="1045" t="s">
        <v>2188</v>
      </c>
      <c r="G12" s="1041" t="s">
        <v>2188</v>
      </c>
      <c r="H12" s="1086" t="s">
        <v>1258</v>
      </c>
      <c r="I12" s="1086" t="s">
        <v>7368</v>
      </c>
      <c r="J12" s="1138" t="s">
        <v>3731</v>
      </c>
      <c r="K12" s="1086" t="s">
        <v>2042</v>
      </c>
      <c r="L12" s="1046"/>
      <c r="M12" s="1046"/>
      <c r="N12" s="1046"/>
      <c r="O12" s="1138" t="s">
        <v>7369</v>
      </c>
      <c r="P12" s="1089"/>
      <c r="Q12" s="1055" t="s">
        <v>7370</v>
      </c>
      <c r="R12" s="1052"/>
      <c r="S12" s="1090" t="s">
        <v>7371</v>
      </c>
      <c r="T12" s="1055" t="s">
        <v>5297</v>
      </c>
      <c r="U12" s="1055" t="s">
        <v>7372</v>
      </c>
      <c r="V12" s="1055" t="s">
        <v>7373</v>
      </c>
      <c r="W12" s="1089"/>
      <c r="X12" s="1093" t="s">
        <v>2745</v>
      </c>
      <c r="Y12" s="1058" t="s">
        <v>7374</v>
      </c>
      <c r="Z12" s="1093" t="s">
        <v>7375</v>
      </c>
      <c r="AA12" s="1093" t="s">
        <v>7270</v>
      </c>
      <c r="AB12" s="1093" t="s">
        <v>6238</v>
      </c>
      <c r="AC12" s="1093" t="s">
        <v>7376</v>
      </c>
      <c r="AD12" s="1093" t="s">
        <v>1106</v>
      </c>
      <c r="AE12" s="1093" t="s">
        <v>7377</v>
      </c>
      <c r="AF12" s="1095"/>
      <c r="AG12" s="1093" t="s">
        <v>7378</v>
      </c>
      <c r="AH12" s="1061"/>
      <c r="AI12" s="1089"/>
      <c r="AJ12" s="1162"/>
      <c r="AK12" s="1100" t="s">
        <v>2104</v>
      </c>
      <c r="AL12" s="1063"/>
      <c r="AM12" s="1067" t="s">
        <v>4352</v>
      </c>
      <c r="AN12" s="1063"/>
      <c r="AO12" s="1063"/>
      <c r="AP12" s="1067" t="s">
        <v>3530</v>
      </c>
      <c r="AQ12" s="1063"/>
      <c r="AR12" s="1064" t="s">
        <v>7379</v>
      </c>
      <c r="AS12" s="1067" t="s">
        <v>7380</v>
      </c>
      <c r="AT12" s="1098"/>
      <c r="AU12" s="1099" t="s">
        <v>7381</v>
      </c>
      <c r="AV12" s="1063"/>
      <c r="AW12" s="1067" t="s">
        <v>5448</v>
      </c>
      <c r="AX12" s="1067" t="s">
        <v>4831</v>
      </c>
      <c r="AY12" s="1067" t="s">
        <v>7382</v>
      </c>
      <c r="AZ12" s="1050"/>
      <c r="BA12" s="1070" t="s">
        <v>7383</v>
      </c>
      <c r="BB12" s="1070" t="s">
        <v>7384</v>
      </c>
      <c r="BC12" s="1070" t="s">
        <v>5344</v>
      </c>
      <c r="BD12" s="1101"/>
      <c r="BE12" s="1070" t="s">
        <v>7385</v>
      </c>
      <c r="BF12" s="1050"/>
      <c r="BG12" s="1072" t="s">
        <v>7386</v>
      </c>
      <c r="BH12" s="1072" t="s">
        <v>3305</v>
      </c>
      <c r="BI12" s="1072" t="s">
        <v>2263</v>
      </c>
      <c r="BJ12" s="1172" t="s">
        <v>7387</v>
      </c>
      <c r="BK12" s="1072" t="s">
        <v>3184</v>
      </c>
      <c r="BL12" s="1075"/>
      <c r="BM12" s="1072" t="s">
        <v>7388</v>
      </c>
      <c r="BN12" s="1089"/>
      <c r="BO12" s="1077"/>
      <c r="BP12" s="1118"/>
      <c r="BQ12" s="1079" t="s">
        <v>2659</v>
      </c>
      <c r="BR12" s="1079" t="s">
        <v>7389</v>
      </c>
      <c r="BS12" s="1077"/>
      <c r="BT12" s="1079" t="s">
        <v>1865</v>
      </c>
      <c r="BU12" s="1077"/>
      <c r="BV12" s="1079" t="s">
        <v>7390</v>
      </c>
      <c r="BW12" s="1079" t="s">
        <v>6041</v>
      </c>
      <c r="BX12" s="1089"/>
      <c r="BY12" s="1108" t="s">
        <v>7190</v>
      </c>
      <c r="BZ12" s="1108" t="s">
        <v>2749</v>
      </c>
      <c r="CA12" s="1173" t="s">
        <v>7391</v>
      </c>
      <c r="CB12" s="1109"/>
      <c r="CC12" s="1109"/>
      <c r="CD12" s="1119" t="s">
        <v>4482</v>
      </c>
      <c r="CE12" s="1108" t="s">
        <v>7392</v>
      </c>
      <c r="CF12" s="1108" t="s">
        <v>3445</v>
      </c>
      <c r="CG12" s="1135" t="s">
        <v>7393</v>
      </c>
      <c r="CH12" s="1083"/>
      <c r="CI12" s="1119" t="s">
        <v>4825</v>
      </c>
      <c r="CJ12" s="1109"/>
      <c r="CK12" s="1109"/>
    </row>
    <row r="13">
      <c r="A13" s="1040" t="s">
        <v>2036</v>
      </c>
      <c r="B13" s="1041" t="s">
        <v>7394</v>
      </c>
      <c r="C13" s="1042" t="s">
        <v>1483</v>
      </c>
      <c r="D13" s="1043" t="s">
        <v>336</v>
      </c>
      <c r="E13" s="1044" t="s">
        <v>667</v>
      </c>
      <c r="F13" s="1045" t="s">
        <v>220</v>
      </c>
      <c r="G13" s="1041" t="s">
        <v>7395</v>
      </c>
      <c r="H13" s="1046"/>
      <c r="I13" s="1047" t="s">
        <v>7396</v>
      </c>
      <c r="J13" s="1047"/>
      <c r="K13" s="1086" t="s">
        <v>1775</v>
      </c>
      <c r="L13" s="1047"/>
      <c r="M13" s="1047"/>
      <c r="N13" s="1046"/>
      <c r="O13" s="1086" t="s">
        <v>7397</v>
      </c>
      <c r="P13" s="1089"/>
      <c r="Q13" s="1052"/>
      <c r="R13" s="1054"/>
      <c r="S13" s="1055" t="s">
        <v>7398</v>
      </c>
      <c r="T13" s="1052"/>
      <c r="U13" s="1052"/>
      <c r="V13" s="1055" t="s">
        <v>7399</v>
      </c>
      <c r="W13" s="1089"/>
      <c r="X13" s="1059" t="s">
        <v>1341</v>
      </c>
      <c r="Y13" s="1127"/>
      <c r="Z13" s="1056" t="s">
        <v>7400</v>
      </c>
      <c r="AA13" s="1093" t="s">
        <v>7401</v>
      </c>
      <c r="AB13" s="1056" t="s">
        <v>3729</v>
      </c>
      <c r="AC13" s="1093" t="s">
        <v>2060</v>
      </c>
      <c r="AD13" s="1056" t="s">
        <v>4232</v>
      </c>
      <c r="AE13" s="1056" t="s">
        <v>7402</v>
      </c>
      <c r="AF13" s="1056"/>
      <c r="AG13" s="1093" t="s">
        <v>7403</v>
      </c>
      <c r="AH13" s="1061"/>
      <c r="AI13" s="1089"/>
      <c r="AJ13" s="1063"/>
      <c r="AK13" s="1063"/>
      <c r="AL13" s="1063"/>
      <c r="AM13" s="1100" t="s">
        <v>1485</v>
      </c>
      <c r="AN13" s="1063"/>
      <c r="AO13" s="1063"/>
      <c r="AP13" s="1062" t="s">
        <v>7404</v>
      </c>
      <c r="AQ13" s="1063"/>
      <c r="AR13" s="1063"/>
      <c r="AS13" s="1063"/>
      <c r="AT13" s="1098"/>
      <c r="AU13" s="1063"/>
      <c r="AV13" s="1063"/>
      <c r="AW13" s="1063"/>
      <c r="AX13" s="1067" t="s">
        <v>7405</v>
      </c>
      <c r="AY13" s="1062" t="s">
        <v>7406</v>
      </c>
      <c r="AZ13" s="1050"/>
      <c r="BA13" s="1102"/>
      <c r="BB13" s="1102"/>
      <c r="BC13" s="1070" t="s">
        <v>3400</v>
      </c>
      <c r="BD13" s="1068"/>
      <c r="BE13" s="1102" t="s">
        <v>7407</v>
      </c>
      <c r="BF13" s="1050"/>
      <c r="BG13" s="1073" t="s">
        <v>6029</v>
      </c>
      <c r="BH13" s="1074" t="s">
        <v>7073</v>
      </c>
      <c r="BI13" s="1075"/>
      <c r="BJ13" s="1131"/>
      <c r="BK13" s="1103" t="s">
        <v>7408</v>
      </c>
      <c r="BL13" s="1075"/>
      <c r="BM13" s="1072" t="s">
        <v>7409</v>
      </c>
      <c r="BN13" s="1089"/>
      <c r="BO13" s="1078" t="s">
        <v>7410</v>
      </c>
      <c r="BP13" s="1133"/>
      <c r="BQ13" s="1078"/>
      <c r="BR13" s="1106" t="s">
        <v>7411</v>
      </c>
      <c r="BS13" s="1078"/>
      <c r="BT13" s="1079" t="s">
        <v>1371</v>
      </c>
      <c r="BU13" s="1077"/>
      <c r="BV13" s="1107" t="s">
        <v>7412</v>
      </c>
      <c r="BW13" s="1079" t="s">
        <v>7413</v>
      </c>
      <c r="BX13" s="1089"/>
      <c r="BY13" s="1135" t="s">
        <v>474</v>
      </c>
      <c r="BZ13" s="1083"/>
      <c r="CA13" s="1109"/>
      <c r="CB13" s="1109"/>
      <c r="CC13" s="1109"/>
      <c r="CD13" s="1083"/>
      <c r="CE13" s="1083"/>
      <c r="CF13" s="1082" t="s">
        <v>4716</v>
      </c>
      <c r="CG13" s="1083"/>
      <c r="CH13" s="1083"/>
      <c r="CI13" s="1083"/>
      <c r="CJ13" s="1109"/>
      <c r="CK13" s="1109"/>
    </row>
    <row r="14">
      <c r="A14" s="1040" t="s">
        <v>6445</v>
      </c>
      <c r="B14" s="1041" t="s">
        <v>7414</v>
      </c>
      <c r="C14" s="1042" t="s">
        <v>1483</v>
      </c>
      <c r="D14" s="1043" t="s">
        <v>448</v>
      </c>
      <c r="E14" s="1044" t="s">
        <v>448</v>
      </c>
      <c r="F14" s="1045" t="s">
        <v>5660</v>
      </c>
      <c r="G14" s="1041" t="s">
        <v>1804</v>
      </c>
      <c r="H14" s="1086" t="s">
        <v>2207</v>
      </c>
      <c r="I14" s="1086" t="s">
        <v>7415</v>
      </c>
      <c r="J14" s="1046"/>
      <c r="K14" s="1046"/>
      <c r="L14" s="1086" t="s">
        <v>3261</v>
      </c>
      <c r="M14" s="1046"/>
      <c r="N14" s="1086" t="s">
        <v>7416</v>
      </c>
      <c r="O14" s="1046"/>
      <c r="P14" s="1089"/>
      <c r="Q14" s="1055" t="s">
        <v>245</v>
      </c>
      <c r="R14" s="1052"/>
      <c r="S14" s="1055" t="s">
        <v>7305</v>
      </c>
      <c r="T14" s="1055" t="s">
        <v>3746</v>
      </c>
      <c r="U14" s="1052"/>
      <c r="V14" s="1055" t="s">
        <v>7417</v>
      </c>
      <c r="W14" s="1089"/>
      <c r="X14" s="1093" t="s">
        <v>273</v>
      </c>
      <c r="Y14" s="1093" t="s">
        <v>7418</v>
      </c>
      <c r="Z14" s="1093" t="s">
        <v>2457</v>
      </c>
      <c r="AA14" s="1126" t="s">
        <v>7419</v>
      </c>
      <c r="AB14" s="1093" t="s">
        <v>7420</v>
      </c>
      <c r="AC14" s="1093" t="s">
        <v>1748</v>
      </c>
      <c r="AD14" s="1093" t="s">
        <v>5570</v>
      </c>
      <c r="AE14" s="1093" t="s">
        <v>7421</v>
      </c>
      <c r="AF14" s="1060"/>
      <c r="AG14" s="1056" t="s">
        <v>7422</v>
      </c>
      <c r="AH14" s="1061"/>
      <c r="AI14" s="1089"/>
      <c r="AJ14" s="1141"/>
      <c r="AK14" s="1067" t="s">
        <v>7423</v>
      </c>
      <c r="AL14" s="1067" t="s">
        <v>7424</v>
      </c>
      <c r="AM14" s="1067" t="s">
        <v>1263</v>
      </c>
      <c r="AN14" s="1062"/>
      <c r="AO14" s="1063"/>
      <c r="AP14" s="1067" t="s">
        <v>4112</v>
      </c>
      <c r="AQ14" s="1063"/>
      <c r="AR14" s="1067" t="s">
        <v>7425</v>
      </c>
      <c r="AS14" s="1100" t="s">
        <v>7426</v>
      </c>
      <c r="AT14" s="1099" t="s">
        <v>7427</v>
      </c>
      <c r="AU14" s="1100" t="s">
        <v>7428</v>
      </c>
      <c r="AV14" s="1063"/>
      <c r="AW14" s="1067" t="s">
        <v>374</v>
      </c>
      <c r="AX14" s="1067" t="s">
        <v>7429</v>
      </c>
      <c r="AY14" s="1067" t="s">
        <v>7430</v>
      </c>
      <c r="AZ14" s="1050"/>
      <c r="BA14" s="1152"/>
      <c r="BB14" s="1070" t="s">
        <v>7431</v>
      </c>
      <c r="BC14" s="1070" t="s">
        <v>7432</v>
      </c>
      <c r="BD14" s="1068"/>
      <c r="BE14" s="1070" t="s">
        <v>7433</v>
      </c>
      <c r="BF14" s="1050"/>
      <c r="BG14" s="1073" t="s">
        <v>4126</v>
      </c>
      <c r="BH14" s="1073" t="s">
        <v>4715</v>
      </c>
      <c r="BI14" s="1103" t="s">
        <v>1662</v>
      </c>
      <c r="BJ14" s="1131"/>
      <c r="BK14" s="1073" t="s">
        <v>4449</v>
      </c>
      <c r="BL14" s="1075"/>
      <c r="BM14" s="1073" t="s">
        <v>7434</v>
      </c>
      <c r="BN14" s="1089"/>
      <c r="BO14" s="1079" t="s">
        <v>3489</v>
      </c>
      <c r="BP14" s="1118"/>
      <c r="BQ14" s="1077"/>
      <c r="BR14" s="1077"/>
      <c r="BS14" s="1077"/>
      <c r="BT14" s="1079" t="s">
        <v>977</v>
      </c>
      <c r="BU14" s="1077"/>
      <c r="BV14" s="1078" t="s">
        <v>7435</v>
      </c>
      <c r="BW14" s="1078" t="s">
        <v>7436</v>
      </c>
      <c r="BX14" s="1089"/>
      <c r="BY14" s="1108" t="s">
        <v>1691</v>
      </c>
      <c r="BZ14" s="1082"/>
      <c r="CA14" s="1109"/>
      <c r="CB14" s="1109"/>
      <c r="CC14" s="1109"/>
      <c r="CD14" s="1083"/>
      <c r="CE14" s="1082" t="s">
        <v>7437</v>
      </c>
      <c r="CF14" s="1083"/>
      <c r="CG14" s="1083"/>
      <c r="CH14" s="1083"/>
      <c r="CI14" s="1083"/>
      <c r="CJ14" s="1109"/>
      <c r="CK14" s="1109"/>
    </row>
    <row r="15">
      <c r="A15" s="1174" t="s">
        <v>1802</v>
      </c>
      <c r="B15" s="1041" t="s">
        <v>7438</v>
      </c>
      <c r="C15" s="1042" t="s">
        <v>1483</v>
      </c>
      <c r="D15" s="1043" t="s">
        <v>448</v>
      </c>
      <c r="E15" s="1044" t="s">
        <v>562</v>
      </c>
      <c r="F15" s="1045" t="s">
        <v>1033</v>
      </c>
      <c r="G15" s="1041" t="s">
        <v>2314</v>
      </c>
      <c r="H15" s="1086" t="s">
        <v>2442</v>
      </c>
      <c r="I15" s="1175" t="s">
        <v>7439</v>
      </c>
      <c r="J15" s="1047" t="s">
        <v>1430</v>
      </c>
      <c r="K15" s="1047" t="s">
        <v>7440</v>
      </c>
      <c r="L15" s="1047" t="s">
        <v>2232</v>
      </c>
      <c r="M15" s="1046"/>
      <c r="N15" s="1047" t="s">
        <v>7441</v>
      </c>
      <c r="O15" s="1047" t="s">
        <v>7442</v>
      </c>
      <c r="P15" s="1089"/>
      <c r="Q15" s="1051" t="s">
        <v>7443</v>
      </c>
      <c r="R15" s="1051" t="s">
        <v>2493</v>
      </c>
      <c r="S15" s="1051" t="s">
        <v>7444</v>
      </c>
      <c r="T15" s="1051" t="s">
        <v>5721</v>
      </c>
      <c r="U15" s="1051" t="s">
        <v>7445</v>
      </c>
      <c r="V15" s="1051" t="s">
        <v>7446</v>
      </c>
      <c r="W15" s="1089"/>
      <c r="X15" s="1056" t="s">
        <v>3973</v>
      </c>
      <c r="Y15" s="1056" t="s">
        <v>7447</v>
      </c>
      <c r="Z15" s="1094" t="s">
        <v>7448</v>
      </c>
      <c r="AA15" s="1176" t="s">
        <v>7449</v>
      </c>
      <c r="AB15" s="1056" t="s">
        <v>7450</v>
      </c>
      <c r="AC15" s="1056" t="s">
        <v>7451</v>
      </c>
      <c r="AD15" s="1126" t="s">
        <v>1781</v>
      </c>
      <c r="AE15" s="1093" t="s">
        <v>5498</v>
      </c>
      <c r="AF15" s="1056" t="s">
        <v>7452</v>
      </c>
      <c r="AG15" s="1056" t="s">
        <v>7453</v>
      </c>
      <c r="AH15" s="1177" t="s">
        <v>7454</v>
      </c>
      <c r="AI15" s="1089"/>
      <c r="AJ15" s="1141"/>
      <c r="AK15" s="1067" t="s">
        <v>7455</v>
      </c>
      <c r="AL15" s="1062"/>
      <c r="AM15" s="1062" t="s">
        <v>3483</v>
      </c>
      <c r="AN15" s="1067" t="s">
        <v>1720</v>
      </c>
      <c r="AO15" s="1062" t="s">
        <v>2340</v>
      </c>
      <c r="AP15" s="1065" t="s">
        <v>7456</v>
      </c>
      <c r="AQ15" s="1062" t="s">
        <v>7457</v>
      </c>
      <c r="AR15" s="1100" t="s">
        <v>7458</v>
      </c>
      <c r="AS15" s="1062" t="s">
        <v>7459</v>
      </c>
      <c r="AT15" s="1129"/>
      <c r="AU15" s="1062"/>
      <c r="AV15" s="1062"/>
      <c r="AW15" s="1065" t="s">
        <v>307</v>
      </c>
      <c r="AX15" s="1129" t="s">
        <v>7460</v>
      </c>
      <c r="AY15" s="1062" t="s">
        <v>7461</v>
      </c>
      <c r="AZ15" s="1050"/>
      <c r="BA15" s="1102" t="s">
        <v>7462</v>
      </c>
      <c r="BB15" s="1102" t="s">
        <v>7463</v>
      </c>
      <c r="BC15" s="1102" t="s">
        <v>4309</v>
      </c>
      <c r="BD15" s="1102"/>
      <c r="BE15" s="1178" t="s">
        <v>7464</v>
      </c>
      <c r="BF15" s="1050"/>
      <c r="BG15" s="1073" t="s">
        <v>7465</v>
      </c>
      <c r="BH15" s="1073" t="s">
        <v>4955</v>
      </c>
      <c r="BI15" s="1072" t="s">
        <v>2178</v>
      </c>
      <c r="BJ15" s="1116" t="s">
        <v>7466</v>
      </c>
      <c r="BK15" s="1132" t="s">
        <v>7467</v>
      </c>
      <c r="BL15" s="1073"/>
      <c r="BM15" s="1073" t="s">
        <v>7468</v>
      </c>
      <c r="BN15" s="1089"/>
      <c r="BO15" s="1079" t="s">
        <v>7469</v>
      </c>
      <c r="BP15" s="1133"/>
      <c r="BQ15" s="1179" t="s">
        <v>4806</v>
      </c>
      <c r="BR15" s="1078" t="s">
        <v>7470</v>
      </c>
      <c r="BS15" s="1078"/>
      <c r="BT15" s="1180" t="s">
        <v>7471</v>
      </c>
      <c r="BU15" s="1133" t="s">
        <v>5049</v>
      </c>
      <c r="BV15" s="1078" t="s">
        <v>7472</v>
      </c>
      <c r="BW15" s="1078" t="s">
        <v>7473</v>
      </c>
      <c r="BX15" s="1089"/>
      <c r="BY15" s="1082" t="s">
        <v>2611</v>
      </c>
      <c r="BZ15" s="1082" t="s">
        <v>2173</v>
      </c>
      <c r="CA15" s="1109"/>
      <c r="CB15" s="1109"/>
      <c r="CC15" s="1109"/>
      <c r="CD15" s="1082"/>
      <c r="CE15" s="1082" t="s">
        <v>7474</v>
      </c>
      <c r="CF15" s="1082" t="s">
        <v>7475</v>
      </c>
      <c r="CG15" s="1082"/>
      <c r="CH15" s="1135" t="s">
        <v>7476</v>
      </c>
      <c r="CI15" s="1083"/>
      <c r="CJ15" s="1109"/>
      <c r="CK15" s="1109"/>
    </row>
    <row r="16">
      <c r="A16" s="1040" t="s">
        <v>7477</v>
      </c>
      <c r="B16" s="1041" t="s">
        <v>7478</v>
      </c>
      <c r="C16" s="1042" t="s">
        <v>1483</v>
      </c>
      <c r="D16" s="1043" t="s">
        <v>1483</v>
      </c>
      <c r="E16" s="1044" t="s">
        <v>1483</v>
      </c>
      <c r="F16" s="1045" t="s">
        <v>1483</v>
      </c>
      <c r="G16" s="1041" t="s">
        <v>3228</v>
      </c>
      <c r="H16" s="1046"/>
      <c r="I16" s="1111" t="s">
        <v>7479</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7343</v>
      </c>
      <c r="AA16" s="1094" t="s">
        <v>6480</v>
      </c>
      <c r="AB16" s="1094" t="s">
        <v>1727</v>
      </c>
      <c r="AC16" s="1094" t="s">
        <v>3654</v>
      </c>
      <c r="AD16" s="1147" t="s">
        <v>941</v>
      </c>
      <c r="AE16" s="1094" t="s">
        <v>4727</v>
      </c>
      <c r="AF16" s="1056"/>
      <c r="AG16" s="1094" t="s">
        <v>7484</v>
      </c>
      <c r="AH16" s="1061"/>
      <c r="AI16" s="1089"/>
      <c r="AJ16" s="1063"/>
      <c r="AK16" s="1098" t="s">
        <v>5644</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3106</v>
      </c>
      <c r="BU16" s="1077"/>
      <c r="BV16" s="1133" t="s">
        <v>7496</v>
      </c>
      <c r="BW16" s="1133" t="s">
        <v>7497</v>
      </c>
      <c r="BX16" s="1089"/>
      <c r="BY16" s="1134" t="s">
        <v>3626</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7422</v>
      </c>
      <c r="W17" s="1089"/>
      <c r="X17" s="1127"/>
      <c r="Y17" s="1093" t="s">
        <v>7505</v>
      </c>
      <c r="Z17" s="1094" t="s">
        <v>2523</v>
      </c>
      <c r="AA17" s="1181"/>
      <c r="AB17" s="1127"/>
      <c r="AC17" s="1094" t="s">
        <v>848</v>
      </c>
      <c r="AD17" s="1094" t="s">
        <v>5746</v>
      </c>
      <c r="AE17" s="1094" t="s">
        <v>6770</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6072</v>
      </c>
      <c r="AX17" s="1062" t="s">
        <v>7508</v>
      </c>
      <c r="AY17" s="1062" t="s">
        <v>6182</v>
      </c>
      <c r="AZ17" s="1050"/>
      <c r="BA17" s="1102" t="s">
        <v>7509</v>
      </c>
      <c r="BB17" s="1178" t="s">
        <v>7510</v>
      </c>
      <c r="BC17" s="1070" t="s">
        <v>526</v>
      </c>
      <c r="BD17" s="1068"/>
      <c r="BE17" s="1178" t="s">
        <v>7511</v>
      </c>
      <c r="BF17" s="1050"/>
      <c r="BG17" s="1073" t="s">
        <v>2956</v>
      </c>
      <c r="BH17" s="1168" t="s">
        <v>7512</v>
      </c>
      <c r="BI17" s="1073"/>
      <c r="BJ17" s="1168"/>
      <c r="BK17" s="1075"/>
      <c r="BL17" s="1075"/>
      <c r="BM17" s="1072" t="s">
        <v>7513</v>
      </c>
      <c r="BN17" s="1089"/>
      <c r="BO17" s="1133" t="s">
        <v>3180</v>
      </c>
      <c r="BP17" s="1118"/>
      <c r="BQ17" s="1077"/>
      <c r="BR17" s="1078" t="s">
        <v>7514</v>
      </c>
      <c r="BS17" s="1077"/>
      <c r="BT17" s="1133" t="s">
        <v>2410</v>
      </c>
      <c r="BU17" s="1077"/>
      <c r="BV17" s="1078" t="s">
        <v>252</v>
      </c>
      <c r="BW17" s="1078" t="s">
        <v>1649</v>
      </c>
      <c r="BX17" s="1089"/>
      <c r="BY17" s="1082" t="s">
        <v>4301</v>
      </c>
      <c r="BZ17" s="1108" t="s">
        <v>5974</v>
      </c>
      <c r="CA17" s="1109"/>
      <c r="CB17" s="1109"/>
      <c r="CC17" s="1109"/>
      <c r="CD17" s="1083"/>
      <c r="CE17" s="1082" t="s">
        <v>5859</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3721</v>
      </c>
      <c r="K18" s="1047" t="s">
        <v>7518</v>
      </c>
      <c r="L18" s="1111" t="s">
        <v>7519</v>
      </c>
      <c r="M18" s="1046"/>
      <c r="N18" s="1111" t="s">
        <v>7520</v>
      </c>
      <c r="O18" s="1047" t="s">
        <v>7521</v>
      </c>
      <c r="P18" s="1089"/>
      <c r="Q18" s="1125" t="s">
        <v>3368</v>
      </c>
      <c r="R18" s="1052"/>
      <c r="S18" s="1052"/>
      <c r="T18" s="1125" t="s">
        <v>5069</v>
      </c>
      <c r="U18" s="1051"/>
      <c r="V18" s="1125" t="s">
        <v>7522</v>
      </c>
      <c r="W18" s="1089"/>
      <c r="X18" s="1094" t="s">
        <v>4159</v>
      </c>
      <c r="Y18" s="1094" t="s">
        <v>7523</v>
      </c>
      <c r="Z18" s="1094" t="s">
        <v>7524</v>
      </c>
      <c r="AA18" s="1094" t="s">
        <v>3052</v>
      </c>
      <c r="AB18" s="1094" t="s">
        <v>4765</v>
      </c>
      <c r="AC18" s="1056" t="s">
        <v>7525</v>
      </c>
      <c r="AD18" s="1094" t="s">
        <v>4714</v>
      </c>
      <c r="AE18" s="1094" t="s">
        <v>4934</v>
      </c>
      <c r="AF18" s="1056"/>
      <c r="AG18" s="1056" t="s">
        <v>7526</v>
      </c>
      <c r="AH18" s="1182" t="s">
        <v>7527</v>
      </c>
      <c r="AI18" s="1089"/>
      <c r="AJ18" s="1063"/>
      <c r="AK18" s="1063"/>
      <c r="AL18" s="1063"/>
      <c r="AM18" s="1062" t="s">
        <v>3334</v>
      </c>
      <c r="AN18" s="1063"/>
      <c r="AO18" s="1129" t="s">
        <v>4421</v>
      </c>
      <c r="AP18" s="1062" t="s">
        <v>3279</v>
      </c>
      <c r="AQ18" s="1129" t="s">
        <v>7528</v>
      </c>
      <c r="AR18" s="1063"/>
      <c r="AS18" s="1063"/>
      <c r="AT18" s="1098"/>
      <c r="AU18" s="1063"/>
      <c r="AV18" s="1063"/>
      <c r="AW18" s="1129" t="s">
        <v>1056</v>
      </c>
      <c r="AX18" s="1129" t="s">
        <v>4923</v>
      </c>
      <c r="AY18" s="1063"/>
      <c r="AZ18" s="1050"/>
      <c r="BA18" s="1152"/>
      <c r="BB18" s="1152"/>
      <c r="BC18" s="1178" t="s">
        <v>6663</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3363</v>
      </c>
      <c r="BU18" s="1077"/>
      <c r="BV18" s="1077"/>
      <c r="BW18" s="1118" t="s">
        <v>7533</v>
      </c>
      <c r="BX18" s="1089"/>
      <c r="BY18" s="1082" t="s">
        <v>3017</v>
      </c>
      <c r="BZ18" s="1083"/>
      <c r="CA18" s="1109"/>
      <c r="CB18" s="1109"/>
      <c r="CC18" s="1109"/>
      <c r="CD18" s="1083"/>
      <c r="CE18" s="1083"/>
      <c r="CF18" s="1083"/>
      <c r="CG18" s="1083"/>
      <c r="CH18" s="1083"/>
      <c r="CI18" s="1083"/>
      <c r="CJ18" s="1109"/>
      <c r="CK18" s="1109"/>
    </row>
    <row r="19">
      <c r="A19" s="1040" t="s">
        <v>6454</v>
      </c>
      <c r="B19" s="1041" t="s">
        <v>7534</v>
      </c>
      <c r="C19" s="1042" t="s">
        <v>1483</v>
      </c>
      <c r="D19" s="1043" t="s">
        <v>562</v>
      </c>
      <c r="E19" s="1044" t="s">
        <v>1483</v>
      </c>
      <c r="F19" s="1045" t="s">
        <v>562</v>
      </c>
      <c r="G19" s="1041" t="s">
        <v>7395</v>
      </c>
      <c r="H19" s="1046"/>
      <c r="I19" s="1046"/>
      <c r="J19" s="1047" t="s">
        <v>7535</v>
      </c>
      <c r="K19" s="1047" t="s">
        <v>7536</v>
      </c>
      <c r="L19" s="1046"/>
      <c r="M19" s="1046"/>
      <c r="N19" s="1046"/>
      <c r="O19" s="1111" t="s">
        <v>7537</v>
      </c>
      <c r="P19" s="1089"/>
      <c r="Q19" s="1051" t="s">
        <v>7538</v>
      </c>
      <c r="R19" s="1052"/>
      <c r="S19" s="1051" t="s">
        <v>5861</v>
      </c>
      <c r="T19" s="1051" t="s">
        <v>5200</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3972</v>
      </c>
      <c r="AX19" s="1129" t="s">
        <v>7544</v>
      </c>
      <c r="AY19" s="1063"/>
      <c r="AZ19" s="1050"/>
      <c r="BA19" s="1152"/>
      <c r="BB19" s="1102" t="s">
        <v>7545</v>
      </c>
      <c r="BC19" s="1102" t="s">
        <v>3743</v>
      </c>
      <c r="BD19" s="1102"/>
      <c r="BE19" s="1178" t="s">
        <v>7546</v>
      </c>
      <c r="BF19" s="1050"/>
      <c r="BG19" s="1073" t="s">
        <v>737</v>
      </c>
      <c r="BH19" s="1168" t="s">
        <v>4452</v>
      </c>
      <c r="BI19" s="1073" t="s">
        <v>1837</v>
      </c>
      <c r="BJ19" s="1073" t="s">
        <v>7547</v>
      </c>
      <c r="BK19" s="1073" t="s">
        <v>7548</v>
      </c>
      <c r="BL19" s="1075"/>
      <c r="BM19" s="1073" t="s">
        <v>7549</v>
      </c>
      <c r="BN19" s="1089"/>
      <c r="BO19" s="1078" t="s">
        <v>4798</v>
      </c>
      <c r="BP19" s="1118"/>
      <c r="BQ19" s="1077"/>
      <c r="BR19" s="1107" t="s">
        <v>7550</v>
      </c>
      <c r="BS19" s="1077"/>
      <c r="BT19" s="1078" t="s">
        <v>2455</v>
      </c>
      <c r="BU19" s="1077"/>
      <c r="BV19" s="1078" t="s">
        <v>7551</v>
      </c>
      <c r="BW19" s="1078" t="s">
        <v>2154</v>
      </c>
      <c r="BX19" s="1089"/>
      <c r="BY19" s="1082" t="s">
        <v>4645</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5796</v>
      </c>
      <c r="H20" s="1087" t="s">
        <v>4830</v>
      </c>
      <c r="I20" s="1046"/>
      <c r="J20" s="1046"/>
      <c r="K20" s="1046"/>
      <c r="L20" s="1046"/>
      <c r="M20" s="1046"/>
      <c r="N20" s="1046"/>
      <c r="O20" s="1046"/>
      <c r="P20" s="1089"/>
      <c r="Q20" s="1052"/>
      <c r="R20" s="1053" t="s">
        <v>411</v>
      </c>
      <c r="S20" s="1052"/>
      <c r="T20" s="1158" t="s">
        <v>4880</v>
      </c>
      <c r="U20" s="1158" t="s">
        <v>1235</v>
      </c>
      <c r="V20" s="1052"/>
      <c r="W20" s="1089"/>
      <c r="X20" s="1127"/>
      <c r="Y20" s="1127"/>
      <c r="Z20" s="1058" t="s">
        <v>3271</v>
      </c>
      <c r="AA20" s="1181"/>
      <c r="AB20" s="1127"/>
      <c r="AC20" s="1127"/>
      <c r="AD20" s="1057" t="s">
        <v>1867</v>
      </c>
      <c r="AE20" s="1094" t="s">
        <v>4424</v>
      </c>
      <c r="AF20" s="1056"/>
      <c r="AG20" s="1127"/>
      <c r="AH20" s="1061"/>
      <c r="AI20" s="1089"/>
      <c r="AJ20" s="1063"/>
      <c r="AK20" s="1063"/>
      <c r="AL20" s="1063"/>
      <c r="AM20" s="1063"/>
      <c r="AN20" s="1064" t="s">
        <v>4119</v>
      </c>
      <c r="AO20" s="1063"/>
      <c r="AP20" s="1063"/>
      <c r="AQ20" s="1063"/>
      <c r="AR20" s="1063"/>
      <c r="AS20" s="1063"/>
      <c r="AT20" s="1098"/>
      <c r="AU20" s="1063"/>
      <c r="AV20" s="1063"/>
      <c r="AW20" s="1100" t="s">
        <v>1090</v>
      </c>
      <c r="AX20" s="1063"/>
      <c r="AY20" s="1063"/>
      <c r="AZ20" s="1050"/>
      <c r="BA20" s="1152"/>
      <c r="BB20" s="1102"/>
      <c r="BC20" s="1114" t="s">
        <v>4604</v>
      </c>
      <c r="BD20" s="1068"/>
      <c r="BE20" s="1102"/>
      <c r="BF20" s="1050"/>
      <c r="BG20" s="1075"/>
      <c r="BH20" s="1075"/>
      <c r="BI20" s="1116" t="s">
        <v>7553</v>
      </c>
      <c r="BJ20" s="1131"/>
      <c r="BK20" s="1075"/>
      <c r="BL20" s="1075"/>
      <c r="BM20" s="1075"/>
      <c r="BN20" s="1089"/>
      <c r="BO20" s="1078"/>
      <c r="BP20" s="1118"/>
      <c r="BQ20" s="1080" t="s">
        <v>5070</v>
      </c>
      <c r="BR20" s="1077"/>
      <c r="BS20" s="1077"/>
      <c r="BT20" s="1080" t="s">
        <v>5501</v>
      </c>
      <c r="BU20" s="1077"/>
      <c r="BV20" s="1133" t="s">
        <v>7554</v>
      </c>
      <c r="BW20" s="1106" t="s">
        <v>7555</v>
      </c>
      <c r="BX20" s="1089"/>
      <c r="BY20" s="1121" t="s">
        <v>3564</v>
      </c>
      <c r="BZ20" s="1082"/>
      <c r="CA20" s="1109"/>
      <c r="CB20" s="1109"/>
      <c r="CC20" s="1109"/>
      <c r="CD20" s="1083"/>
      <c r="CE20" s="1083"/>
      <c r="CF20" s="1083"/>
      <c r="CG20" s="1121" t="s">
        <v>7556</v>
      </c>
      <c r="CH20" s="1083"/>
      <c r="CI20" s="1083"/>
      <c r="CJ20" s="1109"/>
      <c r="CK20" s="1109"/>
    </row>
    <row r="21">
      <c r="A21" s="1040" t="s">
        <v>3006</v>
      </c>
      <c r="B21" s="1041" t="s">
        <v>7557</v>
      </c>
      <c r="C21" s="1042" t="s">
        <v>562</v>
      </c>
      <c r="D21" s="1043" t="s">
        <v>1483</v>
      </c>
      <c r="E21" s="1044" t="s">
        <v>1483</v>
      </c>
      <c r="F21" s="1045" t="s">
        <v>562</v>
      </c>
      <c r="G21" s="1041" t="s">
        <v>3342</v>
      </c>
      <c r="H21" s="1046"/>
      <c r="I21" s="1046"/>
      <c r="J21" s="1047" t="s">
        <v>313</v>
      </c>
      <c r="K21" s="1047" t="s">
        <v>7558</v>
      </c>
      <c r="L21" s="1047"/>
      <c r="M21" s="1046"/>
      <c r="N21" s="1046"/>
      <c r="O21" s="1047" t="s">
        <v>7559</v>
      </c>
      <c r="P21" s="1089"/>
      <c r="Q21" s="1051" t="s">
        <v>4900</v>
      </c>
      <c r="R21" s="1051" t="s">
        <v>3885</v>
      </c>
      <c r="S21" s="1051" t="s">
        <v>715</v>
      </c>
      <c r="T21" s="1051" t="s">
        <v>251</v>
      </c>
      <c r="U21" s="1052"/>
      <c r="V21" s="1051" t="s">
        <v>7560</v>
      </c>
      <c r="W21" s="1089"/>
      <c r="X21" s="1056" t="s">
        <v>6321</v>
      </c>
      <c r="Y21" s="1127"/>
      <c r="Z21" s="1056" t="s">
        <v>4969</v>
      </c>
      <c r="AA21" s="1056" t="s">
        <v>7561</v>
      </c>
      <c r="AB21" s="1056" t="s">
        <v>3025</v>
      </c>
      <c r="AC21" s="1056" t="s">
        <v>1748</v>
      </c>
      <c r="AD21" s="1056" t="s">
        <v>6514</v>
      </c>
      <c r="AE21" s="1056" t="s">
        <v>2942</v>
      </c>
      <c r="AF21" s="1056"/>
      <c r="AG21" s="1056" t="s">
        <v>7562</v>
      </c>
      <c r="AH21" s="1184" t="s">
        <v>3028</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6029</v>
      </c>
      <c r="BH21" s="1075"/>
      <c r="BI21" s="1073" t="s">
        <v>488</v>
      </c>
      <c r="BJ21" s="1073" t="s">
        <v>7572</v>
      </c>
      <c r="BK21" s="1073" t="s">
        <v>7573</v>
      </c>
      <c r="BL21" s="1073" t="s">
        <v>7574</v>
      </c>
      <c r="BM21" s="1132" t="s">
        <v>7575</v>
      </c>
      <c r="BN21" s="1089"/>
      <c r="BO21" s="1078" t="s">
        <v>7576</v>
      </c>
      <c r="BP21" s="1078" t="s">
        <v>4275</v>
      </c>
      <c r="BQ21" s="1077"/>
      <c r="BR21" s="1078" t="s">
        <v>7577</v>
      </c>
      <c r="BS21" s="1077"/>
      <c r="BT21" s="1078" t="s">
        <v>3046</v>
      </c>
      <c r="BU21" s="1078" t="s">
        <v>5187</v>
      </c>
      <c r="BV21" s="1078" t="s">
        <v>7578</v>
      </c>
      <c r="BW21" s="1078" t="s">
        <v>7579</v>
      </c>
      <c r="BX21" s="1089"/>
      <c r="BY21" s="1185" t="s">
        <v>3531</v>
      </c>
      <c r="BZ21" s="1082" t="s">
        <v>983</v>
      </c>
      <c r="CA21" s="1109"/>
      <c r="CB21" s="1109"/>
      <c r="CC21" s="1109"/>
      <c r="CD21" s="1083"/>
      <c r="CE21" s="1082" t="s">
        <v>7580</v>
      </c>
      <c r="CF21" s="1082" t="s">
        <v>7581</v>
      </c>
      <c r="CG21" s="1083"/>
      <c r="CH21" s="1083"/>
      <c r="CI21" s="1083"/>
      <c r="CJ21" s="1109"/>
      <c r="CK21" s="1109"/>
    </row>
    <row r="22">
      <c r="A22" s="1040" t="s">
        <v>7582</v>
      </c>
      <c r="B22" s="1041" t="s">
        <v>6299</v>
      </c>
      <c r="C22" s="1042" t="s">
        <v>1483</v>
      </c>
      <c r="D22" s="1043" t="s">
        <v>1483</v>
      </c>
      <c r="E22" s="1044" t="s">
        <v>1483</v>
      </c>
      <c r="F22" s="1045" t="s">
        <v>449</v>
      </c>
      <c r="G22" s="1041" t="s">
        <v>5796</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4230</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3785</v>
      </c>
      <c r="H23" s="1086" t="s">
        <v>2706</v>
      </c>
      <c r="I23" s="1086" t="s">
        <v>7594</v>
      </c>
      <c r="J23" s="1191"/>
      <c r="K23" s="1086" t="s">
        <v>3284</v>
      </c>
      <c r="L23" s="1047"/>
      <c r="M23" s="1046"/>
      <c r="N23" s="1046"/>
      <c r="O23" s="1111" t="s">
        <v>7595</v>
      </c>
      <c r="P23" s="1089"/>
      <c r="Q23" s="1125" t="s">
        <v>7596</v>
      </c>
      <c r="R23" s="1052"/>
      <c r="S23" s="1052"/>
      <c r="T23" s="1125" t="s">
        <v>5217</v>
      </c>
      <c r="U23" s="1051"/>
      <c r="V23" s="1125" t="s">
        <v>7597</v>
      </c>
      <c r="W23" s="1089"/>
      <c r="X23" s="1094" t="s">
        <v>2226</v>
      </c>
      <c r="Y23" s="1127"/>
      <c r="Z23" s="1094" t="s">
        <v>1998</v>
      </c>
      <c r="AA23" s="1181"/>
      <c r="AB23" s="1094" t="s">
        <v>5329</v>
      </c>
      <c r="AC23" s="1127"/>
      <c r="AD23" s="1127"/>
      <c r="AE23" s="1094" t="s">
        <v>4517</v>
      </c>
      <c r="AF23" s="1056"/>
      <c r="AG23" s="1094" t="s">
        <v>7598</v>
      </c>
      <c r="AH23" s="1061"/>
      <c r="AI23" s="1089"/>
      <c r="AJ23" s="1063"/>
      <c r="AK23" s="1063"/>
      <c r="AL23" s="1063"/>
      <c r="AM23" s="1063"/>
      <c r="AN23" s="1063"/>
      <c r="AO23" s="1129" t="s">
        <v>5147</v>
      </c>
      <c r="AP23" s="1063"/>
      <c r="AQ23" s="1067" t="s">
        <v>3359</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3545</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2998</v>
      </c>
      <c r="V24" s="1051" t="s">
        <v>7607</v>
      </c>
      <c r="W24" s="1089"/>
      <c r="X24" s="1056" t="s">
        <v>391</v>
      </c>
      <c r="Y24" s="1056" t="s">
        <v>7608</v>
      </c>
      <c r="Z24" s="1056" t="s">
        <v>7609</v>
      </c>
      <c r="AA24" s="1193" t="s">
        <v>2853</v>
      </c>
      <c r="AB24" s="1056" t="s">
        <v>678</v>
      </c>
      <c r="AC24" s="1056" t="s">
        <v>1973</v>
      </c>
      <c r="AD24" s="1056" t="s">
        <v>7100</v>
      </c>
      <c r="AE24" s="1056" t="s">
        <v>2652</v>
      </c>
      <c r="AF24" s="1056"/>
      <c r="AG24" s="1056" t="s">
        <v>7610</v>
      </c>
      <c r="AH24" s="1194" t="s">
        <v>7611</v>
      </c>
      <c r="AI24" s="1089"/>
      <c r="AJ24" s="1062"/>
      <c r="AK24" s="1062" t="s">
        <v>5718</v>
      </c>
      <c r="AL24" s="1063"/>
      <c r="AM24" s="1062" t="s">
        <v>2684</v>
      </c>
      <c r="AN24" s="1063"/>
      <c r="AO24" s="1063"/>
      <c r="AP24" s="1062" t="s">
        <v>2073</v>
      </c>
      <c r="AQ24" s="1063"/>
      <c r="AR24" s="1062" t="s">
        <v>7612</v>
      </c>
      <c r="AS24" s="1062" t="s">
        <v>3620</v>
      </c>
      <c r="AT24" s="1098"/>
      <c r="AU24" s="1063"/>
      <c r="AV24" s="1129" t="s">
        <v>7613</v>
      </c>
      <c r="AW24" s="1062" t="s">
        <v>836</v>
      </c>
      <c r="AX24" s="1062" t="s">
        <v>7614</v>
      </c>
      <c r="AY24" s="1062" t="s">
        <v>7615</v>
      </c>
      <c r="AZ24" s="1050"/>
      <c r="BA24" s="1152"/>
      <c r="BB24" s="1070" t="s">
        <v>7616</v>
      </c>
      <c r="BC24" s="1102" t="s">
        <v>6243</v>
      </c>
      <c r="BD24" s="1102"/>
      <c r="BE24" s="1113" t="s">
        <v>7617</v>
      </c>
      <c r="BF24" s="1050"/>
      <c r="BG24" s="1075"/>
      <c r="BH24" s="1075"/>
      <c r="BI24" s="1075"/>
      <c r="BJ24" s="1131"/>
      <c r="BK24" s="1075"/>
      <c r="BL24" s="1104" t="s">
        <v>7618</v>
      </c>
      <c r="BM24" s="1073" t="s">
        <v>7619</v>
      </c>
      <c r="BN24" s="1089"/>
      <c r="BO24" s="1077"/>
      <c r="BP24" s="1118"/>
      <c r="BQ24" s="1077"/>
      <c r="BR24" s="1077"/>
      <c r="BS24" s="1107" t="s">
        <v>7029</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6457</v>
      </c>
      <c r="B25" s="1041" t="s">
        <v>6302</v>
      </c>
      <c r="C25" s="1042" t="s">
        <v>1483</v>
      </c>
      <c r="D25" s="1043" t="s">
        <v>1483</v>
      </c>
      <c r="E25" s="1044" t="s">
        <v>562</v>
      </c>
      <c r="F25" s="1045" t="s">
        <v>448</v>
      </c>
      <c r="G25" s="1041" t="s">
        <v>3785</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5044</v>
      </c>
      <c r="AD25" s="1056" t="s">
        <v>1468</v>
      </c>
      <c r="AE25" s="1056" t="s">
        <v>7626</v>
      </c>
      <c r="AF25" s="1056"/>
      <c r="AG25" s="1094" t="s">
        <v>7627</v>
      </c>
      <c r="AH25" s="1061"/>
      <c r="AI25" s="1089"/>
      <c r="AJ25" s="1063"/>
      <c r="AK25" s="1063"/>
      <c r="AL25" s="1063"/>
      <c r="AM25" s="1062" t="s">
        <v>4992</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4891</v>
      </c>
      <c r="BP25" s="1118"/>
      <c r="BQ25" s="1077"/>
      <c r="BR25" s="1078" t="s">
        <v>7631</v>
      </c>
      <c r="BS25" s="1079" t="s">
        <v>7401</v>
      </c>
      <c r="BT25" s="1078" t="s">
        <v>1451</v>
      </c>
      <c r="BU25" s="1077"/>
      <c r="BV25" s="1133" t="s">
        <v>7632</v>
      </c>
      <c r="BW25" s="1078" t="s">
        <v>7633</v>
      </c>
      <c r="BX25" s="1089"/>
      <c r="BY25" s="1083"/>
      <c r="BZ25" s="1083"/>
      <c r="CA25" s="1109"/>
      <c r="CB25" s="1109"/>
      <c r="CC25" s="1109"/>
      <c r="CD25" s="1083"/>
      <c r="CE25" s="1082" t="s">
        <v>3675</v>
      </c>
      <c r="CF25" s="1134" t="s">
        <v>7634</v>
      </c>
      <c r="CG25" s="1083"/>
      <c r="CH25" s="1083"/>
      <c r="CI25" s="1083"/>
      <c r="CJ25" s="1109"/>
      <c r="CK25" s="1109"/>
    </row>
    <row r="26">
      <c r="A26" s="1190" t="s">
        <v>6469</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3954</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6491</v>
      </c>
      <c r="AA27" s="1193" t="s">
        <v>4716</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4099</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4170</v>
      </c>
      <c r="B28" s="1041" t="s">
        <v>7662</v>
      </c>
      <c r="C28" s="1042" t="s">
        <v>1483</v>
      </c>
      <c r="D28" s="1043" t="s">
        <v>1483</v>
      </c>
      <c r="E28" s="1044" t="s">
        <v>667</v>
      </c>
      <c r="F28" s="1045" t="s">
        <v>1251</v>
      </c>
      <c r="G28" s="1041" t="s">
        <v>4963</v>
      </c>
      <c r="H28" s="1160" t="s">
        <v>1416</v>
      </c>
      <c r="I28" s="1046"/>
      <c r="J28" s="1046"/>
      <c r="K28" s="1046"/>
      <c r="L28" s="1047" t="s">
        <v>1557</v>
      </c>
      <c r="M28" s="1046"/>
      <c r="N28" s="1086" t="s">
        <v>7663</v>
      </c>
      <c r="O28" s="1046"/>
      <c r="P28" s="1089"/>
      <c r="Q28" s="1200" t="s">
        <v>7664</v>
      </c>
      <c r="R28" s="1052"/>
      <c r="S28" s="1051" t="s">
        <v>5926</v>
      </c>
      <c r="T28" s="1055" t="s">
        <v>641</v>
      </c>
      <c r="U28" s="1201" t="s">
        <v>7665</v>
      </c>
      <c r="V28" s="1051" t="s">
        <v>7666</v>
      </c>
      <c r="W28" s="1089"/>
      <c r="X28" s="1127"/>
      <c r="Y28" s="1056" t="s">
        <v>4181</v>
      </c>
      <c r="Z28" s="1056" t="s">
        <v>5326</v>
      </c>
      <c r="AA28" s="1202" t="s">
        <v>1844</v>
      </c>
      <c r="AB28" s="1056" t="s">
        <v>6225</v>
      </c>
      <c r="AC28" s="1056" t="s">
        <v>3582</v>
      </c>
      <c r="AD28" s="1056" t="s">
        <v>3095</v>
      </c>
      <c r="AE28" s="1093" t="s">
        <v>243</v>
      </c>
      <c r="AF28" s="1095"/>
      <c r="AG28" s="1127"/>
      <c r="AH28" s="1203" t="s">
        <v>4183</v>
      </c>
      <c r="AI28" s="1089"/>
      <c r="AJ28" s="1062"/>
      <c r="AK28" s="1062" t="s">
        <v>7667</v>
      </c>
      <c r="AL28" s="1062" t="s">
        <v>7668</v>
      </c>
      <c r="AM28" s="1062" t="s">
        <v>1721</v>
      </c>
      <c r="AN28" s="1062"/>
      <c r="AO28" s="1063"/>
      <c r="AP28" s="1067" t="s">
        <v>6840</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3911</v>
      </c>
      <c r="BX28" s="1089"/>
      <c r="BY28" s="1083"/>
      <c r="BZ28" s="1083"/>
      <c r="CA28" s="1109"/>
      <c r="CB28" s="1109"/>
      <c r="CC28" s="1109"/>
      <c r="CD28" s="1083"/>
      <c r="CE28" s="1082" t="s">
        <v>7604</v>
      </c>
      <c r="CF28" s="1082" t="s">
        <v>7679</v>
      </c>
      <c r="CG28" s="1083"/>
      <c r="CH28" s="1083"/>
      <c r="CI28" s="1083"/>
      <c r="CJ28" s="1109"/>
      <c r="CK28" s="1109"/>
    </row>
    <row r="29">
      <c r="A29" s="1204" t="s">
        <v>6451</v>
      </c>
      <c r="B29" s="1041" t="s">
        <v>7680</v>
      </c>
      <c r="C29" s="1042" t="s">
        <v>1483</v>
      </c>
      <c r="D29" s="1043" t="s">
        <v>1483</v>
      </c>
      <c r="E29" s="1044" t="s">
        <v>1483</v>
      </c>
      <c r="F29" s="1045" t="s">
        <v>449</v>
      </c>
      <c r="G29" s="1041" t="s">
        <v>1109</v>
      </c>
      <c r="H29" s="1160" t="s">
        <v>4345</v>
      </c>
      <c r="I29" s="1047" t="s">
        <v>7681</v>
      </c>
      <c r="J29" s="1047"/>
      <c r="K29" s="1047"/>
      <c r="L29" s="1111" t="s">
        <v>7682</v>
      </c>
      <c r="M29" s="1046"/>
      <c r="N29" s="1086" t="s">
        <v>7683</v>
      </c>
      <c r="O29" s="1046"/>
      <c r="P29" s="1089"/>
      <c r="Q29" s="1052"/>
      <c r="R29" s="1052"/>
      <c r="S29" s="1052"/>
      <c r="T29" s="1052"/>
      <c r="U29" s="1051" t="s">
        <v>424</v>
      </c>
      <c r="V29" s="1055" t="s">
        <v>7684</v>
      </c>
      <c r="W29" s="1089"/>
      <c r="X29" s="1094" t="s">
        <v>4887</v>
      </c>
      <c r="Y29" s="1056" t="s">
        <v>7685</v>
      </c>
      <c r="Z29" s="1094" t="s">
        <v>5979</v>
      </c>
      <c r="AA29" s="1176" t="s">
        <v>4716</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5021</v>
      </c>
      <c r="CE29" s="1083"/>
      <c r="CF29" s="1083"/>
      <c r="CG29" s="1083"/>
      <c r="CH29" s="1083"/>
      <c r="CI29" s="1083"/>
      <c r="CJ29" s="1109"/>
      <c r="CK29" s="1109"/>
    </row>
    <row r="30">
      <c r="A30" s="1040" t="s">
        <v>4093</v>
      </c>
      <c r="B30" s="1041" t="s">
        <v>7698</v>
      </c>
      <c r="C30" s="1042" t="s">
        <v>1483</v>
      </c>
      <c r="D30" s="1043" t="s">
        <v>1483</v>
      </c>
      <c r="E30" s="1044" t="s">
        <v>1483</v>
      </c>
      <c r="F30" s="1045" t="s">
        <v>448</v>
      </c>
      <c r="G30" s="1041" t="s">
        <v>3008</v>
      </c>
      <c r="H30" s="1047" t="s">
        <v>2392</v>
      </c>
      <c r="I30" s="1046"/>
      <c r="J30" s="1046"/>
      <c r="K30" s="1046"/>
      <c r="L30" s="1047" t="s">
        <v>7699</v>
      </c>
      <c r="M30" s="1046"/>
      <c r="N30" s="1047" t="s">
        <v>7700</v>
      </c>
      <c r="O30" s="1046"/>
      <c r="P30" s="1089"/>
      <c r="Q30" s="1051" t="s">
        <v>7701</v>
      </c>
      <c r="R30" s="1052"/>
      <c r="S30" s="1052"/>
      <c r="T30" s="1052"/>
      <c r="U30" s="1125" t="s">
        <v>7316</v>
      </c>
      <c r="V30" s="1051" t="s">
        <v>7702</v>
      </c>
      <c r="W30" s="1089"/>
      <c r="X30" s="1127"/>
      <c r="Y30" s="1127"/>
      <c r="Z30" s="1056" t="s">
        <v>7703</v>
      </c>
      <c r="AA30" s="1181"/>
      <c r="AB30" s="1056" t="s">
        <v>4869</v>
      </c>
      <c r="AC30" s="1056" t="s">
        <v>311</v>
      </c>
      <c r="AD30" s="1127"/>
      <c r="AE30" s="1056" t="s">
        <v>3807</v>
      </c>
      <c r="AF30" s="1056"/>
      <c r="AG30" s="1093" t="s">
        <v>7704</v>
      </c>
      <c r="AH30" s="1184" t="s">
        <v>7705</v>
      </c>
      <c r="AI30" s="1089"/>
      <c r="AJ30" s="1062"/>
      <c r="AK30" s="1062" t="s">
        <v>7706</v>
      </c>
      <c r="AL30" s="1062" t="s">
        <v>7707</v>
      </c>
      <c r="AM30" s="1062" t="s">
        <v>4291</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4534</v>
      </c>
      <c r="BD30" s="1102"/>
      <c r="BE30" s="1178" t="s">
        <v>7713</v>
      </c>
      <c r="BF30" s="1050"/>
      <c r="BG30" s="1073" t="s">
        <v>7714</v>
      </c>
      <c r="BH30" s="1075"/>
      <c r="BI30" s="1075"/>
      <c r="BJ30" s="1131"/>
      <c r="BK30" s="1075"/>
      <c r="BL30" s="1073" t="s">
        <v>7715</v>
      </c>
      <c r="BM30" s="1073" t="s">
        <v>7716</v>
      </c>
      <c r="BN30" s="1089"/>
      <c r="BO30" s="1078" t="s">
        <v>3339</v>
      </c>
      <c r="BP30" s="1118"/>
      <c r="BQ30" s="1077"/>
      <c r="BR30" s="1078" t="s">
        <v>7717</v>
      </c>
      <c r="BS30" s="1133" t="s">
        <v>7718</v>
      </c>
      <c r="BT30" s="1077"/>
      <c r="BU30" s="1077"/>
      <c r="BV30" s="1078" t="s">
        <v>5342</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4632</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5663</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4527</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6165</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5796</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4087</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5107</v>
      </c>
      <c r="B34" s="1041" t="s">
        <v>959</v>
      </c>
      <c r="C34" s="1042" t="s">
        <v>1483</v>
      </c>
      <c r="D34" s="1043" t="s">
        <v>1483</v>
      </c>
      <c r="E34" s="1044" t="s">
        <v>1483</v>
      </c>
      <c r="F34" s="1045" t="s">
        <v>336</v>
      </c>
      <c r="G34" s="1041" t="s">
        <v>6142</v>
      </c>
      <c r="H34" s="1047" t="s">
        <v>6289</v>
      </c>
      <c r="I34" s="1046"/>
      <c r="J34" s="1046"/>
      <c r="K34" s="1046"/>
      <c r="L34" s="1046"/>
      <c r="M34" s="1046"/>
      <c r="N34" s="1046"/>
      <c r="O34" s="1046"/>
      <c r="P34" s="1089"/>
      <c r="Q34" s="1052"/>
      <c r="R34" s="1052"/>
      <c r="S34" s="1051" t="s">
        <v>1072</v>
      </c>
      <c r="T34" s="1051" t="s">
        <v>2056</v>
      </c>
      <c r="U34" s="1051" t="s">
        <v>4628</v>
      </c>
      <c r="V34" s="1051" t="s">
        <v>7755</v>
      </c>
      <c r="W34" s="1089"/>
      <c r="X34" s="1056" t="s">
        <v>1744</v>
      </c>
      <c r="Y34" s="1127"/>
      <c r="Z34" s="1127"/>
      <c r="AA34" s="1181"/>
      <c r="AB34" s="1127"/>
      <c r="AC34" s="1127"/>
      <c r="AD34" s="1127"/>
      <c r="AE34" s="1127"/>
      <c r="AF34" s="1056"/>
      <c r="AG34" s="1127"/>
      <c r="AH34" s="1061"/>
      <c r="AI34" s="1089"/>
      <c r="AJ34" s="1063"/>
      <c r="AK34" s="1063"/>
      <c r="AL34" s="1063"/>
      <c r="AM34" s="1062" t="s">
        <v>7756</v>
      </c>
      <c r="AN34" s="1063"/>
      <c r="AO34" s="1063"/>
      <c r="AP34" s="1062" t="s">
        <v>7757</v>
      </c>
      <c r="AQ34" s="1063"/>
      <c r="AR34" s="1067" t="s">
        <v>7758</v>
      </c>
      <c r="AS34" s="1063"/>
      <c r="AT34" s="1098"/>
      <c r="AU34" s="1063"/>
      <c r="AV34" s="1063"/>
      <c r="AW34" s="1062" t="s">
        <v>1507</v>
      </c>
      <c r="AX34" s="1063"/>
      <c r="AY34" s="1063"/>
      <c r="AZ34" s="1050"/>
      <c r="BA34" s="1152"/>
      <c r="BB34" s="1102" t="s">
        <v>7759</v>
      </c>
      <c r="BC34" s="1102" t="s">
        <v>430</v>
      </c>
      <c r="BD34" s="1102"/>
      <c r="BE34" s="1102" t="s">
        <v>7760</v>
      </c>
      <c r="BF34" s="1050"/>
      <c r="BG34" s="1075"/>
      <c r="BH34" s="1075"/>
      <c r="BI34" s="1075"/>
      <c r="BJ34" s="1131"/>
      <c r="BK34" s="1075"/>
      <c r="BL34" s="1075"/>
      <c r="BM34" s="1075"/>
      <c r="BN34" s="1089"/>
      <c r="BO34" s="1079" t="s">
        <v>7761</v>
      </c>
      <c r="BP34" s="1118"/>
      <c r="BQ34" s="1079" t="s">
        <v>1084</v>
      </c>
      <c r="BR34" s="1077"/>
      <c r="BS34" s="1077"/>
      <c r="BT34" s="1077"/>
      <c r="BU34" s="1077"/>
      <c r="BV34" s="1078" t="s">
        <v>7762</v>
      </c>
      <c r="BW34" s="1078" t="s">
        <v>7763</v>
      </c>
      <c r="BX34" s="1089"/>
      <c r="BY34" s="1083"/>
      <c r="BZ34" s="1108" t="s">
        <v>6505</v>
      </c>
      <c r="CA34" s="1109"/>
      <c r="CB34" s="1109"/>
      <c r="CC34" s="1109"/>
      <c r="CD34" s="1083"/>
      <c r="CE34" s="1083"/>
      <c r="CF34" s="1083"/>
      <c r="CG34" s="1083"/>
      <c r="CH34" s="1083"/>
      <c r="CI34" s="1083"/>
      <c r="CJ34" s="1109"/>
      <c r="CK34" s="1109"/>
    </row>
    <row r="35">
      <c r="A35" s="1207" t="s">
        <v>3340</v>
      </c>
      <c r="B35" s="1041" t="s">
        <v>3635</v>
      </c>
      <c r="C35" s="1042" t="s">
        <v>562</v>
      </c>
      <c r="D35" s="1043" t="s">
        <v>1483</v>
      </c>
      <c r="E35" s="1044" t="s">
        <v>1483</v>
      </c>
      <c r="F35" s="1045" t="s">
        <v>336</v>
      </c>
      <c r="G35" s="1041" t="s">
        <v>3755</v>
      </c>
      <c r="H35" s="1047" t="s">
        <v>970</v>
      </c>
      <c r="I35" s="1046"/>
      <c r="J35" s="1046"/>
      <c r="K35" s="1046"/>
      <c r="L35" s="1046"/>
      <c r="M35" s="1046"/>
      <c r="N35" s="1086" t="s">
        <v>7764</v>
      </c>
      <c r="O35" s="1046"/>
      <c r="P35" s="1089"/>
      <c r="Q35" s="1052"/>
      <c r="R35" s="1052"/>
      <c r="S35" s="1158" t="s">
        <v>2945</v>
      </c>
      <c r="T35" s="1052"/>
      <c r="U35" s="1052"/>
      <c r="V35" s="1051" t="s">
        <v>7765</v>
      </c>
      <c r="W35" s="1089"/>
      <c r="X35" s="1127"/>
      <c r="Y35" s="1127"/>
      <c r="Z35" s="1056" t="s">
        <v>7535</v>
      </c>
      <c r="AA35" s="1126" t="s">
        <v>627</v>
      </c>
      <c r="AB35" s="1127"/>
      <c r="AC35" s="1127"/>
      <c r="AD35" s="1056" t="s">
        <v>4904</v>
      </c>
      <c r="AE35" s="1056" t="s">
        <v>778</v>
      </c>
      <c r="AF35" s="1127"/>
      <c r="AG35" s="1127"/>
      <c r="AH35" s="1194" t="s">
        <v>7766</v>
      </c>
      <c r="AI35" s="1089"/>
      <c r="AJ35" s="1063"/>
      <c r="AK35" s="1063"/>
      <c r="AL35" s="1063"/>
      <c r="AM35" s="1062" t="s">
        <v>7767</v>
      </c>
      <c r="AN35" s="1063"/>
      <c r="AO35" s="1063"/>
      <c r="AP35" s="1063"/>
      <c r="AQ35" s="1063"/>
      <c r="AR35" s="1063"/>
      <c r="AS35" s="1063"/>
      <c r="AT35" s="1098"/>
      <c r="AU35" s="1063"/>
      <c r="AV35" s="1063"/>
      <c r="AW35" s="1063"/>
      <c r="AX35" s="1063"/>
      <c r="AY35" s="1062" t="s">
        <v>7768</v>
      </c>
      <c r="AZ35" s="1050"/>
      <c r="BA35" s="1152"/>
      <c r="BB35" s="1152"/>
      <c r="BC35" s="1152"/>
      <c r="BD35" s="1102" t="s">
        <v>7769</v>
      </c>
      <c r="BE35" s="1102" t="s">
        <v>7770</v>
      </c>
      <c r="BF35" s="1050"/>
      <c r="BG35" s="1073" t="s">
        <v>1359</v>
      </c>
      <c r="BH35" s="1075"/>
      <c r="BI35" s="1075"/>
      <c r="BJ35" s="1131"/>
      <c r="BK35" s="1075"/>
      <c r="BL35" s="1073" t="s">
        <v>7771</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6211</v>
      </c>
      <c r="B36" s="1041" t="s">
        <v>1111</v>
      </c>
      <c r="C36" s="1042" t="s">
        <v>1483</v>
      </c>
      <c r="D36" s="1043" t="s">
        <v>1483</v>
      </c>
      <c r="E36" s="1044" t="s">
        <v>1483</v>
      </c>
      <c r="F36" s="1045" t="s">
        <v>1483</v>
      </c>
      <c r="G36" s="1041" t="s">
        <v>220</v>
      </c>
      <c r="H36" s="1046"/>
      <c r="I36" s="1046"/>
      <c r="J36" s="1046"/>
      <c r="K36" s="1046"/>
      <c r="L36" s="1047" t="s">
        <v>7772</v>
      </c>
      <c r="M36" s="1046"/>
      <c r="N36" s="1047" t="s">
        <v>7773</v>
      </c>
      <c r="O36" s="1046"/>
      <c r="P36" s="1089"/>
      <c r="Q36" s="1052"/>
      <c r="R36" s="1052"/>
      <c r="S36" s="1052"/>
      <c r="T36" s="1052"/>
      <c r="U36" s="1051" t="s">
        <v>4662</v>
      </c>
      <c r="V36" s="1051" t="s">
        <v>7774</v>
      </c>
      <c r="W36" s="1089"/>
      <c r="X36" s="1127"/>
      <c r="Y36" s="1127"/>
      <c r="Z36" s="1056" t="s">
        <v>7775</v>
      </c>
      <c r="AA36" s="1181"/>
      <c r="AB36" s="1127"/>
      <c r="AC36" s="1127"/>
      <c r="AD36" s="1056" t="s">
        <v>1381</v>
      </c>
      <c r="AE36" s="1056" t="s">
        <v>3873</v>
      </c>
      <c r="AF36" s="1056"/>
      <c r="AG36" s="1127"/>
      <c r="AH36" s="1184" t="s">
        <v>7776</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7777</v>
      </c>
      <c r="BF36" s="1050"/>
      <c r="BG36" s="1073" t="s">
        <v>7778</v>
      </c>
      <c r="BH36" s="1073" t="s">
        <v>3017</v>
      </c>
      <c r="BI36" s="1075"/>
      <c r="BJ36" s="1131"/>
      <c r="BK36" s="1075"/>
      <c r="BL36" s="1073" t="s">
        <v>7779</v>
      </c>
      <c r="BM36" s="1075"/>
      <c r="BN36" s="1089"/>
      <c r="BO36" s="1078" t="s">
        <v>1990</v>
      </c>
      <c r="BP36" s="1118"/>
      <c r="BQ36" s="1077"/>
      <c r="BR36" s="1077"/>
      <c r="BS36" s="1077"/>
      <c r="BT36" s="1078" t="s">
        <v>4423</v>
      </c>
      <c r="BU36" s="1077"/>
      <c r="BV36" s="1078" t="s">
        <v>7780</v>
      </c>
      <c r="BW36" s="1078" t="s">
        <v>7781</v>
      </c>
      <c r="BX36" s="1089"/>
      <c r="BY36" s="1083"/>
      <c r="BZ36" s="1083"/>
      <c r="CA36" s="1109"/>
      <c r="CB36" s="1109"/>
      <c r="CC36" s="1109"/>
      <c r="CD36" s="1083"/>
      <c r="CE36" s="1083"/>
      <c r="CF36" s="1083"/>
      <c r="CG36" s="1083"/>
      <c r="CH36" s="1134" t="s">
        <v>5985</v>
      </c>
      <c r="CI36" s="1083"/>
      <c r="CJ36" s="1109"/>
      <c r="CK36" s="1109"/>
    </row>
    <row r="37">
      <c r="A37" s="1040" t="s">
        <v>5493</v>
      </c>
      <c r="B37" s="1041" t="s">
        <v>2102</v>
      </c>
      <c r="C37" s="1042" t="s">
        <v>1483</v>
      </c>
      <c r="D37" s="1043" t="s">
        <v>1483</v>
      </c>
      <c r="E37" s="1044" t="s">
        <v>1483</v>
      </c>
      <c r="F37" s="1045" t="s">
        <v>562</v>
      </c>
      <c r="G37" s="1041" t="s">
        <v>4527</v>
      </c>
      <c r="H37" s="1046"/>
      <c r="I37" s="1046"/>
      <c r="J37" s="1046"/>
      <c r="K37" s="1046"/>
      <c r="L37" s="1160" t="s">
        <v>291</v>
      </c>
      <c r="M37" s="1046"/>
      <c r="N37" s="1047" t="s">
        <v>7782</v>
      </c>
      <c r="O37" s="1046"/>
      <c r="P37" s="1089"/>
      <c r="Q37" s="1052"/>
      <c r="R37" s="1052"/>
      <c r="S37" s="1051" t="s">
        <v>7783</v>
      </c>
      <c r="T37" s="1052"/>
      <c r="U37" s="1052"/>
      <c r="V37" s="1052"/>
      <c r="W37" s="1089"/>
      <c r="X37" s="1127"/>
      <c r="Y37" s="1127"/>
      <c r="Z37" s="1127"/>
      <c r="AA37" s="1193" t="s">
        <v>6756</v>
      </c>
      <c r="AB37" s="1096" t="s">
        <v>7784</v>
      </c>
      <c r="AC37" s="1127"/>
      <c r="AD37" s="1127"/>
      <c r="AE37" s="1127"/>
      <c r="AF37" s="1127"/>
      <c r="AG37" s="1127"/>
      <c r="AH37" s="1184" t="s">
        <v>7785</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7786</v>
      </c>
      <c r="BF37" s="1050"/>
      <c r="BG37" s="1075"/>
      <c r="BH37" s="1075"/>
      <c r="BI37" s="1075"/>
      <c r="BJ37" s="1131"/>
      <c r="BK37" s="1075"/>
      <c r="BL37" s="1075"/>
      <c r="BM37" s="1075"/>
      <c r="BN37" s="1089"/>
      <c r="BO37" s="1077"/>
      <c r="BP37" s="1118"/>
      <c r="BQ37" s="1077"/>
      <c r="BR37" s="1077"/>
      <c r="BS37" s="1077"/>
      <c r="BT37" s="1077"/>
      <c r="BU37" s="1179" t="s">
        <v>3474</v>
      </c>
      <c r="BV37" s="1078" t="s">
        <v>398</v>
      </c>
      <c r="BW37" s="1133" t="s">
        <v>7787</v>
      </c>
      <c r="BX37" s="1089"/>
      <c r="BY37" s="1083"/>
      <c r="BZ37" s="1185" t="s">
        <v>2798</v>
      </c>
      <c r="CA37" s="1109"/>
      <c r="CB37" s="1109"/>
      <c r="CC37" s="1109"/>
      <c r="CD37" s="1083"/>
      <c r="CE37" s="1083"/>
      <c r="CF37" s="1082" t="s">
        <v>7788</v>
      </c>
      <c r="CG37" s="1083"/>
      <c r="CH37" s="1083"/>
      <c r="CI37" s="1108" t="s">
        <v>5028</v>
      </c>
      <c r="CJ37" s="1109"/>
      <c r="CK37" s="1109"/>
    </row>
    <row r="38">
      <c r="A38" s="1040" t="s">
        <v>7789</v>
      </c>
      <c r="B38" s="1041" t="s">
        <v>7790</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5446</v>
      </c>
      <c r="U38" s="1052"/>
      <c r="V38" s="1146" t="s">
        <v>7791</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6473</v>
      </c>
      <c r="B39" s="1041" t="s">
        <v>7792</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7793</v>
      </c>
      <c r="Z39" s="795"/>
      <c r="AA39" s="795"/>
      <c r="AB39" s="783" t="s">
        <v>5173</v>
      </c>
      <c r="AC39" s="795"/>
      <c r="AD39" s="1211"/>
      <c r="AE39" s="1211"/>
      <c r="AF39" s="1211"/>
      <c r="AG39" s="783" t="s">
        <v>7794</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7795</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6061</v>
      </c>
      <c r="AF40" s="1127"/>
      <c r="AG40" s="1127"/>
      <c r="AH40" s="1061"/>
      <c r="AI40" s="1089"/>
      <c r="AJ40" s="1063"/>
      <c r="AK40" s="1063"/>
      <c r="AL40" s="1063"/>
      <c r="AM40" s="1067" t="s">
        <v>4615</v>
      </c>
      <c r="AN40" s="1100" t="s">
        <v>4143</v>
      </c>
      <c r="AO40" s="1063"/>
      <c r="AP40" s="1063"/>
      <c r="AQ40" s="1063"/>
      <c r="AR40" s="1063"/>
      <c r="AS40" s="1063"/>
      <c r="AT40" s="1098"/>
      <c r="AU40" s="1063"/>
      <c r="AV40" s="1063"/>
      <c r="AW40" s="1063"/>
      <c r="AX40" s="1063"/>
      <c r="AY40" s="1063"/>
      <c r="AZ40" s="1050"/>
      <c r="BA40" s="1152"/>
      <c r="BB40" s="1152"/>
      <c r="BC40" s="1152"/>
      <c r="BD40" s="1152"/>
      <c r="BE40" s="1152"/>
      <c r="BF40" s="1050"/>
      <c r="BG40" s="1072" t="s">
        <v>7796</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4542</v>
      </c>
      <c r="B41" s="1041" t="s">
        <v>3342</v>
      </c>
      <c r="C41" s="1042" t="s">
        <v>1483</v>
      </c>
      <c r="D41" s="1043" t="s">
        <v>1483</v>
      </c>
      <c r="E41" s="1044" t="s">
        <v>1483</v>
      </c>
      <c r="F41" s="1045" t="s">
        <v>1483</v>
      </c>
      <c r="G41" s="1041" t="s">
        <v>337</v>
      </c>
      <c r="H41" s="1046"/>
      <c r="I41" s="1046"/>
      <c r="J41" s="1047" t="s">
        <v>7797</v>
      </c>
      <c r="K41" s="1047"/>
      <c r="L41" s="1047"/>
      <c r="M41" s="1047" t="s">
        <v>7798</v>
      </c>
      <c r="N41" s="1046"/>
      <c r="O41" s="1047" t="s">
        <v>7799</v>
      </c>
      <c r="P41" s="1089"/>
      <c r="Q41" s="1052"/>
      <c r="R41" s="1051" t="s">
        <v>7072</v>
      </c>
      <c r="S41" s="1052"/>
      <c r="T41" s="1052"/>
      <c r="U41" s="1052"/>
      <c r="V41" s="1051" t="s">
        <v>7800</v>
      </c>
      <c r="W41" s="1089"/>
      <c r="X41" s="1127"/>
      <c r="Y41" s="1127"/>
      <c r="Z41" s="1127"/>
      <c r="AA41" s="1193" t="s">
        <v>7801</v>
      </c>
      <c r="AB41" s="1056" t="s">
        <v>7802</v>
      </c>
      <c r="AC41" s="1127"/>
      <c r="AD41" s="1127"/>
      <c r="AE41" s="1127"/>
      <c r="AF41" s="1127"/>
      <c r="AG41" s="1056" t="s">
        <v>7803</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7804</v>
      </c>
      <c r="BF41" s="1050"/>
      <c r="BG41" s="1075"/>
      <c r="BH41" s="1075"/>
      <c r="BI41" s="1075"/>
      <c r="BJ41" s="1131"/>
      <c r="BK41" s="1075"/>
      <c r="BL41" s="1075"/>
      <c r="BM41" s="1073" t="s">
        <v>7805</v>
      </c>
      <c r="BN41" s="1089"/>
      <c r="BO41" s="1077"/>
      <c r="BP41" s="1118"/>
      <c r="BQ41" s="1077"/>
      <c r="BR41" s="1077"/>
      <c r="BS41" s="1077"/>
      <c r="BT41" s="1077"/>
      <c r="BU41" s="1077"/>
      <c r="BV41" s="1078" t="s">
        <v>7282</v>
      </c>
      <c r="BW41" s="1078" t="s">
        <v>7806</v>
      </c>
      <c r="BX41" s="1089"/>
      <c r="BY41" s="1083"/>
      <c r="BZ41" s="1083"/>
      <c r="CA41" s="1109"/>
      <c r="CB41" s="1109"/>
      <c r="CC41" s="1109"/>
      <c r="CD41" s="1083"/>
      <c r="CE41" s="1083"/>
      <c r="CF41" s="1083"/>
      <c r="CG41" s="1083"/>
      <c r="CH41" s="1083"/>
      <c r="CI41" s="1083"/>
      <c r="CJ41" s="1109"/>
      <c r="CK41" s="1109"/>
    </row>
    <row r="42">
      <c r="A42" s="1214" t="s">
        <v>5407</v>
      </c>
      <c r="B42" s="1041" t="s">
        <v>5181</v>
      </c>
      <c r="C42" s="1042" t="s">
        <v>1483</v>
      </c>
      <c r="D42" s="1043" t="s">
        <v>1483</v>
      </c>
      <c r="E42" s="1044" t="s">
        <v>1483</v>
      </c>
      <c r="F42" s="1045" t="s">
        <v>667</v>
      </c>
      <c r="G42" s="1041" t="s">
        <v>4527</v>
      </c>
      <c r="H42" s="1047" t="s">
        <v>2158</v>
      </c>
      <c r="I42" s="1047"/>
      <c r="J42" s="1046"/>
      <c r="K42" s="1046"/>
      <c r="L42" s="1047" t="s">
        <v>7807</v>
      </c>
      <c r="M42" s="1046"/>
      <c r="N42" s="1086" t="s">
        <v>7808</v>
      </c>
      <c r="O42" s="1046"/>
      <c r="P42" s="1089"/>
      <c r="Q42" s="1051" t="s">
        <v>7809</v>
      </c>
      <c r="R42" s="1052"/>
      <c r="S42" s="1052"/>
      <c r="T42" s="1052"/>
      <c r="U42" s="1052"/>
      <c r="V42" s="1051" t="s">
        <v>7810</v>
      </c>
      <c r="W42" s="1089"/>
      <c r="X42" s="1127"/>
      <c r="Y42" s="1127"/>
      <c r="Z42" s="1127"/>
      <c r="AA42" s="1181"/>
      <c r="AB42" s="1127"/>
      <c r="AC42" s="1127"/>
      <c r="AD42" s="1127"/>
      <c r="AE42" s="1127"/>
      <c r="AF42" s="1127"/>
      <c r="AG42" s="1127"/>
      <c r="AH42" s="1184" t="s">
        <v>7811</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7812</v>
      </c>
      <c r="BD42" s="1102"/>
      <c r="BE42" s="1102" t="s">
        <v>7813</v>
      </c>
      <c r="BF42" s="1050"/>
      <c r="BG42" s="1075"/>
      <c r="BH42" s="1075"/>
      <c r="BI42" s="1075"/>
      <c r="BJ42" s="1131"/>
      <c r="BK42" s="1075"/>
      <c r="BL42" s="1075"/>
      <c r="BM42" s="1075"/>
      <c r="BN42" s="1089"/>
      <c r="BO42" s="1077"/>
      <c r="BP42" s="1118"/>
      <c r="BQ42" s="1078" t="s">
        <v>3674</v>
      </c>
      <c r="BR42" s="1077"/>
      <c r="BS42" s="1077"/>
      <c r="BT42" s="1077"/>
      <c r="BU42" s="1079" t="s">
        <v>7814</v>
      </c>
      <c r="BV42" s="1077"/>
      <c r="BW42" s="1078" t="s">
        <v>7815</v>
      </c>
      <c r="BX42" s="1089"/>
      <c r="BY42" s="1083"/>
      <c r="BZ42" s="1083"/>
      <c r="CA42" s="1109"/>
      <c r="CB42" s="1109"/>
      <c r="CC42" s="1109"/>
      <c r="CD42" s="1083"/>
      <c r="CE42" s="1083"/>
      <c r="CF42" s="1083"/>
      <c r="CG42" s="1083"/>
      <c r="CH42" s="1083"/>
      <c r="CI42" s="1108" t="s">
        <v>7816</v>
      </c>
      <c r="CJ42" s="1109"/>
      <c r="CK42" s="1109"/>
    </row>
    <row r="43">
      <c r="A43" s="1040" t="s">
        <v>5882</v>
      </c>
      <c r="B43" s="1041" t="s">
        <v>3008</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7817</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7818</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7819</v>
      </c>
      <c r="BF44" s="1050"/>
      <c r="BG44" s="1168" t="s">
        <v>7820</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6470</v>
      </c>
      <c r="B45" s="1041" t="s">
        <v>6130</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5308</v>
      </c>
      <c r="B46" s="1041" t="s">
        <v>6130</v>
      </c>
      <c r="C46" s="1042" t="s">
        <v>1483</v>
      </c>
      <c r="D46" s="1043" t="s">
        <v>1483</v>
      </c>
      <c r="E46" s="1044" t="s">
        <v>1483</v>
      </c>
      <c r="F46" s="1045" t="s">
        <v>1483</v>
      </c>
      <c r="G46" s="1041" t="s">
        <v>957</v>
      </c>
      <c r="H46" s="1046"/>
      <c r="I46" s="1046"/>
      <c r="J46" s="1046"/>
      <c r="K46" s="1046"/>
      <c r="L46" s="1047" t="s">
        <v>4845</v>
      </c>
      <c r="M46" s="1046"/>
      <c r="N46" s="1047" t="s">
        <v>7821</v>
      </c>
      <c r="O46" s="1046"/>
      <c r="P46" s="1089"/>
      <c r="Q46" s="1052"/>
      <c r="R46" s="1052"/>
      <c r="S46" s="1052"/>
      <c r="T46" s="1052"/>
      <c r="U46" s="1051"/>
      <c r="V46" s="1051" t="s">
        <v>7822</v>
      </c>
      <c r="W46" s="1089"/>
      <c r="X46" s="1127"/>
      <c r="Y46" s="1127"/>
      <c r="Z46" s="1094" t="s">
        <v>7823</v>
      </c>
      <c r="AA46" s="1181"/>
      <c r="AB46" s="1056" t="s">
        <v>848</v>
      </c>
      <c r="AC46" s="1127"/>
      <c r="AD46" s="1127"/>
      <c r="AE46" s="1127"/>
      <c r="AF46" s="1127"/>
      <c r="AG46" s="1056" t="s">
        <v>7824</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7825</v>
      </c>
      <c r="BF46" s="1050"/>
      <c r="BG46" s="1075"/>
      <c r="BH46" s="1075"/>
      <c r="BI46" s="1075"/>
      <c r="BJ46" s="1131"/>
      <c r="BK46" s="1075"/>
      <c r="BL46" s="1075"/>
      <c r="BM46" s="1075"/>
      <c r="BN46" s="1089"/>
      <c r="BO46" s="1078" t="s">
        <v>7826</v>
      </c>
      <c r="BP46" s="1118"/>
      <c r="BQ46" s="1077"/>
      <c r="BR46" s="1077"/>
      <c r="BS46" s="1077"/>
      <c r="BT46" s="1077"/>
      <c r="BU46" s="1077"/>
      <c r="BV46" s="1077"/>
      <c r="BW46" s="1133" t="s">
        <v>7827</v>
      </c>
      <c r="BX46" s="1089"/>
      <c r="BY46" s="1083"/>
      <c r="BZ46" s="1083"/>
      <c r="CA46" s="1109"/>
      <c r="CB46" s="1109"/>
      <c r="CC46" s="1109"/>
      <c r="CD46" s="1083"/>
      <c r="CE46" s="1083"/>
      <c r="CF46" s="1083"/>
      <c r="CG46" s="1083"/>
      <c r="CH46" s="1083"/>
      <c r="CI46" s="1083"/>
      <c r="CJ46" s="1109"/>
      <c r="CK46" s="1109"/>
    </row>
    <row r="47">
      <c r="A47" s="1040" t="s">
        <v>6471</v>
      </c>
      <c r="B47" s="1041" t="s">
        <v>4527</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7828</v>
      </c>
      <c r="W47" s="1089"/>
      <c r="X47" s="1127"/>
      <c r="Y47" s="1127"/>
      <c r="Z47" s="1127"/>
      <c r="AA47" s="1181"/>
      <c r="AB47" s="1127"/>
      <c r="AC47" s="1127"/>
      <c r="AD47" s="1127"/>
      <c r="AE47" s="1127"/>
      <c r="AF47" s="1127"/>
      <c r="AG47" s="1127"/>
      <c r="AH47" s="1184" t="s">
        <v>7829</v>
      </c>
      <c r="AI47" s="1089"/>
      <c r="AJ47" s="1063"/>
      <c r="AK47" s="1063"/>
      <c r="AL47" s="1063"/>
      <c r="AM47" s="1063"/>
      <c r="AN47" s="1063"/>
      <c r="AO47" s="1063"/>
      <c r="AP47" s="1063"/>
      <c r="AQ47" s="1063"/>
      <c r="AR47" s="1063"/>
      <c r="AS47" s="1063"/>
      <c r="AT47" s="1098"/>
      <c r="AU47" s="1063"/>
      <c r="AV47" s="1063"/>
      <c r="AW47" s="1063"/>
      <c r="AX47" s="1063"/>
      <c r="AY47" s="1184" t="s">
        <v>7830</v>
      </c>
      <c r="AZ47" s="1050"/>
      <c r="BA47" s="1152"/>
      <c r="BB47" s="1152"/>
      <c r="BC47" s="1152"/>
      <c r="BD47" s="1152"/>
      <c r="BE47" s="1184" t="s">
        <v>7831</v>
      </c>
      <c r="BF47" s="1050"/>
      <c r="BG47" s="1075"/>
      <c r="BH47" s="1075"/>
      <c r="BI47" s="1075"/>
      <c r="BJ47" s="1131"/>
      <c r="BK47" s="1075"/>
      <c r="BL47" s="1184" t="s">
        <v>7832</v>
      </c>
      <c r="BM47" s="1073"/>
      <c r="BN47" s="1089"/>
      <c r="BO47" s="1077"/>
      <c r="BP47" s="1118"/>
      <c r="BQ47" s="1077"/>
      <c r="BR47" s="1077"/>
      <c r="BS47" s="1077"/>
      <c r="BT47" s="1077"/>
      <c r="BU47" s="1077"/>
      <c r="BV47" s="1077"/>
      <c r="BW47" s="1184" t="s">
        <v>7833</v>
      </c>
      <c r="BX47" s="1089"/>
      <c r="BY47" s="1083"/>
      <c r="BZ47" s="1083"/>
      <c r="CA47" s="1109"/>
      <c r="CB47" s="1109"/>
      <c r="CC47" s="1109"/>
      <c r="CD47" s="1083"/>
      <c r="CE47" s="1083"/>
      <c r="CF47" s="1083"/>
      <c r="CG47" s="1083"/>
      <c r="CH47" s="1083"/>
      <c r="CI47" s="1083"/>
      <c r="CJ47" s="1109"/>
      <c r="CK47" s="1109"/>
    </row>
    <row r="48">
      <c r="A48" s="1190" t="s">
        <v>7834</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7835</v>
      </c>
      <c r="AA48" s="1127"/>
      <c r="AB48" s="1147" t="s">
        <v>7836</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7837</v>
      </c>
      <c r="B49" s="1041" t="s">
        <v>1033</v>
      </c>
      <c r="C49" s="1042" t="s">
        <v>1483</v>
      </c>
      <c r="D49" s="1043" t="s">
        <v>1483</v>
      </c>
      <c r="E49" s="1044" t="s">
        <v>1483</v>
      </c>
      <c r="F49" s="1045" t="s">
        <v>1483</v>
      </c>
      <c r="G49" s="1041" t="s">
        <v>667</v>
      </c>
      <c r="H49" s="1046"/>
      <c r="I49" s="1046"/>
      <c r="J49" s="1046"/>
      <c r="K49" s="1046"/>
      <c r="L49" s="1046"/>
      <c r="M49" s="1046"/>
      <c r="N49" s="1047" t="s">
        <v>7838</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7839</v>
      </c>
      <c r="BF49" s="1050"/>
      <c r="BG49" s="1075"/>
      <c r="BH49" s="1075"/>
      <c r="BI49" s="1075"/>
      <c r="BJ49" s="1131"/>
      <c r="BK49" s="1075"/>
      <c r="BL49" s="1075"/>
      <c r="BM49" s="1075"/>
      <c r="BN49" s="1089"/>
      <c r="BO49" s="1077"/>
      <c r="BP49" s="1118"/>
      <c r="BQ49" s="1077"/>
      <c r="BR49" s="1077"/>
      <c r="BS49" s="1077"/>
      <c r="BT49" s="1077"/>
      <c r="BU49" s="1077"/>
      <c r="BV49" s="1077"/>
      <c r="BW49" s="1078" t="s">
        <v>7840</v>
      </c>
      <c r="BX49" s="1089"/>
      <c r="BY49" s="1083"/>
      <c r="BZ49" s="1083"/>
      <c r="CA49" s="1109"/>
      <c r="CB49" s="1109"/>
      <c r="CC49" s="1109"/>
      <c r="CD49" s="1083"/>
      <c r="CE49" s="1083"/>
      <c r="CF49" s="1083"/>
      <c r="CG49" s="1083"/>
      <c r="CH49" s="1083"/>
      <c r="CI49" s="1083"/>
      <c r="CJ49" s="1109"/>
      <c r="CK49" s="1109"/>
    </row>
    <row r="50">
      <c r="A50" s="1040" t="s">
        <v>3633</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6050</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7841</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3913</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7842</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6295</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7843</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5809</v>
      </c>
      <c r="AL53" s="1062" t="s">
        <v>7844</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7845</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5395</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7846</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5302</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6112</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7847</v>
      </c>
      <c r="W56" s="1089"/>
      <c r="X56" s="1127"/>
      <c r="Y56" s="1127"/>
      <c r="Z56" s="1127"/>
      <c r="AA56" s="1181"/>
      <c r="AB56" s="1127"/>
      <c r="AC56" s="1127"/>
      <c r="AD56" s="1127"/>
      <c r="AE56" s="1127"/>
      <c r="AF56" s="1127"/>
      <c r="AG56" s="1127"/>
      <c r="AH56" s="1184" t="s">
        <v>7848</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7849</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6086</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4736</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7850</v>
      </c>
      <c r="B58" s="1041" t="s">
        <v>667</v>
      </c>
      <c r="C58" s="1042" t="s">
        <v>1483</v>
      </c>
      <c r="D58" s="1043" t="s">
        <v>1483</v>
      </c>
      <c r="E58" s="1044" t="s">
        <v>1483</v>
      </c>
      <c r="F58" s="1045" t="s">
        <v>448</v>
      </c>
      <c r="G58" s="1041" t="s">
        <v>448</v>
      </c>
      <c r="H58" s="1046"/>
      <c r="I58" s="1046"/>
      <c r="J58" s="1046"/>
      <c r="K58" s="1046"/>
      <c r="L58" s="1086" t="s">
        <v>7851</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7193</v>
      </c>
      <c r="BV58" s="1077"/>
      <c r="BW58" s="1077"/>
      <c r="BX58" s="1089"/>
      <c r="BY58" s="1083"/>
      <c r="BZ58" s="1083"/>
      <c r="CA58" s="1109"/>
      <c r="CB58" s="1109"/>
      <c r="CC58" s="1109"/>
      <c r="CD58" s="1083"/>
      <c r="CE58" s="1083"/>
      <c r="CF58" s="1083"/>
      <c r="CG58" s="1083"/>
      <c r="CH58" s="1083"/>
      <c r="CI58" s="1083"/>
      <c r="CJ58" s="1109"/>
      <c r="CK58" s="1109"/>
    </row>
    <row r="59">
      <c r="A59" s="1040" t="s">
        <v>7852</v>
      </c>
      <c r="B59" s="1041" t="s">
        <v>562</v>
      </c>
      <c r="C59" s="1042" t="s">
        <v>1483</v>
      </c>
      <c r="D59" s="1043" t="s">
        <v>1483</v>
      </c>
      <c r="E59" s="1044" t="s">
        <v>1483</v>
      </c>
      <c r="F59" s="1045" t="s">
        <v>1483</v>
      </c>
      <c r="G59" s="1041" t="s">
        <v>562</v>
      </c>
      <c r="H59" s="1047" t="s">
        <v>4040</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4025</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227" t="s">
        <v>7854</v>
      </c>
      <c r="W1" s="1228" t="s">
        <v>7855</v>
      </c>
      <c r="AM1" s="1229" t="s">
        <v>7856</v>
      </c>
      <c r="BG1" s="1230" t="s">
        <v>7857</v>
      </c>
      <c r="BQ1" s="1231" t="s">
        <v>7858</v>
      </c>
      <c r="BV1" s="1232" t="s">
        <v>7859</v>
      </c>
      <c r="CE1" s="1227" t="s">
        <v>7860</v>
      </c>
      <c r="CM1" s="1233" t="s">
        <v>7861</v>
      </c>
      <c r="CP1" s="1234" t="s">
        <v>7862</v>
      </c>
      <c r="CT1" s="1235" t="s">
        <v>7863</v>
      </c>
    </row>
    <row r="2">
      <c r="A2" s="1236" t="s">
        <v>43</v>
      </c>
      <c r="B2" s="36" t="s">
        <v>44</v>
      </c>
      <c r="C2" s="36" t="s">
        <v>45</v>
      </c>
      <c r="F2" s="36" t="s">
        <v>7864</v>
      </c>
      <c r="H2" s="1237" t="s">
        <v>7865</v>
      </c>
      <c r="I2" s="1237" t="s">
        <v>7866</v>
      </c>
      <c r="J2" s="1237" t="s">
        <v>7867</v>
      </c>
      <c r="K2" s="1237" t="s">
        <v>7868</v>
      </c>
      <c r="L2" s="1237" t="s">
        <v>7869</v>
      </c>
      <c r="M2" s="1237" t="s">
        <v>7870</v>
      </c>
      <c r="N2" s="1237" t="s">
        <v>7871</v>
      </c>
      <c r="O2" s="1237" t="s">
        <v>7872</v>
      </c>
      <c r="P2" s="1237" t="s">
        <v>7873</v>
      </c>
      <c r="Q2" s="1237" t="s">
        <v>7874</v>
      </c>
      <c r="R2" s="1237" t="s">
        <v>7875</v>
      </c>
      <c r="S2" s="1237" t="s">
        <v>7876</v>
      </c>
      <c r="T2" s="1237" t="s">
        <v>7877</v>
      </c>
      <c r="U2" s="1237" t="s">
        <v>7878</v>
      </c>
      <c r="V2" s="1237" t="s">
        <v>7879</v>
      </c>
      <c r="W2" s="1238" t="s">
        <v>7880</v>
      </c>
      <c r="X2" s="1238" t="s">
        <v>7881</v>
      </c>
      <c r="Y2" s="1238" t="s">
        <v>7882</v>
      </c>
      <c r="Z2" s="1238" t="s">
        <v>7883</v>
      </c>
      <c r="AA2" s="1238" t="s">
        <v>7884</v>
      </c>
      <c r="AB2" s="1238" t="s">
        <v>7885</v>
      </c>
      <c r="AC2" s="1238" t="s">
        <v>7886</v>
      </c>
      <c r="AD2" s="1238" t="s">
        <v>7887</v>
      </c>
      <c r="AE2" s="1238" t="s">
        <v>7888</v>
      </c>
      <c r="AF2" s="1238" t="s">
        <v>7889</v>
      </c>
      <c r="AG2" s="1238" t="s">
        <v>7890</v>
      </c>
      <c r="AH2" s="1238" t="s">
        <v>7891</v>
      </c>
      <c r="AI2" s="1238" t="s">
        <v>7892</v>
      </c>
      <c r="AJ2" s="1238" t="s">
        <v>7893</v>
      </c>
      <c r="AK2" s="1238" t="s">
        <v>7894</v>
      </c>
      <c r="AL2" s="1238" t="s">
        <v>7895</v>
      </c>
      <c r="AM2" s="1239" t="s">
        <v>7896</v>
      </c>
      <c r="AN2" s="1239" t="s">
        <v>7897</v>
      </c>
      <c r="AO2" s="1239" t="s">
        <v>7898</v>
      </c>
      <c r="AP2" s="1239" t="s">
        <v>7899</v>
      </c>
      <c r="AQ2" s="1239" t="s">
        <v>7900</v>
      </c>
      <c r="AR2" s="1239" t="s">
        <v>7901</v>
      </c>
      <c r="AS2" s="1239" t="s">
        <v>7902</v>
      </c>
      <c r="AT2" s="1239" t="s">
        <v>7903</v>
      </c>
      <c r="AU2" s="1239" t="s">
        <v>7904</v>
      </c>
      <c r="AV2" s="1239" t="s">
        <v>7905</v>
      </c>
      <c r="AW2" s="1239" t="s">
        <v>7906</v>
      </c>
      <c r="AX2" s="1239" t="s">
        <v>7907</v>
      </c>
      <c r="AY2" s="1239" t="s">
        <v>7908</v>
      </c>
      <c r="AZ2" s="1239" t="s">
        <v>7909</v>
      </c>
      <c r="BA2" s="1239" t="s">
        <v>7910</v>
      </c>
      <c r="BB2" s="1239" t="s">
        <v>7911</v>
      </c>
      <c r="BC2" s="1239" t="s">
        <v>7912</v>
      </c>
      <c r="BD2" s="1239" t="s">
        <v>7913</v>
      </c>
      <c r="BE2" s="1239" t="s">
        <v>7914</v>
      </c>
      <c r="BF2" s="1239" t="s">
        <v>7915</v>
      </c>
      <c r="BG2" s="1240" t="s">
        <v>7916</v>
      </c>
      <c r="BH2" s="1240" t="s">
        <v>7917</v>
      </c>
      <c r="BI2" s="1240" t="s">
        <v>7918</v>
      </c>
      <c r="BJ2" s="1240" t="s">
        <v>7919</v>
      </c>
      <c r="BK2" s="1240" t="s">
        <v>7920</v>
      </c>
      <c r="BL2" s="1240" t="s">
        <v>7921</v>
      </c>
      <c r="BM2" s="1240" t="s">
        <v>7922</v>
      </c>
      <c r="BN2" s="1240" t="s">
        <v>7923</v>
      </c>
      <c r="BO2" s="1240" t="s">
        <v>7924</v>
      </c>
      <c r="BP2" s="1240" t="s">
        <v>7925</v>
      </c>
      <c r="BQ2" s="1241" t="s">
        <v>7926</v>
      </c>
      <c r="BR2" s="1241" t="s">
        <v>7927</v>
      </c>
      <c r="BS2" s="1241" t="s">
        <v>7928</v>
      </c>
      <c r="BT2" s="1241" t="s">
        <v>7929</v>
      </c>
      <c r="BU2" s="1241" t="s">
        <v>7930</v>
      </c>
      <c r="BV2" s="1242" t="s">
        <v>7931</v>
      </c>
      <c r="BW2" s="1242" t="s">
        <v>7932</v>
      </c>
      <c r="BX2" s="1242" t="s">
        <v>7933</v>
      </c>
      <c r="BY2" s="1242" t="s">
        <v>7934</v>
      </c>
      <c r="BZ2" s="1242" t="s">
        <v>7935</v>
      </c>
      <c r="CA2" s="1242" t="s">
        <v>7936</v>
      </c>
      <c r="CB2" s="1242" t="s">
        <v>7937</v>
      </c>
      <c r="CC2" s="1242" t="s">
        <v>7938</v>
      </c>
      <c r="CD2" s="1242" t="s">
        <v>7939</v>
      </c>
      <c r="CE2" s="1243" t="s">
        <v>7865</v>
      </c>
      <c r="CF2" s="1243" t="s">
        <v>7868</v>
      </c>
      <c r="CG2" s="1243" t="s">
        <v>7872</v>
      </c>
      <c r="CH2" s="1243" t="s">
        <v>7874</v>
      </c>
      <c r="CI2" s="1243" t="s">
        <v>7875</v>
      </c>
      <c r="CJ2" s="1243" t="s">
        <v>7878</v>
      </c>
      <c r="CK2" s="1243" t="s">
        <v>7940</v>
      </c>
      <c r="CL2" s="1243" t="s">
        <v>7941</v>
      </c>
      <c r="CM2" s="1244" t="s">
        <v>7942</v>
      </c>
      <c r="CN2" s="1244" t="s">
        <v>7943</v>
      </c>
      <c r="CO2" s="1244" t="s">
        <v>7944</v>
      </c>
      <c r="CP2" s="1245" t="s">
        <v>7945</v>
      </c>
      <c r="CQ2" s="1245" t="s">
        <v>7946</v>
      </c>
      <c r="CR2" s="1245" t="s">
        <v>7947</v>
      </c>
      <c r="CS2" s="1245" t="s">
        <v>7948</v>
      </c>
      <c r="CT2" s="1246" t="s">
        <v>7949</v>
      </c>
    </row>
    <row r="3">
      <c r="A3" s="1247" t="s">
        <v>6466</v>
      </c>
      <c r="B3" s="1041" t="s">
        <v>7950</v>
      </c>
      <c r="C3" s="1042" t="s">
        <v>337</v>
      </c>
      <c r="D3" s="1043" t="s">
        <v>448</v>
      </c>
      <c r="E3" s="1044" t="s">
        <v>667</v>
      </c>
      <c r="F3" s="1045" t="s">
        <v>220</v>
      </c>
      <c r="G3" s="1041" t="s">
        <v>3599</v>
      </c>
      <c r="H3" s="795" t="s">
        <v>7951</v>
      </c>
      <c r="I3" s="1248" t="s">
        <v>7952</v>
      </c>
      <c r="J3" s="795" t="s">
        <v>7653</v>
      </c>
      <c r="K3" s="770" t="s">
        <v>7953</v>
      </c>
      <c r="L3" s="1248" t="s">
        <v>7954</v>
      </c>
      <c r="M3" s="1249" t="s">
        <v>7955</v>
      </c>
      <c r="N3" s="795" t="s">
        <v>7956</v>
      </c>
      <c r="O3" s="1248" t="s">
        <v>7957</v>
      </c>
      <c r="P3" s="1250" t="s">
        <v>7958</v>
      </c>
      <c r="Q3" s="1250" t="s">
        <v>7959</v>
      </c>
      <c r="R3" s="795" t="s">
        <v>7960</v>
      </c>
      <c r="S3" s="1251" t="s">
        <v>7961</v>
      </c>
      <c r="T3" s="783" t="s">
        <v>7962</v>
      </c>
      <c r="U3" s="1252" t="s">
        <v>7963</v>
      </c>
      <c r="V3" s="795" t="s">
        <v>7964</v>
      </c>
      <c r="W3" s="795" t="s">
        <v>2442</v>
      </c>
      <c r="X3" s="1251" t="s">
        <v>1857</v>
      </c>
      <c r="Y3" s="795" t="s">
        <v>1961</v>
      </c>
      <c r="Z3" s="1251" t="s">
        <v>7965</v>
      </c>
      <c r="AA3" s="795" t="s">
        <v>4558</v>
      </c>
      <c r="AB3" s="1251"/>
      <c r="AC3" s="795" t="s">
        <v>3558</v>
      </c>
      <c r="AD3" s="795" t="s">
        <v>3924</v>
      </c>
      <c r="AE3" s="795" t="s">
        <v>7966</v>
      </c>
      <c r="AF3" s="1251" t="s">
        <v>7967</v>
      </c>
      <c r="AG3" s="1251"/>
      <c r="AH3" s="1251" t="s">
        <v>7968</v>
      </c>
      <c r="AI3" s="1251" t="s">
        <v>7969</v>
      </c>
      <c r="AJ3" s="1253"/>
      <c r="AK3" s="1251"/>
      <c r="AL3" s="795"/>
      <c r="AM3" s="1251" t="s">
        <v>7970</v>
      </c>
      <c r="AN3" s="1252" t="s">
        <v>7971</v>
      </c>
      <c r="AO3" s="1252" t="s">
        <v>7972</v>
      </c>
      <c r="AP3" s="1252" t="s">
        <v>7973</v>
      </c>
      <c r="AQ3" s="1252" t="s">
        <v>7974</v>
      </c>
      <c r="AR3" s="1252" t="s">
        <v>7975</v>
      </c>
      <c r="AS3" s="1252" t="s">
        <v>7976</v>
      </c>
      <c r="AT3" s="1249" t="s">
        <v>7977</v>
      </c>
      <c r="AU3" s="1252" t="s">
        <v>7978</v>
      </c>
      <c r="AV3" s="1252" t="s">
        <v>7979</v>
      </c>
      <c r="AW3" s="783" t="s">
        <v>7980</v>
      </c>
      <c r="AX3" s="1252" t="s">
        <v>7981</v>
      </c>
      <c r="AY3" s="1251" t="s">
        <v>7982</v>
      </c>
      <c r="AZ3" s="1251" t="s">
        <v>3342</v>
      </c>
      <c r="BA3" s="1252" t="s">
        <v>7983</v>
      </c>
      <c r="BB3" s="1251" t="s">
        <v>7984</v>
      </c>
      <c r="BC3" s="1251" t="s">
        <v>7985</v>
      </c>
      <c r="BD3" s="795" t="s">
        <v>7986</v>
      </c>
      <c r="BE3" s="1251"/>
      <c r="BF3" s="1252" t="s">
        <v>7987</v>
      </c>
      <c r="BG3" s="1251"/>
      <c r="BH3" s="1251"/>
      <c r="BI3" s="1251" t="s">
        <v>7988</v>
      </c>
      <c r="BJ3" s="1251"/>
      <c r="BK3" s="1251"/>
      <c r="BL3" s="795"/>
      <c r="BM3" s="1251" t="s">
        <v>7989</v>
      </c>
      <c r="BN3" s="1251"/>
      <c r="BO3" s="1251"/>
      <c r="BP3" s="1251"/>
      <c r="BQ3" s="795" t="s">
        <v>7990</v>
      </c>
      <c r="BR3" s="1253"/>
      <c r="BS3" s="795" t="s">
        <v>7991</v>
      </c>
      <c r="BT3" s="1253"/>
      <c r="BU3" s="795" t="s">
        <v>7992</v>
      </c>
      <c r="BV3" s="1211"/>
      <c r="BW3" s="1253"/>
      <c r="BX3" s="1251" t="s">
        <v>4089</v>
      </c>
      <c r="BY3" s="1253"/>
      <c r="BZ3" s="1211"/>
      <c r="CA3" s="1251" t="s">
        <v>3594</v>
      </c>
      <c r="CB3" s="1251" t="s">
        <v>377</v>
      </c>
      <c r="CC3" s="1251" t="s">
        <v>2507</v>
      </c>
      <c r="CD3" s="1251"/>
      <c r="CE3" s="795" t="s">
        <v>7993</v>
      </c>
      <c r="CF3" s="795" t="s">
        <v>7994</v>
      </c>
      <c r="CG3" s="1251"/>
      <c r="CH3" s="1251"/>
      <c r="CI3" s="1251"/>
      <c r="CJ3" s="1251"/>
      <c r="CK3" s="1251"/>
      <c r="CL3" s="1251"/>
      <c r="CM3" s="1251"/>
      <c r="CN3" s="795"/>
      <c r="CO3" s="1251"/>
      <c r="CP3" s="795" t="s">
        <v>7995</v>
      </c>
      <c r="CQ3" s="795" t="s">
        <v>7996</v>
      </c>
      <c r="CR3" s="1251"/>
      <c r="CS3" s="1251"/>
      <c r="CT3" s="1251" t="s">
        <v>7997</v>
      </c>
    </row>
    <row r="4">
      <c r="A4" s="1254" t="s">
        <v>6445</v>
      </c>
      <c r="B4" s="1041" t="s">
        <v>7998</v>
      </c>
      <c r="C4" s="1042" t="s">
        <v>450</v>
      </c>
      <c r="D4" s="1043" t="s">
        <v>336</v>
      </c>
      <c r="E4" s="1044" t="s">
        <v>1033</v>
      </c>
      <c r="F4" s="1045" t="s">
        <v>6113</v>
      </c>
      <c r="G4" s="1041" t="s">
        <v>4963</v>
      </c>
      <c r="H4" s="1255" t="s">
        <v>7999</v>
      </c>
      <c r="I4" s="1256" t="s">
        <v>8000</v>
      </c>
      <c r="J4" s="1211"/>
      <c r="K4" s="795" t="s">
        <v>8001</v>
      </c>
      <c r="L4" s="1253"/>
      <c r="M4" s="1252" t="s">
        <v>8002</v>
      </c>
      <c r="N4" s="1211"/>
      <c r="O4" s="783" t="s">
        <v>8003</v>
      </c>
      <c r="P4" s="1248" t="s">
        <v>8004</v>
      </c>
      <c r="Q4" s="1253"/>
      <c r="R4" s="783" t="s">
        <v>8005</v>
      </c>
      <c r="S4" s="1211"/>
      <c r="T4" s="795" t="s">
        <v>8006</v>
      </c>
      <c r="U4" s="783" t="s">
        <v>7505</v>
      </c>
      <c r="V4" s="1252" t="s">
        <v>8007</v>
      </c>
      <c r="W4" s="783" t="s">
        <v>1424</v>
      </c>
      <c r="X4" s="783" t="s">
        <v>1805</v>
      </c>
      <c r="Y4" s="783" t="s">
        <v>1657</v>
      </c>
      <c r="Z4" s="1252" t="s">
        <v>3421</v>
      </c>
      <c r="AA4" s="1257"/>
      <c r="AB4" s="1258" t="s">
        <v>8008</v>
      </c>
      <c r="AC4" s="783" t="s">
        <v>3443</v>
      </c>
      <c r="AD4" s="783" t="s">
        <v>6328</v>
      </c>
      <c r="AE4" s="1257"/>
      <c r="AF4" s="1248" t="s">
        <v>7756</v>
      </c>
      <c r="AG4" s="1253"/>
      <c r="AH4" s="1250" t="s">
        <v>8009</v>
      </c>
      <c r="AI4" s="1250" t="s">
        <v>5083</v>
      </c>
      <c r="AJ4" s="1253"/>
      <c r="AK4" s="783" t="s">
        <v>8010</v>
      </c>
      <c r="AL4" s="1211"/>
      <c r="AM4" s="1248" t="s">
        <v>8011</v>
      </c>
      <c r="AN4" s="795" t="s">
        <v>8012</v>
      </c>
      <c r="AO4" s="795" t="s">
        <v>8013</v>
      </c>
      <c r="AP4" s="1248" t="s">
        <v>7970</v>
      </c>
      <c r="AQ4" s="1211"/>
      <c r="AR4" s="795" t="s">
        <v>8014</v>
      </c>
      <c r="AS4" s="1211"/>
      <c r="AT4" s="1248" t="s">
        <v>7977</v>
      </c>
      <c r="AU4" s="1248" t="s">
        <v>8015</v>
      </c>
      <c r="AV4" s="1211"/>
      <c r="AW4" s="1248" t="s">
        <v>8016</v>
      </c>
      <c r="AX4" s="1211"/>
      <c r="AY4" s="1211"/>
      <c r="AZ4" s="1248" t="s">
        <v>1650</v>
      </c>
      <c r="BA4" s="1250" t="s">
        <v>5310</v>
      </c>
      <c r="BB4" s="1248" t="s">
        <v>8017</v>
      </c>
      <c r="BC4" s="783" t="s">
        <v>8018</v>
      </c>
      <c r="BD4" s="1252" t="s">
        <v>8019</v>
      </c>
      <c r="BE4" s="1253"/>
      <c r="BF4" s="1211"/>
      <c r="BG4" s="1253"/>
      <c r="BH4" s="1253"/>
      <c r="BI4" s="1253"/>
      <c r="BJ4" s="1253"/>
      <c r="BK4" s="1253"/>
      <c r="BL4" s="1211"/>
      <c r="BM4" s="1253"/>
      <c r="BN4" s="1253"/>
      <c r="BO4" s="1253"/>
      <c r="BP4" s="1253"/>
      <c r="BQ4" s="1253"/>
      <c r="BR4" s="1253"/>
      <c r="BS4" s="1253"/>
      <c r="BT4" s="1253"/>
      <c r="BU4" s="1253"/>
      <c r="BV4" s="1211"/>
      <c r="BW4" s="1252" t="s">
        <v>5385</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6454</v>
      </c>
      <c r="B5" s="1041" t="s">
        <v>8020</v>
      </c>
      <c r="C5" s="1042" t="s">
        <v>336</v>
      </c>
      <c r="D5" s="1043" t="s">
        <v>450</v>
      </c>
      <c r="E5" s="1044" t="s">
        <v>1483</v>
      </c>
      <c r="F5" s="1045" t="s">
        <v>1250</v>
      </c>
      <c r="G5" s="1041" t="s">
        <v>5660</v>
      </c>
      <c r="H5" s="795" t="s">
        <v>8021</v>
      </c>
      <c r="I5" s="795" t="s">
        <v>7710</v>
      </c>
      <c r="J5" s="795"/>
      <c r="K5" s="1250" t="s">
        <v>8022</v>
      </c>
      <c r="L5" s="1252" t="s">
        <v>8023</v>
      </c>
      <c r="M5" s="795"/>
      <c r="N5" s="795"/>
      <c r="O5" s="783" t="s">
        <v>8024</v>
      </c>
      <c r="P5" s="795" t="s">
        <v>8025</v>
      </c>
      <c r="Q5" s="795" t="s">
        <v>8026</v>
      </c>
      <c r="R5" s="1252" t="s">
        <v>8027</v>
      </c>
      <c r="S5" s="795"/>
      <c r="T5" s="1250" t="s">
        <v>8028</v>
      </c>
      <c r="U5" s="1250" t="s">
        <v>8029</v>
      </c>
      <c r="V5" s="795"/>
      <c r="W5" s="795" t="s">
        <v>6494</v>
      </c>
      <c r="X5" s="795"/>
      <c r="Y5" s="795" t="s">
        <v>8030</v>
      </c>
      <c r="Z5" s="1250" t="s">
        <v>1184</v>
      </c>
      <c r="AA5" s="1257"/>
      <c r="AB5" s="1257"/>
      <c r="AC5" s="795" t="s">
        <v>8031</v>
      </c>
      <c r="AD5" s="1211"/>
      <c r="AE5" s="795"/>
      <c r="AF5" s="795" t="s">
        <v>8032</v>
      </c>
      <c r="AG5" s="795"/>
      <c r="AH5" s="795" t="s">
        <v>8033</v>
      </c>
      <c r="AI5" s="795" t="s">
        <v>2108</v>
      </c>
      <c r="AJ5" s="1211"/>
      <c r="AK5" s="795"/>
      <c r="AL5" s="795"/>
      <c r="AM5" s="795" t="s">
        <v>8034</v>
      </c>
      <c r="AN5" s="1211"/>
      <c r="AO5" s="1211"/>
      <c r="AP5" s="795" t="s">
        <v>8035</v>
      </c>
      <c r="AQ5" s="1250" t="s">
        <v>8036</v>
      </c>
      <c r="AR5" s="795" t="s">
        <v>8037</v>
      </c>
      <c r="AS5" s="795"/>
      <c r="AT5" s="795" t="s">
        <v>8038</v>
      </c>
      <c r="AU5" s="783" t="s">
        <v>8039</v>
      </c>
      <c r="AV5" s="795"/>
      <c r="AW5" s="1260" t="s">
        <v>8040</v>
      </c>
      <c r="AX5" s="114"/>
      <c r="AY5" s="114" t="s">
        <v>8041</v>
      </c>
      <c r="AZ5" s="795" t="s">
        <v>2972</v>
      </c>
      <c r="BA5" s="795"/>
      <c r="BB5" s="795" t="s">
        <v>8019</v>
      </c>
      <c r="BC5" s="1252" t="s">
        <v>8042</v>
      </c>
      <c r="BD5" s="795" t="s">
        <v>8043</v>
      </c>
      <c r="BE5" s="795"/>
      <c r="BF5" s="795"/>
      <c r="BG5" s="795" t="s">
        <v>8044</v>
      </c>
      <c r="BH5" s="795"/>
      <c r="BI5" s="795"/>
      <c r="BJ5" s="795"/>
      <c r="BK5" s="795" t="s">
        <v>8045</v>
      </c>
      <c r="BL5" s="795"/>
      <c r="BM5" s="795"/>
      <c r="BN5" s="795"/>
      <c r="BO5" s="795"/>
      <c r="BP5" s="795" t="s">
        <v>8046</v>
      </c>
      <c r="BQ5" s="1211"/>
      <c r="BR5" s="1211"/>
      <c r="BS5" s="1211"/>
      <c r="BT5" s="1211"/>
      <c r="BU5" s="1211"/>
      <c r="BV5" s="795"/>
      <c r="BW5" s="795" t="s">
        <v>6738</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6472</v>
      </c>
      <c r="B6" s="1041" t="s">
        <v>7517</v>
      </c>
      <c r="C6" s="1042" t="s">
        <v>1033</v>
      </c>
      <c r="D6" s="1043" t="s">
        <v>337</v>
      </c>
      <c r="E6" s="1044" t="s">
        <v>336</v>
      </c>
      <c r="F6" s="1045" t="s">
        <v>6113</v>
      </c>
      <c r="G6" s="1041" t="s">
        <v>5838</v>
      </c>
      <c r="H6" s="1250" t="s">
        <v>8047</v>
      </c>
      <c r="I6" s="783" t="s">
        <v>8048</v>
      </c>
      <c r="J6" s="795"/>
      <c r="K6" s="1248" t="s">
        <v>8049</v>
      </c>
      <c r="L6" s="783" t="s">
        <v>8050</v>
      </c>
      <c r="M6" s="1211"/>
      <c r="N6" s="1211"/>
      <c r="O6" s="783" t="s">
        <v>8051</v>
      </c>
      <c r="P6" s="1211"/>
      <c r="Q6" s="795" t="s">
        <v>8052</v>
      </c>
      <c r="R6" s="1250" t="s">
        <v>8053</v>
      </c>
      <c r="S6" s="1211"/>
      <c r="T6" s="1248" t="s">
        <v>8054</v>
      </c>
      <c r="U6" s="1248" t="s">
        <v>694</v>
      </c>
      <c r="V6" s="795" t="s">
        <v>8055</v>
      </c>
      <c r="W6" s="1211"/>
      <c r="X6" s="1248" t="s">
        <v>6088</v>
      </c>
      <c r="Y6" s="1250" t="s">
        <v>2631</v>
      </c>
      <c r="Z6" s="1211"/>
      <c r="AA6" s="1211"/>
      <c r="AB6" s="1211"/>
      <c r="AC6" s="1211"/>
      <c r="AD6" s="795" t="s">
        <v>8056</v>
      </c>
      <c r="AE6" s="1257"/>
      <c r="AF6" s="783" t="s">
        <v>476</v>
      </c>
      <c r="AG6" s="1257"/>
      <c r="AH6" s="1211"/>
      <c r="AI6" s="1211"/>
      <c r="AJ6" s="1252" t="s">
        <v>2303</v>
      </c>
      <c r="AK6" s="1250" t="s">
        <v>6076</v>
      </c>
      <c r="AL6" s="1262" t="s">
        <v>8057</v>
      </c>
      <c r="AM6" s="1250" t="s">
        <v>8058</v>
      </c>
      <c r="AN6" s="1211"/>
      <c r="AO6" s="1211"/>
      <c r="AP6" s="795" t="s">
        <v>7970</v>
      </c>
      <c r="AQ6" s="795"/>
      <c r="AR6" s="1250" t="s">
        <v>8059</v>
      </c>
      <c r="AS6" s="1257"/>
      <c r="AT6" s="1252" t="s">
        <v>8060</v>
      </c>
      <c r="AU6" s="783" t="s">
        <v>8061</v>
      </c>
      <c r="AV6" s="1250" t="s">
        <v>8062</v>
      </c>
      <c r="AW6" s="1250" t="s">
        <v>8063</v>
      </c>
      <c r="AX6" s="1211"/>
      <c r="AY6" s="1211"/>
      <c r="AZ6" s="1252" t="s">
        <v>4686</v>
      </c>
      <c r="BA6" s="1257"/>
      <c r="BB6" s="1250" t="s">
        <v>8064</v>
      </c>
      <c r="BC6" s="1250" t="s">
        <v>8065</v>
      </c>
      <c r="BD6" s="1211"/>
      <c r="BE6" s="1211"/>
      <c r="BF6" s="1211"/>
      <c r="BG6" s="1263" t="s">
        <v>8066</v>
      </c>
      <c r="BH6" s="1152"/>
      <c r="BI6" s="1152"/>
      <c r="BJ6" s="1152"/>
      <c r="BK6" s="1263" t="s">
        <v>8067</v>
      </c>
      <c r="BL6" s="1152"/>
      <c r="BM6" s="1114" t="s">
        <v>8068</v>
      </c>
      <c r="BN6" s="1069" t="s">
        <v>8069</v>
      </c>
      <c r="BO6" s="1152"/>
      <c r="BP6" s="1152"/>
      <c r="BQ6" s="1264"/>
      <c r="BR6" s="1211"/>
      <c r="BS6" s="1252" t="s">
        <v>8070</v>
      </c>
      <c r="BT6" s="1211"/>
      <c r="BU6" s="1211"/>
      <c r="BV6" s="1211"/>
      <c r="BW6" s="1211"/>
      <c r="BX6" s="1211"/>
      <c r="BY6" s="1211"/>
      <c r="BZ6" s="1211"/>
      <c r="CA6" s="1211"/>
      <c r="CB6" s="1211"/>
      <c r="CC6" s="1250" t="s">
        <v>462</v>
      </c>
      <c r="CD6" s="1257"/>
      <c r="CE6" s="1265"/>
      <c r="CF6" s="1265"/>
      <c r="CG6" s="1266"/>
      <c r="CH6" s="1266"/>
      <c r="CI6" s="1265" t="s">
        <v>8071</v>
      </c>
      <c r="CJ6" s="1266"/>
      <c r="CK6" s="1266"/>
      <c r="CL6" s="1265" t="s">
        <v>5660</v>
      </c>
      <c r="CM6" s="1267" t="s">
        <v>2314</v>
      </c>
      <c r="CN6" s="1267" t="s">
        <v>3317</v>
      </c>
      <c r="CO6" s="1265"/>
      <c r="CP6" s="1265"/>
      <c r="CQ6" s="1265"/>
      <c r="CR6" s="1265"/>
      <c r="CS6" s="1267" t="s">
        <v>8072</v>
      </c>
      <c r="CT6" s="101"/>
    </row>
    <row r="7">
      <c r="A7" s="1268" t="s">
        <v>7257</v>
      </c>
      <c r="B7" s="1041" t="s">
        <v>8073</v>
      </c>
      <c r="C7" s="1042" t="s">
        <v>336</v>
      </c>
      <c r="D7" s="1043" t="s">
        <v>449</v>
      </c>
      <c r="E7" s="1044" t="s">
        <v>449</v>
      </c>
      <c r="F7" s="1045" t="s">
        <v>5026</v>
      </c>
      <c r="G7" s="1041" t="s">
        <v>2972</v>
      </c>
      <c r="H7" s="783" t="s">
        <v>8074</v>
      </c>
      <c r="I7" s="770" t="s">
        <v>8075</v>
      </c>
      <c r="J7" s="1269"/>
      <c r="K7" s="783" t="s">
        <v>8076</v>
      </c>
      <c r="L7" s="1270"/>
      <c r="M7" s="1248" t="s">
        <v>8077</v>
      </c>
      <c r="N7" s="1211"/>
      <c r="O7" s="1211"/>
      <c r="P7" s="1251" t="s">
        <v>8078</v>
      </c>
      <c r="Q7" s="1253"/>
      <c r="R7" s="795"/>
      <c r="S7" s="1211"/>
      <c r="T7" s="1211"/>
      <c r="U7" s="1251" t="s">
        <v>8079</v>
      </c>
      <c r="V7" s="1251"/>
      <c r="W7" s="1248" t="s">
        <v>2213</v>
      </c>
      <c r="X7" s="783" t="s">
        <v>2268</v>
      </c>
      <c r="Y7" s="783" t="s">
        <v>2160</v>
      </c>
      <c r="Z7" s="1248" t="s">
        <v>8080</v>
      </c>
      <c r="AA7" s="1257"/>
      <c r="AB7" s="1257"/>
      <c r="AC7" s="1251" t="s">
        <v>8081</v>
      </c>
      <c r="AD7" s="783" t="s">
        <v>4580</v>
      </c>
      <c r="AE7" s="1257"/>
      <c r="AF7" s="783" t="s">
        <v>8082</v>
      </c>
      <c r="AG7" s="1270"/>
      <c r="AH7" s="1251" t="s">
        <v>1980</v>
      </c>
      <c r="AI7" s="1251" t="s">
        <v>1403</v>
      </c>
      <c r="AJ7" s="1251"/>
      <c r="AK7" s="795" t="s">
        <v>8083</v>
      </c>
      <c r="AL7" s="1251" t="s">
        <v>6249</v>
      </c>
      <c r="AM7" s="1271" t="s">
        <v>8084</v>
      </c>
      <c r="AN7" s="1248" t="s">
        <v>8085</v>
      </c>
      <c r="AO7" s="1250" t="s">
        <v>8086</v>
      </c>
      <c r="AP7" s="783" t="s">
        <v>8087</v>
      </c>
      <c r="AQ7" s="1257"/>
      <c r="AR7" s="783" t="s">
        <v>8088</v>
      </c>
      <c r="AS7" s="1257"/>
      <c r="AT7" s="1250" t="s">
        <v>8045</v>
      </c>
      <c r="AU7" s="783" t="s">
        <v>8089</v>
      </c>
      <c r="AV7" s="1257"/>
      <c r="AW7" s="1272" t="s">
        <v>8090</v>
      </c>
      <c r="AX7" s="1257"/>
      <c r="AY7" s="1250" t="s">
        <v>8091</v>
      </c>
      <c r="AZ7" s="783" t="s">
        <v>5163</v>
      </c>
      <c r="BA7" s="1257"/>
      <c r="BB7" s="783" t="s">
        <v>8092</v>
      </c>
      <c r="BC7" s="1272" t="s">
        <v>8093</v>
      </c>
      <c r="BD7" s="1248" t="s">
        <v>8094</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8095</v>
      </c>
      <c r="BZ7" s="1250" t="s">
        <v>8096</v>
      </c>
      <c r="CA7" s="1252" t="s">
        <v>1409</v>
      </c>
      <c r="CB7" s="1252" t="s">
        <v>8097</v>
      </c>
      <c r="CC7" s="1252" t="s">
        <v>490</v>
      </c>
      <c r="CD7" s="1274" t="s">
        <v>2608</v>
      </c>
      <c r="CE7" s="1253"/>
      <c r="CF7" s="1211"/>
      <c r="CG7" s="1253"/>
      <c r="CH7" s="1253"/>
      <c r="CI7" s="1253"/>
      <c r="CJ7" s="1253"/>
      <c r="CK7" s="1253"/>
      <c r="CL7" s="1253"/>
      <c r="CM7" s="1253"/>
      <c r="CN7" s="1211"/>
      <c r="CO7" s="1253"/>
      <c r="CP7" s="1253"/>
      <c r="CQ7" s="1253"/>
      <c r="CR7" s="1253"/>
      <c r="CS7" s="1253"/>
      <c r="CT7" s="795" t="s">
        <v>8098</v>
      </c>
    </row>
    <row r="8">
      <c r="A8" s="1275" t="s">
        <v>8099</v>
      </c>
      <c r="B8" s="1041" t="s">
        <v>8100</v>
      </c>
      <c r="C8" s="1042" t="s">
        <v>562</v>
      </c>
      <c r="D8" s="1043" t="s">
        <v>336</v>
      </c>
      <c r="E8" s="1044" t="s">
        <v>450</v>
      </c>
      <c r="F8" s="1045" t="s">
        <v>5796</v>
      </c>
      <c r="G8" s="1041" t="s">
        <v>7395</v>
      </c>
      <c r="H8" s="783" t="s">
        <v>8101</v>
      </c>
      <c r="I8" s="783" t="s">
        <v>8102</v>
      </c>
      <c r="J8" s="1257"/>
      <c r="K8" s="1211"/>
      <c r="L8" s="1253"/>
      <c r="M8" s="1211"/>
      <c r="N8" s="1211"/>
      <c r="O8" s="1211"/>
      <c r="P8" s="795" t="s">
        <v>8103</v>
      </c>
      <c r="Q8" s="1253"/>
      <c r="R8" s="1248" t="s">
        <v>8104</v>
      </c>
      <c r="S8" s="1211"/>
      <c r="T8" s="1211"/>
      <c r="U8" s="1271" t="s">
        <v>8105</v>
      </c>
      <c r="V8" s="1270"/>
      <c r="W8" s="1249" t="s">
        <v>815</v>
      </c>
      <c r="X8" s="1270" t="s">
        <v>3847</v>
      </c>
      <c r="Y8" s="1276" t="s">
        <v>5080</v>
      </c>
      <c r="Z8" s="1257"/>
      <c r="AA8" s="1257" t="s">
        <v>8106</v>
      </c>
      <c r="AB8" s="1270"/>
      <c r="AC8" s="1248" t="s">
        <v>8107</v>
      </c>
      <c r="AD8" s="783" t="s">
        <v>851</v>
      </c>
      <c r="AE8" s="1257"/>
      <c r="AF8" s="1257"/>
      <c r="AG8" s="1270"/>
      <c r="AH8" s="1253"/>
      <c r="AI8" s="1253"/>
      <c r="AJ8" s="1253"/>
      <c r="AK8" s="1251" t="s">
        <v>329</v>
      </c>
      <c r="AL8" s="795"/>
      <c r="AM8" s="1252" t="s">
        <v>8108</v>
      </c>
      <c r="AN8" s="1251" t="s">
        <v>8109</v>
      </c>
      <c r="AO8" s="1211"/>
      <c r="AP8" s="783" t="s">
        <v>8085</v>
      </c>
      <c r="AQ8" s="1257"/>
      <c r="AR8" s="1211"/>
      <c r="AS8" s="1211"/>
      <c r="AT8" s="783" t="s">
        <v>8110</v>
      </c>
      <c r="AU8" s="795"/>
      <c r="AV8" s="795"/>
      <c r="AW8" s="783" t="s">
        <v>8111</v>
      </c>
      <c r="AX8" s="1211"/>
      <c r="AY8" s="1211"/>
      <c r="AZ8" s="1211"/>
      <c r="BA8" s="1211"/>
      <c r="BB8" s="783" t="s">
        <v>8112</v>
      </c>
      <c r="BC8" s="1251" t="s">
        <v>8113</v>
      </c>
      <c r="BD8" s="1211"/>
      <c r="BE8" s="1253"/>
      <c r="BF8" s="1211"/>
      <c r="BG8" s="1153"/>
      <c r="BH8" s="1102" t="s">
        <v>8114</v>
      </c>
      <c r="BI8" s="1153"/>
      <c r="BJ8" s="1153"/>
      <c r="BK8" s="1153"/>
      <c r="BL8" s="1152"/>
      <c r="BM8" s="1153"/>
      <c r="BN8" s="1153"/>
      <c r="BO8" s="1153"/>
      <c r="BP8" s="1153"/>
      <c r="BQ8" s="1253"/>
      <c r="BR8" s="1253"/>
      <c r="BS8" s="1250" t="s">
        <v>8115</v>
      </c>
      <c r="BT8" s="1253"/>
      <c r="BU8" s="1253"/>
      <c r="BV8" s="1277" t="s">
        <v>1183</v>
      </c>
      <c r="BW8" s="1248" t="s">
        <v>3648</v>
      </c>
      <c r="BX8" s="1250" t="s">
        <v>2399</v>
      </c>
      <c r="BY8" s="1271" t="s">
        <v>3806</v>
      </c>
      <c r="BZ8" s="1257"/>
      <c r="CA8" s="1250" t="s">
        <v>2053</v>
      </c>
      <c r="CB8" s="1271" t="s">
        <v>2957</v>
      </c>
      <c r="CC8" s="1278" t="s">
        <v>3517</v>
      </c>
      <c r="CD8" s="1279"/>
      <c r="CE8" s="1280"/>
      <c r="CF8" s="1266"/>
      <c r="CG8" s="1280"/>
      <c r="CH8" s="1280"/>
      <c r="CI8" s="1280"/>
      <c r="CJ8" s="1280"/>
      <c r="CK8" s="1280"/>
      <c r="CL8" s="1280"/>
      <c r="CM8" s="1281" t="s">
        <v>3756</v>
      </c>
      <c r="CN8" s="1266"/>
      <c r="CO8" s="1280"/>
      <c r="CP8" s="1280"/>
      <c r="CQ8" s="1282" t="s">
        <v>8090</v>
      </c>
      <c r="CR8" s="1280"/>
      <c r="CS8" s="1280"/>
      <c r="CT8" s="1283"/>
    </row>
    <row r="9">
      <c r="A9" s="1284" t="s">
        <v>3006</v>
      </c>
      <c r="B9" s="1041" t="s">
        <v>6237</v>
      </c>
      <c r="C9" s="1042" t="s">
        <v>448</v>
      </c>
      <c r="D9" s="1043" t="s">
        <v>448</v>
      </c>
      <c r="E9" s="1044" t="s">
        <v>1483</v>
      </c>
      <c r="F9" s="1045" t="s">
        <v>338</v>
      </c>
      <c r="G9" s="1041" t="s">
        <v>4963</v>
      </c>
      <c r="H9" s="1285"/>
      <c r="I9" s="1285" t="s">
        <v>8116</v>
      </c>
      <c r="J9" s="1211"/>
      <c r="K9" s="795" t="s">
        <v>8117</v>
      </c>
      <c r="L9" s="783" t="s">
        <v>8118</v>
      </c>
      <c r="M9" s="795" t="s">
        <v>8119</v>
      </c>
      <c r="N9" s="1211"/>
      <c r="O9" s="795" t="s">
        <v>8120</v>
      </c>
      <c r="P9" s="795" t="s">
        <v>8121</v>
      </c>
      <c r="Q9" s="795" t="s">
        <v>8122</v>
      </c>
      <c r="R9" s="795" t="s">
        <v>8123</v>
      </c>
      <c r="S9" s="1250" t="s">
        <v>3044</v>
      </c>
      <c r="T9" s="1211"/>
      <c r="U9" s="795" t="s">
        <v>3997</v>
      </c>
      <c r="V9" s="1253"/>
      <c r="W9" s="795" t="s">
        <v>5035</v>
      </c>
      <c r="X9" s="783" t="s">
        <v>3677</v>
      </c>
      <c r="Y9" s="783" t="s">
        <v>8124</v>
      </c>
      <c r="Z9" s="1211"/>
      <c r="AA9" s="1252" t="s">
        <v>5711</v>
      </c>
      <c r="AB9" s="1253"/>
      <c r="AC9" s="795" t="s">
        <v>5823</v>
      </c>
      <c r="AD9" s="795" t="s">
        <v>2069</v>
      </c>
      <c r="AE9" s="795"/>
      <c r="AF9" s="795" t="s">
        <v>5685</v>
      </c>
      <c r="AG9" s="1253"/>
      <c r="AH9" s="1253"/>
      <c r="AI9" s="1253"/>
      <c r="AJ9" s="1253"/>
      <c r="AK9" s="1211"/>
      <c r="AL9" s="1211"/>
      <c r="AM9" s="1251" t="s">
        <v>8090</v>
      </c>
      <c r="AN9" s="1211"/>
      <c r="AO9" s="1211"/>
      <c r="AP9" s="795" t="s">
        <v>8125</v>
      </c>
      <c r="AQ9" s="795" t="s">
        <v>8125</v>
      </c>
      <c r="AR9" s="795" t="s">
        <v>8126</v>
      </c>
      <c r="AS9" s="795" t="s">
        <v>8127</v>
      </c>
      <c r="AT9" s="795" t="s">
        <v>8127</v>
      </c>
      <c r="AU9" s="1250" t="s">
        <v>8128</v>
      </c>
      <c r="AV9" s="795" t="s">
        <v>8110</v>
      </c>
      <c r="AW9" s="795" t="s">
        <v>8084</v>
      </c>
      <c r="AX9" s="1211"/>
      <c r="AY9" s="1252" t="s">
        <v>8129</v>
      </c>
      <c r="AZ9" s="795" t="s">
        <v>3342</v>
      </c>
      <c r="BA9" s="795"/>
      <c r="BB9" s="795" t="s">
        <v>8094</v>
      </c>
      <c r="BC9" s="1251" t="s">
        <v>8130</v>
      </c>
      <c r="BD9" s="1251" t="s">
        <v>8131</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3444</v>
      </c>
      <c r="BZ9" s="1211"/>
      <c r="CA9" s="1253"/>
      <c r="CB9" s="795" t="s">
        <v>3655</v>
      </c>
      <c r="CC9" s="1253"/>
      <c r="CD9" s="1253"/>
      <c r="CE9" s="1280"/>
      <c r="CF9" s="1266"/>
      <c r="CG9" s="1280"/>
      <c r="CH9" s="1280"/>
      <c r="CI9" s="1280"/>
      <c r="CJ9" s="1280"/>
      <c r="CK9" s="1280"/>
      <c r="CL9" s="1280"/>
      <c r="CM9" s="1280"/>
      <c r="CN9" s="1266"/>
      <c r="CO9" s="1280"/>
      <c r="CP9" s="1280"/>
      <c r="CQ9" s="1280"/>
      <c r="CR9" s="1280"/>
      <c r="CS9" s="1265" t="s">
        <v>8132</v>
      </c>
      <c r="CT9" s="1211"/>
    </row>
    <row r="10">
      <c r="A10" s="1287" t="s">
        <v>2234</v>
      </c>
      <c r="B10" s="1041" t="s">
        <v>8133</v>
      </c>
      <c r="C10" s="1042" t="s">
        <v>1483</v>
      </c>
      <c r="D10" s="1043" t="s">
        <v>448</v>
      </c>
      <c r="E10" s="1044" t="s">
        <v>448</v>
      </c>
      <c r="F10" s="1045" t="s">
        <v>336</v>
      </c>
      <c r="G10" s="1041" t="s">
        <v>4686</v>
      </c>
      <c r="H10" s="1285" t="s">
        <v>8134</v>
      </c>
      <c r="I10" s="1288" t="s">
        <v>2247</v>
      </c>
      <c r="J10" s="795" t="s">
        <v>8135</v>
      </c>
      <c r="K10" s="795" t="s">
        <v>8136</v>
      </c>
      <c r="L10" s="795" t="s">
        <v>8137</v>
      </c>
      <c r="M10" s="795" t="s">
        <v>8138</v>
      </c>
      <c r="N10" s="795" t="s">
        <v>8139</v>
      </c>
      <c r="O10" s="795" t="s">
        <v>8140</v>
      </c>
      <c r="P10" s="795" t="s">
        <v>8141</v>
      </c>
      <c r="Q10" s="795" t="s">
        <v>8142</v>
      </c>
      <c r="R10" s="795" t="s">
        <v>8143</v>
      </c>
      <c r="S10" s="1248" t="s">
        <v>8144</v>
      </c>
      <c r="T10" s="795" t="s">
        <v>8145</v>
      </c>
      <c r="U10" s="795" t="s">
        <v>8146</v>
      </c>
      <c r="V10" s="1248" t="s">
        <v>8147</v>
      </c>
      <c r="W10" s="795" t="s">
        <v>3996</v>
      </c>
      <c r="X10" s="795" t="s">
        <v>8148</v>
      </c>
      <c r="Y10" s="1251" t="s">
        <v>2069</v>
      </c>
      <c r="Z10" s="1211"/>
      <c r="AA10" s="1211"/>
      <c r="AB10" s="1253"/>
      <c r="AC10" s="1251" t="s">
        <v>8149</v>
      </c>
      <c r="AD10" s="1251" t="s">
        <v>5429</v>
      </c>
      <c r="AE10" s="1250" t="s">
        <v>2618</v>
      </c>
      <c r="AF10" s="1251" t="s">
        <v>8150</v>
      </c>
      <c r="AG10" s="795" t="s">
        <v>8151</v>
      </c>
      <c r="AH10" s="1253"/>
      <c r="AI10" s="1253"/>
      <c r="AJ10" s="1253"/>
      <c r="AK10" s="795" t="s">
        <v>8152</v>
      </c>
      <c r="AL10" s="795" t="s">
        <v>2853</v>
      </c>
      <c r="AM10" s="1211"/>
      <c r="AN10" s="1211"/>
      <c r="AO10" s="1211"/>
      <c r="AP10" s="1211"/>
      <c r="AQ10" s="1211"/>
      <c r="AR10" s="1211"/>
      <c r="AS10" s="1211"/>
      <c r="AT10" s="795" t="s">
        <v>8153</v>
      </c>
      <c r="AU10" s="795" t="s">
        <v>8094</v>
      </c>
      <c r="AV10" s="1211"/>
      <c r="AW10" s="795" t="s">
        <v>8092</v>
      </c>
      <c r="AX10" s="795" t="s">
        <v>8154</v>
      </c>
      <c r="AY10" s="1211"/>
      <c r="AZ10" s="795"/>
      <c r="BA10" s="795"/>
      <c r="BB10" s="1257"/>
      <c r="BC10" s="795" t="s">
        <v>8130</v>
      </c>
      <c r="BD10" s="795" t="s">
        <v>8155</v>
      </c>
      <c r="BE10" s="795"/>
      <c r="BF10" s="795" t="s">
        <v>8156</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5918</v>
      </c>
      <c r="BZ10" s="795"/>
      <c r="CA10" s="1251" t="s">
        <v>3594</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8157</v>
      </c>
    </row>
    <row r="11">
      <c r="A11" s="1289" t="s">
        <v>8158</v>
      </c>
      <c r="B11" s="1041" t="s">
        <v>8159</v>
      </c>
      <c r="C11" s="1042" t="s">
        <v>562</v>
      </c>
      <c r="D11" s="1043" t="s">
        <v>336</v>
      </c>
      <c r="E11" s="1044" t="s">
        <v>667</v>
      </c>
      <c r="F11" s="1045" t="s">
        <v>5796</v>
      </c>
      <c r="G11" s="1041" t="s">
        <v>3463</v>
      </c>
      <c r="H11" s="1285" t="s">
        <v>8160</v>
      </c>
      <c r="I11" s="1285" t="s">
        <v>8161</v>
      </c>
      <c r="J11" s="1211"/>
      <c r="K11" s="795" t="s">
        <v>8162</v>
      </c>
      <c r="L11" s="1253"/>
      <c r="M11" s="1211"/>
      <c r="N11" s="1211"/>
      <c r="O11" s="1211"/>
      <c r="P11" s="795" t="s">
        <v>8163</v>
      </c>
      <c r="Q11" s="1253"/>
      <c r="R11" s="1211"/>
      <c r="S11" s="1211"/>
      <c r="T11" s="795" t="s">
        <v>8164</v>
      </c>
      <c r="U11" s="795" t="s">
        <v>790</v>
      </c>
      <c r="V11" s="1253"/>
      <c r="W11" s="1211"/>
      <c r="X11" s="783" t="s">
        <v>2593</v>
      </c>
      <c r="Y11" s="783" t="s">
        <v>4303</v>
      </c>
      <c r="Z11" s="1211"/>
      <c r="AA11" s="1250" t="s">
        <v>6145</v>
      </c>
      <c r="AB11" s="1253"/>
      <c r="AC11" s="783" t="s">
        <v>2304</v>
      </c>
      <c r="AD11" s="783" t="s">
        <v>2381</v>
      </c>
      <c r="AE11" s="783" t="s">
        <v>6061</v>
      </c>
      <c r="AF11" s="1211"/>
      <c r="AG11" s="1253"/>
      <c r="AH11" s="1253"/>
      <c r="AI11" s="1253"/>
      <c r="AJ11" s="1253"/>
      <c r="AK11" s="1253"/>
      <c r="AL11" s="1211"/>
      <c r="AM11" s="795" t="s">
        <v>7995</v>
      </c>
      <c r="AN11" s="1250" t="s">
        <v>8063</v>
      </c>
      <c r="AO11" s="1211"/>
      <c r="AP11" s="891" t="s">
        <v>7995</v>
      </c>
      <c r="AQ11" s="1248" t="s">
        <v>8165</v>
      </c>
      <c r="AR11" s="1248" t="s">
        <v>8155</v>
      </c>
      <c r="AS11" s="1211"/>
      <c r="AT11" s="783" t="s">
        <v>8166</v>
      </c>
      <c r="AU11" s="783" t="s">
        <v>8167</v>
      </c>
      <c r="AV11" s="1248" t="s">
        <v>8168</v>
      </c>
      <c r="AW11" s="783" t="s">
        <v>8125</v>
      </c>
      <c r="AX11" s="1250" t="s">
        <v>8169</v>
      </c>
      <c r="AY11" s="1211"/>
      <c r="AZ11" s="1211"/>
      <c r="BA11" s="1211"/>
      <c r="BB11" s="783" t="s">
        <v>8167</v>
      </c>
      <c r="BC11" s="1211"/>
      <c r="BD11" s="1250" t="s">
        <v>8170</v>
      </c>
      <c r="BE11" s="1290" t="s">
        <v>8171</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6470</v>
      </c>
      <c r="B12" s="1041" t="s">
        <v>8172</v>
      </c>
      <c r="C12" s="1042" t="s">
        <v>336</v>
      </c>
      <c r="D12" s="1043" t="s">
        <v>338</v>
      </c>
      <c r="E12" s="1044" t="s">
        <v>562</v>
      </c>
      <c r="F12" s="1045" t="s">
        <v>5796</v>
      </c>
      <c r="G12" s="1041" t="s">
        <v>5026</v>
      </c>
      <c r="H12" s="1294" t="str">
        <f>HYPERLINK("https://www.twitch.tv/videos/990301696","3:46.19")</f>
        <v>3:46.19</v>
      </c>
      <c r="I12" s="1285" t="s">
        <v>8173</v>
      </c>
      <c r="J12" s="795"/>
      <c r="K12" s="795" t="s">
        <v>8174</v>
      </c>
      <c r="L12" s="1253"/>
      <c r="M12" s="1295" t="str">
        <f>HYPERLINK("https://youtu.be/muKa7MrNAp8","2:59.41")</f>
        <v>2:59.41</v>
      </c>
      <c r="N12" s="1249"/>
      <c r="O12" s="114" t="s">
        <v>8175</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8176</v>
      </c>
      <c r="X12" s="795"/>
      <c r="Y12" s="795" t="s">
        <v>8177</v>
      </c>
      <c r="Z12" s="1211"/>
      <c r="AA12" s="1211"/>
      <c r="AB12" s="1253"/>
      <c r="AC12" s="1211"/>
      <c r="AD12" s="795" t="s">
        <v>4335</v>
      </c>
      <c r="AE12" s="1211"/>
      <c r="AF12" s="1211"/>
      <c r="AG12" s="1253"/>
      <c r="AH12" s="795" t="s">
        <v>6014</v>
      </c>
      <c r="AI12" s="1251"/>
      <c r="AJ12" s="1251"/>
      <c r="AK12" s="1248" t="s">
        <v>8178</v>
      </c>
      <c r="AL12" s="1257"/>
      <c r="AM12" s="1251" t="s">
        <v>8125</v>
      </c>
      <c r="AN12" s="1211"/>
      <c r="AO12" s="1211"/>
      <c r="AP12" s="1211"/>
      <c r="AQ12" s="1211"/>
      <c r="AR12" s="1211"/>
      <c r="AS12" s="1211"/>
      <c r="AT12" s="795" t="s">
        <v>8179</v>
      </c>
      <c r="AU12" s="795" t="s">
        <v>8180</v>
      </c>
      <c r="AV12" s="1211"/>
      <c r="AW12" s="1211"/>
      <c r="AX12" s="1211"/>
      <c r="AY12" s="1211"/>
      <c r="AZ12" s="795" t="s">
        <v>2972</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4025</v>
      </c>
      <c r="B13" s="1041" t="s">
        <v>8181</v>
      </c>
      <c r="C13" s="1042" t="s">
        <v>1483</v>
      </c>
      <c r="D13" s="1043" t="s">
        <v>562</v>
      </c>
      <c r="E13" s="1044" t="s">
        <v>1483</v>
      </c>
      <c r="F13" s="1045" t="s">
        <v>562</v>
      </c>
      <c r="G13" s="1041" t="s">
        <v>3948</v>
      </c>
      <c r="H13" s="1285"/>
      <c r="I13" s="1285" t="s">
        <v>8182</v>
      </c>
      <c r="J13" s="795" t="s">
        <v>8183</v>
      </c>
      <c r="K13" s="795" t="s">
        <v>8184</v>
      </c>
      <c r="L13" s="1253"/>
      <c r="M13" s="795" t="s">
        <v>8185</v>
      </c>
      <c r="N13" s="795" t="s">
        <v>8186</v>
      </c>
      <c r="O13" s="1211"/>
      <c r="P13" s="795" t="s">
        <v>8187</v>
      </c>
      <c r="Q13" s="1253"/>
      <c r="R13" s="1251" t="s">
        <v>8188</v>
      </c>
      <c r="S13" s="795" t="s">
        <v>8189</v>
      </c>
      <c r="T13" s="795" t="s">
        <v>8067</v>
      </c>
      <c r="U13" s="795" t="s">
        <v>8190</v>
      </c>
      <c r="V13" s="795" t="s">
        <v>8191</v>
      </c>
      <c r="W13" s="795" t="s">
        <v>8192</v>
      </c>
      <c r="X13" s="795" t="s">
        <v>4949</v>
      </c>
      <c r="Y13" s="795" t="s">
        <v>382</v>
      </c>
      <c r="Z13" s="1251" t="s">
        <v>3375</v>
      </c>
      <c r="AA13" s="795" t="s">
        <v>8193</v>
      </c>
      <c r="AB13" s="1251"/>
      <c r="AC13" s="1251" t="s">
        <v>2300</v>
      </c>
      <c r="AD13" s="1251" t="s">
        <v>8194</v>
      </c>
      <c r="AE13" s="795" t="s">
        <v>5222</v>
      </c>
      <c r="AF13" s="795" t="s">
        <v>8195</v>
      </c>
      <c r="AG13" s="1253"/>
      <c r="AH13" s="1253"/>
      <c r="AI13" s="1253"/>
      <c r="AJ13" s="1253"/>
      <c r="AK13" s="1253"/>
      <c r="AL13" s="795" t="s">
        <v>5595</v>
      </c>
      <c r="AM13" s="1251" t="s">
        <v>8112</v>
      </c>
      <c r="AN13" s="1251" t="s">
        <v>8196</v>
      </c>
      <c r="AO13" s="1211"/>
      <c r="AP13" s="795" t="s">
        <v>8197</v>
      </c>
      <c r="AQ13" s="795" t="s">
        <v>7995</v>
      </c>
      <c r="AR13" s="1251" t="s">
        <v>8198</v>
      </c>
      <c r="AS13" s="795" t="s">
        <v>8199</v>
      </c>
      <c r="AT13" s="795" t="s">
        <v>8200</v>
      </c>
      <c r="AU13" s="795" t="s">
        <v>8201</v>
      </c>
      <c r="AV13" s="114" t="s">
        <v>8202</v>
      </c>
      <c r="AW13" s="795" t="s">
        <v>8203</v>
      </c>
      <c r="AX13" s="795" t="s">
        <v>8179</v>
      </c>
      <c r="AY13" s="1211"/>
      <c r="AZ13" s="1251" t="s">
        <v>1804</v>
      </c>
      <c r="BA13" s="795"/>
      <c r="BB13" s="1251" t="s">
        <v>8204</v>
      </c>
      <c r="BC13" s="1251" t="s">
        <v>8205</v>
      </c>
      <c r="BD13" s="795" t="s">
        <v>8206</v>
      </c>
      <c r="BE13" s="795"/>
      <c r="BF13" s="1211"/>
      <c r="BG13" s="1291"/>
      <c r="BH13" s="1291"/>
      <c r="BI13" s="1291"/>
      <c r="BJ13" s="1291"/>
      <c r="BK13" s="1291"/>
      <c r="BL13" s="1292"/>
      <c r="BM13" s="1291"/>
      <c r="BN13" s="1291"/>
      <c r="BO13" s="1291"/>
      <c r="BP13" s="1291"/>
      <c r="BQ13" s="1253"/>
      <c r="BR13" s="1253"/>
      <c r="BS13" s="1253"/>
      <c r="BT13" s="1253"/>
      <c r="BU13" s="1253"/>
      <c r="BV13" s="795" t="s">
        <v>8207</v>
      </c>
      <c r="BW13" s="1253"/>
      <c r="BX13" s="795" t="s">
        <v>4683</v>
      </c>
      <c r="BY13" s="795" t="s">
        <v>2985</v>
      </c>
      <c r="BZ13" s="1211"/>
      <c r="CA13" s="1253"/>
      <c r="CB13" s="795" t="s">
        <v>1744</v>
      </c>
      <c r="CC13" s="1253"/>
      <c r="CD13" s="1253"/>
      <c r="CE13" s="1280"/>
      <c r="CF13" s="1211"/>
      <c r="CG13" s="1253"/>
      <c r="CH13" s="1280"/>
      <c r="CI13" s="1280"/>
      <c r="CJ13" s="1265" t="s">
        <v>8208</v>
      </c>
      <c r="CK13" s="1265"/>
      <c r="CL13" s="1281" t="s">
        <v>6113</v>
      </c>
      <c r="CM13" s="1265" t="s">
        <v>8209</v>
      </c>
      <c r="CN13" s="1265" t="s">
        <v>6130</v>
      </c>
      <c r="CO13" s="1265" t="s">
        <v>1971</v>
      </c>
      <c r="CP13" s="1265" t="s">
        <v>8089</v>
      </c>
      <c r="CQ13" s="1265" t="s">
        <v>8086</v>
      </c>
      <c r="CR13" s="1280"/>
      <c r="CS13" s="1280"/>
      <c r="CT13" s="92"/>
    </row>
    <row r="14">
      <c r="A14" s="1305" t="s">
        <v>4882</v>
      </c>
      <c r="B14" s="1041" t="s">
        <v>8210</v>
      </c>
      <c r="C14" s="1042" t="s">
        <v>667</v>
      </c>
      <c r="D14" s="1043" t="s">
        <v>667</v>
      </c>
      <c r="E14" s="1044" t="s">
        <v>1483</v>
      </c>
      <c r="F14" s="1045" t="s">
        <v>3755</v>
      </c>
      <c r="G14" s="1041" t="s">
        <v>4095</v>
      </c>
      <c r="H14" s="1285"/>
      <c r="I14" s="1285" t="s">
        <v>8088</v>
      </c>
      <c r="J14" s="1211"/>
      <c r="K14" s="783" t="s">
        <v>8211</v>
      </c>
      <c r="L14" s="1253"/>
      <c r="M14" s="783" t="s">
        <v>8212</v>
      </c>
      <c r="N14" s="1211"/>
      <c r="O14" s="783" t="s">
        <v>8213</v>
      </c>
      <c r="P14" s="783" t="s">
        <v>8214</v>
      </c>
      <c r="Q14" s="1253"/>
      <c r="R14" s="1251" t="s">
        <v>8215</v>
      </c>
      <c r="S14" s="783" t="s">
        <v>8216</v>
      </c>
      <c r="T14" s="1211"/>
      <c r="U14" s="783" t="s">
        <v>8217</v>
      </c>
      <c r="V14" s="1257"/>
      <c r="W14" s="795" t="s">
        <v>5169</v>
      </c>
      <c r="X14" s="783" t="s">
        <v>3193</v>
      </c>
      <c r="Y14" s="1251" t="s">
        <v>2780</v>
      </c>
      <c r="Z14" s="1211"/>
      <c r="AA14" s="1211"/>
      <c r="AB14" s="1253"/>
      <c r="AC14" s="795" t="s">
        <v>8218</v>
      </c>
      <c r="AD14" s="770" t="s">
        <v>4335</v>
      </c>
      <c r="AE14" s="1211"/>
      <c r="AF14" s="1211"/>
      <c r="AG14" s="1253"/>
      <c r="AH14" s="1251" t="s">
        <v>5447</v>
      </c>
      <c r="AI14" s="1253"/>
      <c r="AJ14" s="1253"/>
      <c r="AK14" s="1251" t="s">
        <v>4846</v>
      </c>
      <c r="AL14" s="795"/>
      <c r="AM14" s="783" t="s">
        <v>8109</v>
      </c>
      <c r="AN14" s="1211"/>
      <c r="AO14" s="1211"/>
      <c r="AP14" s="783" t="s">
        <v>8219</v>
      </c>
      <c r="AQ14" s="1211"/>
      <c r="AR14" s="1211"/>
      <c r="AS14" s="1211"/>
      <c r="AT14" s="795" t="s">
        <v>8220</v>
      </c>
      <c r="AU14" s="1211"/>
      <c r="AV14" s="1211"/>
      <c r="AW14" s="1211"/>
      <c r="AX14" s="1211"/>
      <c r="AY14" s="1211"/>
      <c r="AZ14" s="1250" t="s">
        <v>8221</v>
      </c>
      <c r="BA14" s="1257"/>
      <c r="BB14" s="783" t="s">
        <v>8222</v>
      </c>
      <c r="BC14" s="1271" t="s">
        <v>8205</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8223</v>
      </c>
      <c r="CF14" s="1267" t="s">
        <v>8224</v>
      </c>
      <c r="CG14" s="1306" t="s">
        <v>8225</v>
      </c>
      <c r="CH14" s="1280"/>
      <c r="CI14" s="1280"/>
      <c r="CJ14" s="1280"/>
      <c r="CK14" s="1280"/>
      <c r="CL14" s="1280"/>
      <c r="CM14" s="1280"/>
      <c r="CN14" s="1281" t="s">
        <v>6130</v>
      </c>
      <c r="CO14" s="1280"/>
      <c r="CP14" s="1280"/>
      <c r="CQ14" s="1280"/>
      <c r="CR14" s="1306" t="s">
        <v>7395</v>
      </c>
      <c r="CS14" s="1280"/>
      <c r="CT14" s="1253"/>
    </row>
    <row r="15">
      <c r="A15" s="1259" t="s">
        <v>1969</v>
      </c>
      <c r="B15" s="1041" t="s">
        <v>8226</v>
      </c>
      <c r="C15" s="1042" t="s">
        <v>667</v>
      </c>
      <c r="D15" s="1043" t="s">
        <v>562</v>
      </c>
      <c r="E15" s="1044" t="s">
        <v>562</v>
      </c>
      <c r="F15" s="1045" t="s">
        <v>449</v>
      </c>
      <c r="G15" s="1041" t="s">
        <v>4527</v>
      </c>
      <c r="H15" s="1285"/>
      <c r="I15" s="1285"/>
      <c r="J15" s="1211"/>
      <c r="K15" s="1211"/>
      <c r="L15" s="1253"/>
      <c r="M15" s="1251" t="s">
        <v>8227</v>
      </c>
      <c r="N15" s="1211"/>
      <c r="O15" s="1211"/>
      <c r="P15" s="1211"/>
      <c r="Q15" s="1252" t="s">
        <v>8228</v>
      </c>
      <c r="R15" s="1211"/>
      <c r="S15" s="1211"/>
      <c r="T15" s="1211"/>
      <c r="U15" s="1211"/>
      <c r="V15" s="1253"/>
      <c r="W15" s="1251" t="s">
        <v>6477</v>
      </c>
      <c r="X15" s="795"/>
      <c r="Y15" s="783" t="s">
        <v>1201</v>
      </c>
      <c r="Z15" s="1211"/>
      <c r="AA15" s="1211"/>
      <c r="AB15" s="1253"/>
      <c r="AC15" s="1251" t="s">
        <v>5571</v>
      </c>
      <c r="AD15" s="1250" t="s">
        <v>630</v>
      </c>
      <c r="AE15" s="1211"/>
      <c r="AF15" s="1211"/>
      <c r="AG15" s="1253"/>
      <c r="AH15" s="1253"/>
      <c r="AI15" s="1253"/>
      <c r="AJ15" s="1253"/>
      <c r="AK15" s="1253"/>
      <c r="AL15" s="1211"/>
      <c r="AM15" s="1211"/>
      <c r="AN15" s="1211"/>
      <c r="AO15" s="1211"/>
      <c r="AP15" s="1251" t="s">
        <v>8085</v>
      </c>
      <c r="AQ15" s="795"/>
      <c r="AR15" s="1251" t="s">
        <v>8229</v>
      </c>
      <c r="AS15" s="795"/>
      <c r="AT15" s="1211"/>
      <c r="AU15" s="1251" t="s">
        <v>8167</v>
      </c>
      <c r="AV15" s="795"/>
      <c r="AW15" s="1251" t="s">
        <v>8230</v>
      </c>
      <c r="AX15" s="1211"/>
      <c r="AY15" s="1211"/>
      <c r="AZ15" s="1211"/>
      <c r="BA15" s="1211"/>
      <c r="BB15" s="1252" t="s">
        <v>8231</v>
      </c>
      <c r="BC15" s="1248" t="s">
        <v>7993</v>
      </c>
      <c r="BD15" s="1211"/>
      <c r="BE15" s="1253"/>
      <c r="BF15" s="1211"/>
      <c r="BG15" s="1253"/>
      <c r="BH15" s="1253"/>
      <c r="BI15" s="1253"/>
      <c r="BJ15" s="1253"/>
      <c r="BK15" s="1253"/>
      <c r="BL15" s="1211"/>
      <c r="BM15" s="1252" t="s">
        <v>8232</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8233</v>
      </c>
      <c r="C16" s="1042" t="s">
        <v>338</v>
      </c>
      <c r="D16" s="1043" t="s">
        <v>562</v>
      </c>
      <c r="E16" s="1044" t="s">
        <v>1483</v>
      </c>
      <c r="F16" s="1045" t="s">
        <v>1251</v>
      </c>
      <c r="G16" s="1041" t="s">
        <v>4527</v>
      </c>
      <c r="H16" s="1308" t="s">
        <v>8234</v>
      </c>
      <c r="I16" s="1308" t="s">
        <v>8217</v>
      </c>
      <c r="J16" s="1252" t="s">
        <v>8235</v>
      </c>
      <c r="K16" s="1252" t="s">
        <v>8236</v>
      </c>
      <c r="L16" s="795" t="s">
        <v>8237</v>
      </c>
      <c r="M16" s="1211"/>
      <c r="N16" s="1252" t="s">
        <v>3706</v>
      </c>
      <c r="O16" s="1250" t="s">
        <v>8238</v>
      </c>
      <c r="P16" s="1211"/>
      <c r="Q16" s="795" t="s">
        <v>8239</v>
      </c>
      <c r="R16" s="795" t="s">
        <v>8240</v>
      </c>
      <c r="S16" s="1252" t="s">
        <v>8241</v>
      </c>
      <c r="T16" s="1252" t="s">
        <v>8242</v>
      </c>
      <c r="U16" s="795" t="s">
        <v>8243</v>
      </c>
      <c r="V16" s="795" t="s">
        <v>8244</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8245</v>
      </c>
      <c r="B17" s="1041" t="s">
        <v>8246</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8247</v>
      </c>
      <c r="X17" s="1250" t="s">
        <v>1820</v>
      </c>
      <c r="Y17" s="1211"/>
      <c r="Z17" s="1211"/>
      <c r="AA17" s="1211"/>
      <c r="AB17" s="1252" t="s">
        <v>8248</v>
      </c>
      <c r="AC17" s="1250" t="s">
        <v>2551</v>
      </c>
      <c r="AD17" s="783" t="s">
        <v>3414</v>
      </c>
      <c r="AE17" s="1257"/>
      <c r="AF17" s="1252" t="s">
        <v>8249</v>
      </c>
      <c r="AG17" s="1253"/>
      <c r="AH17" s="1252" t="s">
        <v>1779</v>
      </c>
      <c r="AI17" s="1252" t="s">
        <v>3129</v>
      </c>
      <c r="AJ17" s="1253"/>
      <c r="AK17" s="795" t="s">
        <v>4337</v>
      </c>
      <c r="AL17" s="1211"/>
      <c r="AM17" s="1211"/>
      <c r="AN17" s="1211"/>
      <c r="AO17" s="1211"/>
      <c r="AP17" s="783" t="s">
        <v>8250</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3551</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4093</v>
      </c>
      <c r="B18" s="1041" t="s">
        <v>8251</v>
      </c>
      <c r="C18" s="1042" t="s">
        <v>562</v>
      </c>
      <c r="D18" s="1043" t="s">
        <v>1483</v>
      </c>
      <c r="E18" s="1044" t="s">
        <v>562</v>
      </c>
      <c r="F18" s="1045" t="s">
        <v>448</v>
      </c>
      <c r="G18" s="1041" t="s">
        <v>2972</v>
      </c>
      <c r="H18" s="1285"/>
      <c r="I18" s="1285" t="s">
        <v>8252</v>
      </c>
      <c r="J18" s="795"/>
      <c r="K18" s="1251" t="s">
        <v>8253</v>
      </c>
      <c r="L18" s="1251"/>
      <c r="M18" s="1251" t="s">
        <v>8254</v>
      </c>
      <c r="N18" s="1211"/>
      <c r="O18" s="1251" t="s">
        <v>8255</v>
      </c>
      <c r="P18" s="1211"/>
      <c r="Q18" s="1253"/>
      <c r="R18" s="795" t="s">
        <v>8256</v>
      </c>
      <c r="S18" s="1249" t="s">
        <v>4127</v>
      </c>
      <c r="T18" s="1251" t="s">
        <v>8257</v>
      </c>
      <c r="U18" s="795" t="s">
        <v>3858</v>
      </c>
      <c r="V18" s="1251"/>
      <c r="W18" s="1251" t="s">
        <v>4549</v>
      </c>
      <c r="X18" s="795" t="s">
        <v>3760</v>
      </c>
      <c r="Y18" s="1251" t="s">
        <v>2932</v>
      </c>
      <c r="Z18" s="1211"/>
      <c r="AA18" s="1211"/>
      <c r="AB18" s="1253"/>
      <c r="AC18" s="1251" t="s">
        <v>8258</v>
      </c>
      <c r="AD18" s="795" t="s">
        <v>2123</v>
      </c>
      <c r="AE18" s="795"/>
      <c r="AF18" s="1251" t="s">
        <v>8259</v>
      </c>
      <c r="AG18" s="1252" t="s">
        <v>8260</v>
      </c>
      <c r="AH18" s="1248" t="s">
        <v>1394</v>
      </c>
      <c r="AI18" s="1253"/>
      <c r="AJ18" s="1253"/>
      <c r="AK18" s="1251" t="s">
        <v>731</v>
      </c>
      <c r="AL18" s="1211"/>
      <c r="AM18" s="1251" t="s">
        <v>8170</v>
      </c>
      <c r="AN18" s="1211"/>
      <c r="AO18" s="1211"/>
      <c r="AP18" s="795" t="s">
        <v>8012</v>
      </c>
      <c r="AQ18" s="795"/>
      <c r="AR18" s="795" t="s">
        <v>8038</v>
      </c>
      <c r="AS18" s="795" t="s">
        <v>8261</v>
      </c>
      <c r="AT18" s="795" t="s">
        <v>8262</v>
      </c>
      <c r="AU18" s="795" t="s">
        <v>8263</v>
      </c>
      <c r="AV18" s="795"/>
      <c r="AW18" s="1211"/>
      <c r="AX18" s="1211"/>
      <c r="AY18" s="1211"/>
      <c r="AZ18" s="1251" t="s">
        <v>4884</v>
      </c>
      <c r="BA18" s="795"/>
      <c r="BB18" s="1251" t="s">
        <v>8167</v>
      </c>
      <c r="BC18" s="1251" t="s">
        <v>8264</v>
      </c>
      <c r="BD18" s="1251" t="s">
        <v>8067</v>
      </c>
      <c r="BE18" s="1251"/>
      <c r="BF18" s="795"/>
      <c r="BG18" s="1253"/>
      <c r="BH18" s="1253"/>
      <c r="BI18" s="1253"/>
      <c r="BJ18" s="1253"/>
      <c r="BK18" s="1253"/>
      <c r="BL18" s="1211"/>
      <c r="BM18" s="1253"/>
      <c r="BN18" s="1251" t="s">
        <v>8265</v>
      </c>
      <c r="BO18" s="1251" t="s">
        <v>8266</v>
      </c>
      <c r="BP18" s="1251"/>
      <c r="BQ18" s="1253"/>
      <c r="BR18" s="1253"/>
      <c r="BS18" s="1253"/>
      <c r="BT18" s="1253"/>
      <c r="BU18" s="1253"/>
      <c r="BV18" s="1286" t="s">
        <v>2168</v>
      </c>
      <c r="BW18" s="1253"/>
      <c r="BX18" s="1211"/>
      <c r="BY18" s="795" t="s">
        <v>2276</v>
      </c>
      <c r="BZ18" s="1211"/>
      <c r="CA18" s="1253"/>
      <c r="CB18" s="795" t="s">
        <v>4678</v>
      </c>
      <c r="CC18" s="1251" t="s">
        <v>8267</v>
      </c>
      <c r="CD18" s="1251"/>
      <c r="CE18" s="1253"/>
      <c r="CF18" s="1211"/>
      <c r="CG18" s="1253"/>
      <c r="CH18" s="1253"/>
      <c r="CI18" s="1253"/>
      <c r="CJ18" s="1253"/>
      <c r="CK18" s="1253"/>
      <c r="CL18" s="1253"/>
      <c r="CM18" s="1251" t="s">
        <v>8268</v>
      </c>
      <c r="CN18" s="1251" t="s">
        <v>1889</v>
      </c>
      <c r="CO18" s="1251" t="s">
        <v>5181</v>
      </c>
      <c r="CP18" s="1251" t="s">
        <v>8269</v>
      </c>
      <c r="CQ18" s="795" t="s">
        <v>8270</v>
      </c>
      <c r="CR18" s="1251" t="s">
        <v>3228</v>
      </c>
      <c r="CS18" s="795" t="s">
        <v>8271</v>
      </c>
      <c r="CT18" s="92"/>
    </row>
    <row r="19">
      <c r="A19" s="1311" t="s">
        <v>4813</v>
      </c>
      <c r="B19" s="1041" t="s">
        <v>8272</v>
      </c>
      <c r="C19" s="1042" t="s">
        <v>1483</v>
      </c>
      <c r="D19" s="1043" t="s">
        <v>1483</v>
      </c>
      <c r="E19" s="1044" t="s">
        <v>1483</v>
      </c>
      <c r="F19" s="1045" t="s">
        <v>562</v>
      </c>
      <c r="G19" s="1041" t="s">
        <v>3317</v>
      </c>
      <c r="H19" s="1285"/>
      <c r="I19" s="1285" t="s">
        <v>8273</v>
      </c>
      <c r="J19" s="795"/>
      <c r="K19" s="795" t="s">
        <v>7230</v>
      </c>
      <c r="L19" s="1251"/>
      <c r="M19" s="1211"/>
      <c r="N19" s="1211"/>
      <c r="O19" s="1211"/>
      <c r="P19" s="1211"/>
      <c r="Q19" s="1253"/>
      <c r="R19" s="1251" t="s">
        <v>8274</v>
      </c>
      <c r="S19" s="1211"/>
      <c r="T19" s="1251" t="s">
        <v>8275</v>
      </c>
      <c r="U19" s="1251" t="s">
        <v>8276</v>
      </c>
      <c r="V19" s="1251" t="s">
        <v>8277</v>
      </c>
      <c r="W19" s="1251" t="s">
        <v>3607</v>
      </c>
      <c r="X19" s="795" t="s">
        <v>2714</v>
      </c>
      <c r="Y19" s="1251" t="s">
        <v>8278</v>
      </c>
      <c r="Z19" s="1211"/>
      <c r="AA19" s="1211"/>
      <c r="AB19" s="1253"/>
      <c r="AC19" s="783" t="s">
        <v>348</v>
      </c>
      <c r="AD19" s="1251" t="s">
        <v>3922</v>
      </c>
      <c r="AE19" s="795"/>
      <c r="AF19" s="1251" t="s">
        <v>8279</v>
      </c>
      <c r="AG19" s="1251"/>
      <c r="AH19" s="1251" t="s">
        <v>8280</v>
      </c>
      <c r="AI19" s="1253"/>
      <c r="AJ19" s="1253"/>
      <c r="AK19" s="1253"/>
      <c r="AL19" s="1211"/>
      <c r="AM19" s="1211"/>
      <c r="AN19" s="1211"/>
      <c r="AO19" s="1211"/>
      <c r="AP19" s="795" t="s">
        <v>8012</v>
      </c>
      <c r="AQ19" s="1211"/>
      <c r="AR19" s="795" t="s">
        <v>8281</v>
      </c>
      <c r="AS19" s="1211"/>
      <c r="AT19" s="1211"/>
      <c r="AU19" s="795" t="s">
        <v>8282</v>
      </c>
      <c r="AV19" s="795"/>
      <c r="AW19" s="795" t="s">
        <v>8043</v>
      </c>
      <c r="AX19" s="1211"/>
      <c r="AY19" s="1211"/>
      <c r="AZ19" s="1251" t="s">
        <v>2314</v>
      </c>
      <c r="BA19" s="795"/>
      <c r="BB19" s="1211"/>
      <c r="BC19" s="1251" t="s">
        <v>8283</v>
      </c>
      <c r="BD19" s="795" t="s">
        <v>8284</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4542</v>
      </c>
      <c r="B20" s="1041" t="s">
        <v>8285</v>
      </c>
      <c r="C20" s="1042" t="s">
        <v>1483</v>
      </c>
      <c r="D20" s="1043" t="s">
        <v>1483</v>
      </c>
      <c r="E20" s="1044" t="s">
        <v>1483</v>
      </c>
      <c r="F20" s="1045" t="s">
        <v>1483</v>
      </c>
      <c r="G20" s="1041" t="s">
        <v>3317</v>
      </c>
      <c r="H20" s="1285" t="s">
        <v>8286</v>
      </c>
      <c r="I20" s="1285" t="s">
        <v>8287</v>
      </c>
      <c r="J20" s="795" t="s">
        <v>8288</v>
      </c>
      <c r="K20" s="1285" t="s">
        <v>8289</v>
      </c>
      <c r="L20" s="795" t="s">
        <v>8290</v>
      </c>
      <c r="M20" s="795" t="s">
        <v>8074</v>
      </c>
      <c r="N20" s="795" t="s">
        <v>8291</v>
      </c>
      <c r="O20" s="795" t="s">
        <v>8292</v>
      </c>
      <c r="P20" s="795" t="s">
        <v>8293</v>
      </c>
      <c r="Q20" s="1253"/>
      <c r="R20" s="795" t="s">
        <v>8175</v>
      </c>
      <c r="S20" s="114" t="s">
        <v>8294</v>
      </c>
      <c r="T20" s="1211"/>
      <c r="U20" s="1312" t="s">
        <v>8295</v>
      </c>
      <c r="V20" s="795" t="s">
        <v>8296</v>
      </c>
      <c r="W20" s="1251" t="s">
        <v>8297</v>
      </c>
      <c r="X20" s="795" t="s">
        <v>8298</v>
      </c>
      <c r="Y20" s="795" t="s">
        <v>247</v>
      </c>
      <c r="Z20" s="1211"/>
      <c r="AA20" s="1211"/>
      <c r="AB20" s="1253"/>
      <c r="AC20" s="1251" t="s">
        <v>8299</v>
      </c>
      <c r="AD20" s="795" t="s">
        <v>4265</v>
      </c>
      <c r="AE20" s="1211"/>
      <c r="AF20" s="1211"/>
      <c r="AG20" s="1253"/>
      <c r="AH20" s="1253"/>
      <c r="AI20" s="1253"/>
      <c r="AJ20" s="1253"/>
      <c r="AK20" s="1253"/>
      <c r="AL20" s="1211"/>
      <c r="AM20" s="795"/>
      <c r="AN20" s="1211"/>
      <c r="AO20" s="1211"/>
      <c r="AP20" s="795" t="s">
        <v>8087</v>
      </c>
      <c r="AQ20" s="795" t="s">
        <v>8300</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6416</v>
      </c>
      <c r="B21" s="1041" t="s">
        <v>8301</v>
      </c>
      <c r="C21" s="1042" t="s">
        <v>1483</v>
      </c>
      <c r="D21" s="1043" t="s">
        <v>1483</v>
      </c>
      <c r="E21" s="1044" t="s">
        <v>1483</v>
      </c>
      <c r="F21" s="1045" t="s">
        <v>1483</v>
      </c>
      <c r="G21" s="1041" t="s">
        <v>5796</v>
      </c>
      <c r="H21" s="1285"/>
      <c r="I21" s="1285" t="s">
        <v>8302</v>
      </c>
      <c r="J21" s="795"/>
      <c r="K21" s="1251" t="s">
        <v>8303</v>
      </c>
      <c r="L21" s="1251"/>
      <c r="M21" s="795"/>
      <c r="N21" s="795"/>
      <c r="O21" s="1251" t="s">
        <v>8304</v>
      </c>
      <c r="P21" s="795"/>
      <c r="Q21" s="1253"/>
      <c r="R21" s="1211"/>
      <c r="S21" s="1211"/>
      <c r="T21" s="795"/>
      <c r="U21" s="1251" t="s">
        <v>8305</v>
      </c>
      <c r="V21" s="1251"/>
      <c r="W21" s="1251" t="s">
        <v>2389</v>
      </c>
      <c r="X21" s="795"/>
      <c r="Y21" s="1251" t="s">
        <v>3388</v>
      </c>
      <c r="Z21" s="795"/>
      <c r="AA21" s="795"/>
      <c r="AB21" s="1251"/>
      <c r="AC21" s="1251" t="s">
        <v>8306</v>
      </c>
      <c r="AD21" s="1251" t="s">
        <v>4935</v>
      </c>
      <c r="AE21" s="795"/>
      <c r="AF21" s="795"/>
      <c r="AG21" s="1251"/>
      <c r="AH21" s="1253"/>
      <c r="AI21" s="1253"/>
      <c r="AJ21" s="1253"/>
      <c r="AK21" s="1253"/>
      <c r="AL21" s="1211"/>
      <c r="AM21" s="1251" t="s">
        <v>8219</v>
      </c>
      <c r="AN21" s="1211"/>
      <c r="AO21" s="1211"/>
      <c r="AP21" s="1251" t="s">
        <v>8307</v>
      </c>
      <c r="AQ21" s="795"/>
      <c r="AR21" s="1251" t="s">
        <v>8308</v>
      </c>
      <c r="AS21" s="795"/>
      <c r="AT21" s="1251" t="s">
        <v>8309</v>
      </c>
      <c r="AU21" s="1251" t="s">
        <v>8310</v>
      </c>
      <c r="AV21" s="795"/>
      <c r="AW21" s="795"/>
      <c r="AX21" s="1211"/>
      <c r="AY21" s="1211"/>
      <c r="AZ21" s="1251" t="s">
        <v>3342</v>
      </c>
      <c r="BA21" s="795"/>
      <c r="BB21" s="1251" t="s">
        <v>8044</v>
      </c>
      <c r="BC21" s="1251" t="s">
        <v>8165</v>
      </c>
      <c r="BD21" s="1251" t="s">
        <v>8206</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7843</v>
      </c>
      <c r="B22" s="1041" t="s">
        <v>6335</v>
      </c>
      <c r="C22" s="1042" t="s">
        <v>1483</v>
      </c>
      <c r="D22" s="1043" t="s">
        <v>1483</v>
      </c>
      <c r="E22" s="1044" t="s">
        <v>562</v>
      </c>
      <c r="F22" s="1045" t="s">
        <v>448</v>
      </c>
      <c r="G22" s="1041" t="s">
        <v>5796</v>
      </c>
      <c r="H22" s="1285" t="s">
        <v>8311</v>
      </c>
      <c r="I22" s="1285"/>
      <c r="J22" s="1211"/>
      <c r="K22" s="1251" t="s">
        <v>8312</v>
      </c>
      <c r="L22" s="1251"/>
      <c r="M22" s="1211"/>
      <c r="N22" s="1211"/>
      <c r="O22" s="1211"/>
      <c r="P22" s="1211"/>
      <c r="Q22" s="1251" t="s">
        <v>8313</v>
      </c>
      <c r="R22" s="1251" t="s">
        <v>8314</v>
      </c>
      <c r="S22" s="1211"/>
      <c r="T22" s="1251" t="s">
        <v>8315</v>
      </c>
      <c r="U22" s="1314" t="s">
        <v>3179</v>
      </c>
      <c r="V22" s="1314"/>
      <c r="W22" s="1251" t="s">
        <v>373</v>
      </c>
      <c r="X22" s="795"/>
      <c r="Y22" s="1251" t="s">
        <v>4955</v>
      </c>
      <c r="Z22" s="1211"/>
      <c r="AA22" s="1211"/>
      <c r="AB22" s="1253"/>
      <c r="AC22" s="1251" t="s">
        <v>8316</v>
      </c>
      <c r="AD22" s="1251" t="s">
        <v>4155</v>
      </c>
      <c r="AE22" s="1257"/>
      <c r="AF22" s="783" t="s">
        <v>748</v>
      </c>
      <c r="AG22" s="1270"/>
      <c r="AH22" s="1251" t="s">
        <v>3401</v>
      </c>
      <c r="AI22" s="1251" t="s">
        <v>5599</v>
      </c>
      <c r="AJ22" s="1253"/>
      <c r="AK22" s="1253"/>
      <c r="AL22" s="1211"/>
      <c r="AM22" s="1211"/>
      <c r="AN22" s="1211"/>
      <c r="AO22" s="1211"/>
      <c r="AP22" s="1211"/>
      <c r="AQ22" s="1211"/>
      <c r="AR22" s="1211"/>
      <c r="AS22" s="1211"/>
      <c r="AT22" s="1211"/>
      <c r="AU22" s="1211"/>
      <c r="AV22" s="1211"/>
      <c r="AW22" s="1211"/>
      <c r="AX22" s="795"/>
      <c r="AY22" s="1251" t="s">
        <v>8205</v>
      </c>
      <c r="AZ22" s="1211"/>
      <c r="BA22" s="1211"/>
      <c r="BB22" s="1251" t="s">
        <v>8171</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5487</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8317</v>
      </c>
    </row>
    <row r="23">
      <c r="A23" s="1318" t="s">
        <v>7834</v>
      </c>
      <c r="B23" s="1041" t="s">
        <v>8318</v>
      </c>
      <c r="C23" s="1042" t="s">
        <v>1483</v>
      </c>
      <c r="D23" s="1043" t="s">
        <v>1483</v>
      </c>
      <c r="E23" s="1044" t="s">
        <v>1483</v>
      </c>
      <c r="F23" s="1045" t="s">
        <v>1483</v>
      </c>
      <c r="G23" s="1041" t="s">
        <v>220</v>
      </c>
      <c r="H23" s="1285"/>
      <c r="I23" s="1285" t="s">
        <v>8319</v>
      </c>
      <c r="J23" s="795"/>
      <c r="K23" s="795" t="s">
        <v>8320</v>
      </c>
      <c r="L23" s="1251"/>
      <c r="M23" s="1211"/>
      <c r="N23" s="1253" t="s">
        <v>8321</v>
      </c>
      <c r="O23" s="1211"/>
      <c r="P23" s="1211"/>
      <c r="Q23" s="1253"/>
      <c r="R23" s="1251" t="s">
        <v>8322</v>
      </c>
      <c r="S23" s="1211"/>
      <c r="T23" s="1251" t="s">
        <v>8323</v>
      </c>
      <c r="U23" s="1251" t="s">
        <v>8324</v>
      </c>
      <c r="V23" s="1251"/>
      <c r="W23" s="1251" t="s">
        <v>5334</v>
      </c>
      <c r="X23" s="795"/>
      <c r="Y23" s="1251" t="s">
        <v>1063</v>
      </c>
      <c r="Z23" s="1253" t="s">
        <v>8325</v>
      </c>
      <c r="AA23" s="1211"/>
      <c r="AB23" s="1253"/>
      <c r="AC23" s="795"/>
      <c r="AD23" s="1251" t="s">
        <v>1920</v>
      </c>
      <c r="AE23" s="795"/>
      <c r="AF23" s="795"/>
      <c r="AG23" s="1251"/>
      <c r="AH23" s="1251"/>
      <c r="AI23" s="1253" t="s">
        <v>8326</v>
      </c>
      <c r="AJ23" s="1253"/>
      <c r="AK23" s="1253"/>
      <c r="AL23" s="1211"/>
      <c r="AM23" s="1253" t="s">
        <v>8327</v>
      </c>
      <c r="AN23" s="1211"/>
      <c r="AO23" s="1211"/>
      <c r="AP23" s="795" t="s">
        <v>8328</v>
      </c>
      <c r="AQ23" s="1211"/>
      <c r="AR23" s="1253" t="s">
        <v>8329</v>
      </c>
      <c r="AS23" s="1211"/>
      <c r="AT23" s="1253" t="s">
        <v>8330</v>
      </c>
      <c r="AU23" s="795" t="s">
        <v>8331</v>
      </c>
      <c r="AV23" s="795"/>
      <c r="AW23" s="795" t="s">
        <v>8219</v>
      </c>
      <c r="AX23" s="1211"/>
      <c r="AY23" s="1253" t="s">
        <v>8223</v>
      </c>
      <c r="AZ23" s="795"/>
      <c r="BA23" s="795"/>
      <c r="BB23" s="1253" t="s">
        <v>8332</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5308</v>
      </c>
      <c r="B24" s="1041" t="s">
        <v>8333</v>
      </c>
      <c r="C24" s="1042" t="s">
        <v>1483</v>
      </c>
      <c r="D24" s="1043" t="s">
        <v>562</v>
      </c>
      <c r="E24" s="1044" t="s">
        <v>448</v>
      </c>
      <c r="F24" s="1045" t="s">
        <v>449</v>
      </c>
      <c r="G24" s="1041" t="s">
        <v>3342</v>
      </c>
      <c r="H24" s="1294" t="s">
        <v>8334</v>
      </c>
      <c r="I24" s="1294" t="s">
        <v>5314</v>
      </c>
      <c r="J24" s="1257"/>
      <c r="K24" s="1251" t="s">
        <v>8335</v>
      </c>
      <c r="L24" s="1251"/>
      <c r="M24" s="795"/>
      <c r="N24" s="1251" t="s">
        <v>8336</v>
      </c>
      <c r="O24" s="1251" t="s">
        <v>8337</v>
      </c>
      <c r="P24" s="1251" t="s">
        <v>8338</v>
      </c>
      <c r="Q24" s="1251" t="s">
        <v>8339</v>
      </c>
      <c r="R24" s="1251" t="s">
        <v>8340</v>
      </c>
      <c r="S24" s="1251" t="s">
        <v>5333</v>
      </c>
      <c r="T24" s="1251" t="s">
        <v>8341</v>
      </c>
      <c r="U24" s="1251" t="s">
        <v>8342</v>
      </c>
      <c r="V24" s="1251"/>
      <c r="W24" s="1251" t="s">
        <v>5985</v>
      </c>
      <c r="X24" s="795"/>
      <c r="Y24" s="1211"/>
      <c r="Z24" s="1211"/>
      <c r="AA24" s="1211"/>
      <c r="AB24" s="1253"/>
      <c r="AC24" s="1251" t="s">
        <v>8343</v>
      </c>
      <c r="AD24" s="1251" t="s">
        <v>5830</v>
      </c>
      <c r="AE24" s="795"/>
      <c r="AF24" s="1251" t="s">
        <v>7457</v>
      </c>
      <c r="AG24" s="1251"/>
      <c r="AH24" s="1251" t="s">
        <v>3303</v>
      </c>
      <c r="AI24" s="1251"/>
      <c r="AJ24" s="1251"/>
      <c r="AK24" s="1253"/>
      <c r="AL24" s="1211"/>
      <c r="AM24" s="1251" t="s">
        <v>8344</v>
      </c>
      <c r="AN24" s="1251" t="s">
        <v>8180</v>
      </c>
      <c r="AO24" s="1251" t="s">
        <v>8110</v>
      </c>
      <c r="AP24" s="1251" t="s">
        <v>8345</v>
      </c>
      <c r="AQ24" s="795"/>
      <c r="AR24" s="1251" t="s">
        <v>8261</v>
      </c>
      <c r="AS24" s="795"/>
      <c r="AT24" s="1251" t="s">
        <v>8346</v>
      </c>
      <c r="AU24" s="1251" t="s">
        <v>8347</v>
      </c>
      <c r="AV24" s="795"/>
      <c r="AW24" s="1251" t="s">
        <v>8170</v>
      </c>
      <c r="AX24" s="795"/>
      <c r="AY24" s="1251" t="s">
        <v>8250</v>
      </c>
      <c r="AZ24" s="1211"/>
      <c r="BA24" s="1211"/>
      <c r="BB24" s="1251" t="s">
        <v>8196</v>
      </c>
      <c r="BC24" s="795" t="s">
        <v>8250</v>
      </c>
      <c r="BD24" s="1251" t="s">
        <v>8263</v>
      </c>
      <c r="BE24" s="1251"/>
      <c r="BF24" s="795"/>
      <c r="BG24" s="1320" t="s">
        <v>8348</v>
      </c>
      <c r="BH24" s="1321" t="s">
        <v>8349</v>
      </c>
      <c r="BI24" s="1153"/>
      <c r="BJ24" s="1153"/>
      <c r="BK24" s="1153"/>
      <c r="BL24" s="1153" t="s">
        <v>8350</v>
      </c>
      <c r="BM24" s="1153" t="s">
        <v>8351</v>
      </c>
      <c r="BN24" s="1153"/>
      <c r="BO24" s="1153"/>
      <c r="BP24" s="1153"/>
      <c r="BQ24" s="1253"/>
      <c r="BR24" s="1322" t="s">
        <v>8352</v>
      </c>
      <c r="BS24" s="1253"/>
      <c r="BT24" s="1253"/>
      <c r="BU24" s="1253"/>
      <c r="BV24" s="1323" t="s">
        <v>2153</v>
      </c>
      <c r="BW24" s="1251" t="s">
        <v>1860</v>
      </c>
      <c r="BX24" s="1251" t="s">
        <v>1707</v>
      </c>
      <c r="BY24" s="1248" t="s">
        <v>5000</v>
      </c>
      <c r="BZ24" s="1251" t="s">
        <v>2300</v>
      </c>
      <c r="CA24" s="1251" t="s">
        <v>5530</v>
      </c>
      <c r="CB24" s="1251" t="s">
        <v>2214</v>
      </c>
      <c r="CC24" s="1251" t="s">
        <v>8353</v>
      </c>
      <c r="CD24" s="1251"/>
      <c r="CE24" s="1282" t="s">
        <v>8283</v>
      </c>
      <c r="CF24" s="1282" t="s">
        <v>7982</v>
      </c>
      <c r="CG24" s="1282" t="s">
        <v>8354</v>
      </c>
      <c r="CH24" s="1282"/>
      <c r="CI24" s="1280"/>
      <c r="CJ24" s="1280"/>
      <c r="CK24" s="1280"/>
      <c r="CL24" s="1280"/>
      <c r="CM24" s="1280"/>
      <c r="CN24" s="1266"/>
      <c r="CO24" s="1280"/>
      <c r="CP24" s="1280"/>
      <c r="CQ24" s="1280"/>
      <c r="CR24" s="1280"/>
      <c r="CS24" s="1280"/>
      <c r="CT24" s="1324" t="s">
        <v>4931</v>
      </c>
    </row>
    <row r="25">
      <c r="A25" s="1275" t="s">
        <v>6460</v>
      </c>
      <c r="B25" s="1041" t="s">
        <v>452</v>
      </c>
      <c r="C25" s="1042" t="s">
        <v>1483</v>
      </c>
      <c r="D25" s="1043" t="s">
        <v>562</v>
      </c>
      <c r="E25" s="1044" t="s">
        <v>1483</v>
      </c>
      <c r="F25" s="1045" t="s">
        <v>336</v>
      </c>
      <c r="G25" s="1041" t="s">
        <v>3317</v>
      </c>
      <c r="H25" s="1285"/>
      <c r="I25" s="1285" t="s">
        <v>8355</v>
      </c>
      <c r="J25" s="795"/>
      <c r="K25" s="795" t="s">
        <v>8356</v>
      </c>
      <c r="L25" s="1250" t="s">
        <v>3836</v>
      </c>
      <c r="M25" s="1211"/>
      <c r="N25" s="1211"/>
      <c r="O25" s="1211"/>
      <c r="P25" s="795" t="s">
        <v>8357</v>
      </c>
      <c r="Q25" s="1253"/>
      <c r="R25" s="783" t="s">
        <v>8358</v>
      </c>
      <c r="S25" s="1211"/>
      <c r="T25" s="1211"/>
      <c r="U25" s="795" t="s">
        <v>781</v>
      </c>
      <c r="V25" s="1251"/>
      <c r="W25" s="1251" t="s">
        <v>4472</v>
      </c>
      <c r="X25" s="795" t="s">
        <v>3613</v>
      </c>
      <c r="Y25" s="783" t="s">
        <v>8359</v>
      </c>
      <c r="Z25" s="1211"/>
      <c r="AA25" s="1211"/>
      <c r="AB25" s="1253"/>
      <c r="AC25" s="1251" t="s">
        <v>8360</v>
      </c>
      <c r="AD25" s="1251" t="s">
        <v>8361</v>
      </c>
      <c r="AE25" s="795"/>
      <c r="AF25" s="1251" t="s">
        <v>8362</v>
      </c>
      <c r="AG25" s="1251"/>
      <c r="AH25" s="1251" t="s">
        <v>8363</v>
      </c>
      <c r="AI25" s="1253"/>
      <c r="AJ25" s="1253"/>
      <c r="AK25" s="1324" t="s">
        <v>3884</v>
      </c>
      <c r="AL25" s="1269"/>
      <c r="AM25" s="1211"/>
      <c r="AN25" s="1211"/>
      <c r="AO25" s="1211"/>
      <c r="AP25" s="1211"/>
      <c r="AQ25" s="1211"/>
      <c r="AR25" s="1251" t="s">
        <v>8364</v>
      </c>
      <c r="AS25" s="795"/>
      <c r="AT25" s="1211"/>
      <c r="AU25" s="1211"/>
      <c r="AV25" s="1211"/>
      <c r="AW25" s="1251" t="s">
        <v>8019</v>
      </c>
      <c r="AX25" s="1211"/>
      <c r="AY25" s="1211"/>
      <c r="AZ25" s="1211"/>
      <c r="BA25" s="1211"/>
      <c r="BB25" s="1251" t="s">
        <v>8094</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4095</v>
      </c>
      <c r="CN25" s="1251" t="s">
        <v>218</v>
      </c>
      <c r="CO25" s="1251" t="s">
        <v>5163</v>
      </c>
      <c r="CP25" s="1253"/>
      <c r="CQ25" s="1253"/>
      <c r="CR25" s="1253"/>
      <c r="CS25" s="1253"/>
      <c r="CT25" s="92"/>
    </row>
    <row r="26">
      <c r="A26" s="1309" t="s">
        <v>6473</v>
      </c>
      <c r="B26" s="1041" t="s">
        <v>3343</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8178</v>
      </c>
      <c r="Z26" s="1211"/>
      <c r="AA26" s="1211"/>
      <c r="AB26" s="1253"/>
      <c r="AC26" s="1252" t="s">
        <v>4785</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4000</v>
      </c>
      <c r="BW26" s="1253"/>
      <c r="BX26" s="1252" t="s">
        <v>1742</v>
      </c>
      <c r="BY26" s="1253"/>
      <c r="BZ26" s="1252" t="s">
        <v>8365</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7845</v>
      </c>
      <c r="B27" s="1041" t="s">
        <v>451</v>
      </c>
      <c r="C27" s="1042" t="s">
        <v>1483</v>
      </c>
      <c r="D27" s="1043" t="s">
        <v>1483</v>
      </c>
      <c r="E27" s="1044" t="s">
        <v>562</v>
      </c>
      <c r="F27" s="1045" t="s">
        <v>448</v>
      </c>
      <c r="G27" s="1041" t="s">
        <v>337</v>
      </c>
      <c r="H27" s="1285"/>
      <c r="I27" s="1285" t="s">
        <v>8366</v>
      </c>
      <c r="J27" s="1211"/>
      <c r="K27" s="795" t="s">
        <v>8367</v>
      </c>
      <c r="L27" s="1253"/>
      <c r="M27" s="1211"/>
      <c r="N27" s="1211"/>
      <c r="O27" s="1211"/>
      <c r="P27" s="795" t="s">
        <v>8368</v>
      </c>
      <c r="Q27" s="1253"/>
      <c r="R27" s="1211"/>
      <c r="S27" s="1211"/>
      <c r="T27" s="1211"/>
      <c r="U27" s="770" t="s">
        <v>8369</v>
      </c>
      <c r="V27" s="1253"/>
      <c r="W27" s="1211"/>
      <c r="X27" s="795" t="s">
        <v>6644</v>
      </c>
      <c r="Y27" s="783" t="s">
        <v>6734</v>
      </c>
      <c r="Z27" s="1211"/>
      <c r="AA27" s="795" t="s">
        <v>8370</v>
      </c>
      <c r="AB27" s="1253"/>
      <c r="AC27" s="795" t="s">
        <v>8371</v>
      </c>
      <c r="AD27" s="795" t="s">
        <v>2041</v>
      </c>
      <c r="AE27" s="1248" t="s">
        <v>5105</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3340</v>
      </c>
      <c r="B28" s="1041" t="s">
        <v>2236</v>
      </c>
      <c r="C28" s="1042" t="s">
        <v>562</v>
      </c>
      <c r="D28" s="1043" t="s">
        <v>1483</v>
      </c>
      <c r="E28" s="1044" t="s">
        <v>1483</v>
      </c>
      <c r="F28" s="1045" t="s">
        <v>448</v>
      </c>
      <c r="G28" s="1041" t="s">
        <v>220</v>
      </c>
      <c r="H28" s="1285"/>
      <c r="I28" s="1256" t="s">
        <v>8372</v>
      </c>
      <c r="J28" s="1211"/>
      <c r="K28" s="795" t="s">
        <v>8373</v>
      </c>
      <c r="L28" s="1253"/>
      <c r="M28" s="795" t="s">
        <v>8374</v>
      </c>
      <c r="N28" s="1211"/>
      <c r="O28" s="1211"/>
      <c r="P28" s="1251" t="s">
        <v>5899</v>
      </c>
      <c r="Q28" s="1253"/>
      <c r="R28" s="1211"/>
      <c r="S28" s="795" t="s">
        <v>3377</v>
      </c>
      <c r="T28" s="795"/>
      <c r="U28" s="1251" t="s">
        <v>3824</v>
      </c>
      <c r="V28" s="1253"/>
      <c r="W28" s="1211"/>
      <c r="X28" s="795" t="s">
        <v>8375</v>
      </c>
      <c r="Y28" s="795" t="s">
        <v>5131</v>
      </c>
      <c r="Z28" s="1211"/>
      <c r="AA28" s="795" t="s">
        <v>8376</v>
      </c>
      <c r="AB28" s="1253"/>
      <c r="AC28" s="795" t="s">
        <v>8377</v>
      </c>
      <c r="AD28" s="795" t="s">
        <v>5430</v>
      </c>
      <c r="AE28" s="795" t="s">
        <v>8378</v>
      </c>
      <c r="AF28" s="795" t="s">
        <v>7725</v>
      </c>
      <c r="AG28" s="1253"/>
      <c r="AH28" s="1253"/>
      <c r="AI28" s="1253"/>
      <c r="AJ28" s="1253"/>
      <c r="AK28" s="1253"/>
      <c r="AL28" s="1211"/>
      <c r="AM28" s="1211"/>
      <c r="AN28" s="795" t="s">
        <v>8379</v>
      </c>
      <c r="AO28" s="1251" t="s">
        <v>8380</v>
      </c>
      <c r="AP28" s="1211"/>
      <c r="AQ28" s="795" t="s">
        <v>8109</v>
      </c>
      <c r="AR28" s="1211"/>
      <c r="AS28" s="1211"/>
      <c r="AT28" s="1211"/>
      <c r="AU28" s="795" t="s">
        <v>8331</v>
      </c>
      <c r="AV28" s="1211"/>
      <c r="AW28" s="1211"/>
      <c r="AX28" s="1211"/>
      <c r="AY28" s="1211"/>
      <c r="AZ28" s="1211"/>
      <c r="BA28" s="1211"/>
      <c r="BB28" s="1211"/>
      <c r="BC28" s="1211"/>
      <c r="BD28" s="1211"/>
      <c r="BE28" s="1253"/>
      <c r="BF28" s="1211"/>
      <c r="BG28" s="1291"/>
      <c r="BH28" s="1291"/>
      <c r="BI28" s="1291"/>
      <c r="BJ28" s="1291"/>
      <c r="BK28" s="1291"/>
      <c r="BL28" s="1327" t="s">
        <v>8381</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4491</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3813</v>
      </c>
      <c r="Y29" s="1248" t="s">
        <v>5510</v>
      </c>
      <c r="Z29" s="1211"/>
      <c r="AA29" s="1211"/>
      <c r="AB29" s="1253"/>
      <c r="AC29" s="1211"/>
      <c r="AD29" s="1211"/>
      <c r="AE29" s="1257"/>
      <c r="AF29" s="1250" t="s">
        <v>5725</v>
      </c>
      <c r="AG29" s="1253"/>
      <c r="AH29" s="1253"/>
      <c r="AI29" s="1253"/>
      <c r="AJ29" s="1253"/>
      <c r="AK29" s="1253"/>
      <c r="AL29" s="1211"/>
      <c r="AM29" s="1211"/>
      <c r="AN29" s="1211"/>
      <c r="AO29" s="1211"/>
      <c r="AP29" s="1211"/>
      <c r="AQ29" s="1211"/>
      <c r="AR29" s="1211"/>
      <c r="AS29" s="1211"/>
      <c r="AT29" s="1211"/>
      <c r="AU29" s="1211"/>
      <c r="AV29" s="1211"/>
      <c r="AW29" s="1211"/>
      <c r="AX29" s="795" t="s">
        <v>6535</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7259</v>
      </c>
      <c r="C30" s="1042" t="s">
        <v>1483</v>
      </c>
      <c r="D30" s="1043" t="s">
        <v>1483</v>
      </c>
      <c r="E30" s="1044" t="s">
        <v>1483</v>
      </c>
      <c r="F30" s="1045" t="s">
        <v>448</v>
      </c>
      <c r="G30" s="1041" t="s">
        <v>667</v>
      </c>
      <c r="H30" s="1285"/>
      <c r="I30" s="1285"/>
      <c r="J30" s="101"/>
      <c r="K30" s="101"/>
      <c r="L30" s="92"/>
      <c r="M30" s="101"/>
      <c r="N30" s="101"/>
      <c r="O30" s="101"/>
      <c r="P30" s="101"/>
      <c r="Q30" s="92"/>
      <c r="R30" s="114" t="s">
        <v>8382</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8383</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4982</v>
      </c>
      <c r="B31" s="1041" t="s">
        <v>1571</v>
      </c>
      <c r="C31" s="1042" t="s">
        <v>1483</v>
      </c>
      <c r="D31" s="1043" t="s">
        <v>1483</v>
      </c>
      <c r="E31" s="1044" t="s">
        <v>1483</v>
      </c>
      <c r="F31" s="1045" t="s">
        <v>1483</v>
      </c>
      <c r="G31" s="1041" t="s">
        <v>4527</v>
      </c>
      <c r="H31" s="1285"/>
      <c r="I31" s="1285" t="s">
        <v>6535</v>
      </c>
      <c r="J31" s="1211"/>
      <c r="K31" s="795" t="s">
        <v>8384</v>
      </c>
      <c r="L31" s="1253"/>
      <c r="M31" s="1211"/>
      <c r="N31" s="1211"/>
      <c r="O31" s="1211"/>
      <c r="P31" s="795" t="s">
        <v>8385</v>
      </c>
      <c r="Q31" s="1253"/>
      <c r="R31" s="1211"/>
      <c r="S31" s="1211"/>
      <c r="T31" s="795" t="s">
        <v>8386</v>
      </c>
      <c r="U31" s="795" t="s">
        <v>8387</v>
      </c>
      <c r="V31" s="1253"/>
      <c r="W31" s="795" t="s">
        <v>248</v>
      </c>
      <c r="X31" s="795" t="s">
        <v>8388</v>
      </c>
      <c r="Y31" s="795" t="s">
        <v>370</v>
      </c>
      <c r="Z31" s="1211"/>
      <c r="AA31" s="1211"/>
      <c r="AB31" s="1253"/>
      <c r="AC31" s="1211"/>
      <c r="AD31" s="1211"/>
      <c r="AE31" s="1211"/>
      <c r="AF31" s="1211"/>
      <c r="AG31" s="1253"/>
      <c r="AH31" s="1253"/>
      <c r="AI31" s="1253"/>
      <c r="AJ31" s="1253"/>
      <c r="AK31" s="1253"/>
      <c r="AL31" s="1211"/>
      <c r="AM31" s="1211"/>
      <c r="AN31" s="1211"/>
      <c r="AO31" s="1211"/>
      <c r="AP31" s="770" t="s">
        <v>8084</v>
      </c>
      <c r="AQ31" s="770"/>
      <c r="AR31" s="1211"/>
      <c r="AS31" s="795" t="s">
        <v>8262</v>
      </c>
      <c r="AT31" s="1211"/>
      <c r="AU31" s="795" t="s">
        <v>8364</v>
      </c>
      <c r="AV31" s="1211"/>
      <c r="AW31" s="1211"/>
      <c r="AX31" s="1211"/>
      <c r="AY31" s="1211"/>
      <c r="AZ31" s="795" t="s">
        <v>2496</v>
      </c>
      <c r="BA31" s="1211"/>
      <c r="BB31" s="770" t="s">
        <v>8389</v>
      </c>
      <c r="BC31" s="795" t="s">
        <v>8011</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4600</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5974</v>
      </c>
      <c r="Z32" s="1211"/>
      <c r="AA32" s="1211"/>
      <c r="AB32" s="1253"/>
      <c r="AC32" s="1251" t="s">
        <v>8390</v>
      </c>
      <c r="AD32" s="795" t="s">
        <v>2208</v>
      </c>
      <c r="AE32" s="795"/>
      <c r="AF32" s="1251" t="s">
        <v>7650</v>
      </c>
      <c r="AG32" s="1251"/>
      <c r="AH32" s="1251" t="s">
        <v>4557</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8180</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4216</v>
      </c>
      <c r="BY32" s="1251" t="s">
        <v>4535</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6057</v>
      </c>
      <c r="B33" s="1041" t="s">
        <v>5838</v>
      </c>
      <c r="C33" s="1042" t="s">
        <v>1483</v>
      </c>
      <c r="D33" s="1043" t="s">
        <v>1483</v>
      </c>
      <c r="E33" s="1044" t="s">
        <v>562</v>
      </c>
      <c r="F33" s="1045" t="s">
        <v>667</v>
      </c>
      <c r="G33" s="1041" t="s">
        <v>337</v>
      </c>
      <c r="H33" s="1285" t="s">
        <v>8391</v>
      </c>
      <c r="I33" s="1285"/>
      <c r="J33" s="1211"/>
      <c r="K33" s="1211"/>
      <c r="L33" s="1253"/>
      <c r="M33" s="1211"/>
      <c r="N33" s="1211"/>
      <c r="O33" s="1211"/>
      <c r="P33" s="1211"/>
      <c r="Q33" s="1253"/>
      <c r="R33" s="1211"/>
      <c r="S33" s="1211"/>
      <c r="T33" s="783" t="s">
        <v>8392</v>
      </c>
      <c r="U33" s="795" t="s">
        <v>8393</v>
      </c>
      <c r="V33" s="795" t="s">
        <v>8394</v>
      </c>
      <c r="W33" s="1211"/>
      <c r="X33" s="795" t="s">
        <v>8395</v>
      </c>
      <c r="Y33" s="795" t="s">
        <v>8396</v>
      </c>
      <c r="Z33" s="1211"/>
      <c r="AA33" s="1211"/>
      <c r="AB33" s="1253"/>
      <c r="AC33" s="783" t="s">
        <v>1730</v>
      </c>
      <c r="AD33" s="795" t="s">
        <v>5550</v>
      </c>
      <c r="AE33" s="1211"/>
      <c r="AF33" s="1211"/>
      <c r="AG33" s="1253"/>
      <c r="AH33" s="1253"/>
      <c r="AI33" s="1253"/>
      <c r="AJ33" s="1253"/>
      <c r="AK33" s="1253"/>
      <c r="AL33" s="1211"/>
      <c r="AM33" s="795" t="s">
        <v>8397</v>
      </c>
      <c r="AN33" s="1211"/>
      <c r="AO33" s="1211"/>
      <c r="AP33" s="795" t="s">
        <v>8066</v>
      </c>
      <c r="AQ33" s="1211"/>
      <c r="AR33" s="1211"/>
      <c r="AS33" s="1211"/>
      <c r="AT33" s="1211"/>
      <c r="AU33" s="795" t="s">
        <v>8127</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8398</v>
      </c>
      <c r="CF33" s="1211"/>
      <c r="CG33" s="1253"/>
      <c r="CH33" s="1253"/>
      <c r="CI33" s="1253"/>
      <c r="CJ33" s="1253"/>
      <c r="CK33" s="1253"/>
      <c r="CL33" s="1253"/>
      <c r="CM33" s="1253"/>
      <c r="CN33" s="1211"/>
      <c r="CO33" s="1253"/>
      <c r="CP33" s="1253"/>
      <c r="CQ33" s="1253"/>
      <c r="CR33" s="1253"/>
      <c r="CS33" s="1253"/>
      <c r="CT33" s="1253"/>
    </row>
    <row r="34">
      <c r="A34" s="1254" t="s">
        <v>8399</v>
      </c>
      <c r="B34" s="1041" t="s">
        <v>5660</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3826</v>
      </c>
      <c r="BZ34" s="1271" t="s">
        <v>8400</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6465</v>
      </c>
      <c r="B35" s="1041" t="s">
        <v>3008</v>
      </c>
      <c r="C35" s="1042" t="s">
        <v>448</v>
      </c>
      <c r="D35" s="1043" t="s">
        <v>1483</v>
      </c>
      <c r="E35" s="1044" t="s">
        <v>1483</v>
      </c>
      <c r="F35" s="1045" t="s">
        <v>448</v>
      </c>
      <c r="G35" s="1041" t="s">
        <v>448</v>
      </c>
      <c r="H35" s="1043"/>
      <c r="I35" s="1285"/>
      <c r="J35" s="1211"/>
      <c r="K35" s="1211"/>
      <c r="L35" s="1253"/>
      <c r="M35" s="1211"/>
      <c r="N35" s="1211"/>
      <c r="O35" s="1252" t="s">
        <v>8401</v>
      </c>
      <c r="P35" s="1252" t="s">
        <v>8402</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3113</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3463</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5600</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4739</v>
      </c>
      <c r="B39" s="1041" t="s">
        <v>3785</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8403</v>
      </c>
      <c r="B40" s="1041" t="s">
        <v>3317</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8035</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6457</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8404</v>
      </c>
      <c r="S41" s="1211"/>
      <c r="T41" s="1211"/>
      <c r="U41" s="795" t="s">
        <v>8405</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8406</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6086</v>
      </c>
      <c r="B43" s="1041" t="s">
        <v>219</v>
      </c>
      <c r="C43" s="1042" t="s">
        <v>1483</v>
      </c>
      <c r="D43" s="1043" t="s">
        <v>1483</v>
      </c>
      <c r="E43" s="1044" t="s">
        <v>1483</v>
      </c>
      <c r="F43" s="1045" t="s">
        <v>1483</v>
      </c>
      <c r="G43" s="1041" t="s">
        <v>450</v>
      </c>
      <c r="H43" s="1285"/>
      <c r="I43" s="1285"/>
      <c r="J43" s="1211"/>
      <c r="K43" s="795" t="s">
        <v>8407</v>
      </c>
      <c r="L43" s="1253"/>
      <c r="M43" s="1211"/>
      <c r="N43" s="1211"/>
      <c r="O43" s="1211"/>
      <c r="P43" s="1211"/>
      <c r="Q43" s="1253"/>
      <c r="R43" s="1211"/>
      <c r="S43" s="1211"/>
      <c r="T43" s="1211"/>
      <c r="U43" s="1211"/>
      <c r="V43" s="1253"/>
      <c r="W43" s="1251" t="s">
        <v>6361</v>
      </c>
      <c r="X43" s="795"/>
      <c r="Y43" s="1211"/>
      <c r="Z43" s="1211"/>
      <c r="AA43" s="1211"/>
      <c r="AB43" s="1253"/>
      <c r="AC43" s="1211"/>
      <c r="AD43" s="1251" t="s">
        <v>3092</v>
      </c>
      <c r="AE43" s="101"/>
      <c r="AF43" s="101"/>
      <c r="AG43" s="92"/>
      <c r="AH43" s="1253"/>
      <c r="AI43" s="1253"/>
      <c r="AJ43" s="1253"/>
      <c r="AK43" s="1253"/>
      <c r="AL43" s="1211"/>
      <c r="AM43" s="1211"/>
      <c r="AN43" s="1211"/>
      <c r="AO43" s="1211"/>
      <c r="AP43" s="1211"/>
      <c r="AQ43" s="1211"/>
      <c r="AR43" s="1211"/>
      <c r="AS43" s="1211"/>
      <c r="AT43" s="1211"/>
      <c r="AU43" s="795" t="s">
        <v>8038</v>
      </c>
      <c r="AV43" s="795"/>
      <c r="AW43" s="1211"/>
      <c r="AX43" s="1211"/>
      <c r="AY43" s="1211"/>
      <c r="AZ43" s="1211"/>
      <c r="BA43" s="1211"/>
      <c r="BB43" s="1211"/>
      <c r="BC43" s="795" t="s">
        <v>8125</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3633</v>
      </c>
      <c r="B44" s="1041" t="s">
        <v>4527</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5194</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5130</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6455</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8408</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8409</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5853</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4472</v>
      </c>
      <c r="X48" s="795"/>
      <c r="Y48" s="795" t="s">
        <v>3364</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4219</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8410</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8411</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8412</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4266</v>
      </c>
    </row>
    <row r="51">
      <c r="A51" s="1340" t="s">
        <v>6410</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8413</v>
      </c>
      <c r="S51" s="1211"/>
      <c r="T51" s="1211"/>
      <c r="U51" s="783" t="s">
        <v>8414</v>
      </c>
      <c r="V51" s="1253"/>
      <c r="W51" s="795" t="s">
        <v>8415</v>
      </c>
      <c r="X51" s="795" t="s">
        <v>8415</v>
      </c>
      <c r="Y51" s="1211"/>
      <c r="Z51" s="1211"/>
      <c r="AA51" s="1211"/>
      <c r="AB51" s="1253"/>
      <c r="AC51" s="1211"/>
      <c r="AD51" s="1211"/>
      <c r="AE51" s="1211"/>
      <c r="AF51" s="1211"/>
      <c r="AG51" s="1253"/>
      <c r="AH51" s="1253"/>
      <c r="AI51" s="1253"/>
      <c r="AJ51" s="1253"/>
      <c r="AK51" s="1253"/>
      <c r="AL51" s="1211"/>
      <c r="AM51" s="1211"/>
      <c r="AN51" s="1211"/>
      <c r="AO51" s="1211"/>
      <c r="AP51" s="795" t="s">
        <v>8416</v>
      </c>
      <c r="AQ51" s="783" t="s">
        <v>8417</v>
      </c>
      <c r="AR51" s="783" t="s">
        <v>8418</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8419</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3140</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2970</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7970</v>
      </c>
      <c r="BD53" s="1251" t="s">
        <v>8364</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8420</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3836</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3966</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8421</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8422</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8119</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8423</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8424</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5836</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8425</v>
      </c>
      <c r="C1" s="23" t="s">
        <v>10</v>
      </c>
      <c r="F1" s="23" t="s">
        <v>34</v>
      </c>
      <c r="H1" s="24" t="s">
        <v>35</v>
      </c>
      <c r="K1" s="26" t="s">
        <v>36</v>
      </c>
      <c r="N1" s="28" t="s">
        <v>6672</v>
      </c>
      <c r="Q1" s="29" t="s">
        <v>38</v>
      </c>
      <c r="T1" s="30" t="s">
        <v>39</v>
      </c>
      <c r="W1" s="32" t="s">
        <v>6902</v>
      </c>
      <c r="Z1" s="33" t="s">
        <v>6961</v>
      </c>
      <c r="AC1" s="34" t="s">
        <v>42</v>
      </c>
      <c r="AF1" s="1344"/>
      <c r="AG1" s="1344"/>
    </row>
    <row r="2" ht="38.25" customHeight="1">
      <c r="A2" s="35" t="s">
        <v>43</v>
      </c>
      <c r="B2" s="36" t="s">
        <v>44</v>
      </c>
      <c r="C2" s="36" t="s">
        <v>45</v>
      </c>
      <c r="F2" s="36" t="s">
        <v>8426</v>
      </c>
      <c r="H2" s="1345"/>
      <c r="I2" s="1345"/>
      <c r="J2" s="1345"/>
      <c r="K2" s="1245" t="s">
        <v>8427</v>
      </c>
      <c r="L2" s="1245" t="s">
        <v>8428</v>
      </c>
      <c r="M2" s="1245" t="s">
        <v>8429</v>
      </c>
      <c r="N2" s="1346" t="s">
        <v>54</v>
      </c>
      <c r="O2" s="1346"/>
      <c r="P2" s="1346"/>
      <c r="Q2" s="42" t="s">
        <v>48</v>
      </c>
      <c r="R2" s="42" t="s">
        <v>8430</v>
      </c>
      <c r="S2" s="42"/>
      <c r="T2" s="44" t="s">
        <v>50</v>
      </c>
      <c r="U2" s="44" t="s">
        <v>54</v>
      </c>
      <c r="V2" s="44" t="s">
        <v>62</v>
      </c>
      <c r="W2" s="45" t="s">
        <v>52</v>
      </c>
      <c r="X2" s="45"/>
      <c r="Y2" s="45"/>
      <c r="Z2" s="47" t="s">
        <v>51</v>
      </c>
      <c r="AA2" s="1347" t="s">
        <v>8431</v>
      </c>
      <c r="AB2" s="47"/>
      <c r="AC2" s="1348" t="s">
        <v>8432</v>
      </c>
      <c r="AD2" s="1348"/>
      <c r="AE2" s="1348"/>
      <c r="AF2" s="1349"/>
      <c r="AG2" s="1349"/>
    </row>
    <row r="3">
      <c r="A3" s="1350" t="s">
        <v>4317</v>
      </c>
      <c r="B3" s="1351" t="s">
        <v>6142</v>
      </c>
      <c r="C3" s="1352" t="s">
        <v>562</v>
      </c>
      <c r="D3" s="1353" t="s">
        <v>562</v>
      </c>
      <c r="E3" s="1354" t="s">
        <v>448</v>
      </c>
      <c r="F3" s="1355" t="s">
        <v>336</v>
      </c>
      <c r="G3" s="1351" t="s">
        <v>336</v>
      </c>
      <c r="H3" s="1270"/>
      <c r="I3" s="1356"/>
      <c r="J3" s="1357"/>
      <c r="K3" s="1358"/>
      <c r="L3" s="1211"/>
      <c r="M3" s="1211"/>
      <c r="N3" s="1211"/>
      <c r="O3" s="1253"/>
      <c r="P3" s="1253"/>
      <c r="Q3" s="1252" t="s">
        <v>6105</v>
      </c>
      <c r="R3" s="1257"/>
      <c r="S3" s="1257"/>
      <c r="T3" s="1317" t="s">
        <v>6844</v>
      </c>
      <c r="U3" s="1253"/>
      <c r="V3" s="1253"/>
      <c r="W3" s="1317" t="s">
        <v>8433</v>
      </c>
      <c r="X3" s="1253"/>
      <c r="Y3" s="1253"/>
      <c r="Z3" s="1359" t="s">
        <v>8434</v>
      </c>
      <c r="AA3" s="1253"/>
      <c r="AB3" s="1211"/>
      <c r="AC3" s="1253"/>
      <c r="AD3" s="1253"/>
      <c r="AE3" s="1253"/>
      <c r="AF3" s="1360"/>
      <c r="AG3" s="1360"/>
    </row>
    <row r="4">
      <c r="A4" s="1361" t="s">
        <v>5407</v>
      </c>
      <c r="B4" s="1351" t="s">
        <v>1034</v>
      </c>
      <c r="C4" s="1352" t="s">
        <v>562</v>
      </c>
      <c r="D4" s="1353" t="s">
        <v>562</v>
      </c>
      <c r="E4" s="1354" t="s">
        <v>562</v>
      </c>
      <c r="F4" s="1355" t="s">
        <v>336</v>
      </c>
      <c r="G4" s="1351" t="s">
        <v>336</v>
      </c>
      <c r="H4" s="1253"/>
      <c r="I4" s="92"/>
      <c r="J4" s="101"/>
      <c r="K4" s="1211"/>
      <c r="L4" s="1211"/>
      <c r="M4" s="1211"/>
      <c r="N4" s="1211"/>
      <c r="O4" s="1253"/>
      <c r="P4" s="1253"/>
      <c r="Q4" s="1248" t="s">
        <v>5980</v>
      </c>
      <c r="R4" s="1211"/>
      <c r="S4" s="1211"/>
      <c r="T4" s="1250" t="s">
        <v>2198</v>
      </c>
      <c r="U4" s="1253"/>
      <c r="V4" s="1253"/>
      <c r="W4" s="1252" t="s">
        <v>8435</v>
      </c>
      <c r="X4" s="1253"/>
      <c r="Y4" s="1253"/>
      <c r="Z4" s="783" t="s">
        <v>1297</v>
      </c>
      <c r="AA4" s="1253"/>
      <c r="AB4" s="1211"/>
      <c r="AC4" s="1253"/>
      <c r="AD4" s="1253"/>
      <c r="AE4" s="1253"/>
      <c r="AF4" s="1360"/>
      <c r="AG4" s="1360"/>
    </row>
    <row r="5">
      <c r="A5" s="1350" t="s">
        <v>4093</v>
      </c>
      <c r="B5" s="1351" t="s">
        <v>337</v>
      </c>
      <c r="C5" s="1352" t="s">
        <v>1483</v>
      </c>
      <c r="D5" s="1353" t="s">
        <v>562</v>
      </c>
      <c r="E5" s="1354" t="s">
        <v>1483</v>
      </c>
      <c r="F5" s="1355" t="s">
        <v>667</v>
      </c>
      <c r="G5" s="1351" t="s">
        <v>450</v>
      </c>
      <c r="H5" s="1253"/>
      <c r="I5" s="92"/>
      <c r="J5" s="101"/>
      <c r="K5" s="1211"/>
      <c r="L5" s="1211"/>
      <c r="M5" s="1211"/>
      <c r="N5" s="1211"/>
      <c r="O5" s="1253"/>
      <c r="P5" s="1253"/>
      <c r="Q5" s="1250" t="s">
        <v>4660</v>
      </c>
      <c r="R5" s="1272" t="s">
        <v>1740</v>
      </c>
      <c r="S5" s="1211"/>
      <c r="T5" s="783" t="s">
        <v>1090</v>
      </c>
      <c r="U5" s="1253"/>
      <c r="V5" s="1253"/>
      <c r="W5" s="783" t="s">
        <v>8436</v>
      </c>
      <c r="X5" s="1253"/>
      <c r="Y5" s="1253"/>
      <c r="Z5" s="1251" t="s">
        <v>8437</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8438</v>
      </c>
      <c r="S7" s="1211"/>
      <c r="T7" s="1253"/>
      <c r="U7" s="1253"/>
      <c r="V7" s="1253"/>
      <c r="W7" s="1211"/>
      <c r="X7" s="1253"/>
      <c r="Y7" s="1253"/>
      <c r="Z7" s="1252" t="s">
        <v>8439</v>
      </c>
      <c r="AA7" s="1252" t="s">
        <v>6271</v>
      </c>
      <c r="AB7" s="1211"/>
      <c r="AC7" s="1253"/>
      <c r="AD7" s="1253"/>
      <c r="AE7" s="1253"/>
      <c r="AF7" s="1360"/>
      <c r="AG7" s="1360"/>
    </row>
    <row r="8">
      <c r="A8" s="1216" t="s">
        <v>7837</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6790</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3347</v>
      </c>
      <c r="W9" s="1211"/>
      <c r="X9" s="1253"/>
      <c r="Y9" s="1253"/>
      <c r="Z9" s="1211"/>
      <c r="AA9" s="1253"/>
      <c r="AB9" s="1211"/>
      <c r="AC9" s="1250" t="s">
        <v>8440</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6817</v>
      </c>
      <c r="AD10" s="1253"/>
      <c r="AE10" s="1253"/>
      <c r="AF10" s="1360"/>
      <c r="AG10" s="1360"/>
    </row>
    <row r="11">
      <c r="A11" s="1216" t="s">
        <v>4600</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8441</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8442</v>
      </c>
      <c r="L12" s="1211"/>
      <c r="M12" s="1211"/>
      <c r="N12" s="1211"/>
      <c r="O12" s="1253"/>
      <c r="P12" s="1253"/>
      <c r="Q12" s="1253"/>
      <c r="R12" s="1211"/>
      <c r="S12" s="1211"/>
      <c r="T12" s="1253"/>
      <c r="U12" s="1253"/>
      <c r="V12" s="1253"/>
      <c r="W12" s="1252" t="s">
        <v>8435</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8443</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5685</v>
      </c>
      <c r="W14" s="1211"/>
      <c r="X14" s="1253"/>
      <c r="Y14" s="1253"/>
      <c r="Z14" s="1211"/>
      <c r="AA14" s="1253"/>
      <c r="AB14" s="1211"/>
      <c r="AC14" s="1253"/>
      <c r="AD14" s="1253"/>
      <c r="AE14" s="1253"/>
      <c r="AF14" s="1360"/>
      <c r="AG14" s="1360"/>
    </row>
    <row r="15">
      <c r="A15" s="1350" t="s">
        <v>8245</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5446</v>
      </c>
      <c r="S15" s="1211"/>
      <c r="T15" s="1253"/>
      <c r="U15" s="1253"/>
      <c r="V15" s="1253"/>
      <c r="W15" s="1211"/>
      <c r="X15" s="1253"/>
      <c r="Y15" s="1253"/>
      <c r="Z15" s="1211"/>
      <c r="AA15" s="1253"/>
      <c r="AB15" s="1211"/>
      <c r="AC15" s="1253"/>
      <c r="AD15" s="1253"/>
      <c r="AE15" s="1253"/>
      <c r="AF15" s="1360"/>
      <c r="AG15" s="1360"/>
    </row>
    <row r="16">
      <c r="A16" s="1350" t="s">
        <v>3406</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5493</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3749</v>
      </c>
      <c r="R17" s="1257"/>
      <c r="S17" s="1257"/>
      <c r="T17" s="1324" t="s">
        <v>6590</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8444</v>
      </c>
      <c r="AD18" s="1253"/>
      <c r="AE18" s="1253"/>
      <c r="AF18" s="1360"/>
      <c r="AG18" s="1360"/>
    </row>
    <row r="19">
      <c r="A19" s="1085" t="s">
        <v>6405</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8445</v>
      </c>
      <c r="W19" s="1211"/>
      <c r="X19" s="1253"/>
      <c r="Y19" s="1253"/>
      <c r="Z19" s="1211"/>
      <c r="AA19" s="1253"/>
      <c r="AB19" s="1211"/>
      <c r="AC19" s="1253"/>
      <c r="AD19" s="1253"/>
      <c r="AE19" s="1253"/>
      <c r="AF19" s="1360"/>
      <c r="AG19" s="1360"/>
    </row>
    <row r="20">
      <c r="A20" s="1350" t="s">
        <v>8446</v>
      </c>
      <c r="B20" s="1351" t="s">
        <v>667</v>
      </c>
      <c r="C20" s="1352" t="s">
        <v>448</v>
      </c>
      <c r="D20" s="1353" t="s">
        <v>1483</v>
      </c>
      <c r="E20" s="1354" t="s">
        <v>1483</v>
      </c>
      <c r="F20" s="1355" t="s">
        <v>448</v>
      </c>
      <c r="G20" s="1351" t="s">
        <v>448</v>
      </c>
      <c r="H20" s="1253"/>
      <c r="I20" s="92"/>
      <c r="J20" s="101"/>
      <c r="K20" s="1252" t="s">
        <v>8447</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8448</v>
      </c>
      <c r="AD21" s="1253"/>
      <c r="AE21" s="1253"/>
      <c r="AF21" s="1360"/>
      <c r="AG21" s="1360"/>
    </row>
    <row r="22">
      <c r="A22" s="1350" t="s">
        <v>6445</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8449</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8450</v>
      </c>
      <c r="V24" s="1253"/>
      <c r="W24" s="1211"/>
      <c r="X24" s="1253"/>
      <c r="Y24" s="1253"/>
      <c r="Z24" s="1211"/>
      <c r="AA24" s="1253"/>
      <c r="AB24" s="1211"/>
      <c r="AC24" s="1253"/>
      <c r="AD24" s="1253"/>
      <c r="AE24" s="1253"/>
      <c r="AF24" s="1360"/>
      <c r="AG24" s="1360"/>
    </row>
    <row r="25">
      <c r="A25" s="1216" t="s">
        <v>6208</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8451</v>
      </c>
      <c r="C1" s="1375" t="s">
        <v>8452</v>
      </c>
      <c r="D1" s="1376" t="s">
        <v>8453</v>
      </c>
      <c r="E1" s="1376" t="s">
        <v>7866</v>
      </c>
      <c r="F1" s="1376" t="s">
        <v>7867</v>
      </c>
      <c r="G1" s="1376" t="s">
        <v>8454</v>
      </c>
      <c r="H1" s="1377" t="s">
        <v>8455</v>
      </c>
      <c r="I1" s="1377" t="s">
        <v>8456</v>
      </c>
      <c r="J1" s="1378" t="s">
        <v>7878</v>
      </c>
      <c r="K1" s="1378" t="s">
        <v>8457</v>
      </c>
      <c r="L1" s="1378" t="s">
        <v>8458</v>
      </c>
      <c r="M1" s="1378" t="s">
        <v>8459</v>
      </c>
      <c r="N1" s="1378" t="s">
        <v>7941</v>
      </c>
      <c r="O1" s="1378" t="s">
        <v>8460</v>
      </c>
      <c r="P1" s="1378" t="s">
        <v>8461</v>
      </c>
      <c r="Q1" s="1379" t="s">
        <v>8462</v>
      </c>
      <c r="R1" s="1379" t="s">
        <v>7874</v>
      </c>
      <c r="S1" s="1379" t="s">
        <v>8463</v>
      </c>
      <c r="T1" s="1379" t="s">
        <v>8464</v>
      </c>
      <c r="U1" s="1379" t="s">
        <v>8465</v>
      </c>
      <c r="V1" s="1379" t="s">
        <v>8466</v>
      </c>
      <c r="W1" s="1380" t="s">
        <v>7868</v>
      </c>
      <c r="X1" s="1380" t="s">
        <v>7869</v>
      </c>
      <c r="Y1" s="1380" t="s">
        <v>8467</v>
      </c>
      <c r="Z1" s="1380" t="s">
        <v>8468</v>
      </c>
      <c r="AA1" s="1380" t="s">
        <v>7871</v>
      </c>
      <c r="AB1" s="1380" t="s">
        <v>8469</v>
      </c>
      <c r="AC1" s="1380" t="s">
        <v>8470</v>
      </c>
      <c r="AD1" s="1376" t="s">
        <v>8471</v>
      </c>
      <c r="AE1" s="1376" t="s">
        <v>8472</v>
      </c>
      <c r="AF1" s="1381" t="s">
        <v>7875</v>
      </c>
      <c r="AG1" s="1381" t="s">
        <v>8473</v>
      </c>
      <c r="AH1" s="1381" t="s">
        <v>8474</v>
      </c>
      <c r="AI1" s="1381" t="s">
        <v>7876</v>
      </c>
      <c r="AJ1" s="1381" t="s">
        <v>8475</v>
      </c>
      <c r="AK1" s="1381" t="s">
        <v>8476</v>
      </c>
      <c r="AL1" s="1381" t="s">
        <v>8477</v>
      </c>
      <c r="AM1" s="1382" t="s">
        <v>7877</v>
      </c>
      <c r="AN1" s="1382" t="s">
        <v>8478</v>
      </c>
      <c r="AO1" s="1382" t="s">
        <v>8479</v>
      </c>
      <c r="AP1" s="1382" t="s">
        <v>8480</v>
      </c>
      <c r="AQ1" s="1382" t="s">
        <v>8481</v>
      </c>
      <c r="AR1" s="1382" t="s">
        <v>8482</v>
      </c>
      <c r="AS1" s="1382" t="s">
        <v>8483</v>
      </c>
      <c r="AT1" s="1383" t="s">
        <v>8484</v>
      </c>
      <c r="AU1" s="1373" t="s">
        <v>8485</v>
      </c>
      <c r="AV1" s="1384" t="s">
        <v>8486</v>
      </c>
      <c r="AW1" s="1385" t="s">
        <v>8487</v>
      </c>
    </row>
    <row r="2" ht="15.75" customHeight="1">
      <c r="A2" s="1386" t="s">
        <v>8488</v>
      </c>
      <c r="B2" s="1387" t="s">
        <v>8489</v>
      </c>
      <c r="C2" s="1388" t="s">
        <v>8490</v>
      </c>
      <c r="D2" s="1389" t="s">
        <v>8491</v>
      </c>
      <c r="E2" s="1389" t="s">
        <v>8492</v>
      </c>
      <c r="F2" s="1390" t="s">
        <v>8493</v>
      </c>
      <c r="G2" s="1389" t="s">
        <v>8494</v>
      </c>
      <c r="H2" s="1391" t="s">
        <v>6149</v>
      </c>
      <c r="I2" s="1392" t="s">
        <v>3869</v>
      </c>
      <c r="J2" s="1393" t="s">
        <v>8495</v>
      </c>
      <c r="K2" s="1394" t="s">
        <v>4299</v>
      </c>
      <c r="L2" s="1394" t="s">
        <v>232</v>
      </c>
      <c r="M2" s="1395" t="s">
        <v>8496</v>
      </c>
      <c r="N2" s="1395" t="s">
        <v>4111</v>
      </c>
      <c r="O2" s="1395" t="s">
        <v>8497</v>
      </c>
      <c r="P2" s="1394" t="s">
        <v>1414</v>
      </c>
      <c r="Q2" s="1396" t="s">
        <v>8498</v>
      </c>
      <c r="R2" s="1397" t="s">
        <v>4557</v>
      </c>
      <c r="S2" s="1396" t="s">
        <v>848</v>
      </c>
      <c r="T2" s="1397" t="s">
        <v>8499</v>
      </c>
      <c r="U2" s="1396" t="s">
        <v>8500</v>
      </c>
      <c r="V2" s="1398">
        <v>58.55</v>
      </c>
      <c r="W2" s="1399" t="s">
        <v>8501</v>
      </c>
      <c r="X2" s="1400" t="s">
        <v>8502</v>
      </c>
      <c r="Y2" s="1400">
        <v>46.63</v>
      </c>
      <c r="Z2" s="1401" t="s">
        <v>8503</v>
      </c>
      <c r="AA2" s="1400" t="s">
        <v>3721</v>
      </c>
      <c r="AB2" s="1400" t="s">
        <v>8504</v>
      </c>
      <c r="AC2" s="1401" t="s">
        <v>4135</v>
      </c>
      <c r="AD2" s="1402" t="s">
        <v>8505</v>
      </c>
      <c r="AE2" s="1390" t="s">
        <v>4816</v>
      </c>
      <c r="AF2" s="1403" t="s">
        <v>8506</v>
      </c>
      <c r="AG2" s="1403" t="s">
        <v>8507</v>
      </c>
      <c r="AH2" s="1403" t="s">
        <v>3896</v>
      </c>
      <c r="AI2" s="1404" t="s">
        <v>8508</v>
      </c>
      <c r="AJ2" s="1404" t="s">
        <v>8509</v>
      </c>
      <c r="AK2" s="1404" t="s">
        <v>8510</v>
      </c>
      <c r="AL2" s="1405" t="s">
        <v>6137</v>
      </c>
      <c r="AM2" s="1406" t="s">
        <v>3815</v>
      </c>
      <c r="AN2" s="1407" t="s">
        <v>8511</v>
      </c>
      <c r="AO2" s="1408" t="s">
        <v>6354</v>
      </c>
      <c r="AP2" s="1409" t="s">
        <v>8512</v>
      </c>
      <c r="AQ2" s="1406" t="s">
        <v>8513</v>
      </c>
      <c r="AR2" s="1408" t="s">
        <v>424</v>
      </c>
      <c r="AS2" s="1406">
        <v>42.83</v>
      </c>
      <c r="AT2" s="1410" t="s">
        <v>8514</v>
      </c>
      <c r="AU2" s="1388" t="s">
        <v>8515</v>
      </c>
      <c r="AV2" s="1388" t="str">
        <f t="shared" ref="AV2:AV74" si="1">TEXT(AU2-C2,"m:ss")</f>
        <v>2:24</v>
      </c>
      <c r="AW2" s="1411"/>
    </row>
    <row r="3" ht="15.75" customHeight="1">
      <c r="A3" s="1412" t="s">
        <v>8516</v>
      </c>
      <c r="B3" s="1413" t="s">
        <v>8517</v>
      </c>
      <c r="C3" s="1414">
        <v>0.049427546296296296</v>
      </c>
      <c r="D3" s="1415" t="s">
        <v>8518</v>
      </c>
      <c r="E3" s="1415" t="s">
        <v>8519</v>
      </c>
      <c r="F3" s="1415" t="s">
        <v>8520</v>
      </c>
      <c r="G3" s="1415" t="s">
        <v>8521</v>
      </c>
      <c r="H3" s="1416" t="s">
        <v>8522</v>
      </c>
      <c r="I3" s="1416" t="s">
        <v>8523</v>
      </c>
      <c r="J3" s="1417" t="s">
        <v>8524</v>
      </c>
      <c r="K3" s="1417" t="s">
        <v>1140</v>
      </c>
      <c r="L3" s="1417" t="s">
        <v>2877</v>
      </c>
      <c r="M3" s="1417" t="s">
        <v>8525</v>
      </c>
      <c r="N3" s="1417" t="s">
        <v>2589</v>
      </c>
      <c r="O3" s="1417" t="s">
        <v>8526</v>
      </c>
      <c r="P3" s="1417" t="s">
        <v>5573</v>
      </c>
      <c r="Q3" s="1418" t="s">
        <v>8527</v>
      </c>
      <c r="R3" s="1418" t="s">
        <v>8528</v>
      </c>
      <c r="S3" s="1418" t="s">
        <v>8529</v>
      </c>
      <c r="T3" s="1418" t="s">
        <v>8530</v>
      </c>
      <c r="U3" s="1419" t="s">
        <v>7814</v>
      </c>
      <c r="V3" s="1418" t="s">
        <v>4210</v>
      </c>
      <c r="W3" s="1420" t="s">
        <v>4240</v>
      </c>
      <c r="X3" s="1421" t="s">
        <v>2702</v>
      </c>
      <c r="Y3" s="1421" t="s">
        <v>8531</v>
      </c>
      <c r="Z3" s="1421" t="s">
        <v>454</v>
      </c>
      <c r="AA3" s="1421" t="s">
        <v>8532</v>
      </c>
      <c r="AB3" s="1420" t="s">
        <v>2916</v>
      </c>
      <c r="AC3" s="1421" t="s">
        <v>5111</v>
      </c>
      <c r="AD3" s="1415" t="s">
        <v>8533</v>
      </c>
      <c r="AE3" s="1415" t="s">
        <v>8534</v>
      </c>
      <c r="AF3" s="1422" t="s">
        <v>8535</v>
      </c>
      <c r="AG3" s="1423" t="s">
        <v>3992</v>
      </c>
      <c r="AH3" s="1423" t="s">
        <v>2891</v>
      </c>
      <c r="AI3" s="1423" t="s">
        <v>7535</v>
      </c>
      <c r="AJ3" s="1422" t="s">
        <v>8536</v>
      </c>
      <c r="AK3" s="1423" t="s">
        <v>8537</v>
      </c>
      <c r="AL3" s="1423" t="s">
        <v>6082</v>
      </c>
      <c r="AM3" s="1424" t="s">
        <v>8538</v>
      </c>
      <c r="AN3" s="1424" t="s">
        <v>3369</v>
      </c>
      <c r="AO3" s="1425" t="s">
        <v>7703</v>
      </c>
      <c r="AP3" s="1425" t="s">
        <v>8539</v>
      </c>
      <c r="AQ3" s="1425" t="s">
        <v>8540</v>
      </c>
      <c r="AR3" s="1425" t="s">
        <v>7479</v>
      </c>
      <c r="AS3" s="1424" t="s">
        <v>5278</v>
      </c>
      <c r="AT3" s="1426" t="s">
        <v>4062</v>
      </c>
      <c r="AU3" s="1427" t="s">
        <v>8541</v>
      </c>
      <c r="AV3" s="1427" t="str">
        <f t="shared" si="1"/>
        <v>3:56</v>
      </c>
    </row>
    <row r="4" ht="15.75" customHeight="1">
      <c r="A4" s="1428" t="s">
        <v>8542</v>
      </c>
      <c r="B4" s="1429" t="s">
        <v>8543</v>
      </c>
      <c r="C4" s="1430">
        <v>0.050637731481481485</v>
      </c>
      <c r="D4" s="1431" t="s">
        <v>8544</v>
      </c>
      <c r="E4" s="1431" t="s">
        <v>8545</v>
      </c>
      <c r="F4" s="1431" t="s">
        <v>8546</v>
      </c>
      <c r="G4" s="1431" t="s">
        <v>8547</v>
      </c>
      <c r="H4" s="1432" t="s">
        <v>8548</v>
      </c>
      <c r="I4" s="1432" t="s">
        <v>354</v>
      </c>
      <c r="J4" s="1433" t="s">
        <v>8549</v>
      </c>
      <c r="K4" s="1433" t="s">
        <v>6172</v>
      </c>
      <c r="L4" s="1433" t="s">
        <v>3883</v>
      </c>
      <c r="M4" s="1433" t="s">
        <v>8550</v>
      </c>
      <c r="N4" s="1433" t="s">
        <v>8551</v>
      </c>
      <c r="O4" s="1433" t="s">
        <v>8552</v>
      </c>
      <c r="P4" s="1433" t="s">
        <v>8553</v>
      </c>
      <c r="Q4" s="1434" t="s">
        <v>8554</v>
      </c>
      <c r="R4" s="1434" t="s">
        <v>8555</v>
      </c>
      <c r="S4" s="1434" t="s">
        <v>2350</v>
      </c>
      <c r="T4" s="1434" t="s">
        <v>8556</v>
      </c>
      <c r="U4" s="1434" t="s">
        <v>8557</v>
      </c>
      <c r="V4" s="1434" t="s">
        <v>8558</v>
      </c>
      <c r="W4" s="1435" t="s">
        <v>8559</v>
      </c>
      <c r="X4" s="1435" t="s">
        <v>8560</v>
      </c>
      <c r="Y4" s="1435">
        <v>47.93</v>
      </c>
      <c r="Z4" s="1435" t="s">
        <v>8561</v>
      </c>
      <c r="AA4" s="1435" t="s">
        <v>8562</v>
      </c>
      <c r="AB4" s="1435" t="s">
        <v>8563</v>
      </c>
      <c r="AC4" s="1435">
        <v>49.24</v>
      </c>
      <c r="AD4" s="1436" t="s">
        <v>8564</v>
      </c>
      <c r="AE4" s="1431" t="s">
        <v>8565</v>
      </c>
      <c r="AF4" s="1437" t="s">
        <v>2772</v>
      </c>
      <c r="AG4" s="1437" t="s">
        <v>4711</v>
      </c>
      <c r="AH4" s="1437" t="s">
        <v>5280</v>
      </c>
      <c r="AI4" s="1437" t="s">
        <v>8566</v>
      </c>
      <c r="AJ4" s="1437" t="s">
        <v>8567</v>
      </c>
      <c r="AK4" s="1437" t="s">
        <v>8568</v>
      </c>
      <c r="AL4" s="1437" t="s">
        <v>8569</v>
      </c>
      <c r="AM4" s="1438" t="s">
        <v>8570</v>
      </c>
      <c r="AN4" s="1439" t="s">
        <v>8571</v>
      </c>
      <c r="AO4" s="1438" t="s">
        <v>8572</v>
      </c>
      <c r="AP4" s="1439" t="s">
        <v>8573</v>
      </c>
      <c r="AQ4" s="1438" t="s">
        <v>8574</v>
      </c>
      <c r="AR4" s="1438" t="s">
        <v>6483</v>
      </c>
      <c r="AS4" s="1438" t="s">
        <v>784</v>
      </c>
      <c r="AT4" s="1440" t="s">
        <v>8575</v>
      </c>
      <c r="AU4" s="1441" t="s">
        <v>8576</v>
      </c>
      <c r="AV4" s="1442" t="str">
        <f t="shared" si="1"/>
        <v>2:38</v>
      </c>
    </row>
    <row r="5" ht="15.75" customHeight="1">
      <c r="A5" s="1443" t="s">
        <v>1107</v>
      </c>
      <c r="B5" s="1444" t="s">
        <v>8489</v>
      </c>
      <c r="C5" s="1445">
        <v>0.04914351851851852</v>
      </c>
      <c r="D5" s="1446" t="s">
        <v>8491</v>
      </c>
      <c r="E5" s="1446" t="s">
        <v>8492</v>
      </c>
      <c r="F5" s="1447" t="s">
        <v>8577</v>
      </c>
      <c r="G5" s="1447" t="s">
        <v>8578</v>
      </c>
      <c r="H5" s="1446" t="s">
        <v>6149</v>
      </c>
      <c r="I5" s="1446" t="s">
        <v>3869</v>
      </c>
      <c r="J5" s="1447" t="s">
        <v>5601</v>
      </c>
      <c r="K5" s="1448" t="s">
        <v>2172</v>
      </c>
      <c r="L5" s="1447" t="s">
        <v>8579</v>
      </c>
      <c r="M5" s="1449" t="s">
        <v>8496</v>
      </c>
      <c r="N5" s="1449" t="s">
        <v>4111</v>
      </c>
      <c r="O5" s="1447" t="s">
        <v>8580</v>
      </c>
      <c r="P5" s="1448" t="s">
        <v>4281</v>
      </c>
      <c r="Q5" s="1449" t="s">
        <v>8498</v>
      </c>
      <c r="R5" s="1447" t="s">
        <v>5183</v>
      </c>
      <c r="S5" s="1449" t="s">
        <v>848</v>
      </c>
      <c r="T5" s="1447" t="s">
        <v>8581</v>
      </c>
      <c r="U5" s="1449" t="s">
        <v>8500</v>
      </c>
      <c r="V5" s="1448" t="s">
        <v>8582</v>
      </c>
      <c r="W5" s="1446" t="s">
        <v>8501</v>
      </c>
      <c r="X5" s="1447" t="s">
        <v>8583</v>
      </c>
      <c r="Y5" s="1447" t="s">
        <v>7482</v>
      </c>
      <c r="Z5" s="1447" t="s">
        <v>5113</v>
      </c>
      <c r="AA5" s="1450" t="s">
        <v>5591</v>
      </c>
      <c r="AB5" s="1447" t="s">
        <v>538</v>
      </c>
      <c r="AC5" s="1449" t="s">
        <v>4135</v>
      </c>
      <c r="AD5" s="1451" t="s">
        <v>8505</v>
      </c>
      <c r="AE5" s="1452" t="s">
        <v>8584</v>
      </c>
      <c r="AF5" s="1452" t="s">
        <v>8585</v>
      </c>
      <c r="AG5" s="1453" t="s">
        <v>2415</v>
      </c>
      <c r="AH5" s="1447" t="s">
        <v>8586</v>
      </c>
      <c r="AI5" s="1449" t="s">
        <v>8508</v>
      </c>
      <c r="AJ5" s="1447" t="s">
        <v>8587</v>
      </c>
      <c r="AK5" s="1449" t="s">
        <v>8510</v>
      </c>
      <c r="AL5" s="1447" t="s">
        <v>4632</v>
      </c>
      <c r="AM5" s="1447" t="s">
        <v>8248</v>
      </c>
      <c r="AN5" s="1447" t="s">
        <v>5352</v>
      </c>
      <c r="AO5" s="1454" t="s">
        <v>8588</v>
      </c>
      <c r="AP5" s="1450" t="s">
        <v>8589</v>
      </c>
      <c r="AQ5" s="1450" t="s">
        <v>7658</v>
      </c>
      <c r="AR5" s="1455" t="s">
        <v>8590</v>
      </c>
      <c r="AS5" s="1447" t="s">
        <v>4530</v>
      </c>
      <c r="AT5" s="1450" t="s">
        <v>8591</v>
      </c>
      <c r="AU5" s="1456" t="s">
        <v>8515</v>
      </c>
      <c r="AV5" s="1452" t="str">
        <f t="shared" si="1"/>
        <v>2:05</v>
      </c>
      <c r="AW5" s="1457" t="s">
        <v>8592</v>
      </c>
    </row>
    <row r="6" ht="15.75" customHeight="1">
      <c r="A6" s="1458" t="s">
        <v>446</v>
      </c>
      <c r="B6" s="1444" t="s">
        <v>8489</v>
      </c>
      <c r="C6" s="1445">
        <v>0.0493287037037037</v>
      </c>
      <c r="D6" s="1459" t="s">
        <v>8593</v>
      </c>
      <c r="E6" s="1460" t="s">
        <v>8594</v>
      </c>
      <c r="F6" s="1460" t="s">
        <v>8595</v>
      </c>
      <c r="G6" s="1460" t="s">
        <v>8596</v>
      </c>
      <c r="H6" s="1460" t="s">
        <v>8597</v>
      </c>
      <c r="I6" s="1454" t="s">
        <v>8598</v>
      </c>
      <c r="J6" s="1461" t="s">
        <v>8495</v>
      </c>
      <c r="K6" s="1460" t="s">
        <v>813</v>
      </c>
      <c r="L6" s="1460" t="s">
        <v>8599</v>
      </c>
      <c r="M6" s="1460" t="s">
        <v>8600</v>
      </c>
      <c r="N6" s="1460" t="s">
        <v>8601</v>
      </c>
      <c r="O6" s="1460" t="s">
        <v>8602</v>
      </c>
      <c r="P6" s="1461" t="s">
        <v>1414</v>
      </c>
      <c r="Q6" s="1448" t="s">
        <v>1641</v>
      </c>
      <c r="R6" s="1461" t="s">
        <v>4557</v>
      </c>
      <c r="S6" s="1460" t="s">
        <v>8495</v>
      </c>
      <c r="T6" s="1461" t="s">
        <v>8499</v>
      </c>
      <c r="U6" s="1448" t="s">
        <v>8512</v>
      </c>
      <c r="V6" s="1462" t="s">
        <v>8316</v>
      </c>
      <c r="W6" s="1460" t="s">
        <v>8603</v>
      </c>
      <c r="X6" s="1461" t="s">
        <v>8502</v>
      </c>
      <c r="Y6" s="1463">
        <v>46.72</v>
      </c>
      <c r="Z6" s="1463" t="s">
        <v>3708</v>
      </c>
      <c r="AA6" s="1461" t="s">
        <v>3721</v>
      </c>
      <c r="AB6" s="1461" t="s">
        <v>8504</v>
      </c>
      <c r="AC6" s="1460" t="s">
        <v>5554</v>
      </c>
      <c r="AD6" s="1460" t="s">
        <v>7406</v>
      </c>
      <c r="AE6" s="1464" t="s">
        <v>4816</v>
      </c>
      <c r="AF6" s="1463" t="s">
        <v>8604</v>
      </c>
      <c r="AG6" s="1462" t="s">
        <v>8605</v>
      </c>
      <c r="AH6" s="1461" t="s">
        <v>3896</v>
      </c>
      <c r="AI6" s="1460" t="s">
        <v>5962</v>
      </c>
      <c r="AJ6" s="1463" t="s">
        <v>8606</v>
      </c>
      <c r="AK6" s="1463" t="s">
        <v>5840</v>
      </c>
      <c r="AL6" s="1464" t="s">
        <v>6137</v>
      </c>
      <c r="AM6" s="1461" t="s">
        <v>3815</v>
      </c>
      <c r="AN6" s="1462" t="s">
        <v>3354</v>
      </c>
      <c r="AO6" s="1462" t="s">
        <v>2947</v>
      </c>
      <c r="AP6" s="1462" t="s">
        <v>8607</v>
      </c>
      <c r="AQ6" s="1452" t="s">
        <v>8608</v>
      </c>
      <c r="AR6" s="1462" t="s">
        <v>8609</v>
      </c>
      <c r="AS6" s="1462" t="s">
        <v>8610</v>
      </c>
      <c r="AT6" s="1462" t="s">
        <v>8591</v>
      </c>
      <c r="AU6" s="1465" t="s">
        <v>8611</v>
      </c>
      <c r="AV6" s="1452" t="str">
        <f t="shared" si="1"/>
        <v>2:15</v>
      </c>
      <c r="AW6" s="1457"/>
    </row>
    <row r="7" ht="15.75" customHeight="1">
      <c r="A7" s="1443" t="s">
        <v>6456</v>
      </c>
      <c r="B7" s="1444" t="s">
        <v>8489</v>
      </c>
      <c r="C7" s="1445">
        <v>0.049444444444444444</v>
      </c>
      <c r="D7" s="1447" t="s">
        <v>8612</v>
      </c>
      <c r="E7" s="1447" t="s">
        <v>8613</v>
      </c>
      <c r="F7" s="1454" t="s">
        <v>8614</v>
      </c>
      <c r="G7" s="1449" t="s">
        <v>8494</v>
      </c>
      <c r="H7" s="1454" t="s">
        <v>8615</v>
      </c>
      <c r="I7" s="1454" t="s">
        <v>2883</v>
      </c>
      <c r="J7" s="1447" t="s">
        <v>8616</v>
      </c>
      <c r="K7" s="1454" t="s">
        <v>3539</v>
      </c>
      <c r="L7" s="1454" t="s">
        <v>4283</v>
      </c>
      <c r="M7" s="1454" t="s">
        <v>6397</v>
      </c>
      <c r="N7" s="1447" t="s">
        <v>8617</v>
      </c>
      <c r="O7" s="1454" t="s">
        <v>8618</v>
      </c>
      <c r="P7" s="1452" t="s">
        <v>6992</v>
      </c>
      <c r="Q7" s="1447" t="s">
        <v>8619</v>
      </c>
      <c r="R7" s="1454" t="s">
        <v>7296</v>
      </c>
      <c r="S7" s="1454" t="s">
        <v>3496</v>
      </c>
      <c r="T7" s="1452" t="s">
        <v>5042</v>
      </c>
      <c r="U7" s="1454" t="s">
        <v>8620</v>
      </c>
      <c r="V7" s="1454" t="s">
        <v>5272</v>
      </c>
      <c r="W7" s="1466" t="s">
        <v>8621</v>
      </c>
      <c r="X7" s="1452" t="s">
        <v>8622</v>
      </c>
      <c r="Y7" s="1467" t="s">
        <v>8623</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8624</v>
      </c>
      <c r="AF7" s="1452" t="s">
        <v>8625</v>
      </c>
      <c r="AG7" s="1468" t="str">
        <f>HYPERLINK("https://www.twitch.tv/videos/566334947","1:28.73")</f>
        <v>1:28.73</v>
      </c>
      <c r="AH7" s="1454" t="s">
        <v>8626</v>
      </c>
      <c r="AI7" s="1470" t="str">
        <f>HYPERLINK("https://www.twitch.tv/videos/584107631","1:27.68")</f>
        <v>1:27.68</v>
      </c>
      <c r="AJ7" s="1452" t="s">
        <v>8627</v>
      </c>
      <c r="AK7" s="1454" t="s">
        <v>7225</v>
      </c>
      <c r="AL7" s="1454" t="s">
        <v>8628</v>
      </c>
      <c r="AM7" s="1447" t="s">
        <v>4603</v>
      </c>
      <c r="AN7" s="1447" t="s">
        <v>2751</v>
      </c>
      <c r="AO7" s="1447" t="s">
        <v>5896</v>
      </c>
      <c r="AP7" s="1454" t="s">
        <v>8629</v>
      </c>
      <c r="AQ7" s="1452" t="s">
        <v>8630</v>
      </c>
      <c r="AR7" s="1447" t="s">
        <v>8631</v>
      </c>
      <c r="AS7" s="1469" t="str">
        <f>HYPERLINK("https://www.twitch.tv/videos/571767101","42.91")</f>
        <v>42.91</v>
      </c>
      <c r="AT7" s="1450" t="s">
        <v>8632</v>
      </c>
      <c r="AU7" s="1465" t="s">
        <v>8633</v>
      </c>
      <c r="AV7" s="1452" t="str">
        <f t="shared" si="1"/>
        <v>2:32</v>
      </c>
      <c r="AW7" s="1471" t="s">
        <v>8634</v>
      </c>
    </row>
    <row r="8" ht="15.75" customHeight="1">
      <c r="A8" s="1443" t="s">
        <v>1969</v>
      </c>
      <c r="B8" s="1444" t="s">
        <v>8489</v>
      </c>
      <c r="C8" s="1445">
        <v>0.04949074074074074</v>
      </c>
      <c r="D8" s="1467" t="s">
        <v>8635</v>
      </c>
      <c r="E8" s="1467" t="s">
        <v>8636</v>
      </c>
      <c r="F8" s="1467" t="s">
        <v>2216</v>
      </c>
      <c r="G8" s="1467" t="s">
        <v>8637</v>
      </c>
      <c r="H8" s="1447" t="s">
        <v>8638</v>
      </c>
      <c r="I8" s="1460">
        <v>47.34</v>
      </c>
      <c r="J8" s="1467" t="s">
        <v>669</v>
      </c>
      <c r="K8" s="1467" t="s">
        <v>8639</v>
      </c>
      <c r="L8" s="1467">
        <v>55.97</v>
      </c>
      <c r="M8" s="1467" t="s">
        <v>2060</v>
      </c>
      <c r="N8" s="1467" t="s">
        <v>8640</v>
      </c>
      <c r="O8" s="1472" t="s">
        <v>8497</v>
      </c>
      <c r="P8" s="1467">
        <v>47.49</v>
      </c>
      <c r="Q8" s="1467" t="s">
        <v>8641</v>
      </c>
      <c r="R8" s="1467" t="s">
        <v>1279</v>
      </c>
      <c r="S8" s="1473" t="s">
        <v>1990</v>
      </c>
      <c r="T8" s="1467" t="s">
        <v>8642</v>
      </c>
      <c r="U8" s="1447" t="s">
        <v>8643</v>
      </c>
      <c r="V8" s="1467">
        <v>59.32</v>
      </c>
      <c r="W8" s="1474" t="s">
        <v>8644</v>
      </c>
      <c r="X8" s="1467" t="s">
        <v>6920</v>
      </c>
      <c r="Y8" s="1467">
        <v>46.65</v>
      </c>
      <c r="Z8" s="1467" t="s">
        <v>8645</v>
      </c>
      <c r="AA8" s="1467" t="s">
        <v>2586</v>
      </c>
      <c r="AB8" s="1467" t="s">
        <v>8646</v>
      </c>
      <c r="AC8" s="1467">
        <v>47.89</v>
      </c>
      <c r="AD8" s="1467" t="s">
        <v>1989</v>
      </c>
      <c r="AE8" s="1467">
        <v>47.98</v>
      </c>
      <c r="AF8" s="1467" t="s">
        <v>8647</v>
      </c>
      <c r="AG8" s="1467" t="s">
        <v>8648</v>
      </c>
      <c r="AH8" s="1467">
        <v>57.45</v>
      </c>
      <c r="AI8" s="1463" t="s">
        <v>7165</v>
      </c>
      <c r="AJ8" s="1475" t="s">
        <v>8649</v>
      </c>
      <c r="AK8" s="1467" t="s">
        <v>5522</v>
      </c>
      <c r="AL8" s="1467">
        <v>56.23</v>
      </c>
      <c r="AM8" s="1474" t="s">
        <v>4017</v>
      </c>
      <c r="AN8" s="1474" t="s">
        <v>8650</v>
      </c>
      <c r="AO8" s="1467" t="s">
        <v>3457</v>
      </c>
      <c r="AP8" s="1467" t="s">
        <v>8651</v>
      </c>
      <c r="AQ8" s="1467" t="s">
        <v>8652</v>
      </c>
      <c r="AR8" s="1467" t="s">
        <v>4541</v>
      </c>
      <c r="AS8" s="1467">
        <v>46.19</v>
      </c>
      <c r="AT8" s="1476" t="s">
        <v>8514</v>
      </c>
      <c r="AU8" s="1467" t="s">
        <v>8653</v>
      </c>
      <c r="AV8" s="1452" t="str">
        <f t="shared" si="1"/>
        <v>1:52</v>
      </c>
      <c r="AW8" s="1471" t="s">
        <v>8654</v>
      </c>
    </row>
    <row r="9" ht="15.75" customHeight="1">
      <c r="A9" s="1458" t="s">
        <v>334</v>
      </c>
      <c r="B9" s="1444" t="s">
        <v>8489</v>
      </c>
      <c r="C9" s="1445">
        <v>0.04957175925925926</v>
      </c>
      <c r="D9" s="1477" t="s">
        <v>8655</v>
      </c>
      <c r="E9" s="1460" t="s">
        <v>8656</v>
      </c>
      <c r="F9" s="1478" t="s">
        <v>8493</v>
      </c>
      <c r="G9" s="1462" t="s">
        <v>8657</v>
      </c>
      <c r="H9" s="1479" t="s">
        <v>5459</v>
      </c>
      <c r="I9" s="1462" t="s">
        <v>1354</v>
      </c>
      <c r="J9" s="1480" t="s">
        <v>8658</v>
      </c>
      <c r="K9" s="1462" t="s">
        <v>6759</v>
      </c>
      <c r="L9" s="1461" t="s">
        <v>232</v>
      </c>
      <c r="M9" s="1480" t="s">
        <v>8659</v>
      </c>
      <c r="N9" s="1460" t="s">
        <v>8660</v>
      </c>
      <c r="O9" s="1480" t="s">
        <v>8661</v>
      </c>
      <c r="P9" s="1462" t="s">
        <v>6390</v>
      </c>
      <c r="Q9" s="1462" t="s">
        <v>8641</v>
      </c>
      <c r="R9" s="1462" t="s">
        <v>5680</v>
      </c>
      <c r="S9" s="1462" t="s">
        <v>2177</v>
      </c>
      <c r="T9" s="1462" t="s">
        <v>4120</v>
      </c>
      <c r="U9" s="1462" t="s">
        <v>8662</v>
      </c>
      <c r="V9" s="1362" t="s">
        <v>8663</v>
      </c>
      <c r="W9" s="1481" t="s">
        <v>8664</v>
      </c>
      <c r="X9" s="1462" t="s">
        <v>8665</v>
      </c>
      <c r="Y9" s="1461">
        <v>46.63</v>
      </c>
      <c r="Z9" s="1482" t="s">
        <v>308</v>
      </c>
      <c r="AA9" s="1460" t="s">
        <v>8666</v>
      </c>
      <c r="AB9" s="1461" t="s">
        <v>8504</v>
      </c>
      <c r="AC9" s="1462" t="s">
        <v>5552</v>
      </c>
      <c r="AD9" s="1462" t="s">
        <v>8667</v>
      </c>
      <c r="AE9" s="1463" t="s">
        <v>8668</v>
      </c>
      <c r="AF9" s="1460" t="s">
        <v>8669</v>
      </c>
      <c r="AG9" s="1467" t="s">
        <v>8670</v>
      </c>
      <c r="AH9" s="1462" t="s">
        <v>8586</v>
      </c>
      <c r="AI9" s="1362" t="s">
        <v>8671</v>
      </c>
      <c r="AJ9" s="1463" t="s">
        <v>8672</v>
      </c>
      <c r="AK9" s="1462" t="s">
        <v>1427</v>
      </c>
      <c r="AL9" s="1462" t="s">
        <v>5222</v>
      </c>
      <c r="AM9" s="1462" t="s">
        <v>4120</v>
      </c>
      <c r="AN9" s="1480" t="s">
        <v>8673</v>
      </c>
      <c r="AO9" s="1462" t="s">
        <v>8609</v>
      </c>
      <c r="AP9" s="1462" t="s">
        <v>8674</v>
      </c>
      <c r="AQ9" s="1462" t="s">
        <v>8675</v>
      </c>
      <c r="AR9" s="1462" t="s">
        <v>4687</v>
      </c>
      <c r="AS9" s="1462" t="s">
        <v>8676</v>
      </c>
      <c r="AT9" s="1456" t="s">
        <v>8677</v>
      </c>
      <c r="AU9" s="1483" t="s">
        <v>8678</v>
      </c>
      <c r="AV9" s="1452" t="str">
        <f t="shared" si="1"/>
        <v>2:59</v>
      </c>
      <c r="AW9" s="1484"/>
    </row>
    <row r="10">
      <c r="A10" s="1458" t="s">
        <v>6380</v>
      </c>
      <c r="B10" s="1485" t="s">
        <v>8489</v>
      </c>
      <c r="C10" s="1445">
        <v>0.04958333333333333</v>
      </c>
      <c r="D10" s="1362" t="s">
        <v>8679</v>
      </c>
      <c r="E10" s="1467" t="s">
        <v>6352</v>
      </c>
      <c r="F10" s="1467" t="s">
        <v>8680</v>
      </c>
      <c r="G10" s="1467" t="s">
        <v>8681</v>
      </c>
      <c r="H10" s="1474" t="s">
        <v>8682</v>
      </c>
      <c r="I10" s="1474" t="s">
        <v>5719</v>
      </c>
      <c r="J10" s="1474" t="s">
        <v>2653</v>
      </c>
      <c r="K10" s="1474" t="s">
        <v>7396</v>
      </c>
      <c r="L10" s="1467">
        <v>56.42</v>
      </c>
      <c r="M10" s="1467" t="s">
        <v>5295</v>
      </c>
      <c r="N10" s="1467" t="s">
        <v>8683</v>
      </c>
      <c r="O10" s="1474" t="s">
        <v>8684</v>
      </c>
      <c r="P10" s="1474" t="s">
        <v>280</v>
      </c>
      <c r="Q10" s="1474" t="s">
        <v>8685</v>
      </c>
      <c r="R10" s="1467" t="s">
        <v>8686</v>
      </c>
      <c r="S10" s="1474" t="s">
        <v>8687</v>
      </c>
      <c r="T10" s="1474" t="s">
        <v>5062</v>
      </c>
      <c r="U10" s="1474" t="s">
        <v>8688</v>
      </c>
      <c r="V10" s="1467">
        <v>59.45</v>
      </c>
      <c r="W10" s="1474" t="s">
        <v>8689</v>
      </c>
      <c r="X10" s="1474" t="s">
        <v>8690</v>
      </c>
      <c r="Y10" s="1474" t="s">
        <v>5174</v>
      </c>
      <c r="Z10" s="1467" t="s">
        <v>4277</v>
      </c>
      <c r="AA10" s="1467" t="s">
        <v>8691</v>
      </c>
      <c r="AB10" s="1467" t="s">
        <v>4704</v>
      </c>
      <c r="AC10" s="1474" t="s">
        <v>4934</v>
      </c>
      <c r="AD10" s="1474" t="s">
        <v>8692</v>
      </c>
      <c r="AE10" s="1467">
        <v>47.89</v>
      </c>
      <c r="AF10" s="1467" t="s">
        <v>8693</v>
      </c>
      <c r="AG10" s="1464" t="s">
        <v>8507</v>
      </c>
      <c r="AH10" s="1467">
        <v>57.71</v>
      </c>
      <c r="AI10" s="1474" t="s">
        <v>2275</v>
      </c>
      <c r="AJ10" s="1467" t="s">
        <v>8649</v>
      </c>
      <c r="AK10" s="1474" t="s">
        <v>7233</v>
      </c>
      <c r="AL10" s="1467">
        <v>56.69</v>
      </c>
      <c r="AM10" s="1474" t="s">
        <v>8694</v>
      </c>
      <c r="AN10" s="1474" t="s">
        <v>4235</v>
      </c>
      <c r="AO10" s="1474" t="s">
        <v>2866</v>
      </c>
      <c r="AP10" s="1467" t="s">
        <v>8695</v>
      </c>
      <c r="AQ10" s="1486" t="s">
        <v>8513</v>
      </c>
      <c r="AR10" s="1474" t="s">
        <v>8696</v>
      </c>
      <c r="AS10" s="1467">
        <v>43.65</v>
      </c>
      <c r="AT10" s="1474" t="s">
        <v>8697</v>
      </c>
      <c r="AU10" s="1465" t="s">
        <v>8698</v>
      </c>
      <c r="AV10" s="1452" t="str">
        <f t="shared" si="1"/>
        <v>1:34</v>
      </c>
      <c r="AW10" s="1487" t="s">
        <v>8699</v>
      </c>
    </row>
    <row r="11">
      <c r="A11" s="1488" t="s">
        <v>955</v>
      </c>
      <c r="B11" s="1489" t="s">
        <v>8489</v>
      </c>
      <c r="C11" s="1445">
        <v>0.049652777777777775</v>
      </c>
      <c r="D11" s="1462" t="s">
        <v>8700</v>
      </c>
      <c r="E11" s="1462" t="s">
        <v>8701</v>
      </c>
      <c r="F11" s="1462" t="s">
        <v>8702</v>
      </c>
      <c r="G11" s="1463" t="s">
        <v>8703</v>
      </c>
      <c r="H11" s="1462" t="s">
        <v>7616</v>
      </c>
      <c r="I11" s="1462" t="s">
        <v>8421</v>
      </c>
      <c r="J11" s="1460" t="s">
        <v>8704</v>
      </c>
      <c r="K11" s="1462" t="s">
        <v>8705</v>
      </c>
      <c r="L11" s="1462" t="s">
        <v>3324</v>
      </c>
      <c r="M11" s="1462" t="s">
        <v>8706</v>
      </c>
      <c r="N11" s="1462" t="s">
        <v>8707</v>
      </c>
      <c r="O11" s="1462" t="s">
        <v>8708</v>
      </c>
      <c r="P11" s="1462" t="s">
        <v>6061</v>
      </c>
      <c r="Q11" s="1462" t="s">
        <v>5057</v>
      </c>
      <c r="R11" s="1462" t="s">
        <v>8709</v>
      </c>
      <c r="S11" s="1447" t="s">
        <v>2828</v>
      </c>
      <c r="T11" s="1462" t="s">
        <v>8710</v>
      </c>
      <c r="U11" s="1462" t="s">
        <v>8711</v>
      </c>
      <c r="V11" s="1462" t="s">
        <v>5456</v>
      </c>
      <c r="W11" s="1462" t="s">
        <v>2017</v>
      </c>
      <c r="X11" s="1447" t="s">
        <v>8712</v>
      </c>
      <c r="Y11" s="1462" t="s">
        <v>8713</v>
      </c>
      <c r="Z11" s="1472" t="s">
        <v>8503</v>
      </c>
      <c r="AA11" s="1447" t="s">
        <v>8714</v>
      </c>
      <c r="AB11" s="1462" t="s">
        <v>8715</v>
      </c>
      <c r="AC11" s="1462" t="s">
        <v>5055</v>
      </c>
      <c r="AD11" s="1462" t="s">
        <v>5723</v>
      </c>
      <c r="AE11" s="1463">
        <v>47.81</v>
      </c>
      <c r="AF11" s="1462" t="s">
        <v>8716</v>
      </c>
      <c r="AG11" s="1462" t="s">
        <v>8717</v>
      </c>
      <c r="AH11" s="1462" t="s">
        <v>778</v>
      </c>
      <c r="AI11" s="1462" t="s">
        <v>902</v>
      </c>
      <c r="AJ11" s="1462" t="s">
        <v>8718</v>
      </c>
      <c r="AK11" s="1462" t="s">
        <v>8530</v>
      </c>
      <c r="AL11" s="1462" t="s">
        <v>8719</v>
      </c>
      <c r="AM11" s="1462" t="s">
        <v>4603</v>
      </c>
      <c r="AN11" s="1472" t="s">
        <v>8511</v>
      </c>
      <c r="AO11" s="1472" t="s">
        <v>6354</v>
      </c>
      <c r="AP11" s="1462" t="s">
        <v>8720</v>
      </c>
      <c r="AQ11" s="1462" t="s">
        <v>3803</v>
      </c>
      <c r="AR11" s="1472" t="s">
        <v>424</v>
      </c>
      <c r="AS11" s="1462" t="s">
        <v>3292</v>
      </c>
      <c r="AT11" s="1462" t="s">
        <v>3682</v>
      </c>
      <c r="AU11" s="1483" t="s">
        <v>8721</v>
      </c>
      <c r="AV11" s="1452" t="str">
        <f t="shared" si="1"/>
        <v>2:27</v>
      </c>
      <c r="AW11" s="1490" t="s">
        <v>8722</v>
      </c>
    </row>
    <row r="12" ht="15.75" customHeight="1">
      <c r="A12" s="1491" t="s">
        <v>6454</v>
      </c>
      <c r="B12" s="1444" t="s">
        <v>8489</v>
      </c>
      <c r="C12" s="1445">
        <v>0.04967592592592593</v>
      </c>
      <c r="D12" s="1362" t="s">
        <v>8723</v>
      </c>
      <c r="E12" s="1454" t="s">
        <v>926</v>
      </c>
      <c r="F12" s="1454" t="s">
        <v>8724</v>
      </c>
      <c r="G12" s="1454" t="s">
        <v>8725</v>
      </c>
      <c r="H12" s="1362" t="s">
        <v>8726</v>
      </c>
      <c r="I12" s="1454" t="s">
        <v>8727</v>
      </c>
      <c r="J12" s="1454" t="s">
        <v>8728</v>
      </c>
      <c r="K12" s="1454" t="s">
        <v>8729</v>
      </c>
      <c r="L12" s="1454" t="s">
        <v>4536</v>
      </c>
      <c r="M12" s="1454" t="s">
        <v>8279</v>
      </c>
      <c r="N12" s="1454" t="s">
        <v>2271</v>
      </c>
      <c r="O12" s="1454" t="s">
        <v>3306</v>
      </c>
      <c r="P12" s="1454" t="s">
        <v>8727</v>
      </c>
      <c r="Q12" s="1454" t="s">
        <v>8730</v>
      </c>
      <c r="R12" s="1454" t="s">
        <v>1279</v>
      </c>
      <c r="S12" s="1492" t="s">
        <v>8731</v>
      </c>
      <c r="T12" s="1454" t="s">
        <v>4969</v>
      </c>
      <c r="U12" s="1454" t="s">
        <v>8732</v>
      </c>
      <c r="V12" s="1454" t="s">
        <v>8582</v>
      </c>
      <c r="W12" s="1454" t="s">
        <v>8733</v>
      </c>
      <c r="X12" s="1454" t="s">
        <v>1004</v>
      </c>
      <c r="Y12" s="1454" t="s">
        <v>4421</v>
      </c>
      <c r="Z12" s="1454" t="s">
        <v>8734</v>
      </c>
      <c r="AA12" s="1454" t="s">
        <v>8735</v>
      </c>
      <c r="AB12" s="1454" t="s">
        <v>1998</v>
      </c>
      <c r="AC12" s="1454" t="s">
        <v>789</v>
      </c>
      <c r="AD12" s="1454" t="s">
        <v>8736</v>
      </c>
      <c r="AE12" s="1454" t="s">
        <v>6401</v>
      </c>
      <c r="AF12" s="1447" t="s">
        <v>8737</v>
      </c>
      <c r="AG12" s="1454" t="s">
        <v>8738</v>
      </c>
      <c r="AH12" s="1454" t="s">
        <v>4835</v>
      </c>
      <c r="AI12" s="1454" t="s">
        <v>3034</v>
      </c>
      <c r="AJ12" s="1454" t="s">
        <v>8739</v>
      </c>
      <c r="AK12" s="1454" t="s">
        <v>4285</v>
      </c>
      <c r="AL12" s="1454" t="s">
        <v>8740</v>
      </c>
      <c r="AM12" s="1454" t="s">
        <v>8741</v>
      </c>
      <c r="AN12" s="1362" t="s">
        <v>8599</v>
      </c>
      <c r="AO12" s="1454" t="s">
        <v>8742</v>
      </c>
      <c r="AP12" s="1454" t="s">
        <v>8743</v>
      </c>
      <c r="AQ12" s="1447" t="s">
        <v>8744</v>
      </c>
      <c r="AR12" s="1454" t="s">
        <v>8745</v>
      </c>
      <c r="AS12" s="1454" t="s">
        <v>1647</v>
      </c>
      <c r="AT12" s="1454" t="s">
        <v>8746</v>
      </c>
      <c r="AU12" s="1454" t="s">
        <v>8747</v>
      </c>
      <c r="AV12" s="1452" t="str">
        <f t="shared" si="1"/>
        <v>2:47</v>
      </c>
      <c r="AW12" s="1457" t="s">
        <v>8748</v>
      </c>
    </row>
    <row r="13" ht="15.75" customHeight="1">
      <c r="A13" s="1493" t="s">
        <v>2739</v>
      </c>
      <c r="B13" s="1444" t="s">
        <v>8489</v>
      </c>
      <c r="C13" s="1494">
        <v>0.04971064814814815</v>
      </c>
      <c r="D13" s="1453" t="s">
        <v>8749</v>
      </c>
      <c r="E13" s="1495" t="s">
        <v>527</v>
      </c>
      <c r="F13" s="1495" t="s">
        <v>8750</v>
      </c>
      <c r="G13" s="1495" t="s">
        <v>8751</v>
      </c>
      <c r="H13" s="1447" t="s">
        <v>8752</v>
      </c>
      <c r="I13" s="1496" t="s">
        <v>5763</v>
      </c>
      <c r="J13" s="1497" t="s">
        <v>8753</v>
      </c>
      <c r="K13" s="1497" t="s">
        <v>4370</v>
      </c>
      <c r="L13" s="1497" t="s">
        <v>4765</v>
      </c>
      <c r="M13" s="1497" t="s">
        <v>8706</v>
      </c>
      <c r="N13" s="1497" t="s">
        <v>2654</v>
      </c>
      <c r="O13" s="1497" t="s">
        <v>8754</v>
      </c>
      <c r="P13" s="1497" t="s">
        <v>8755</v>
      </c>
      <c r="Q13" s="1447" t="s">
        <v>8756</v>
      </c>
      <c r="R13" s="1498" t="s">
        <v>8757</v>
      </c>
      <c r="S13" s="1447" t="s">
        <v>1990</v>
      </c>
      <c r="T13" s="1498" t="s">
        <v>8758</v>
      </c>
      <c r="U13" s="1447" t="s">
        <v>7285</v>
      </c>
      <c r="V13" s="1498" t="s">
        <v>3558</v>
      </c>
      <c r="W13" s="1499" t="s">
        <v>8759</v>
      </c>
      <c r="X13" s="1499" t="s">
        <v>4147</v>
      </c>
      <c r="Y13" s="1499" t="s">
        <v>7002</v>
      </c>
      <c r="Z13" s="1499" t="s">
        <v>8760</v>
      </c>
      <c r="AA13" s="1499" t="s">
        <v>8605</v>
      </c>
      <c r="AB13" s="1499" t="s">
        <v>4521</v>
      </c>
      <c r="AC13" s="1499" t="s">
        <v>1194</v>
      </c>
      <c r="AD13" s="1495" t="s">
        <v>8761</v>
      </c>
      <c r="AE13" s="1495" t="s">
        <v>5384</v>
      </c>
      <c r="AF13" s="1500" t="s">
        <v>8762</v>
      </c>
      <c r="AG13" s="1500" t="s">
        <v>7783</v>
      </c>
      <c r="AH13" s="1500" t="s">
        <v>5394</v>
      </c>
      <c r="AI13" s="1500" t="s">
        <v>8763</v>
      </c>
      <c r="AJ13" s="1500" t="s">
        <v>8764</v>
      </c>
      <c r="AK13" s="1500" t="s">
        <v>8765</v>
      </c>
      <c r="AL13" s="1500" t="s">
        <v>4178</v>
      </c>
      <c r="AM13" s="1501" t="s">
        <v>8766</v>
      </c>
      <c r="AN13" s="1502" t="s">
        <v>4765</v>
      </c>
      <c r="AO13" s="1502" t="s">
        <v>8767</v>
      </c>
      <c r="AP13" s="1501" t="s">
        <v>8768</v>
      </c>
      <c r="AQ13" s="1501" t="s">
        <v>8769</v>
      </c>
      <c r="AR13" s="1502" t="s">
        <v>8770</v>
      </c>
      <c r="AS13" s="1501" t="s">
        <v>273</v>
      </c>
      <c r="AT13" s="1465" t="s">
        <v>8771</v>
      </c>
      <c r="AU13" s="1483" t="s">
        <v>8772</v>
      </c>
      <c r="AV13" s="1452" t="str">
        <f t="shared" si="1"/>
        <v>2:35</v>
      </c>
      <c r="AW13" s="1503" t="s">
        <v>8773</v>
      </c>
    </row>
    <row r="14" ht="15.75" customHeight="1">
      <c r="A14" s="1443" t="s">
        <v>6208</v>
      </c>
      <c r="B14" s="1504" t="s">
        <v>8489</v>
      </c>
      <c r="C14" s="1445">
        <v>0.04982638888888889</v>
      </c>
      <c r="D14" s="1453" t="s">
        <v>8774</v>
      </c>
      <c r="E14" s="1453" t="s">
        <v>4858</v>
      </c>
      <c r="F14" s="1453" t="s">
        <v>8775</v>
      </c>
      <c r="G14" s="1453" t="s">
        <v>8776</v>
      </c>
      <c r="H14" s="1453" t="s">
        <v>8777</v>
      </c>
      <c r="I14" s="1453" t="s">
        <v>5736</v>
      </c>
      <c r="J14" s="1453" t="s">
        <v>8778</v>
      </c>
      <c r="K14" s="1362" t="s">
        <v>8779</v>
      </c>
      <c r="L14" s="1453" t="s">
        <v>8780</v>
      </c>
      <c r="M14" s="1453" t="s">
        <v>8781</v>
      </c>
      <c r="N14" s="1453" t="s">
        <v>2112</v>
      </c>
      <c r="O14" s="1453" t="s">
        <v>8782</v>
      </c>
      <c r="P14" s="1362" t="s">
        <v>4584</v>
      </c>
      <c r="Q14" s="1453" t="s">
        <v>8783</v>
      </c>
      <c r="R14" s="1453" t="s">
        <v>2029</v>
      </c>
      <c r="S14" s="1453" t="s">
        <v>3496</v>
      </c>
      <c r="T14" s="1453" t="s">
        <v>8784</v>
      </c>
      <c r="U14" s="1453" t="s">
        <v>8785</v>
      </c>
      <c r="V14" s="1453" t="s">
        <v>6643</v>
      </c>
      <c r="W14" s="1453" t="s">
        <v>5540</v>
      </c>
      <c r="X14" s="1453" t="s">
        <v>8507</v>
      </c>
      <c r="Y14" s="1453" t="s">
        <v>8598</v>
      </c>
      <c r="Z14" s="1453" t="s">
        <v>6767</v>
      </c>
      <c r="AA14" s="1505" t="s">
        <v>8786</v>
      </c>
      <c r="AB14" s="1453" t="s">
        <v>5859</v>
      </c>
      <c r="AC14" s="1453" t="s">
        <v>1077</v>
      </c>
      <c r="AD14" s="1453" t="s">
        <v>7435</v>
      </c>
      <c r="AE14" s="1453" t="s">
        <v>5002</v>
      </c>
      <c r="AF14" s="1453" t="s">
        <v>8787</v>
      </c>
      <c r="AG14" s="1453" t="s">
        <v>1603</v>
      </c>
      <c r="AH14" s="1362" t="s">
        <v>8788</v>
      </c>
      <c r="AI14" s="1453" t="s">
        <v>8157</v>
      </c>
      <c r="AJ14" s="1453" t="s">
        <v>8789</v>
      </c>
      <c r="AK14" s="1453" t="s">
        <v>8790</v>
      </c>
      <c r="AL14" s="1453" t="s">
        <v>4513</v>
      </c>
      <c r="AM14" s="1453" t="s">
        <v>3566</v>
      </c>
      <c r="AN14" s="1453" t="s">
        <v>8791</v>
      </c>
      <c r="AO14" s="1453" t="s">
        <v>8631</v>
      </c>
      <c r="AP14" s="1506" t="s">
        <v>8512</v>
      </c>
      <c r="AQ14" s="1453" t="s">
        <v>8792</v>
      </c>
      <c r="AR14" s="1453" t="s">
        <v>8793</v>
      </c>
      <c r="AS14" s="1453" t="s">
        <v>8794</v>
      </c>
      <c r="AT14" s="1453" t="s">
        <v>8795</v>
      </c>
      <c r="AU14" s="1507" t="s">
        <v>8796</v>
      </c>
      <c r="AV14" s="1452" t="str">
        <f t="shared" si="1"/>
        <v>2:18</v>
      </c>
      <c r="AW14" s="1508" t="s">
        <v>8797</v>
      </c>
    </row>
    <row r="15" ht="15.75" customHeight="1">
      <c r="A15" s="1443" t="s">
        <v>2099</v>
      </c>
      <c r="B15" s="1444" t="s">
        <v>8489</v>
      </c>
      <c r="C15" s="1445">
        <v>0.049895833333333334</v>
      </c>
      <c r="D15" s="1362" t="s">
        <v>8798</v>
      </c>
      <c r="E15" s="1509" t="s">
        <v>926</v>
      </c>
      <c r="F15" s="1495" t="s">
        <v>8799</v>
      </c>
      <c r="G15" s="1509" t="s">
        <v>8800</v>
      </c>
      <c r="H15" s="1510" t="s">
        <v>8801</v>
      </c>
      <c r="I15" s="1496" t="s">
        <v>5600</v>
      </c>
      <c r="J15" s="1497" t="s">
        <v>8802</v>
      </c>
      <c r="K15" s="1511" t="s">
        <v>8803</v>
      </c>
      <c r="L15" s="1497" t="s">
        <v>8804</v>
      </c>
      <c r="M15" s="1497" t="s">
        <v>5115</v>
      </c>
      <c r="N15" s="1497" t="s">
        <v>8805</v>
      </c>
      <c r="O15" s="1511" t="s">
        <v>8806</v>
      </c>
      <c r="P15" s="1362" t="s">
        <v>8807</v>
      </c>
      <c r="Q15" s="1498" t="s">
        <v>3521</v>
      </c>
      <c r="R15" s="1512" t="s">
        <v>8808</v>
      </c>
      <c r="S15" s="1512" t="s">
        <v>8809</v>
      </c>
      <c r="T15" s="1512" t="s">
        <v>8810</v>
      </c>
      <c r="U15" s="1512" t="s">
        <v>8811</v>
      </c>
      <c r="V15" s="1498" t="s">
        <v>4565</v>
      </c>
      <c r="W15" s="1499" t="s">
        <v>8812</v>
      </c>
      <c r="X15" s="1513" t="s">
        <v>8813</v>
      </c>
      <c r="Y15" s="1499" t="s">
        <v>8814</v>
      </c>
      <c r="Z15" s="1499" t="s">
        <v>8815</v>
      </c>
      <c r="AA15" s="1499" t="s">
        <v>3293</v>
      </c>
      <c r="AB15" s="1513" t="s">
        <v>7745</v>
      </c>
      <c r="AC15" s="1513" t="s">
        <v>1272</v>
      </c>
      <c r="AD15" s="1509" t="s">
        <v>8816</v>
      </c>
      <c r="AE15" s="1509" t="s">
        <v>8817</v>
      </c>
      <c r="AF15" s="1514" t="s">
        <v>8818</v>
      </c>
      <c r="AG15" s="1500" t="s">
        <v>8819</v>
      </c>
      <c r="AH15" s="1500" t="s">
        <v>8820</v>
      </c>
      <c r="AI15" s="1500" t="s">
        <v>8717</v>
      </c>
      <c r="AJ15" s="1514" t="s">
        <v>8821</v>
      </c>
      <c r="AK15" s="1514" t="s">
        <v>933</v>
      </c>
      <c r="AL15" s="1500" t="s">
        <v>8822</v>
      </c>
      <c r="AM15" s="1502" t="s">
        <v>8823</v>
      </c>
      <c r="AN15" s="1501" t="s">
        <v>3143</v>
      </c>
      <c r="AO15" s="1502" t="s">
        <v>8824</v>
      </c>
      <c r="AP15" s="1501" t="s">
        <v>5687</v>
      </c>
      <c r="AQ15" s="1502" t="s">
        <v>8825</v>
      </c>
      <c r="AR15" s="1501" t="s">
        <v>1210</v>
      </c>
      <c r="AS15" s="1501" t="s">
        <v>4074</v>
      </c>
      <c r="AT15" s="1511" t="s">
        <v>6373</v>
      </c>
      <c r="AU15" s="1515" t="s">
        <v>8826</v>
      </c>
      <c r="AV15" s="1452" t="str">
        <f t="shared" si="1"/>
        <v>2:22</v>
      </c>
      <c r="AW15" s="1484" t="s">
        <v>8827</v>
      </c>
    </row>
    <row r="16">
      <c r="A16" s="1491" t="s">
        <v>1626</v>
      </c>
      <c r="B16" s="1489" t="s">
        <v>8489</v>
      </c>
      <c r="C16" s="1445">
        <v>0.04991898148148148</v>
      </c>
      <c r="D16" s="1516" t="s">
        <v>8828</v>
      </c>
      <c r="E16" s="1517" t="s">
        <v>8829</v>
      </c>
      <c r="F16" s="1517" t="s">
        <v>8830</v>
      </c>
      <c r="G16" s="1517" t="s">
        <v>8831</v>
      </c>
      <c r="H16" s="1517" t="s">
        <v>8832</v>
      </c>
      <c r="I16" s="1517">
        <v>48.07</v>
      </c>
      <c r="J16" s="1517" t="s">
        <v>8833</v>
      </c>
      <c r="K16" s="1517" t="s">
        <v>1782</v>
      </c>
      <c r="L16" s="1517">
        <v>56.32</v>
      </c>
      <c r="M16" s="1517" t="s">
        <v>900</v>
      </c>
      <c r="N16" s="1517" t="s">
        <v>8834</v>
      </c>
      <c r="O16" s="1517" t="s">
        <v>8835</v>
      </c>
      <c r="P16" s="1517">
        <v>47.77</v>
      </c>
      <c r="Q16" s="1517" t="s">
        <v>8836</v>
      </c>
      <c r="R16" s="1517" t="s">
        <v>7322</v>
      </c>
      <c r="S16" s="1517" t="s">
        <v>8837</v>
      </c>
      <c r="T16" s="1517" t="s">
        <v>4649</v>
      </c>
      <c r="U16" s="1517" t="s">
        <v>8838</v>
      </c>
      <c r="V16" s="1517">
        <v>59.79</v>
      </c>
      <c r="W16" s="1517" t="s">
        <v>8839</v>
      </c>
      <c r="X16" s="1517" t="s">
        <v>2162</v>
      </c>
      <c r="Y16" s="1517">
        <v>47.0</v>
      </c>
      <c r="Z16" s="1517" t="s">
        <v>8840</v>
      </c>
      <c r="AA16" s="1517" t="s">
        <v>8841</v>
      </c>
      <c r="AB16" s="1517" t="s">
        <v>7289</v>
      </c>
      <c r="AC16" s="1517">
        <v>47.56</v>
      </c>
      <c r="AD16" s="1517" t="s">
        <v>8533</v>
      </c>
      <c r="AE16" s="1517">
        <v>47.95</v>
      </c>
      <c r="AF16" s="1517" t="s">
        <v>8842</v>
      </c>
      <c r="AG16" s="1517" t="s">
        <v>8843</v>
      </c>
      <c r="AH16" s="1517">
        <v>57.67</v>
      </c>
      <c r="AI16" s="1517" t="s">
        <v>1004</v>
      </c>
      <c r="AJ16" s="1517" t="s">
        <v>8844</v>
      </c>
      <c r="AK16" s="1517" t="s">
        <v>7778</v>
      </c>
      <c r="AL16" s="1517">
        <v>56.37</v>
      </c>
      <c r="AM16" s="1517" t="s">
        <v>8845</v>
      </c>
      <c r="AN16" s="1517">
        <v>55.92</v>
      </c>
      <c r="AO16" s="1517" t="s">
        <v>4541</v>
      </c>
      <c r="AP16" s="1517" t="s">
        <v>8383</v>
      </c>
      <c r="AQ16" s="1517" t="s">
        <v>8846</v>
      </c>
      <c r="AR16" s="1517" t="s">
        <v>6482</v>
      </c>
      <c r="AS16" s="1517">
        <v>46.83</v>
      </c>
      <c r="AT16" s="1518" t="s">
        <v>8847</v>
      </c>
      <c r="AU16" s="1474" t="s">
        <v>8848</v>
      </c>
      <c r="AV16" s="1452" t="str">
        <f t="shared" si="1"/>
        <v>1:53</v>
      </c>
      <c r="AW16" s="1490" t="s">
        <v>8849</v>
      </c>
    </row>
    <row r="17">
      <c r="A17" s="1491" t="s">
        <v>2186</v>
      </c>
      <c r="B17" s="1489" t="s">
        <v>8489</v>
      </c>
      <c r="C17" s="1519">
        <v>0.049930555555555554</v>
      </c>
      <c r="D17" s="1520" t="s">
        <v>8850</v>
      </c>
      <c r="E17" s="1474" t="s">
        <v>8496</v>
      </c>
      <c r="F17" s="1474" t="s">
        <v>4364</v>
      </c>
      <c r="G17" s="1474" t="s">
        <v>8851</v>
      </c>
      <c r="H17" s="1474" t="s">
        <v>8852</v>
      </c>
      <c r="I17" s="1474" t="s">
        <v>5719</v>
      </c>
      <c r="J17" s="1474" t="s">
        <v>6260</v>
      </c>
      <c r="K17" s="1474" t="s">
        <v>8853</v>
      </c>
      <c r="L17" s="1474" t="s">
        <v>4178</v>
      </c>
      <c r="M17" s="1474" t="s">
        <v>1138</v>
      </c>
      <c r="N17" s="1474" t="s">
        <v>8854</v>
      </c>
      <c r="O17" s="1474" t="s">
        <v>831</v>
      </c>
      <c r="P17" s="1467">
        <v>47.54</v>
      </c>
      <c r="Q17" s="1521" t="s">
        <v>5726</v>
      </c>
      <c r="R17" s="1467" t="s">
        <v>8855</v>
      </c>
      <c r="S17" s="1521" t="s">
        <v>8731</v>
      </c>
      <c r="T17" s="1467" t="s">
        <v>8856</v>
      </c>
      <c r="U17" s="1521" t="s">
        <v>8857</v>
      </c>
      <c r="V17" s="1522">
        <v>58.55</v>
      </c>
      <c r="W17" s="1521" t="s">
        <v>8858</v>
      </c>
      <c r="X17" s="1521" t="s">
        <v>8859</v>
      </c>
      <c r="Y17" s="1447" t="s">
        <v>8623</v>
      </c>
      <c r="Z17" s="1521" t="s">
        <v>8860</v>
      </c>
      <c r="AA17" s="1474" t="s">
        <v>8861</v>
      </c>
      <c r="AB17" s="1521" t="s">
        <v>8862</v>
      </c>
      <c r="AC17" s="1452">
        <v>47.2</v>
      </c>
      <c r="AD17" s="1521" t="s">
        <v>8863</v>
      </c>
      <c r="AE17" s="1467">
        <v>47.88</v>
      </c>
      <c r="AF17" s="1521" t="s">
        <v>8864</v>
      </c>
      <c r="AG17" s="1521" t="s">
        <v>8865</v>
      </c>
      <c r="AH17" s="1521">
        <v>57.68</v>
      </c>
      <c r="AI17" s="1521" t="s">
        <v>2853</v>
      </c>
      <c r="AJ17" s="1467" t="s">
        <v>8866</v>
      </c>
      <c r="AK17" s="1447" t="s">
        <v>8867</v>
      </c>
      <c r="AL17" s="1521">
        <v>55.92</v>
      </c>
      <c r="AM17" s="1521" t="s">
        <v>2895</v>
      </c>
      <c r="AN17" s="1447" t="s">
        <v>5767</v>
      </c>
      <c r="AO17" s="1521" t="s">
        <v>6752</v>
      </c>
      <c r="AP17" s="1521" t="s">
        <v>8868</v>
      </c>
      <c r="AQ17" s="1521" t="s">
        <v>7405</v>
      </c>
      <c r="AR17" s="1521" t="s">
        <v>8869</v>
      </c>
      <c r="AS17" s="1523">
        <v>42.83</v>
      </c>
      <c r="AT17" s="1467" t="s">
        <v>7962</v>
      </c>
      <c r="AU17" s="1483" t="s">
        <v>8870</v>
      </c>
      <c r="AV17" s="1452" t="str">
        <f t="shared" si="1"/>
        <v>4:29</v>
      </c>
      <c r="AW17" s="1490" t="s">
        <v>8871</v>
      </c>
    </row>
    <row r="18" ht="15.75" customHeight="1">
      <c r="A18" s="1491" t="s">
        <v>2347</v>
      </c>
      <c r="B18" s="1444" t="s">
        <v>8489</v>
      </c>
      <c r="C18" s="1445">
        <v>0.0499537037037037</v>
      </c>
      <c r="D18" s="1454" t="s">
        <v>8872</v>
      </c>
      <c r="E18" s="1454" t="s">
        <v>2802</v>
      </c>
      <c r="F18" s="1454" t="s">
        <v>8873</v>
      </c>
      <c r="G18" s="1447" t="s">
        <v>8874</v>
      </c>
      <c r="H18" s="1454" t="s">
        <v>8875</v>
      </c>
      <c r="I18" s="1524" t="s">
        <v>8817</v>
      </c>
      <c r="J18" s="1454" t="s">
        <v>1486</v>
      </c>
      <c r="K18" s="1454" t="s">
        <v>5263</v>
      </c>
      <c r="L18" s="1454" t="s">
        <v>8876</v>
      </c>
      <c r="M18" s="1454" t="s">
        <v>8877</v>
      </c>
      <c r="N18" s="1454" t="s">
        <v>8878</v>
      </c>
      <c r="O18" s="1454" t="s">
        <v>8879</v>
      </c>
      <c r="P18" s="1454" t="s">
        <v>8880</v>
      </c>
      <c r="Q18" s="1454" t="s">
        <v>4730</v>
      </c>
      <c r="R18" s="1498" t="s">
        <v>8881</v>
      </c>
      <c r="S18" s="1454" t="s">
        <v>4111</v>
      </c>
      <c r="T18" s="1454" t="s">
        <v>8712</v>
      </c>
      <c r="U18" s="1454" t="s">
        <v>8882</v>
      </c>
      <c r="V18" s="1454" t="s">
        <v>8883</v>
      </c>
      <c r="W18" s="1454" t="s">
        <v>8884</v>
      </c>
      <c r="X18" s="1454" t="s">
        <v>7746</v>
      </c>
      <c r="Y18" s="1454" t="s">
        <v>4377</v>
      </c>
      <c r="Z18" s="1454" t="s">
        <v>8885</v>
      </c>
      <c r="AA18" s="1454" t="s">
        <v>7746</v>
      </c>
      <c r="AB18" s="1454" t="s">
        <v>8707</v>
      </c>
      <c r="AC18" s="1454" t="s">
        <v>5649</v>
      </c>
      <c r="AD18" s="1454" t="s">
        <v>7797</v>
      </c>
      <c r="AE18" s="1454" t="s">
        <v>8886</v>
      </c>
      <c r="AF18" s="1454" t="s">
        <v>8887</v>
      </c>
      <c r="AG18" s="1454" t="s">
        <v>5120</v>
      </c>
      <c r="AH18" s="1454" t="s">
        <v>5298</v>
      </c>
      <c r="AI18" s="1454" t="s">
        <v>8888</v>
      </c>
      <c r="AJ18" s="1449" t="s">
        <v>8509</v>
      </c>
      <c r="AK18" s="1454" t="s">
        <v>2619</v>
      </c>
      <c r="AL18" s="1454" t="s">
        <v>8889</v>
      </c>
      <c r="AM18" s="1454" t="s">
        <v>8890</v>
      </c>
      <c r="AN18" s="1454" t="s">
        <v>573</v>
      </c>
      <c r="AO18" s="1454" t="s">
        <v>8891</v>
      </c>
      <c r="AP18" s="1454" t="s">
        <v>8892</v>
      </c>
      <c r="AQ18" s="1454" t="s">
        <v>4844</v>
      </c>
      <c r="AR18" s="1454" t="s">
        <v>6483</v>
      </c>
      <c r="AS18" s="1454" t="s">
        <v>8893</v>
      </c>
      <c r="AT18" s="1454" t="s">
        <v>2994</v>
      </c>
      <c r="AU18" s="1454" t="s">
        <v>8894</v>
      </c>
      <c r="AV18" s="1452" t="str">
        <f t="shared" si="1"/>
        <v>3:21</v>
      </c>
      <c r="AW18" s="1508" t="s">
        <v>8895</v>
      </c>
    </row>
    <row r="19" ht="15.75" customHeight="1">
      <c r="A19" s="1443" t="s">
        <v>8896</v>
      </c>
      <c r="B19" s="1444" t="s">
        <v>8489</v>
      </c>
      <c r="C19" s="1445">
        <v>0.049965277777777775</v>
      </c>
      <c r="D19" s="1362" t="s">
        <v>8897</v>
      </c>
      <c r="E19" s="1454" t="s">
        <v>4402</v>
      </c>
      <c r="F19" s="1454" t="s">
        <v>8898</v>
      </c>
      <c r="G19" s="1454" t="s">
        <v>8899</v>
      </c>
      <c r="H19" s="1452" t="s">
        <v>2371</v>
      </c>
      <c r="I19" s="1454" t="s">
        <v>1354</v>
      </c>
      <c r="J19" s="1454" t="s">
        <v>388</v>
      </c>
      <c r="K19" s="1454" t="s">
        <v>8900</v>
      </c>
      <c r="L19" s="1454" t="s">
        <v>5465</v>
      </c>
      <c r="M19" s="1454" t="s">
        <v>6397</v>
      </c>
      <c r="N19" s="1454" t="s">
        <v>8901</v>
      </c>
      <c r="O19" s="1454" t="s">
        <v>2705</v>
      </c>
      <c r="P19" s="1452" t="s">
        <v>5498</v>
      </c>
      <c r="Q19" s="1454" t="s">
        <v>8902</v>
      </c>
      <c r="R19" s="1454" t="s">
        <v>3271</v>
      </c>
      <c r="S19" s="1454" t="s">
        <v>7661</v>
      </c>
      <c r="T19" s="1454" t="s">
        <v>8248</v>
      </c>
      <c r="U19" s="1454" t="s">
        <v>8903</v>
      </c>
      <c r="V19" s="1454" t="s">
        <v>5074</v>
      </c>
      <c r="W19" s="1454" t="s">
        <v>8904</v>
      </c>
      <c r="X19" s="1452" t="s">
        <v>6758</v>
      </c>
      <c r="Y19" s="1452" t="s">
        <v>5585</v>
      </c>
      <c r="Z19" s="1454" t="s">
        <v>8905</v>
      </c>
      <c r="AA19" s="1454" t="s">
        <v>2415</v>
      </c>
      <c r="AB19" s="1454" t="s">
        <v>8906</v>
      </c>
      <c r="AC19" s="1454" t="s">
        <v>817</v>
      </c>
      <c r="AD19" s="1454" t="s">
        <v>5509</v>
      </c>
      <c r="AE19" s="1454" t="s">
        <v>8907</v>
      </c>
      <c r="AF19" s="1454" t="s">
        <v>911</v>
      </c>
      <c r="AG19" s="1454" t="s">
        <v>8908</v>
      </c>
      <c r="AH19" s="1454" t="s">
        <v>8909</v>
      </c>
      <c r="AI19" s="1454" t="s">
        <v>714</v>
      </c>
      <c r="AJ19" s="1452" t="s">
        <v>8910</v>
      </c>
      <c r="AK19" s="1500" t="s">
        <v>7573</v>
      </c>
      <c r="AL19" s="1454" t="s">
        <v>4722</v>
      </c>
      <c r="AM19" s="1454" t="s">
        <v>3721</v>
      </c>
      <c r="AN19" s="1452" t="s">
        <v>6137</v>
      </c>
      <c r="AO19" s="1452" t="s">
        <v>6483</v>
      </c>
      <c r="AP19" s="1452" t="s">
        <v>8911</v>
      </c>
      <c r="AQ19" s="1452" t="s">
        <v>8608</v>
      </c>
      <c r="AR19" s="1452" t="s">
        <v>504</v>
      </c>
      <c r="AS19" s="1452" t="s">
        <v>5754</v>
      </c>
      <c r="AT19" s="1452" t="s">
        <v>8787</v>
      </c>
      <c r="AU19" s="1454" t="s">
        <v>8912</v>
      </c>
      <c r="AV19" s="1452" t="str">
        <f t="shared" si="1"/>
        <v>3:46</v>
      </c>
      <c r="AW19" s="1525" t="s">
        <v>8041</v>
      </c>
    </row>
    <row r="20">
      <c r="A20" s="1491" t="s">
        <v>2119</v>
      </c>
      <c r="B20" s="1485" t="s">
        <v>8489</v>
      </c>
      <c r="C20" s="1526">
        <v>0.04990740740740741</v>
      </c>
      <c r="D20" s="1474" t="s">
        <v>8913</v>
      </c>
      <c r="E20" s="1474" t="s">
        <v>8914</v>
      </c>
      <c r="F20" s="1474" t="s">
        <v>8785</v>
      </c>
      <c r="G20" s="1474" t="s">
        <v>8915</v>
      </c>
      <c r="H20" s="1474" t="s">
        <v>8916</v>
      </c>
      <c r="I20" s="1474" t="s">
        <v>3827</v>
      </c>
      <c r="J20" s="1474" t="s">
        <v>8917</v>
      </c>
      <c r="K20" s="1527" t="s">
        <v>4299</v>
      </c>
      <c r="L20" s="1474" t="s">
        <v>8889</v>
      </c>
      <c r="M20" s="1474" t="s">
        <v>8918</v>
      </c>
      <c r="N20" s="1474" t="s">
        <v>7182</v>
      </c>
      <c r="O20" s="1474" t="s">
        <v>8919</v>
      </c>
      <c r="P20" s="1474" t="s">
        <v>6390</v>
      </c>
      <c r="Q20" s="1474" t="s">
        <v>8920</v>
      </c>
      <c r="R20" s="1474" t="s">
        <v>8855</v>
      </c>
      <c r="S20" s="1474" t="s">
        <v>8921</v>
      </c>
      <c r="T20" s="1474" t="s">
        <v>5811</v>
      </c>
      <c r="U20" s="1474" t="s">
        <v>8922</v>
      </c>
      <c r="V20" s="1474" t="s">
        <v>8923</v>
      </c>
      <c r="W20" s="1474" t="s">
        <v>5525</v>
      </c>
      <c r="X20" s="1474" t="s">
        <v>8924</v>
      </c>
      <c r="Y20" s="1474" t="s">
        <v>8623</v>
      </c>
      <c r="Z20" s="1474" t="s">
        <v>8925</v>
      </c>
      <c r="AA20" s="1474" t="s">
        <v>8861</v>
      </c>
      <c r="AB20" s="1474" t="s">
        <v>8862</v>
      </c>
      <c r="AC20" s="1474" t="s">
        <v>616</v>
      </c>
      <c r="AD20" s="1474" t="s">
        <v>8926</v>
      </c>
      <c r="AE20" s="1474" t="s">
        <v>5598</v>
      </c>
      <c r="AF20" s="1474" t="s">
        <v>8927</v>
      </c>
      <c r="AG20" s="1474" t="s">
        <v>8928</v>
      </c>
      <c r="AH20" s="1474" t="s">
        <v>2938</v>
      </c>
      <c r="AI20" s="1474" t="s">
        <v>8691</v>
      </c>
      <c r="AJ20" s="1474" t="s">
        <v>8929</v>
      </c>
      <c r="AK20" s="1474" t="s">
        <v>8930</v>
      </c>
      <c r="AL20" s="1474" t="s">
        <v>348</v>
      </c>
      <c r="AM20" s="1474" t="s">
        <v>2273</v>
      </c>
      <c r="AN20" s="1474" t="s">
        <v>232</v>
      </c>
      <c r="AO20" s="1474" t="s">
        <v>8931</v>
      </c>
      <c r="AP20" s="1474" t="s">
        <v>8932</v>
      </c>
      <c r="AQ20" s="1447" t="s">
        <v>7658</v>
      </c>
      <c r="AR20" s="1474" t="s">
        <v>2733</v>
      </c>
      <c r="AS20" s="1474" t="s">
        <v>969</v>
      </c>
      <c r="AT20" s="1474" t="s">
        <v>2530</v>
      </c>
      <c r="AU20" s="1454" t="s">
        <v>8933</v>
      </c>
      <c r="AV20" s="1452" t="str">
        <f t="shared" si="1"/>
        <v>2:24</v>
      </c>
      <c r="AW20" s="1525"/>
    </row>
    <row r="21" ht="15.75" customHeight="1">
      <c r="A21" s="1528" t="s">
        <v>6150</v>
      </c>
      <c r="B21" s="1444" t="s">
        <v>8489</v>
      </c>
      <c r="C21" s="1445">
        <v>0.05</v>
      </c>
      <c r="D21" s="1362" t="s">
        <v>8934</v>
      </c>
      <c r="E21" s="1454" t="s">
        <v>8279</v>
      </c>
      <c r="F21" s="1454" t="s">
        <v>8873</v>
      </c>
      <c r="G21" s="1452" t="s">
        <v>8935</v>
      </c>
      <c r="H21" s="1454" t="s">
        <v>8936</v>
      </c>
      <c r="I21" s="1452" t="s">
        <v>2007</v>
      </c>
      <c r="J21" s="1454" t="s">
        <v>2968</v>
      </c>
      <c r="K21" s="1454" t="s">
        <v>8937</v>
      </c>
      <c r="L21" s="1454" t="s">
        <v>3291</v>
      </c>
      <c r="M21" s="1454" t="s">
        <v>8938</v>
      </c>
      <c r="N21" s="1454" t="s">
        <v>8939</v>
      </c>
      <c r="O21" s="1454" t="s">
        <v>8858</v>
      </c>
      <c r="P21" s="1452" t="s">
        <v>4011</v>
      </c>
      <c r="Q21" s="1454" t="s">
        <v>8940</v>
      </c>
      <c r="R21" s="1454" t="s">
        <v>6682</v>
      </c>
      <c r="S21" s="1454" t="s">
        <v>6921</v>
      </c>
      <c r="T21" s="1454" t="s">
        <v>7324</v>
      </c>
      <c r="U21" s="1454" t="s">
        <v>8941</v>
      </c>
      <c r="V21" s="1454" t="s">
        <v>8942</v>
      </c>
      <c r="W21" s="1454" t="s">
        <v>8943</v>
      </c>
      <c r="X21" s="1454" t="s">
        <v>8944</v>
      </c>
      <c r="Y21" s="1454" t="s">
        <v>8945</v>
      </c>
      <c r="Z21" s="1454" t="s">
        <v>8946</v>
      </c>
      <c r="AA21" s="1454" t="s">
        <v>8947</v>
      </c>
      <c r="AB21" s="1454" t="s">
        <v>8948</v>
      </c>
      <c r="AC21" s="1452" t="s">
        <v>5021</v>
      </c>
      <c r="AD21" s="1454" t="s">
        <v>8949</v>
      </c>
      <c r="AE21" s="1452" t="s">
        <v>5573</v>
      </c>
      <c r="AF21" s="1529" t="s">
        <v>8506</v>
      </c>
      <c r="AG21" s="1454" t="s">
        <v>627</v>
      </c>
      <c r="AH21" s="1454" t="s">
        <v>6906</v>
      </c>
      <c r="AI21" s="1454" t="s">
        <v>311</v>
      </c>
      <c r="AJ21" s="1452" t="s">
        <v>8950</v>
      </c>
      <c r="AK21" s="1454" t="s">
        <v>8951</v>
      </c>
      <c r="AL21" s="1452" t="s">
        <v>3797</v>
      </c>
      <c r="AM21" s="1454" t="s">
        <v>2068</v>
      </c>
      <c r="AN21" s="1452" t="s">
        <v>2724</v>
      </c>
      <c r="AO21" s="1454" t="s">
        <v>3595</v>
      </c>
      <c r="AP21" s="1454" t="s">
        <v>8952</v>
      </c>
      <c r="AQ21" s="1452" t="s">
        <v>8953</v>
      </c>
      <c r="AR21" s="1454" t="s">
        <v>1749</v>
      </c>
      <c r="AS21" s="1452" t="s">
        <v>8794</v>
      </c>
      <c r="AT21" s="1454" t="s">
        <v>8954</v>
      </c>
      <c r="AU21" s="1454" t="s">
        <v>8955</v>
      </c>
      <c r="AV21" s="1452" t="str">
        <f t="shared" si="1"/>
        <v>1:53</v>
      </c>
      <c r="AW21" s="1525"/>
    </row>
    <row r="22" ht="15.75" customHeight="1">
      <c r="A22" s="1491" t="s">
        <v>2312</v>
      </c>
      <c r="B22" s="1530" t="s">
        <v>8517</v>
      </c>
      <c r="C22" s="1445">
        <v>0.05002314814814815</v>
      </c>
      <c r="D22" s="1531" t="s">
        <v>8956</v>
      </c>
      <c r="E22" s="1362" t="s">
        <v>8445</v>
      </c>
      <c r="F22" s="1362" t="s">
        <v>8957</v>
      </c>
      <c r="G22" s="1495" t="s">
        <v>8958</v>
      </c>
      <c r="H22" s="1532" t="s">
        <v>8522</v>
      </c>
      <c r="I22" s="1362" t="s">
        <v>6118</v>
      </c>
      <c r="J22" s="1362" t="s">
        <v>8959</v>
      </c>
      <c r="K22" s="1362" t="s">
        <v>8960</v>
      </c>
      <c r="L22" s="1533" t="s">
        <v>2877</v>
      </c>
      <c r="M22" s="1362" t="s">
        <v>8961</v>
      </c>
      <c r="N22" s="1497" t="s">
        <v>8962</v>
      </c>
      <c r="O22" s="1362" t="s">
        <v>8963</v>
      </c>
      <c r="P22" s="1497" t="s">
        <v>5552</v>
      </c>
      <c r="Q22" s="1362" t="s">
        <v>8964</v>
      </c>
      <c r="R22" s="1533" t="s">
        <v>8528</v>
      </c>
      <c r="S22" s="1498" t="s">
        <v>8965</v>
      </c>
      <c r="T22" s="1534" t="s">
        <v>8530</v>
      </c>
      <c r="U22" s="1498" t="s">
        <v>1196</v>
      </c>
      <c r="V22" s="1362" t="s">
        <v>8082</v>
      </c>
      <c r="W22" s="1535" t="s">
        <v>4240</v>
      </c>
      <c r="X22" s="1362" t="s">
        <v>8966</v>
      </c>
      <c r="Y22" s="1533" t="s">
        <v>8531</v>
      </c>
      <c r="Z22" s="1533" t="s">
        <v>454</v>
      </c>
      <c r="AA22" s="1499" t="s">
        <v>4776</v>
      </c>
      <c r="AB22" s="1362" t="s">
        <v>3144</v>
      </c>
      <c r="AC22" s="1362" t="s">
        <v>420</v>
      </c>
      <c r="AD22" s="1362" t="s">
        <v>7797</v>
      </c>
      <c r="AE22" s="1536" t="s">
        <v>8534</v>
      </c>
      <c r="AF22" s="1455" t="s">
        <v>8967</v>
      </c>
      <c r="AG22" s="1533" t="s">
        <v>3992</v>
      </c>
      <c r="AH22" s="1362" t="s">
        <v>5031</v>
      </c>
      <c r="AI22" s="1537" t="s">
        <v>7535</v>
      </c>
      <c r="AJ22" s="1362" t="s">
        <v>8968</v>
      </c>
      <c r="AK22" s="1362" t="s">
        <v>1346</v>
      </c>
      <c r="AL22" s="1535" t="s">
        <v>6082</v>
      </c>
      <c r="AM22" s="1533" t="s">
        <v>8538</v>
      </c>
      <c r="AN22" s="1502" t="s">
        <v>8804</v>
      </c>
      <c r="AO22" s="1533" t="s">
        <v>7703</v>
      </c>
      <c r="AP22" s="1362" t="s">
        <v>8969</v>
      </c>
      <c r="AQ22" s="1538" t="s">
        <v>8540</v>
      </c>
      <c r="AR22" s="1362" t="s">
        <v>898</v>
      </c>
      <c r="AS22" s="1539" t="s">
        <v>5278</v>
      </c>
      <c r="AT22" s="1533" t="s">
        <v>4062</v>
      </c>
      <c r="AU22" s="1483" t="s">
        <v>8970</v>
      </c>
      <c r="AV22" s="1452" t="str">
        <f t="shared" si="1"/>
        <v>4:17</v>
      </c>
      <c r="AW22" s="1490" t="s">
        <v>8971</v>
      </c>
    </row>
    <row r="23">
      <c r="A23" s="1540" t="s">
        <v>3175</v>
      </c>
      <c r="B23" s="1541" t="s">
        <v>8489</v>
      </c>
      <c r="C23" s="1542">
        <v>0.05011574074074074</v>
      </c>
      <c r="D23" s="1543" t="s">
        <v>8972</v>
      </c>
      <c r="E23" s="1544" t="s">
        <v>7576</v>
      </c>
      <c r="F23" s="1543" t="s">
        <v>7310</v>
      </c>
      <c r="G23" s="1543" t="s">
        <v>8973</v>
      </c>
      <c r="H23" s="1545" t="s">
        <v>8974</v>
      </c>
      <c r="I23" s="1545" t="s">
        <v>2007</v>
      </c>
      <c r="J23" s="1546" t="s">
        <v>8975</v>
      </c>
      <c r="K23" s="1547" t="s">
        <v>8976</v>
      </c>
      <c r="L23" s="1548" t="s">
        <v>8977</v>
      </c>
      <c r="M23" s="1547" t="s">
        <v>8978</v>
      </c>
      <c r="N23" s="1547" t="s">
        <v>8979</v>
      </c>
      <c r="O23" s="1546" t="s">
        <v>8980</v>
      </c>
      <c r="P23" s="1548" t="s">
        <v>6401</v>
      </c>
      <c r="Q23" s="1549" t="s">
        <v>8981</v>
      </c>
      <c r="R23" s="1549" t="s">
        <v>5593</v>
      </c>
      <c r="S23" s="1550" t="s">
        <v>1099</v>
      </c>
      <c r="T23" s="1549" t="s">
        <v>2002</v>
      </c>
      <c r="U23" s="1551" t="s">
        <v>8982</v>
      </c>
      <c r="V23" s="1549" t="s">
        <v>4045</v>
      </c>
      <c r="W23" s="1552" t="s">
        <v>7489</v>
      </c>
      <c r="X23" s="1553" t="s">
        <v>8983</v>
      </c>
      <c r="Y23" s="1554" t="s">
        <v>7002</v>
      </c>
      <c r="Z23" s="1552" t="s">
        <v>224</v>
      </c>
      <c r="AA23" s="1553" t="s">
        <v>7443</v>
      </c>
      <c r="AB23" s="1555" t="s">
        <v>3409</v>
      </c>
      <c r="AC23" s="1556" t="s">
        <v>4934</v>
      </c>
      <c r="AD23" s="1544" t="s">
        <v>8984</v>
      </c>
      <c r="AE23" s="1557" t="s">
        <v>5598</v>
      </c>
      <c r="AF23" s="1558" t="s">
        <v>8985</v>
      </c>
      <c r="AG23" s="1559" t="s">
        <v>426</v>
      </c>
      <c r="AH23" s="1560" t="s">
        <v>8986</v>
      </c>
      <c r="AI23" s="1559" t="s">
        <v>8987</v>
      </c>
      <c r="AJ23" s="1561" t="s">
        <v>8988</v>
      </c>
      <c r="AK23" s="1559" t="s">
        <v>8989</v>
      </c>
      <c r="AL23" s="1558" t="s">
        <v>8909</v>
      </c>
      <c r="AM23" s="1562" t="s">
        <v>8538</v>
      </c>
      <c r="AN23" s="1563" t="s">
        <v>4698</v>
      </c>
      <c r="AO23" s="1564" t="s">
        <v>1545</v>
      </c>
      <c r="AP23" s="1565" t="s">
        <v>8990</v>
      </c>
      <c r="AQ23" s="1564" t="s">
        <v>8991</v>
      </c>
      <c r="AR23" s="1564" t="s">
        <v>8683</v>
      </c>
      <c r="AS23" s="1566" t="s">
        <v>8992</v>
      </c>
      <c r="AT23" s="1548" t="s">
        <v>2075</v>
      </c>
      <c r="AU23" s="1567" t="s">
        <v>8993</v>
      </c>
      <c r="AV23" s="1568" t="str">
        <f t="shared" si="1"/>
        <v>3:01</v>
      </c>
      <c r="AW23" s="1569"/>
    </row>
    <row r="24">
      <c r="A24" s="1491" t="s">
        <v>6458</v>
      </c>
      <c r="B24" s="1485" t="s">
        <v>8517</v>
      </c>
      <c r="C24" s="1445">
        <v>0.05016203703703704</v>
      </c>
      <c r="D24" s="1467" t="s">
        <v>8994</v>
      </c>
      <c r="E24" s="1570" t="s">
        <v>8519</v>
      </c>
      <c r="F24" s="1467" t="s">
        <v>8995</v>
      </c>
      <c r="G24" s="1467" t="s">
        <v>8996</v>
      </c>
      <c r="H24" s="1467" t="s">
        <v>8997</v>
      </c>
      <c r="I24" s="1467" t="s">
        <v>5043</v>
      </c>
      <c r="J24" s="1467" t="s">
        <v>4191</v>
      </c>
      <c r="K24" s="1467" t="s">
        <v>8998</v>
      </c>
      <c r="L24" s="1362" t="s">
        <v>5169</v>
      </c>
      <c r="M24" s="1533" t="s">
        <v>8525</v>
      </c>
      <c r="N24" s="1467" t="s">
        <v>8999</v>
      </c>
      <c r="O24" s="1467" t="s">
        <v>9000</v>
      </c>
      <c r="P24" s="1467" t="s">
        <v>5874</v>
      </c>
      <c r="Q24" s="1467" t="s">
        <v>2775</v>
      </c>
      <c r="R24" s="1467" t="s">
        <v>942</v>
      </c>
      <c r="S24" s="1467" t="s">
        <v>9001</v>
      </c>
      <c r="T24" s="1467" t="s">
        <v>1359</v>
      </c>
      <c r="U24" s="1467" t="s">
        <v>9002</v>
      </c>
      <c r="V24" s="1467" t="s">
        <v>9003</v>
      </c>
      <c r="W24" s="1467" t="s">
        <v>9004</v>
      </c>
      <c r="X24" s="1467" t="s">
        <v>1430</v>
      </c>
      <c r="Y24" s="1467" t="s">
        <v>1141</v>
      </c>
      <c r="Z24" s="1467" t="s">
        <v>8860</v>
      </c>
      <c r="AA24" s="1571" t="s">
        <v>8532</v>
      </c>
      <c r="AB24" s="1467" t="s">
        <v>9005</v>
      </c>
      <c r="AC24" s="1467" t="s">
        <v>4816</v>
      </c>
      <c r="AD24" s="1467" t="s">
        <v>9006</v>
      </c>
      <c r="AE24" s="1467" t="s">
        <v>4948</v>
      </c>
      <c r="AF24" s="1467" t="s">
        <v>5737</v>
      </c>
      <c r="AG24" s="1467" t="s">
        <v>9007</v>
      </c>
      <c r="AH24" s="1467" t="s">
        <v>4441</v>
      </c>
      <c r="AI24" s="1454" t="s">
        <v>4255</v>
      </c>
      <c r="AJ24" s="1467" t="s">
        <v>9008</v>
      </c>
      <c r="AK24" s="1467" t="s">
        <v>9009</v>
      </c>
      <c r="AL24" s="1467" t="s">
        <v>2602</v>
      </c>
      <c r="AM24" s="1467" t="s">
        <v>4116</v>
      </c>
      <c r="AN24" s="1467" t="s">
        <v>5967</v>
      </c>
      <c r="AO24" s="1467" t="s">
        <v>9010</v>
      </c>
      <c r="AP24" s="1467" t="s">
        <v>9011</v>
      </c>
      <c r="AQ24" s="1467" t="s">
        <v>4101</v>
      </c>
      <c r="AR24" s="1571" t="s">
        <v>7479</v>
      </c>
      <c r="AS24" s="1467" t="s">
        <v>784</v>
      </c>
      <c r="AT24" s="1467" t="s">
        <v>9012</v>
      </c>
      <c r="AU24" s="1454" t="s">
        <v>9013</v>
      </c>
      <c r="AV24" s="1452" t="str">
        <f t="shared" si="1"/>
        <v>3:20</v>
      </c>
      <c r="AW24" s="1572"/>
    </row>
    <row r="25" ht="15.75" customHeight="1">
      <c r="A25" s="1458" t="s">
        <v>1481</v>
      </c>
      <c r="B25" s="1444" t="s">
        <v>8489</v>
      </c>
      <c r="C25" s="1445">
        <v>0.05025462962962963</v>
      </c>
      <c r="D25" s="1362" t="s">
        <v>9014</v>
      </c>
      <c r="E25" s="1495" t="s">
        <v>9015</v>
      </c>
      <c r="F25" s="1509" t="s">
        <v>9016</v>
      </c>
      <c r="G25" s="1447" t="s">
        <v>9017</v>
      </c>
      <c r="H25" s="1496" t="s">
        <v>9018</v>
      </c>
      <c r="I25" s="1496" t="s">
        <v>1095</v>
      </c>
      <c r="J25" s="1497" t="s">
        <v>8639</v>
      </c>
      <c r="K25" s="1511" t="s">
        <v>9019</v>
      </c>
      <c r="L25" s="1511" t="s">
        <v>5218</v>
      </c>
      <c r="M25" s="1573" t="str">
        <f>HYPERLINK("https://youtu.be/teAIifUZjFw","1:14.18")</f>
        <v>1:14.18</v>
      </c>
      <c r="N25" s="1511" t="s">
        <v>3849</v>
      </c>
      <c r="O25" s="1511" t="s">
        <v>9020</v>
      </c>
      <c r="P25" s="1511" t="s">
        <v>2110</v>
      </c>
      <c r="Q25" s="1512" t="s">
        <v>9021</v>
      </c>
      <c r="R25" s="1498" t="s">
        <v>9022</v>
      </c>
      <c r="S25" s="1498" t="s">
        <v>5531</v>
      </c>
      <c r="T25" s="1574" t="str">
        <f>HYPERLINK("https://youtu.be/AiXricVH5ss","1:24.99")</f>
        <v>1:24.99</v>
      </c>
      <c r="U25" s="1575" t="str">
        <f>HYPERLINK("https://www.twitch.tv/videos/450151935","2:00.31")</f>
        <v>2:00.31</v>
      </c>
      <c r="V25" s="1498" t="s">
        <v>9023</v>
      </c>
      <c r="W25" s="1576" t="str">
        <f>HYPERLINK("https://youtu.be/eafNhBoXVWA","1:46.09")</f>
        <v>1:46.09</v>
      </c>
      <c r="X25" s="1513" t="s">
        <v>4582</v>
      </c>
      <c r="Y25" s="1513" t="s">
        <v>8727</v>
      </c>
      <c r="Z25" s="1513" t="s">
        <v>9024</v>
      </c>
      <c r="AA25" s="1499" t="s">
        <v>8670</v>
      </c>
      <c r="AB25" s="1513" t="s">
        <v>7029</v>
      </c>
      <c r="AC25" s="1513" t="s">
        <v>7626</v>
      </c>
      <c r="AD25" s="1577" t="str">
        <f>HYPERLINK("https://youtu.be/8FEcTKESSh0","1:49.80")</f>
        <v>1:49.80</v>
      </c>
      <c r="AE25" s="1495" t="s">
        <v>6401</v>
      </c>
      <c r="AF25" s="1514" t="s">
        <v>9025</v>
      </c>
      <c r="AG25" s="1514" t="s">
        <v>9026</v>
      </c>
      <c r="AH25" s="1514" t="s">
        <v>9027</v>
      </c>
      <c r="AI25" s="1514" t="s">
        <v>4117</v>
      </c>
      <c r="AJ25" s="1514" t="s">
        <v>9028</v>
      </c>
      <c r="AK25" s="1500" t="s">
        <v>8856</v>
      </c>
      <c r="AL25" s="1514" t="s">
        <v>9029</v>
      </c>
      <c r="AM25" s="1502" t="s">
        <v>8823</v>
      </c>
      <c r="AN25" s="1502" t="s">
        <v>8249</v>
      </c>
      <c r="AO25" s="1502" t="s">
        <v>9030</v>
      </c>
      <c r="AP25" s="1501" t="s">
        <v>9031</v>
      </c>
      <c r="AQ25" s="1501" t="s">
        <v>9032</v>
      </c>
      <c r="AR25" s="1502" t="s">
        <v>9033</v>
      </c>
      <c r="AS25" s="1501" t="s">
        <v>5628</v>
      </c>
      <c r="AT25" s="1573" t="str">
        <f>HYPERLINK("https://youtu.be/xDirVtS1AZ4?t=4416","2:27.45")</f>
        <v>2:27.45</v>
      </c>
      <c r="AU25" s="1515" t="s">
        <v>9034</v>
      </c>
      <c r="AV25" s="1452" t="str">
        <f t="shared" si="1"/>
        <v>2:34</v>
      </c>
      <c r="AW25" s="1484" t="s">
        <v>9035</v>
      </c>
    </row>
    <row r="26">
      <c r="A26" s="1491" t="s">
        <v>6445</v>
      </c>
      <c r="B26" s="1485" t="s">
        <v>8489</v>
      </c>
      <c r="C26" s="1445">
        <v>0.0502662037037037</v>
      </c>
      <c r="D26" s="1362" t="s">
        <v>9036</v>
      </c>
      <c r="E26" s="1454" t="s">
        <v>8659</v>
      </c>
      <c r="F26" s="1454" t="s">
        <v>9037</v>
      </c>
      <c r="G26" s="1454" t="s">
        <v>9038</v>
      </c>
      <c r="H26" s="1454" t="s">
        <v>9039</v>
      </c>
      <c r="I26" s="1362" t="s">
        <v>263</v>
      </c>
      <c r="J26" s="1362" t="s">
        <v>9040</v>
      </c>
      <c r="K26" s="1454" t="s">
        <v>8937</v>
      </c>
      <c r="L26" s="1454" t="s">
        <v>4178</v>
      </c>
      <c r="M26" s="1362" t="s">
        <v>2756</v>
      </c>
      <c r="N26" s="1454" t="s">
        <v>9041</v>
      </c>
      <c r="O26" s="1454" t="s">
        <v>9042</v>
      </c>
      <c r="P26" s="1362" t="s">
        <v>9043</v>
      </c>
      <c r="Q26" s="1454" t="s">
        <v>9044</v>
      </c>
      <c r="R26" s="1362" t="s">
        <v>9045</v>
      </c>
      <c r="S26" s="1454" t="s">
        <v>9046</v>
      </c>
      <c r="T26" s="1362" t="s">
        <v>9047</v>
      </c>
      <c r="U26" s="1454" t="s">
        <v>1079</v>
      </c>
      <c r="V26" s="1362" t="s">
        <v>5074</v>
      </c>
      <c r="W26" s="1362" t="s">
        <v>7172</v>
      </c>
      <c r="X26" s="1362" t="s">
        <v>6758</v>
      </c>
      <c r="Y26" s="1362" t="s">
        <v>1013</v>
      </c>
      <c r="Z26" s="1362" t="s">
        <v>9048</v>
      </c>
      <c r="AA26" s="1454" t="s">
        <v>9049</v>
      </c>
      <c r="AB26" s="1362" t="s">
        <v>7625</v>
      </c>
      <c r="AC26" s="1454" t="s">
        <v>9050</v>
      </c>
      <c r="AD26" s="1362" t="s">
        <v>6178</v>
      </c>
      <c r="AE26" s="1454" t="s">
        <v>9051</v>
      </c>
      <c r="AF26" s="1454" t="s">
        <v>9052</v>
      </c>
      <c r="AG26" s="1362" t="s">
        <v>2149</v>
      </c>
      <c r="AH26" s="1362" t="s">
        <v>2730</v>
      </c>
      <c r="AI26" s="1454" t="s">
        <v>9053</v>
      </c>
      <c r="AJ26" s="1362" t="s">
        <v>9054</v>
      </c>
      <c r="AK26" s="1362" t="s">
        <v>8502</v>
      </c>
      <c r="AL26" s="1362" t="s">
        <v>4722</v>
      </c>
      <c r="AM26" s="1362" t="s">
        <v>9055</v>
      </c>
      <c r="AN26" s="1362" t="s">
        <v>4722</v>
      </c>
      <c r="AO26" s="1362" t="s">
        <v>2003</v>
      </c>
      <c r="AP26" s="1454" t="s">
        <v>9056</v>
      </c>
      <c r="AQ26" s="1362" t="s">
        <v>2274</v>
      </c>
      <c r="AR26" s="1454" t="s">
        <v>8365</v>
      </c>
      <c r="AS26" s="1362" t="s">
        <v>1912</v>
      </c>
      <c r="AT26" s="1454" t="s">
        <v>9057</v>
      </c>
      <c r="AU26" s="1454" t="s">
        <v>9058</v>
      </c>
      <c r="AV26" s="1452" t="str">
        <f t="shared" si="1"/>
        <v>2:28</v>
      </c>
      <c r="AW26" s="1487" t="s">
        <v>9059</v>
      </c>
    </row>
    <row r="27">
      <c r="A27" s="1491" t="s">
        <v>9060</v>
      </c>
      <c r="B27" s="1578" t="s">
        <v>8489</v>
      </c>
      <c r="C27" s="1445">
        <v>0.0503125</v>
      </c>
      <c r="D27" s="1362" t="s">
        <v>9061</v>
      </c>
      <c r="E27" s="1495" t="s">
        <v>9062</v>
      </c>
      <c r="F27" s="1495" t="s">
        <v>9063</v>
      </c>
      <c r="G27" s="1495" t="s">
        <v>8075</v>
      </c>
      <c r="H27" s="1579" t="s">
        <v>9064</v>
      </c>
      <c r="I27" s="1579" t="s">
        <v>7001</v>
      </c>
      <c r="J27" s="1497" t="s">
        <v>1999</v>
      </c>
      <c r="K27" s="1497" t="s">
        <v>5979</v>
      </c>
      <c r="L27" s="1497" t="s">
        <v>3525</v>
      </c>
      <c r="M27" s="1497" t="s">
        <v>9065</v>
      </c>
      <c r="N27" s="1497" t="s">
        <v>9066</v>
      </c>
      <c r="O27" s="1497" t="s">
        <v>4240</v>
      </c>
      <c r="P27" s="1497" t="s">
        <v>5245</v>
      </c>
      <c r="Q27" s="1498" t="s">
        <v>9067</v>
      </c>
      <c r="R27" s="1498" t="s">
        <v>9068</v>
      </c>
      <c r="S27" s="1498" t="s">
        <v>565</v>
      </c>
      <c r="T27" s="1498" t="s">
        <v>9069</v>
      </c>
      <c r="U27" s="1498" t="s">
        <v>9070</v>
      </c>
      <c r="V27" s="1498" t="s">
        <v>9071</v>
      </c>
      <c r="W27" s="1499" t="s">
        <v>9072</v>
      </c>
      <c r="X27" s="1499" t="s">
        <v>4582</v>
      </c>
      <c r="Y27" s="1499" t="s">
        <v>1622</v>
      </c>
      <c r="Z27" s="1499" t="s">
        <v>2523</v>
      </c>
      <c r="AA27" s="1499" t="s">
        <v>9073</v>
      </c>
      <c r="AB27" s="1499" t="s">
        <v>3880</v>
      </c>
      <c r="AC27" s="1499" t="s">
        <v>9074</v>
      </c>
      <c r="AD27" s="1495" t="s">
        <v>9075</v>
      </c>
      <c r="AE27" s="1495" t="s">
        <v>8886</v>
      </c>
      <c r="AF27" s="1500" t="s">
        <v>9076</v>
      </c>
      <c r="AG27" s="1500" t="s">
        <v>7823</v>
      </c>
      <c r="AH27" s="1500" t="s">
        <v>9077</v>
      </c>
      <c r="AI27" s="1500" t="s">
        <v>5203</v>
      </c>
      <c r="AJ27" s="1500" t="s">
        <v>9078</v>
      </c>
      <c r="AK27" s="1500" t="s">
        <v>9079</v>
      </c>
      <c r="AL27" s="1500" t="s">
        <v>8719</v>
      </c>
      <c r="AM27" s="1502" t="s">
        <v>8763</v>
      </c>
      <c r="AN27" s="1502" t="s">
        <v>9080</v>
      </c>
      <c r="AO27" s="1502" t="s">
        <v>3366</v>
      </c>
      <c r="AP27" s="1502" t="s">
        <v>9081</v>
      </c>
      <c r="AQ27" s="1502" t="s">
        <v>9082</v>
      </c>
      <c r="AR27" s="1502" t="s">
        <v>3032</v>
      </c>
      <c r="AS27" s="1502" t="s">
        <v>303</v>
      </c>
      <c r="AT27" s="1497" t="s">
        <v>9083</v>
      </c>
      <c r="AU27" s="1483" t="s">
        <v>9084</v>
      </c>
      <c r="AV27" s="1452" t="str">
        <f t="shared" si="1"/>
        <v>2:59</v>
      </c>
      <c r="AW27" s="1490" t="s">
        <v>9085</v>
      </c>
    </row>
    <row r="28" ht="15.75" customHeight="1">
      <c r="A28" s="1491" t="s">
        <v>2633</v>
      </c>
      <c r="B28" s="1489" t="s">
        <v>8517</v>
      </c>
      <c r="C28" s="1445">
        <v>0.050347222222222224</v>
      </c>
      <c r="D28" s="1362" t="s">
        <v>9086</v>
      </c>
      <c r="E28" s="1362" t="s">
        <v>9087</v>
      </c>
      <c r="F28" s="1362" t="s">
        <v>9088</v>
      </c>
      <c r="G28" s="1362" t="s">
        <v>9089</v>
      </c>
      <c r="H28" s="1362" t="s">
        <v>5968</v>
      </c>
      <c r="I28" s="1362" t="s">
        <v>720</v>
      </c>
      <c r="J28" s="1533" t="s">
        <v>8524</v>
      </c>
      <c r="K28" s="1533" t="s">
        <v>1140</v>
      </c>
      <c r="L28" s="1362" t="s">
        <v>9090</v>
      </c>
      <c r="M28" s="1497" t="s">
        <v>8978</v>
      </c>
      <c r="N28" s="1533" t="s">
        <v>2589</v>
      </c>
      <c r="O28" s="1362" t="s">
        <v>9091</v>
      </c>
      <c r="P28" s="1533" t="s">
        <v>5573</v>
      </c>
      <c r="Q28" s="1533" t="s">
        <v>8527</v>
      </c>
      <c r="R28" s="1362" t="s">
        <v>7262</v>
      </c>
      <c r="S28" s="1533" t="s">
        <v>8529</v>
      </c>
      <c r="T28" s="1362" t="s">
        <v>4682</v>
      </c>
      <c r="U28" s="1362" t="s">
        <v>9092</v>
      </c>
      <c r="V28" s="1533" t="s">
        <v>4210</v>
      </c>
      <c r="W28" s="1362" t="s">
        <v>7170</v>
      </c>
      <c r="X28" s="1362" t="s">
        <v>5811</v>
      </c>
      <c r="Y28" s="1362" t="s">
        <v>5649</v>
      </c>
      <c r="Z28" s="1362" t="s">
        <v>1178</v>
      </c>
      <c r="AA28" s="1362" t="s">
        <v>9093</v>
      </c>
      <c r="AB28" s="1362" t="s">
        <v>3349</v>
      </c>
      <c r="AC28" s="1362" t="s">
        <v>1991</v>
      </c>
      <c r="AD28" s="1362" t="s">
        <v>9094</v>
      </c>
      <c r="AE28" s="1362" t="s">
        <v>3285</v>
      </c>
      <c r="AF28" s="1362" t="s">
        <v>9095</v>
      </c>
      <c r="AG28" s="1362" t="s">
        <v>5647</v>
      </c>
      <c r="AH28" s="1362" t="s">
        <v>4710</v>
      </c>
      <c r="AI28" s="1362" t="s">
        <v>3482</v>
      </c>
      <c r="AJ28" s="1362" t="s">
        <v>9096</v>
      </c>
      <c r="AK28" s="1362" t="s">
        <v>3076</v>
      </c>
      <c r="AL28" s="1362" t="s">
        <v>9097</v>
      </c>
      <c r="AM28" s="1362" t="s">
        <v>9098</v>
      </c>
      <c r="AN28" s="1362" t="s">
        <v>4504</v>
      </c>
      <c r="AO28" s="1362" t="s">
        <v>7348</v>
      </c>
      <c r="AP28" s="1362" t="s">
        <v>9099</v>
      </c>
      <c r="AQ28" s="1362" t="s">
        <v>3798</v>
      </c>
      <c r="AR28" s="1362" t="s">
        <v>3032</v>
      </c>
      <c r="AS28" s="1362" t="s">
        <v>6628</v>
      </c>
      <c r="AT28" s="1362" t="s">
        <v>9100</v>
      </c>
      <c r="AU28" s="1500" t="s">
        <v>8541</v>
      </c>
      <c r="AV28" s="1452" t="str">
        <f t="shared" si="1"/>
        <v>2:37</v>
      </c>
      <c r="AW28" s="1580"/>
    </row>
    <row r="29" ht="15.75" customHeight="1">
      <c r="A29" s="1443" t="s">
        <v>9101</v>
      </c>
      <c r="B29" s="1504" t="s">
        <v>8517</v>
      </c>
      <c r="C29" s="1445">
        <v>0.05042824074074074</v>
      </c>
      <c r="D29" s="1362" t="s">
        <v>8774</v>
      </c>
      <c r="E29" s="1495" t="s">
        <v>6222</v>
      </c>
      <c r="F29" s="1495" t="s">
        <v>9102</v>
      </c>
      <c r="G29" s="1509" t="s">
        <v>9103</v>
      </c>
      <c r="H29" s="1496" t="s">
        <v>9104</v>
      </c>
      <c r="I29" s="1579" t="s">
        <v>3249</v>
      </c>
      <c r="J29" s="1497" t="s">
        <v>4879</v>
      </c>
      <c r="K29" s="1497" t="s">
        <v>8998</v>
      </c>
      <c r="L29" s="1497" t="s">
        <v>2564</v>
      </c>
      <c r="M29" s="1497" t="s">
        <v>2139</v>
      </c>
      <c r="N29" s="1497" t="s">
        <v>4286</v>
      </c>
      <c r="O29" s="1497" t="s">
        <v>9105</v>
      </c>
      <c r="P29" s="1511" t="s">
        <v>789</v>
      </c>
      <c r="Q29" s="1498" t="s">
        <v>9106</v>
      </c>
      <c r="R29" s="1498" t="s">
        <v>3496</v>
      </c>
      <c r="S29" s="1498" t="s">
        <v>7583</v>
      </c>
      <c r="T29" s="1512" t="s">
        <v>8691</v>
      </c>
      <c r="U29" s="1498" t="s">
        <v>8643</v>
      </c>
      <c r="V29" s="1512" t="s">
        <v>9107</v>
      </c>
      <c r="W29" s="1513" t="s">
        <v>7382</v>
      </c>
      <c r="X29" s="1581" t="s">
        <v>2702</v>
      </c>
      <c r="Y29" s="1513" t="s">
        <v>9108</v>
      </c>
      <c r="Z29" s="1499" t="s">
        <v>9109</v>
      </c>
      <c r="AA29" s="1513" t="s">
        <v>9110</v>
      </c>
      <c r="AB29" s="1362" t="s">
        <v>7448</v>
      </c>
      <c r="AC29" s="1513" t="s">
        <v>3697</v>
      </c>
      <c r="AD29" s="1536" t="s">
        <v>8533</v>
      </c>
      <c r="AE29" s="1495" t="s">
        <v>3285</v>
      </c>
      <c r="AF29" s="1500" t="s">
        <v>9111</v>
      </c>
      <c r="AG29" s="1514" t="s">
        <v>3991</v>
      </c>
      <c r="AH29" s="1514" t="s">
        <v>9112</v>
      </c>
      <c r="AI29" s="1452" t="s">
        <v>9049</v>
      </c>
      <c r="AJ29" s="1514" t="s">
        <v>9113</v>
      </c>
      <c r="AK29" s="1537" t="s">
        <v>8537</v>
      </c>
      <c r="AL29" s="1514" t="s">
        <v>3702</v>
      </c>
      <c r="AM29" s="1502" t="s">
        <v>9114</v>
      </c>
      <c r="AN29" s="1502" t="s">
        <v>5102</v>
      </c>
      <c r="AO29" s="1502" t="s">
        <v>2176</v>
      </c>
      <c r="AP29" s="1502" t="s">
        <v>9115</v>
      </c>
      <c r="AQ29" s="1501" t="s">
        <v>9116</v>
      </c>
      <c r="AR29" s="1501" t="s">
        <v>3747</v>
      </c>
      <c r="AS29" s="1501" t="s">
        <v>5294</v>
      </c>
      <c r="AT29" s="1497" t="s">
        <v>9117</v>
      </c>
      <c r="AU29" s="1483" t="s">
        <v>9118</v>
      </c>
      <c r="AV29" s="1452" t="str">
        <f t="shared" si="1"/>
        <v>2:55</v>
      </c>
      <c r="AW29" s="1582"/>
    </row>
    <row r="30" ht="15.75" customHeight="1">
      <c r="A30" s="1443" t="s">
        <v>4368</v>
      </c>
      <c r="B30" s="1444" t="s">
        <v>8489</v>
      </c>
      <c r="C30" s="1583">
        <v>0.05043981481481481</v>
      </c>
      <c r="D30" s="1362" t="s">
        <v>9119</v>
      </c>
      <c r="E30" s="1452" t="s">
        <v>7352</v>
      </c>
      <c r="F30" s="1452" t="s">
        <v>1649</v>
      </c>
      <c r="G30" s="1452" t="s">
        <v>9120</v>
      </c>
      <c r="H30" s="1452" t="s">
        <v>8682</v>
      </c>
      <c r="I30" s="1452" t="s">
        <v>4787</v>
      </c>
      <c r="J30" s="1452" t="s">
        <v>4592</v>
      </c>
      <c r="K30" s="1452" t="s">
        <v>8900</v>
      </c>
      <c r="L30" s="1452" t="s">
        <v>3920</v>
      </c>
      <c r="M30" s="1452" t="s">
        <v>9121</v>
      </c>
      <c r="N30" s="1452" t="s">
        <v>9122</v>
      </c>
      <c r="O30" s="1452" t="s">
        <v>9123</v>
      </c>
      <c r="P30" s="1452" t="s">
        <v>5384</v>
      </c>
      <c r="Q30" s="1452" t="s">
        <v>9124</v>
      </c>
      <c r="R30" s="1452" t="s">
        <v>9125</v>
      </c>
      <c r="S30" s="1452" t="s">
        <v>8921</v>
      </c>
      <c r="T30" s="1452" t="s">
        <v>9126</v>
      </c>
      <c r="U30" s="1452" t="s">
        <v>9127</v>
      </c>
      <c r="V30" s="1452" t="s">
        <v>2367</v>
      </c>
      <c r="W30" s="1452" t="s">
        <v>9128</v>
      </c>
      <c r="X30" s="1452" t="s">
        <v>9129</v>
      </c>
      <c r="Y30" s="1452" t="s">
        <v>8945</v>
      </c>
      <c r="Z30" s="1452" t="s">
        <v>1178</v>
      </c>
      <c r="AA30" s="1452" t="s">
        <v>3482</v>
      </c>
      <c r="AB30" s="1452" t="s">
        <v>4879</v>
      </c>
      <c r="AC30" s="1452" t="s">
        <v>7626</v>
      </c>
      <c r="AD30" s="1452" t="s">
        <v>6149</v>
      </c>
      <c r="AE30" s="1452" t="s">
        <v>5598</v>
      </c>
      <c r="AF30" s="1452" t="s">
        <v>9130</v>
      </c>
      <c r="AG30" s="1452" t="s">
        <v>9131</v>
      </c>
      <c r="AH30" s="1452" t="s">
        <v>4142</v>
      </c>
      <c r="AI30" s="1452" t="s">
        <v>5203</v>
      </c>
      <c r="AJ30" s="1452" t="s">
        <v>9132</v>
      </c>
      <c r="AK30" s="1452" t="s">
        <v>9133</v>
      </c>
      <c r="AL30" s="1452" t="s">
        <v>5924</v>
      </c>
      <c r="AM30" s="1452" t="s">
        <v>1284</v>
      </c>
      <c r="AN30" s="1452" t="s">
        <v>4289</v>
      </c>
      <c r="AO30" s="1452" t="s">
        <v>9134</v>
      </c>
      <c r="AP30" s="1584" t="str">
        <f>HYPERLINK("https://www.twitch.tv/videos/511415405","2:00.79")</f>
        <v>2:00.79</v>
      </c>
      <c r="AQ30" s="1452" t="s">
        <v>9135</v>
      </c>
      <c r="AR30" s="1452" t="s">
        <v>7348</v>
      </c>
      <c r="AS30" s="1452" t="s">
        <v>9136</v>
      </c>
      <c r="AT30" s="1452" t="s">
        <v>9137</v>
      </c>
      <c r="AU30" s="1452" t="s">
        <v>9138</v>
      </c>
      <c r="AV30" s="1452" t="str">
        <f t="shared" si="1"/>
        <v>2:36</v>
      </c>
      <c r="AW30" s="1471" t="s">
        <v>6535</v>
      </c>
    </row>
    <row r="31">
      <c r="A31" s="1491" t="s">
        <v>1248</v>
      </c>
      <c r="B31" s="1489" t="s">
        <v>8489</v>
      </c>
      <c r="C31" s="1445">
        <v>0.050486111111111114</v>
      </c>
      <c r="D31" s="1495" t="s">
        <v>9139</v>
      </c>
      <c r="E31" s="1495" t="s">
        <v>4327</v>
      </c>
      <c r="F31" s="1495" t="s">
        <v>9140</v>
      </c>
      <c r="G31" s="1495" t="s">
        <v>9141</v>
      </c>
      <c r="H31" s="1362" t="s">
        <v>9142</v>
      </c>
      <c r="I31" s="1579" t="s">
        <v>890</v>
      </c>
      <c r="J31" s="1497" t="s">
        <v>5730</v>
      </c>
      <c r="K31" s="1497" t="s">
        <v>7835</v>
      </c>
      <c r="L31" s="1497" t="s">
        <v>6357</v>
      </c>
      <c r="M31" s="1497" t="s">
        <v>5065</v>
      </c>
      <c r="N31" s="1497" t="s">
        <v>9143</v>
      </c>
      <c r="O31" s="1497" t="s">
        <v>9144</v>
      </c>
      <c r="P31" s="1497" t="s">
        <v>8817</v>
      </c>
      <c r="Q31" s="1498" t="s">
        <v>917</v>
      </c>
      <c r="R31" s="1498" t="s">
        <v>4825</v>
      </c>
      <c r="S31" s="1498" t="s">
        <v>9009</v>
      </c>
      <c r="T31" s="1498" t="s">
        <v>9145</v>
      </c>
      <c r="U31" s="1498" t="s">
        <v>9146</v>
      </c>
      <c r="V31" s="1498" t="s">
        <v>9147</v>
      </c>
      <c r="W31" s="1499" t="s">
        <v>9148</v>
      </c>
      <c r="X31" s="1499" t="s">
        <v>9149</v>
      </c>
      <c r="Y31" s="1499" t="s">
        <v>6965</v>
      </c>
      <c r="Z31" s="1499" t="s">
        <v>9150</v>
      </c>
      <c r="AA31" s="1454" t="s">
        <v>9151</v>
      </c>
      <c r="AB31" s="1499" t="s">
        <v>3465</v>
      </c>
      <c r="AC31" s="1499" t="s">
        <v>1095</v>
      </c>
      <c r="AD31" s="1495" t="s">
        <v>9152</v>
      </c>
      <c r="AE31" s="1495" t="s">
        <v>2270</v>
      </c>
      <c r="AF31" s="1500" t="s">
        <v>9153</v>
      </c>
      <c r="AG31" s="1500" t="s">
        <v>543</v>
      </c>
      <c r="AH31" s="1500" t="s">
        <v>9154</v>
      </c>
      <c r="AI31" s="1500" t="s">
        <v>2665</v>
      </c>
      <c r="AJ31" s="1500" t="s">
        <v>9155</v>
      </c>
      <c r="AK31" s="1500" t="s">
        <v>7423</v>
      </c>
      <c r="AL31" s="1500" t="s">
        <v>2811</v>
      </c>
      <c r="AM31" s="1502" t="s">
        <v>9156</v>
      </c>
      <c r="AN31" s="1502" t="s">
        <v>9090</v>
      </c>
      <c r="AO31" s="1502" t="s">
        <v>9157</v>
      </c>
      <c r="AP31" s="1502" t="s">
        <v>9158</v>
      </c>
      <c r="AQ31" s="1502" t="s">
        <v>9159</v>
      </c>
      <c r="AR31" s="1502" t="s">
        <v>1207</v>
      </c>
      <c r="AS31" s="1502" t="s">
        <v>1622</v>
      </c>
      <c r="AT31" s="1497" t="s">
        <v>9160</v>
      </c>
      <c r="AU31" s="1483" t="s">
        <v>9161</v>
      </c>
      <c r="AV31" s="1452" t="str">
        <f t="shared" si="1"/>
        <v>3:47</v>
      </c>
      <c r="AW31" s="1490"/>
    </row>
    <row r="32" ht="15.75" customHeight="1">
      <c r="A32" s="1491" t="s">
        <v>1710</v>
      </c>
      <c r="B32" s="1444" t="s">
        <v>8489</v>
      </c>
      <c r="C32" s="1445">
        <v>0.05049768518518519</v>
      </c>
      <c r="D32" s="1362" t="s">
        <v>9162</v>
      </c>
      <c r="E32" s="1509" t="s">
        <v>9163</v>
      </c>
      <c r="F32" s="1577" t="str">
        <f>HYPERLINK("https://www.youtube.com/watch?v=rtR6KkKhM6I","1:59.91")</f>
        <v>1:59.91</v>
      </c>
      <c r="G32" s="1509" t="s">
        <v>9164</v>
      </c>
      <c r="H32" s="1585" t="str">
        <f>HYPERLINK("https://www.youtube.com/watch?v=cg-eipYsN1s","1:54.47")</f>
        <v>1:54.47</v>
      </c>
      <c r="I32" s="1496" t="s">
        <v>9108</v>
      </c>
      <c r="J32" s="1511" t="s">
        <v>8869</v>
      </c>
      <c r="K32" s="1497" t="s">
        <v>6481</v>
      </c>
      <c r="L32" s="1573" t="str">
        <f>HYPERLINK("https://www.youtube.com/watch?v=tJdjPKdAbw4","57.01")</f>
        <v>57.01</v>
      </c>
      <c r="M32" s="1511" t="s">
        <v>7296</v>
      </c>
      <c r="N32" s="1497" t="s">
        <v>2386</v>
      </c>
      <c r="O32" s="1511" t="s">
        <v>9165</v>
      </c>
      <c r="P32" s="1511" t="s">
        <v>280</v>
      </c>
      <c r="Q32" s="1512" t="s">
        <v>237</v>
      </c>
      <c r="R32" s="1512" t="s">
        <v>9166</v>
      </c>
      <c r="S32" s="1575" t="str">
        <f>HYPERLINK("https://www.youtube.com/watch?v=_3ms_ZhYFzo","1:18.01")</f>
        <v>1:18.01</v>
      </c>
      <c r="T32" s="1512" t="s">
        <v>6280</v>
      </c>
      <c r="U32" s="1575" t="str">
        <f>HYPERLINK("https://www.youtube.com/watch?v=ZOy_TI3Zw14","2:02.38")</f>
        <v>2:02.38</v>
      </c>
      <c r="V32" s="1512" t="s">
        <v>9147</v>
      </c>
      <c r="W32" s="1513" t="s">
        <v>3283</v>
      </c>
      <c r="X32" s="1513" t="s">
        <v>7423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8817</v>
      </c>
      <c r="AF32" s="1514" t="s">
        <v>9167</v>
      </c>
      <c r="AG32" s="1586" t="str">
        <f>HYPERLINK("https://www.youtube.com/watch?v=KXwTRrVVluY","1:30.62")</f>
        <v>1:30.62</v>
      </c>
      <c r="AH32" s="1514" t="s">
        <v>3068</v>
      </c>
      <c r="AI32" s="1514" t="s">
        <v>9026</v>
      </c>
      <c r="AJ32" s="1514" t="s">
        <v>9168</v>
      </c>
      <c r="AK32" s="1500" t="s">
        <v>9169</v>
      </c>
      <c r="AL32" s="1514" t="s">
        <v>9170</v>
      </c>
      <c r="AM32" s="1587" t="str">
        <f>HYPERLINK("https://www.youtube.com/watch?v=BAoEwuQ0LoI","1:25.68")</f>
        <v>1:25.68</v>
      </c>
      <c r="AN32" s="1587" t="str">
        <f>HYPERLINK("https://www.youtube.com/watch?v=F-LtZeEZXek","56.36")</f>
        <v>56.36</v>
      </c>
      <c r="AO32" s="1501" t="s">
        <v>9171</v>
      </c>
      <c r="AP32" s="1501" t="s">
        <v>9172</v>
      </c>
      <c r="AQ32" s="1501" t="s">
        <v>9173</v>
      </c>
      <c r="AR32" s="1587" t="str">
        <f>HYPERLINK("https://www.youtube.com/watch?v=WSIIkWWbKgE","1:21.74")</f>
        <v>1:21.74</v>
      </c>
      <c r="AS32" s="1501" t="s">
        <v>5620</v>
      </c>
      <c r="AT32" s="1573" t="str">
        <f>HYPERLINK("https://www.youtube.com/watch?v=H67SXBLcISI","2:29.09")</f>
        <v>2:29.09</v>
      </c>
      <c r="AU32" s="1515" t="s">
        <v>9174</v>
      </c>
      <c r="AV32" s="1452" t="str">
        <f t="shared" si="1"/>
        <v>2:03</v>
      </c>
      <c r="AW32" s="1588" t="s">
        <v>9175</v>
      </c>
    </row>
    <row r="33">
      <c r="A33" s="1491" t="s">
        <v>2970</v>
      </c>
      <c r="B33" s="1489" t="s">
        <v>8517</v>
      </c>
      <c r="C33" s="1445">
        <v>0.050520833333333334</v>
      </c>
      <c r="D33" s="1495" t="s">
        <v>9176</v>
      </c>
      <c r="E33" s="1520" t="s">
        <v>4708</v>
      </c>
      <c r="F33" s="1520" t="s">
        <v>9177</v>
      </c>
      <c r="G33" s="1495" t="s">
        <v>9178</v>
      </c>
      <c r="H33" s="1520" t="s">
        <v>9179</v>
      </c>
      <c r="I33" s="1520" t="s">
        <v>2993</v>
      </c>
      <c r="J33" s="1497" t="s">
        <v>9180</v>
      </c>
      <c r="K33" s="1589" t="s">
        <v>9181</v>
      </c>
      <c r="L33" s="1497" t="s">
        <v>9182</v>
      </c>
      <c r="M33" s="1447" t="s">
        <v>5777</v>
      </c>
      <c r="N33" s="1497" t="s">
        <v>1017</v>
      </c>
      <c r="O33" s="1497" t="s">
        <v>9020</v>
      </c>
      <c r="P33" s="1497" t="s">
        <v>420</v>
      </c>
      <c r="Q33" s="1469" t="str">
        <f>HYPERLINK("https://www.twitch.tv/planktonsecretformula/v/1588460220?sr=a", "2:12.43")</f>
        <v>2:12.43</v>
      </c>
      <c r="R33" s="1498" t="s">
        <v>9125</v>
      </c>
      <c r="S33" s="1498" t="s">
        <v>9183</v>
      </c>
      <c r="T33" s="1590" t="s">
        <v>9184</v>
      </c>
      <c r="U33" s="1520" t="s">
        <v>9185</v>
      </c>
      <c r="V33" s="1520" t="s">
        <v>9186</v>
      </c>
      <c r="W33" s="1505" t="s">
        <v>9187</v>
      </c>
      <c r="X33" s="1499" t="s">
        <v>988</v>
      </c>
      <c r="Y33" s="1499" t="s">
        <v>8880</v>
      </c>
      <c r="Z33" s="1499" t="s">
        <v>8640</v>
      </c>
      <c r="AA33" s="1454" t="s">
        <v>9188</v>
      </c>
      <c r="AB33" s="1499" t="s">
        <v>4236</v>
      </c>
      <c r="AC33" s="1499" t="s">
        <v>908</v>
      </c>
      <c r="AD33" s="1495" t="s">
        <v>4081</v>
      </c>
      <c r="AE33" s="1495" t="s">
        <v>5874</v>
      </c>
      <c r="AF33" s="1500" t="s">
        <v>9189</v>
      </c>
      <c r="AG33" s="1520" t="s">
        <v>4694</v>
      </c>
      <c r="AH33" s="1500" t="s">
        <v>9190</v>
      </c>
      <c r="AI33" s="1500" t="s">
        <v>6753</v>
      </c>
      <c r="AJ33" s="1500" t="s">
        <v>9191</v>
      </c>
      <c r="AK33" s="1500" t="s">
        <v>9192</v>
      </c>
      <c r="AL33" s="1500" t="s">
        <v>9193</v>
      </c>
      <c r="AM33" s="1502" t="s">
        <v>8691</v>
      </c>
      <c r="AN33" s="1502" t="s">
        <v>8820</v>
      </c>
      <c r="AO33" s="1502" t="s">
        <v>3032</v>
      </c>
      <c r="AP33" s="1533" t="s">
        <v>8539</v>
      </c>
      <c r="AQ33" s="1469" t="str">
        <f>HYPERLINK("https://www.twitch.tv/planktonsecretformula/v/1678454360?sr=a&amp;t=0s", "1:37.46")</f>
        <v>1:37.46</v>
      </c>
      <c r="AR33" s="1502" t="s">
        <v>9194</v>
      </c>
      <c r="AS33" s="1502" t="s">
        <v>742</v>
      </c>
      <c r="AT33" s="1497" t="s">
        <v>9195</v>
      </c>
      <c r="AU33" s="1483" t="s">
        <v>9196</v>
      </c>
      <c r="AV33" s="1452" t="str">
        <f t="shared" si="1"/>
        <v>4:40</v>
      </c>
      <c r="AW33" s="1490" t="s">
        <v>9197</v>
      </c>
    </row>
    <row r="34" ht="15.75" customHeight="1">
      <c r="A34" s="1528" t="s">
        <v>9198</v>
      </c>
      <c r="B34" s="1444" t="s">
        <v>8489</v>
      </c>
      <c r="C34" s="1445">
        <v>0.050555555555555555</v>
      </c>
      <c r="D34" s="1362" t="s">
        <v>9199</v>
      </c>
      <c r="E34" s="1495" t="s">
        <v>9200</v>
      </c>
      <c r="F34" s="1495" t="s">
        <v>9201</v>
      </c>
      <c r="G34" s="1495" t="s">
        <v>9202</v>
      </c>
      <c r="H34" s="1579" t="s">
        <v>9203</v>
      </c>
      <c r="I34" s="1579" t="s">
        <v>9204</v>
      </c>
      <c r="J34" s="1497" t="s">
        <v>9205</v>
      </c>
      <c r="K34" s="1497" t="s">
        <v>9206</v>
      </c>
      <c r="L34" s="1497" t="s">
        <v>9207</v>
      </c>
      <c r="M34" s="1497" t="s">
        <v>3358</v>
      </c>
      <c r="N34" s="1497" t="s">
        <v>9208</v>
      </c>
      <c r="O34" s="1497" t="s">
        <v>9105</v>
      </c>
      <c r="P34" s="1497" t="s">
        <v>4934</v>
      </c>
      <c r="Q34" s="1498" t="s">
        <v>9209</v>
      </c>
      <c r="R34" s="1498" t="s">
        <v>2670</v>
      </c>
      <c r="S34" s="1498" t="s">
        <v>9210</v>
      </c>
      <c r="T34" s="1498" t="s">
        <v>9211</v>
      </c>
      <c r="U34" s="1498" t="s">
        <v>9212</v>
      </c>
      <c r="V34" s="1498" t="s">
        <v>9023</v>
      </c>
      <c r="W34" s="1499" t="s">
        <v>9213</v>
      </c>
      <c r="X34" s="1499" t="s">
        <v>9214</v>
      </c>
      <c r="Y34" s="1499" t="s">
        <v>9215</v>
      </c>
      <c r="Z34" s="1499" t="s">
        <v>1350</v>
      </c>
      <c r="AA34" s="1499" t="s">
        <v>9216</v>
      </c>
      <c r="AB34" s="1499" t="s">
        <v>6480</v>
      </c>
      <c r="AC34" s="1513" t="s">
        <v>6582</v>
      </c>
      <c r="AD34" s="1495" t="s">
        <v>9217</v>
      </c>
      <c r="AE34" s="1495" t="s">
        <v>8817</v>
      </c>
      <c r="AF34" s="1500" t="s">
        <v>9218</v>
      </c>
      <c r="AG34" s="1500" t="s">
        <v>9219</v>
      </c>
      <c r="AH34" s="1500" t="s">
        <v>5650</v>
      </c>
      <c r="AI34" s="1500" t="s">
        <v>9220</v>
      </c>
      <c r="AJ34" s="1500" t="s">
        <v>9221</v>
      </c>
      <c r="AK34" s="1500" t="s">
        <v>4582</v>
      </c>
      <c r="AL34" s="1500" t="s">
        <v>5710</v>
      </c>
      <c r="AM34" s="1502" t="s">
        <v>2162</v>
      </c>
      <c r="AN34" s="1502" t="s">
        <v>4729</v>
      </c>
      <c r="AO34" s="1502" t="s">
        <v>9222</v>
      </c>
      <c r="AP34" s="1502" t="s">
        <v>9223</v>
      </c>
      <c r="AQ34" s="1502" t="s">
        <v>9224</v>
      </c>
      <c r="AR34" s="1502" t="s">
        <v>8834</v>
      </c>
      <c r="AS34" s="1502" t="s">
        <v>1013</v>
      </c>
      <c r="AT34" s="1497" t="s">
        <v>9225</v>
      </c>
      <c r="AU34" s="1483" t="s">
        <v>9226</v>
      </c>
      <c r="AV34" s="1452" t="str">
        <f t="shared" si="1"/>
        <v>2:07</v>
      </c>
      <c r="AW34" s="1582"/>
    </row>
    <row r="35">
      <c r="A35" s="1458" t="s">
        <v>665</v>
      </c>
      <c r="B35" s="1489" t="s">
        <v>8489</v>
      </c>
      <c r="C35" s="1445">
        <v>0.050555555555555555</v>
      </c>
      <c r="D35" s="1362" t="s">
        <v>9227</v>
      </c>
      <c r="E35" s="1362" t="s">
        <v>9228</v>
      </c>
      <c r="F35" s="1362" t="s">
        <v>9229</v>
      </c>
      <c r="G35" s="1362" t="s">
        <v>9230</v>
      </c>
      <c r="H35" s="1362" t="s">
        <v>9231</v>
      </c>
      <c r="I35" s="1362" t="s">
        <v>9232</v>
      </c>
      <c r="J35" s="1362" t="s">
        <v>1431</v>
      </c>
      <c r="K35" s="1362" t="s">
        <v>9233</v>
      </c>
      <c r="L35" s="1362" t="s">
        <v>4321</v>
      </c>
      <c r="M35" s="1362" t="s">
        <v>4266</v>
      </c>
      <c r="N35" s="1362" t="s">
        <v>9234</v>
      </c>
      <c r="O35" s="1362" t="s">
        <v>9235</v>
      </c>
      <c r="P35" s="1362" t="s">
        <v>9236</v>
      </c>
      <c r="Q35" s="1362" t="s">
        <v>9237</v>
      </c>
      <c r="R35" s="1362" t="s">
        <v>9238</v>
      </c>
      <c r="S35" s="1362" t="s">
        <v>9239</v>
      </c>
      <c r="T35" s="1362" t="s">
        <v>9079</v>
      </c>
      <c r="U35" s="1362" t="s">
        <v>9240</v>
      </c>
      <c r="V35" s="1362" t="s">
        <v>9241</v>
      </c>
      <c r="W35" s="1362" t="s">
        <v>4796</v>
      </c>
      <c r="X35" s="1362" t="s">
        <v>9242</v>
      </c>
      <c r="Y35" s="1362" t="s">
        <v>5174</v>
      </c>
      <c r="Z35" s="1362" t="s">
        <v>9243</v>
      </c>
      <c r="AA35" s="1362" t="s">
        <v>9244</v>
      </c>
      <c r="AB35" s="1362" t="s">
        <v>9245</v>
      </c>
      <c r="AC35" s="1362" t="s">
        <v>7626</v>
      </c>
      <c r="AD35" s="1362" t="s">
        <v>9246</v>
      </c>
      <c r="AE35" s="1362" t="s">
        <v>8668</v>
      </c>
      <c r="AF35" s="1362" t="s">
        <v>9247</v>
      </c>
      <c r="AG35" s="1362" t="s">
        <v>5170</v>
      </c>
      <c r="AH35" s="1362" t="s">
        <v>4553</v>
      </c>
      <c r="AI35" s="1362" t="s">
        <v>9248</v>
      </c>
      <c r="AJ35" s="1362" t="s">
        <v>9249</v>
      </c>
      <c r="AK35" s="1362" t="s">
        <v>1839</v>
      </c>
      <c r="AL35" s="1362" t="s">
        <v>9250</v>
      </c>
      <c r="AM35" s="1362" t="s">
        <v>3959</v>
      </c>
      <c r="AN35" s="1362" t="s">
        <v>4122</v>
      </c>
      <c r="AO35" s="1362" t="s">
        <v>6226</v>
      </c>
      <c r="AP35" s="1362" t="s">
        <v>9251</v>
      </c>
      <c r="AQ35" s="1362" t="s">
        <v>9252</v>
      </c>
      <c r="AR35" s="1362" t="s">
        <v>8767</v>
      </c>
      <c r="AS35" s="1362" t="s">
        <v>969</v>
      </c>
      <c r="AT35" s="1362" t="s">
        <v>3219</v>
      </c>
      <c r="AU35" s="1483" t="s">
        <v>9138</v>
      </c>
      <c r="AV35" s="1452" t="str">
        <f t="shared" si="1"/>
        <v>2:26</v>
      </c>
      <c r="AW35" s="1490" t="s">
        <v>9253</v>
      </c>
    </row>
    <row r="36" ht="15.75" customHeight="1">
      <c r="A36" s="1443" t="s">
        <v>767</v>
      </c>
      <c r="B36" s="1504" t="s">
        <v>8517</v>
      </c>
      <c r="C36" s="1445">
        <v>0.05056712962962963</v>
      </c>
      <c r="D36" s="1533" t="s">
        <v>8518</v>
      </c>
      <c r="E36" s="1509" t="s">
        <v>9015</v>
      </c>
      <c r="F36" s="1570" t="s">
        <v>8520</v>
      </c>
      <c r="G36" s="1454" t="s">
        <v>9254</v>
      </c>
      <c r="H36" s="1454" t="s">
        <v>9255</v>
      </c>
      <c r="I36" s="1570" t="s">
        <v>8523</v>
      </c>
      <c r="J36" s="1454" t="s">
        <v>1152</v>
      </c>
      <c r="K36" s="1454" t="s">
        <v>4969</v>
      </c>
      <c r="L36" s="1454" t="s">
        <v>2373</v>
      </c>
      <c r="M36" s="1454" t="s">
        <v>2290</v>
      </c>
      <c r="N36" s="1454" t="s">
        <v>8951</v>
      </c>
      <c r="O36" s="1454" t="s">
        <v>9256</v>
      </c>
      <c r="P36" s="1454" t="s">
        <v>4011</v>
      </c>
      <c r="Q36" s="1454" t="s">
        <v>9257</v>
      </c>
      <c r="R36" s="1454" t="s">
        <v>2990</v>
      </c>
      <c r="S36" s="1454" t="s">
        <v>9258</v>
      </c>
      <c r="T36" s="1454" t="s">
        <v>2444</v>
      </c>
      <c r="U36" s="1454" t="s">
        <v>8724</v>
      </c>
      <c r="V36" s="1454" t="s">
        <v>2805</v>
      </c>
      <c r="W36" s="1454" t="s">
        <v>9259</v>
      </c>
      <c r="X36" s="1454" t="s">
        <v>9260</v>
      </c>
      <c r="Y36" s="1454" t="s">
        <v>993</v>
      </c>
      <c r="Z36" s="1454" t="s">
        <v>8840</v>
      </c>
      <c r="AA36" s="1454" t="s">
        <v>7423</v>
      </c>
      <c r="AB36" s="1454" t="s">
        <v>9261</v>
      </c>
      <c r="AC36" s="1452" t="s">
        <v>551</v>
      </c>
      <c r="AD36" s="1454" t="s">
        <v>9262</v>
      </c>
      <c r="AE36" s="1454" t="s">
        <v>4948</v>
      </c>
      <c r="AF36" s="1454" t="s">
        <v>9263</v>
      </c>
      <c r="AG36" s="1454" t="s">
        <v>9079</v>
      </c>
      <c r="AH36" s="1570" t="s">
        <v>2891</v>
      </c>
      <c r="AI36" s="1454" t="s">
        <v>9264</v>
      </c>
      <c r="AJ36" s="1454" t="s">
        <v>9265</v>
      </c>
      <c r="AK36" s="1454" t="s">
        <v>5417</v>
      </c>
      <c r="AL36" s="1454" t="s">
        <v>4289</v>
      </c>
      <c r="AM36" s="1454" t="s">
        <v>3293</v>
      </c>
      <c r="AN36" s="1454" t="s">
        <v>348</v>
      </c>
      <c r="AO36" s="1454" t="s">
        <v>9266</v>
      </c>
      <c r="AP36" s="1454" t="s">
        <v>9267</v>
      </c>
      <c r="AQ36" s="1454" t="s">
        <v>7364</v>
      </c>
      <c r="AR36" s="1454" t="s">
        <v>2654</v>
      </c>
      <c r="AS36" s="1454" t="s">
        <v>4135</v>
      </c>
      <c r="AT36" s="1454" t="s">
        <v>9268</v>
      </c>
      <c r="AU36" s="1454" t="s">
        <v>8870</v>
      </c>
      <c r="AV36" s="1452" t="str">
        <f t="shared" si="1"/>
        <v>3:34</v>
      </c>
      <c r="AW36" s="1487" t="s">
        <v>9269</v>
      </c>
    </row>
    <row r="37" ht="15.75" customHeight="1">
      <c r="A37" s="1458" t="s">
        <v>665</v>
      </c>
      <c r="B37" s="1504" t="s">
        <v>8517</v>
      </c>
      <c r="C37" s="1583">
        <v>0.05056712962962963</v>
      </c>
      <c r="D37" s="1362" t="s">
        <v>9270</v>
      </c>
      <c r="E37" s="1452" t="s">
        <v>9271</v>
      </c>
      <c r="F37" s="1452" t="s">
        <v>8903</v>
      </c>
      <c r="G37" s="1452" t="s">
        <v>9272</v>
      </c>
      <c r="H37" s="1452" t="s">
        <v>4556</v>
      </c>
      <c r="I37" s="1452" t="s">
        <v>1231</v>
      </c>
      <c r="J37" s="1454" t="s">
        <v>3580</v>
      </c>
      <c r="K37" s="1454" t="s">
        <v>3580</v>
      </c>
      <c r="L37" s="1452" t="s">
        <v>9273</v>
      </c>
      <c r="M37" s="1452" t="s">
        <v>9274</v>
      </c>
      <c r="N37" s="1452" t="s">
        <v>8845</v>
      </c>
      <c r="O37" s="1570" t="s">
        <v>8526</v>
      </c>
      <c r="P37" s="1452" t="s">
        <v>6997</v>
      </c>
      <c r="Q37" s="1452" t="s">
        <v>818</v>
      </c>
      <c r="R37" s="1454" t="s">
        <v>3580</v>
      </c>
      <c r="S37" s="1452" t="s">
        <v>9275</v>
      </c>
      <c r="T37" s="1452" t="s">
        <v>812</v>
      </c>
      <c r="U37" s="1452" t="s">
        <v>9276</v>
      </c>
      <c r="V37" s="1452" t="s">
        <v>9277</v>
      </c>
      <c r="W37" s="1452" t="s">
        <v>9278</v>
      </c>
      <c r="X37" s="1452" t="s">
        <v>9073</v>
      </c>
      <c r="Y37" s="1452" t="s">
        <v>9074</v>
      </c>
      <c r="Z37" s="1452" t="s">
        <v>2653</v>
      </c>
      <c r="AA37" s="1452" t="s">
        <v>9279</v>
      </c>
      <c r="AB37" s="1452" t="s">
        <v>8742</v>
      </c>
      <c r="AC37" s="1452" t="s">
        <v>4584</v>
      </c>
      <c r="AD37" s="1452" t="s">
        <v>2407</v>
      </c>
      <c r="AE37" s="1452" t="s">
        <v>9215</v>
      </c>
      <c r="AF37" s="1452" t="s">
        <v>9280</v>
      </c>
      <c r="AG37" s="1452" t="s">
        <v>9281</v>
      </c>
      <c r="AH37" s="1452" t="s">
        <v>4573</v>
      </c>
      <c r="AI37" s="1452" t="s">
        <v>3877</v>
      </c>
      <c r="AJ37" s="1452" t="s">
        <v>9282</v>
      </c>
      <c r="AK37" s="1452" t="s">
        <v>1210</v>
      </c>
      <c r="AL37" s="1452" t="s">
        <v>9077</v>
      </c>
      <c r="AM37" s="1452" t="s">
        <v>9283</v>
      </c>
      <c r="AN37" s="1454" t="s">
        <v>9284</v>
      </c>
      <c r="AO37" s="1454" t="s">
        <v>3580</v>
      </c>
      <c r="AP37" s="1452" t="s">
        <v>5405</v>
      </c>
      <c r="AQ37" s="1452" t="s">
        <v>252</v>
      </c>
      <c r="AR37" s="1452" t="s">
        <v>5058</v>
      </c>
      <c r="AS37" s="1452" t="s">
        <v>8531</v>
      </c>
      <c r="AT37" s="1452" t="s">
        <v>9285</v>
      </c>
      <c r="AU37" s="1454" t="s">
        <v>9286</v>
      </c>
      <c r="AV37" s="1452" t="str">
        <f t="shared" si="1"/>
        <v>3:07</v>
      </c>
      <c r="AW37" s="1525" t="s">
        <v>9287</v>
      </c>
    </row>
    <row r="38" ht="15.75" customHeight="1">
      <c r="A38" s="1443" t="s">
        <v>4317</v>
      </c>
      <c r="B38" s="1444" t="s">
        <v>8489</v>
      </c>
      <c r="C38" s="1583">
        <v>0.05060185185185185</v>
      </c>
      <c r="D38" s="1362" t="s">
        <v>9288</v>
      </c>
      <c r="E38" s="1509" t="s">
        <v>3269</v>
      </c>
      <c r="F38" s="1509" t="s">
        <v>5997</v>
      </c>
      <c r="G38" s="1509" t="s">
        <v>9289</v>
      </c>
      <c r="H38" s="1496" t="s">
        <v>9290</v>
      </c>
      <c r="I38" s="1496" t="s">
        <v>1118</v>
      </c>
      <c r="J38" s="1511" t="s">
        <v>8683</v>
      </c>
      <c r="K38" s="1511" t="s">
        <v>7835</v>
      </c>
      <c r="L38" s="1511" t="s">
        <v>5599</v>
      </c>
      <c r="M38" s="1511" t="s">
        <v>9291</v>
      </c>
      <c r="N38" s="1511" t="s">
        <v>5326</v>
      </c>
      <c r="O38" s="1511" t="s">
        <v>9292</v>
      </c>
      <c r="P38" s="1511" t="s">
        <v>8886</v>
      </c>
      <c r="Q38" s="1512" t="s">
        <v>3439</v>
      </c>
      <c r="R38" s="1512" t="s">
        <v>5549</v>
      </c>
      <c r="S38" s="1512" t="s">
        <v>6480</v>
      </c>
      <c r="T38" s="1512" t="s">
        <v>9293</v>
      </c>
      <c r="U38" s="1512" t="s">
        <v>9294</v>
      </c>
      <c r="V38" s="1512" t="s">
        <v>4045</v>
      </c>
      <c r="W38" s="1513" t="s">
        <v>9295</v>
      </c>
      <c r="X38" s="1513" t="s">
        <v>7826</v>
      </c>
      <c r="Y38" s="1513" t="s">
        <v>5147</v>
      </c>
      <c r="Z38" s="1513" t="s">
        <v>1999</v>
      </c>
      <c r="AA38" s="1513" t="s">
        <v>9296</v>
      </c>
      <c r="AB38" s="1513" t="s">
        <v>8742</v>
      </c>
      <c r="AC38" s="1513" t="s">
        <v>5600</v>
      </c>
      <c r="AD38" s="1509" t="s">
        <v>6385</v>
      </c>
      <c r="AE38" s="1509" t="s">
        <v>8880</v>
      </c>
      <c r="AF38" s="1514" t="s">
        <v>9297</v>
      </c>
      <c r="AG38" s="1514" t="s">
        <v>9219</v>
      </c>
      <c r="AH38" s="1514" t="s">
        <v>9298</v>
      </c>
      <c r="AI38" s="1514" t="s">
        <v>5595</v>
      </c>
      <c r="AJ38" s="1514" t="s">
        <v>9299</v>
      </c>
      <c r="AK38" s="1514" t="s">
        <v>9300</v>
      </c>
      <c r="AL38" s="1514" t="s">
        <v>9301</v>
      </c>
      <c r="AM38" s="1501" t="s">
        <v>9302</v>
      </c>
      <c r="AN38" s="1501" t="s">
        <v>9303</v>
      </c>
      <c r="AO38" s="1501" t="s">
        <v>9304</v>
      </c>
      <c r="AP38" s="1501" t="s">
        <v>9305</v>
      </c>
      <c r="AQ38" s="1501" t="s">
        <v>9159</v>
      </c>
      <c r="AR38" s="1501" t="s">
        <v>9306</v>
      </c>
      <c r="AS38" s="1501" t="s">
        <v>4421</v>
      </c>
      <c r="AT38" s="1511" t="s">
        <v>9307</v>
      </c>
      <c r="AU38" s="1515" t="s">
        <v>9308</v>
      </c>
      <c r="AV38" s="1452" t="str">
        <f t="shared" si="1"/>
        <v>1:56</v>
      </c>
      <c r="AW38" s="1582"/>
    </row>
    <row r="39" ht="15.75" customHeight="1">
      <c r="A39" s="1458" t="s">
        <v>859</v>
      </c>
      <c r="B39" s="1444" t="s">
        <v>8489</v>
      </c>
      <c r="C39" s="1445">
        <v>0.05061342592592592</v>
      </c>
      <c r="D39" s="1362" t="s">
        <v>9309</v>
      </c>
      <c r="E39" s="1454" t="s">
        <v>8659</v>
      </c>
      <c r="F39" s="1454" t="s">
        <v>5478</v>
      </c>
      <c r="G39" s="1452" t="s">
        <v>9310</v>
      </c>
      <c r="H39" s="1454" t="s">
        <v>9311</v>
      </c>
      <c r="I39" s="1454" t="s">
        <v>395</v>
      </c>
      <c r="J39" s="1454" t="s">
        <v>6755</v>
      </c>
      <c r="K39" s="1452" t="s">
        <v>8900</v>
      </c>
      <c r="L39" s="1454" t="s">
        <v>9312</v>
      </c>
      <c r="M39" s="1454" t="s">
        <v>9313</v>
      </c>
      <c r="N39" s="1454" t="s">
        <v>4428</v>
      </c>
      <c r="O39" s="1454" t="s">
        <v>9314</v>
      </c>
      <c r="P39" s="1454" t="s">
        <v>1661</v>
      </c>
      <c r="Q39" s="1591" t="s">
        <v>9315</v>
      </c>
      <c r="R39" s="1454" t="s">
        <v>9316</v>
      </c>
      <c r="S39" s="1452" t="s">
        <v>9317</v>
      </c>
      <c r="T39" s="1454" t="s">
        <v>9055</v>
      </c>
      <c r="U39" s="1454" t="s">
        <v>7211</v>
      </c>
      <c r="V39" s="1454" t="s">
        <v>2569</v>
      </c>
      <c r="W39" s="1592" t="str">
        <f>HYPERLINK("https://www.youtube.com/watch?v=nn1ub1z3NYM","1:45.96")</f>
        <v>1:45.96</v>
      </c>
      <c r="X39" s="1454" t="s">
        <v>5708</v>
      </c>
      <c r="Y39" s="1452" t="s">
        <v>5585</v>
      </c>
      <c r="Z39" s="1454" t="s">
        <v>1572</v>
      </c>
      <c r="AA39" s="1454" t="s">
        <v>9318</v>
      </c>
      <c r="AB39" s="1454" t="s">
        <v>9319</v>
      </c>
      <c r="AC39" s="1454" t="s">
        <v>1095</v>
      </c>
      <c r="AD39" s="1454" t="s">
        <v>9320</v>
      </c>
      <c r="AE39" s="1591" t="s">
        <v>4727</v>
      </c>
      <c r="AF39" s="1452" t="s">
        <v>9321</v>
      </c>
      <c r="AG39" s="1454" t="s">
        <v>2175</v>
      </c>
      <c r="AH39" s="1454" t="s">
        <v>3068</v>
      </c>
      <c r="AI39" s="1454" t="s">
        <v>9322</v>
      </c>
      <c r="AJ39" s="1452" t="s">
        <v>8049</v>
      </c>
      <c r="AK39" s="1454" t="s">
        <v>9323</v>
      </c>
      <c r="AL39" s="1452" t="s">
        <v>4378</v>
      </c>
      <c r="AM39" s="1452" t="s">
        <v>9324</v>
      </c>
      <c r="AN39" s="1452" t="s">
        <v>2602</v>
      </c>
      <c r="AO39" s="1454" t="s">
        <v>5276</v>
      </c>
      <c r="AP39" s="1454" t="s">
        <v>9325</v>
      </c>
      <c r="AQ39" s="1454" t="s">
        <v>9326</v>
      </c>
      <c r="AR39" s="1454" t="s">
        <v>1431</v>
      </c>
      <c r="AS39" s="1454" t="s">
        <v>9327</v>
      </c>
      <c r="AT39" s="1454" t="s">
        <v>9328</v>
      </c>
      <c r="AU39" s="1454" t="s">
        <v>9329</v>
      </c>
      <c r="AV39" s="1452" t="str">
        <f t="shared" si="1"/>
        <v>2:25</v>
      </c>
      <c r="AW39" s="1487"/>
    </row>
    <row r="40">
      <c r="A40" s="1458" t="s">
        <v>9330</v>
      </c>
      <c r="B40" s="1485" t="s">
        <v>8489</v>
      </c>
      <c r="C40" s="1445">
        <v>0.050625</v>
      </c>
      <c r="D40" s="1593" t="s">
        <v>9331</v>
      </c>
      <c r="E40" s="1454" t="s">
        <v>4771</v>
      </c>
      <c r="F40" s="1454" t="s">
        <v>9332</v>
      </c>
      <c r="G40" s="1454" t="s">
        <v>8915</v>
      </c>
      <c r="H40" s="1454" t="s">
        <v>1735</v>
      </c>
      <c r="I40" s="1454" t="s">
        <v>1991</v>
      </c>
      <c r="J40" s="1454" t="s">
        <v>9333</v>
      </c>
      <c r="K40" s="1454" t="s">
        <v>3637</v>
      </c>
      <c r="L40" s="1454" t="s">
        <v>9334</v>
      </c>
      <c r="M40" s="1454" t="s">
        <v>9335</v>
      </c>
      <c r="N40" s="1454" t="s">
        <v>9336</v>
      </c>
      <c r="O40" s="1454" t="s">
        <v>9337</v>
      </c>
      <c r="P40" s="1454" t="s">
        <v>9215</v>
      </c>
      <c r="Q40" s="1454" t="s">
        <v>4699</v>
      </c>
      <c r="R40" s="1454" t="s">
        <v>4007</v>
      </c>
      <c r="S40" s="1454" t="s">
        <v>2636</v>
      </c>
      <c r="T40" s="1454" t="s">
        <v>2444</v>
      </c>
      <c r="U40" s="1454" t="s">
        <v>9338</v>
      </c>
      <c r="V40" s="1454" t="s">
        <v>2261</v>
      </c>
      <c r="W40" s="1454" t="s">
        <v>7678</v>
      </c>
      <c r="X40" s="1454" t="s">
        <v>9339</v>
      </c>
      <c r="Y40" s="1454" t="s">
        <v>9340</v>
      </c>
      <c r="Z40" s="1454" t="s">
        <v>9341</v>
      </c>
      <c r="AA40" s="1454" t="s">
        <v>9342</v>
      </c>
      <c r="AB40" s="1454"/>
      <c r="AC40" s="1454" t="s">
        <v>9343</v>
      </c>
      <c r="AD40" s="1454" t="s">
        <v>9344</v>
      </c>
      <c r="AE40" s="1454" t="s">
        <v>5002</v>
      </c>
      <c r="AF40" s="1454" t="s">
        <v>9345</v>
      </c>
      <c r="AG40" s="1454" t="s">
        <v>9346</v>
      </c>
      <c r="AH40" s="1454" t="s">
        <v>9347</v>
      </c>
      <c r="AI40" s="1454" t="s">
        <v>752</v>
      </c>
      <c r="AJ40" s="1454" t="s">
        <v>9348</v>
      </c>
      <c r="AK40" s="1454" t="s">
        <v>9349</v>
      </c>
      <c r="AL40" s="1454" t="s">
        <v>8986</v>
      </c>
      <c r="AM40" s="1454" t="s">
        <v>9350</v>
      </c>
      <c r="AN40" s="1454" t="s">
        <v>8571</v>
      </c>
      <c r="AO40" s="1454" t="s">
        <v>9351</v>
      </c>
      <c r="AP40" s="1454" t="s">
        <v>9352</v>
      </c>
      <c r="AQ40" s="1454" t="s">
        <v>9353</v>
      </c>
      <c r="AR40" s="1454" t="s">
        <v>6485</v>
      </c>
      <c r="AS40" s="1454" t="s">
        <v>6294</v>
      </c>
      <c r="AT40" s="1454" t="s">
        <v>8147</v>
      </c>
      <c r="AU40" s="1454" t="s">
        <v>9354</v>
      </c>
      <c r="AV40" s="1452" t="str">
        <f t="shared" si="1"/>
        <v>2:05</v>
      </c>
      <c r="AW40" s="1525"/>
    </row>
    <row r="41">
      <c r="A41" s="1458" t="s">
        <v>9355</v>
      </c>
      <c r="B41" s="1489" t="s">
        <v>8489</v>
      </c>
      <c r="C41" s="1445">
        <v>0.0506712962962963</v>
      </c>
      <c r="D41" s="1593" t="s">
        <v>9356</v>
      </c>
      <c r="E41" s="1495" t="s">
        <v>3269</v>
      </c>
      <c r="F41" s="1495" t="s">
        <v>8785</v>
      </c>
      <c r="G41" s="1495" t="s">
        <v>9357</v>
      </c>
      <c r="H41" s="1579" t="s">
        <v>9358</v>
      </c>
      <c r="I41" s="1579" t="s">
        <v>9359</v>
      </c>
      <c r="J41" s="1497" t="s">
        <v>9360</v>
      </c>
      <c r="K41" s="1497" t="s">
        <v>7035</v>
      </c>
      <c r="L41" s="1497" t="s">
        <v>4471</v>
      </c>
      <c r="M41" s="1497" t="s">
        <v>7036</v>
      </c>
      <c r="N41" s="1497" t="s">
        <v>9361</v>
      </c>
      <c r="O41" s="1497" t="s">
        <v>2294</v>
      </c>
      <c r="P41" s="1497" t="s">
        <v>7001</v>
      </c>
      <c r="Q41" s="1498" t="s">
        <v>7758</v>
      </c>
      <c r="R41" s="1498" t="s">
        <v>9362</v>
      </c>
      <c r="S41" s="1498" t="s">
        <v>9363</v>
      </c>
      <c r="T41" s="1498" t="s">
        <v>9364</v>
      </c>
      <c r="U41" s="1498" t="s">
        <v>9365</v>
      </c>
      <c r="V41" s="1498" t="s">
        <v>9366</v>
      </c>
      <c r="W41" s="1499" t="s">
        <v>9367</v>
      </c>
      <c r="X41" s="1499" t="s">
        <v>9368</v>
      </c>
      <c r="Y41" s="1499" t="s">
        <v>6106</v>
      </c>
      <c r="Z41" s="1499" t="s">
        <v>9369</v>
      </c>
      <c r="AA41" s="1454" t="s">
        <v>1844</v>
      </c>
      <c r="AB41" s="1499" t="s">
        <v>9370</v>
      </c>
      <c r="AC41" s="1499" t="s">
        <v>7626</v>
      </c>
      <c r="AD41" s="1495" t="s">
        <v>9371</v>
      </c>
      <c r="AE41" s="1495" t="s">
        <v>551</v>
      </c>
      <c r="AF41" s="1500" t="s">
        <v>9372</v>
      </c>
      <c r="AG41" s="1500" t="s">
        <v>3991</v>
      </c>
      <c r="AH41" s="1500" t="s">
        <v>5298</v>
      </c>
      <c r="AI41" s="1500" t="s">
        <v>8987</v>
      </c>
      <c r="AJ41" s="1500" t="s">
        <v>9373</v>
      </c>
      <c r="AK41" s="1500" t="s">
        <v>408</v>
      </c>
      <c r="AL41" s="1500" t="s">
        <v>2714</v>
      </c>
      <c r="AM41" s="1502" t="s">
        <v>8786</v>
      </c>
      <c r="AN41" s="1502" t="s">
        <v>8719</v>
      </c>
      <c r="AO41" s="1502" t="s">
        <v>9010</v>
      </c>
      <c r="AP41" s="1502" t="s">
        <v>9374</v>
      </c>
      <c r="AQ41" s="1502" t="s">
        <v>9375</v>
      </c>
      <c r="AR41" s="1502" t="s">
        <v>9376</v>
      </c>
      <c r="AS41" s="1502" t="s">
        <v>9377</v>
      </c>
      <c r="AT41" s="1497" t="s">
        <v>9378</v>
      </c>
      <c r="AU41" s="1483" t="s">
        <v>9161</v>
      </c>
      <c r="AV41" s="1452" t="str">
        <f t="shared" si="1"/>
        <v>3:31</v>
      </c>
      <c r="AW41" s="1582"/>
    </row>
    <row r="42" ht="15.75" customHeight="1">
      <c r="A42" s="1528" t="s">
        <v>9379</v>
      </c>
      <c r="B42" s="1444" t="s">
        <v>8489</v>
      </c>
      <c r="C42" s="1445">
        <v>0.05070601851851852</v>
      </c>
      <c r="D42" s="1362" t="s">
        <v>9380</v>
      </c>
      <c r="E42" s="1509" t="s">
        <v>3347</v>
      </c>
      <c r="F42" s="1509" t="s">
        <v>8720</v>
      </c>
      <c r="G42" s="1509" t="s">
        <v>9381</v>
      </c>
      <c r="H42" s="1496" t="s">
        <v>9382</v>
      </c>
      <c r="I42" s="1496" t="s">
        <v>395</v>
      </c>
      <c r="J42" s="1511" t="s">
        <v>2172</v>
      </c>
      <c r="K42" s="1511" t="s">
        <v>3614</v>
      </c>
      <c r="L42" s="1511" t="s">
        <v>5487</v>
      </c>
      <c r="M42" s="1511" t="s">
        <v>9383</v>
      </c>
      <c r="N42" s="1511" t="s">
        <v>9211</v>
      </c>
      <c r="O42" s="1511" t="s">
        <v>9384</v>
      </c>
      <c r="P42" s="1511" t="s">
        <v>5564</v>
      </c>
      <c r="Q42" s="1512" t="s">
        <v>9385</v>
      </c>
      <c r="R42" s="1512" t="s">
        <v>756</v>
      </c>
      <c r="S42" s="1512" t="s">
        <v>9351</v>
      </c>
      <c r="T42" s="1512" t="s">
        <v>9214</v>
      </c>
      <c r="U42" s="1512" t="s">
        <v>9386</v>
      </c>
      <c r="V42" s="1512" t="s">
        <v>2569</v>
      </c>
      <c r="W42" s="1513" t="s">
        <v>9387</v>
      </c>
      <c r="X42" s="1513" t="s">
        <v>8605</v>
      </c>
      <c r="Y42" s="1513" t="s">
        <v>9388</v>
      </c>
      <c r="Z42" s="1513" t="s">
        <v>8590</v>
      </c>
      <c r="AA42" s="1513" t="s">
        <v>9389</v>
      </c>
      <c r="AB42" s="1513" t="s">
        <v>2733</v>
      </c>
      <c r="AC42" s="1513" t="s">
        <v>2986</v>
      </c>
      <c r="AD42" s="1509" t="s">
        <v>9390</v>
      </c>
      <c r="AE42" s="1509" t="s">
        <v>6108</v>
      </c>
      <c r="AF42" s="1514" t="s">
        <v>8625</v>
      </c>
      <c r="AG42" s="1514" t="s">
        <v>9391</v>
      </c>
      <c r="AH42" s="1514" t="s">
        <v>2304</v>
      </c>
      <c r="AI42" s="1514" t="s">
        <v>6288</v>
      </c>
      <c r="AJ42" s="1514" t="s">
        <v>8958</v>
      </c>
      <c r="AK42" s="1514" t="s">
        <v>9392</v>
      </c>
      <c r="AL42" s="1514" t="s">
        <v>5454</v>
      </c>
      <c r="AM42" s="1501" t="s">
        <v>9242</v>
      </c>
      <c r="AN42" s="1501" t="s">
        <v>5454</v>
      </c>
      <c r="AO42" s="1501" t="s">
        <v>2386</v>
      </c>
      <c r="AP42" s="1501" t="s">
        <v>9393</v>
      </c>
      <c r="AQ42" s="1501" t="s">
        <v>9394</v>
      </c>
      <c r="AR42" s="1501" t="s">
        <v>9395</v>
      </c>
      <c r="AS42" s="1501" t="s">
        <v>4424</v>
      </c>
      <c r="AT42" s="1511" t="s">
        <v>9396</v>
      </c>
      <c r="AU42" s="1515" t="s">
        <v>9397</v>
      </c>
      <c r="AV42" s="1452" t="str">
        <f t="shared" si="1"/>
        <v>2:54</v>
      </c>
      <c r="AW42" s="1582"/>
    </row>
    <row r="43">
      <c r="A43" s="1491" t="s">
        <v>2922</v>
      </c>
      <c r="B43" s="1485" t="s">
        <v>8489</v>
      </c>
      <c r="C43" s="1445">
        <v>0.050826388888888886</v>
      </c>
      <c r="D43" s="1454" t="s">
        <v>9398</v>
      </c>
      <c r="E43" s="1454" t="s">
        <v>9399</v>
      </c>
      <c r="F43" s="1495" t="s">
        <v>9400</v>
      </c>
      <c r="G43" s="1454" t="s">
        <v>9401</v>
      </c>
      <c r="H43" s="1454" t="s">
        <v>6368</v>
      </c>
      <c r="I43" s="1454" t="s">
        <v>1421</v>
      </c>
      <c r="J43" s="1454" t="s">
        <v>9402</v>
      </c>
      <c r="K43" s="1454" t="s">
        <v>3968</v>
      </c>
      <c r="L43" s="1454" t="s">
        <v>9403</v>
      </c>
      <c r="M43" s="1454" t="s">
        <v>9404</v>
      </c>
      <c r="N43" s="1454" t="s">
        <v>7249</v>
      </c>
      <c r="O43" s="1454" t="s">
        <v>9405</v>
      </c>
      <c r="P43" s="1454" t="s">
        <v>8907</v>
      </c>
      <c r="Q43" s="1454" t="s">
        <v>9406</v>
      </c>
      <c r="R43" s="1454" t="s">
        <v>9407</v>
      </c>
      <c r="S43" s="1454" t="s">
        <v>9408</v>
      </c>
      <c r="T43" s="1454" t="s">
        <v>1872</v>
      </c>
      <c r="U43" s="1454" t="s">
        <v>9409</v>
      </c>
      <c r="V43" s="1454" t="s">
        <v>7080</v>
      </c>
      <c r="W43" s="1454" t="s">
        <v>5548</v>
      </c>
      <c r="X43" s="1454" t="s">
        <v>9410</v>
      </c>
      <c r="Y43" s="1454" t="s">
        <v>6993</v>
      </c>
      <c r="Z43" s="1454" t="s">
        <v>2122</v>
      </c>
      <c r="AA43" s="1499" t="s">
        <v>9411</v>
      </c>
      <c r="AB43" s="1454" t="s">
        <v>1999</v>
      </c>
      <c r="AC43" s="1454" t="s">
        <v>7626</v>
      </c>
      <c r="AD43" s="1454" t="s">
        <v>9412</v>
      </c>
      <c r="AE43" s="1454" t="s">
        <v>5002</v>
      </c>
      <c r="AF43" s="1454" t="s">
        <v>9413</v>
      </c>
      <c r="AG43" s="1454" t="s">
        <v>1225</v>
      </c>
      <c r="AH43" s="1454" t="s">
        <v>3940</v>
      </c>
      <c r="AI43" s="1454" t="s">
        <v>9414</v>
      </c>
      <c r="AJ43" s="1454" t="s">
        <v>9415</v>
      </c>
      <c r="AK43" s="1454" t="s">
        <v>9323</v>
      </c>
      <c r="AL43" s="1454" t="s">
        <v>4385</v>
      </c>
      <c r="AM43" s="1454" t="s">
        <v>9323</v>
      </c>
      <c r="AN43" s="1454" t="s">
        <v>8571</v>
      </c>
      <c r="AO43" s="1454" t="s">
        <v>7348</v>
      </c>
      <c r="AP43" s="1454" t="s">
        <v>9416</v>
      </c>
      <c r="AQ43" s="1454" t="s">
        <v>9417</v>
      </c>
      <c r="AR43" s="1454" t="s">
        <v>5210</v>
      </c>
      <c r="AS43" s="1454" t="s">
        <v>6117</v>
      </c>
      <c r="AT43" s="1454" t="s">
        <v>9418</v>
      </c>
      <c r="AU43" s="1454" t="s">
        <v>9419</v>
      </c>
      <c r="AV43" s="1452" t="str">
        <f t="shared" si="1"/>
        <v>2:25</v>
      </c>
      <c r="AW43" s="1525"/>
    </row>
    <row r="44" ht="15.75" customHeight="1">
      <c r="A44" s="1491" t="s">
        <v>4733</v>
      </c>
      <c r="B44" s="1444" t="s">
        <v>8489</v>
      </c>
      <c r="C44" s="1583">
        <v>0.050868055555555555</v>
      </c>
      <c r="D44" s="1362" t="s">
        <v>9420</v>
      </c>
      <c r="E44" s="1452" t="s">
        <v>7576</v>
      </c>
      <c r="F44" s="1452" t="s">
        <v>9421</v>
      </c>
      <c r="G44" s="1452" t="s">
        <v>9422</v>
      </c>
      <c r="H44" s="1452" t="s">
        <v>9255</v>
      </c>
      <c r="I44" s="1452" t="s">
        <v>1421</v>
      </c>
      <c r="J44" s="1452" t="s">
        <v>9376</v>
      </c>
      <c r="K44" s="1452" t="s">
        <v>8937</v>
      </c>
      <c r="L44" s="1452" t="s">
        <v>8788</v>
      </c>
      <c r="M44" s="1452" t="s">
        <v>5383</v>
      </c>
      <c r="N44" s="1452" t="s">
        <v>8008</v>
      </c>
      <c r="O44" s="1452" t="s">
        <v>9423</v>
      </c>
      <c r="P44" s="1452" t="s">
        <v>9424</v>
      </c>
      <c r="Q44" s="1452" t="s">
        <v>9425</v>
      </c>
      <c r="R44" s="1452" t="s">
        <v>7330</v>
      </c>
      <c r="S44" s="1452" t="s">
        <v>8770</v>
      </c>
      <c r="T44" s="1452" t="s">
        <v>4716</v>
      </c>
      <c r="U44" s="1452" t="s">
        <v>9426</v>
      </c>
      <c r="V44" s="1452" t="s">
        <v>9003</v>
      </c>
      <c r="W44" s="1452" t="s">
        <v>9427</v>
      </c>
      <c r="X44" s="1452" t="s">
        <v>9007</v>
      </c>
      <c r="Y44" s="1452" t="s">
        <v>3644</v>
      </c>
      <c r="Z44" s="1452" t="s">
        <v>9428</v>
      </c>
      <c r="AA44" s="1452" t="s">
        <v>9429</v>
      </c>
      <c r="AB44" s="1452" t="s">
        <v>1695</v>
      </c>
      <c r="AC44" s="1452" t="s">
        <v>3031</v>
      </c>
      <c r="AD44" s="1452" t="s">
        <v>9430</v>
      </c>
      <c r="AE44" s="1452" t="s">
        <v>638</v>
      </c>
      <c r="AF44" s="1452" t="s">
        <v>9431</v>
      </c>
      <c r="AG44" s="1452" t="s">
        <v>5932</v>
      </c>
      <c r="AH44" s="1452" t="s">
        <v>9432</v>
      </c>
      <c r="AI44" s="1452" t="s">
        <v>7444</v>
      </c>
      <c r="AJ44" s="1452" t="s">
        <v>9433</v>
      </c>
      <c r="AK44" s="1452" t="s">
        <v>5442</v>
      </c>
      <c r="AL44" s="1452" t="s">
        <v>9434</v>
      </c>
      <c r="AM44" s="1452" t="s">
        <v>9435</v>
      </c>
      <c r="AN44" s="1452" t="s">
        <v>3313</v>
      </c>
      <c r="AO44" s="1452" t="s">
        <v>8900</v>
      </c>
      <c r="AP44" s="1452" t="s">
        <v>9436</v>
      </c>
      <c r="AQ44" s="1452" t="s">
        <v>9437</v>
      </c>
      <c r="AR44" s="1452" t="s">
        <v>8779</v>
      </c>
      <c r="AS44" s="1452" t="s">
        <v>5105</v>
      </c>
      <c r="AT44" s="1452" t="s">
        <v>9438</v>
      </c>
      <c r="AU44" s="1452" t="s">
        <v>9439</v>
      </c>
      <c r="AV44" s="1452" t="str">
        <f t="shared" si="1"/>
        <v>2:44</v>
      </c>
      <c r="AW44" s="1471"/>
    </row>
    <row r="45" ht="15.75" customHeight="1">
      <c r="A45" s="1491" t="s">
        <v>1969</v>
      </c>
      <c r="B45" s="1594" t="s">
        <v>8543</v>
      </c>
      <c r="C45" s="1445">
        <v>0.05092592592592592</v>
      </c>
      <c r="D45" s="1595" t="s">
        <v>8544</v>
      </c>
      <c r="E45" s="1596" t="s">
        <v>8545</v>
      </c>
      <c r="F45" s="1595" t="s">
        <v>8546</v>
      </c>
      <c r="G45" s="1454" t="s">
        <v>9440</v>
      </c>
      <c r="H45" s="1595" t="s">
        <v>8548</v>
      </c>
      <c r="I45" s="1452" t="s">
        <v>1379</v>
      </c>
      <c r="J45" s="1509" t="s">
        <v>9441</v>
      </c>
      <c r="K45" s="1452" t="s">
        <v>9211</v>
      </c>
      <c r="L45" s="1509" t="s">
        <v>2413</v>
      </c>
      <c r="M45" s="1452" t="s">
        <v>2670</v>
      </c>
      <c r="N45" s="1595" t="s">
        <v>8551</v>
      </c>
      <c r="O45" s="1452" t="s">
        <v>9442</v>
      </c>
      <c r="P45" s="1509" t="s">
        <v>657</v>
      </c>
      <c r="Q45" s="1596" t="s">
        <v>8554</v>
      </c>
      <c r="R45" s="1595" t="s">
        <v>8555</v>
      </c>
      <c r="S45" s="1452" t="s">
        <v>1210</v>
      </c>
      <c r="T45" s="1509" t="s">
        <v>7682</v>
      </c>
      <c r="U45" s="1596" t="s">
        <v>8557</v>
      </c>
      <c r="V45" s="1595" t="s">
        <v>8558</v>
      </c>
      <c r="W45" s="1452" t="s">
        <v>9443</v>
      </c>
      <c r="X45" s="1595" t="s">
        <v>8560</v>
      </c>
      <c r="Y45" s="1452" t="s">
        <v>5684</v>
      </c>
      <c r="Z45" s="1495" t="s">
        <v>9444</v>
      </c>
      <c r="AA45" s="1452" t="s">
        <v>2388</v>
      </c>
      <c r="AB45" s="1509" t="s">
        <v>9445</v>
      </c>
      <c r="AC45" s="1454" t="s">
        <v>9446</v>
      </c>
      <c r="AD45" s="1509" t="s">
        <v>9447</v>
      </c>
      <c r="AE45" s="1454" t="s">
        <v>9448</v>
      </c>
      <c r="AF45" s="1509" t="s">
        <v>9449</v>
      </c>
      <c r="AG45" s="1452" t="s">
        <v>6911</v>
      </c>
      <c r="AH45" s="1495" t="s">
        <v>9334</v>
      </c>
      <c r="AI45" s="1596" t="s">
        <v>8566</v>
      </c>
      <c r="AJ45" s="1509" t="s">
        <v>9450</v>
      </c>
      <c r="AK45" s="1452" t="s">
        <v>5859</v>
      </c>
      <c r="AL45" s="1595" t="s">
        <v>8569</v>
      </c>
      <c r="AM45" s="1452" t="s">
        <v>8861</v>
      </c>
      <c r="AN45" s="1509" t="s">
        <v>4040</v>
      </c>
      <c r="AO45" s="1454" t="s">
        <v>4908</v>
      </c>
      <c r="AP45" s="1495" t="s">
        <v>9451</v>
      </c>
      <c r="AQ45" s="1454" t="s">
        <v>9452</v>
      </c>
      <c r="AR45" s="1495" t="s">
        <v>9453</v>
      </c>
      <c r="AS45" s="1452" t="s">
        <v>946</v>
      </c>
      <c r="AT45" s="1595" t="s">
        <v>8575</v>
      </c>
      <c r="AU45" s="1454" t="s">
        <v>9454</v>
      </c>
      <c r="AV45" s="1452" t="str">
        <f t="shared" si="1"/>
        <v>2:24</v>
      </c>
      <c r="AW45" s="1487"/>
    </row>
    <row r="46">
      <c r="A46" s="1491" t="s">
        <v>2671</v>
      </c>
      <c r="B46" s="1530" t="s">
        <v>8517</v>
      </c>
      <c r="C46" s="1445">
        <v>0.05092592592592592</v>
      </c>
      <c r="D46" s="1362" t="s">
        <v>9455</v>
      </c>
      <c r="E46" s="1495" t="s">
        <v>9456</v>
      </c>
      <c r="F46" s="1495" t="s">
        <v>9457</v>
      </c>
      <c r="G46" s="1495" t="s">
        <v>9458</v>
      </c>
      <c r="H46" s="1579" t="s">
        <v>9459</v>
      </c>
      <c r="I46" s="1579" t="s">
        <v>2889</v>
      </c>
      <c r="J46" s="1497" t="s">
        <v>8642</v>
      </c>
      <c r="K46" s="1497" t="s">
        <v>3927</v>
      </c>
      <c r="L46" s="1497" t="s">
        <v>5747</v>
      </c>
      <c r="M46" s="1497" t="s">
        <v>3004</v>
      </c>
      <c r="N46" s="1497" t="s">
        <v>9283</v>
      </c>
      <c r="O46" s="1497" t="s">
        <v>9460</v>
      </c>
      <c r="P46" s="1497" t="s">
        <v>804</v>
      </c>
      <c r="Q46" s="1498" t="s">
        <v>7652</v>
      </c>
      <c r="R46" s="1498" t="s">
        <v>7375</v>
      </c>
      <c r="S46" s="1498" t="s">
        <v>6481</v>
      </c>
      <c r="T46" s="1498" t="s">
        <v>9461</v>
      </c>
      <c r="U46" s="1597" t="s">
        <v>7814</v>
      </c>
      <c r="V46" s="1498" t="s">
        <v>9462</v>
      </c>
      <c r="W46" s="1499" t="s">
        <v>6677</v>
      </c>
      <c r="X46" s="1499" t="s">
        <v>9463</v>
      </c>
      <c r="Y46" s="1499" t="s">
        <v>9464</v>
      </c>
      <c r="Z46" s="1499" t="s">
        <v>7583</v>
      </c>
      <c r="AA46" s="1499" t="s">
        <v>2026</v>
      </c>
      <c r="AB46" s="1499" t="s">
        <v>9465</v>
      </c>
      <c r="AC46" s="1499" t="s">
        <v>2481</v>
      </c>
      <c r="AD46" s="1495" t="s">
        <v>9466</v>
      </c>
      <c r="AE46" s="1495" t="s">
        <v>5304</v>
      </c>
      <c r="AF46" s="1500" t="s">
        <v>9467</v>
      </c>
      <c r="AG46" s="1500" t="s">
        <v>5415</v>
      </c>
      <c r="AH46" s="1500" t="s">
        <v>4573</v>
      </c>
      <c r="AI46" s="1500" t="s">
        <v>9468</v>
      </c>
      <c r="AJ46" s="1598" t="s">
        <v>8536</v>
      </c>
      <c r="AK46" s="1500" t="s">
        <v>1695</v>
      </c>
      <c r="AL46" s="1500" t="s">
        <v>5860</v>
      </c>
      <c r="AM46" s="1502" t="s">
        <v>4117</v>
      </c>
      <c r="AN46" s="1502" t="s">
        <v>3738</v>
      </c>
      <c r="AO46" s="1502" t="s">
        <v>2521</v>
      </c>
      <c r="AP46" s="1502" t="s">
        <v>9469</v>
      </c>
      <c r="AQ46" s="1502" t="s">
        <v>4456</v>
      </c>
      <c r="AR46" s="1502" t="s">
        <v>7642</v>
      </c>
      <c r="AS46" s="1502" t="s">
        <v>6390</v>
      </c>
      <c r="AT46" s="1497" t="s">
        <v>9470</v>
      </c>
      <c r="AU46" s="1599" t="s">
        <v>9471</v>
      </c>
      <c r="AV46" s="1452" t="str">
        <f t="shared" si="1"/>
        <v>4:25</v>
      </c>
      <c r="AW46" s="1484"/>
    </row>
    <row r="47" ht="15.75" customHeight="1">
      <c r="A47" s="1443" t="s">
        <v>4525</v>
      </c>
      <c r="B47" s="1504" t="s">
        <v>8517</v>
      </c>
      <c r="C47" s="1445">
        <v>0.05100810185185185</v>
      </c>
      <c r="D47" s="1362" t="s">
        <v>9472</v>
      </c>
      <c r="E47" s="1495" t="s">
        <v>9473</v>
      </c>
      <c r="F47" s="1495" t="s">
        <v>9474</v>
      </c>
      <c r="G47" s="1509" t="s">
        <v>9475</v>
      </c>
      <c r="H47" s="1579" t="s">
        <v>9476</v>
      </c>
      <c r="I47" s="1579" t="s">
        <v>1379</v>
      </c>
      <c r="J47" s="1497" t="s">
        <v>5210</v>
      </c>
      <c r="K47" s="1497" t="s">
        <v>9208</v>
      </c>
      <c r="L47" s="1497" t="s">
        <v>4500</v>
      </c>
      <c r="M47" s="1497" t="s">
        <v>1522</v>
      </c>
      <c r="N47" s="1497" t="s">
        <v>9477</v>
      </c>
      <c r="O47" s="1497" t="s">
        <v>8664</v>
      </c>
      <c r="P47" s="1497" t="s">
        <v>9478</v>
      </c>
      <c r="Q47" s="1498" t="s">
        <v>9479</v>
      </c>
      <c r="R47" s="1498" t="s">
        <v>3496</v>
      </c>
      <c r="S47" s="1498" t="s">
        <v>7029</v>
      </c>
      <c r="T47" s="1498" t="s">
        <v>9480</v>
      </c>
      <c r="U47" s="1498" t="s">
        <v>9481</v>
      </c>
      <c r="V47" s="1512" t="s">
        <v>1330</v>
      </c>
      <c r="W47" s="1499" t="s">
        <v>9482</v>
      </c>
      <c r="X47" s="1499" t="s">
        <v>9264</v>
      </c>
      <c r="Y47" s="1499" t="s">
        <v>4011</v>
      </c>
      <c r="Z47" s="1499" t="s">
        <v>7603</v>
      </c>
      <c r="AA47" s="1499" t="s">
        <v>1072</v>
      </c>
      <c r="AB47" s="1499" t="s">
        <v>4069</v>
      </c>
      <c r="AC47" s="1513" t="s">
        <v>6623</v>
      </c>
      <c r="AD47" s="1495" t="s">
        <v>9483</v>
      </c>
      <c r="AE47" s="1509" t="s">
        <v>4990</v>
      </c>
      <c r="AF47" s="1500" t="s">
        <v>9484</v>
      </c>
      <c r="AG47" s="1500" t="s">
        <v>9485</v>
      </c>
      <c r="AH47" s="1500" t="s">
        <v>9486</v>
      </c>
      <c r="AI47" s="1500" t="s">
        <v>8843</v>
      </c>
      <c r="AJ47" s="1500" t="s">
        <v>9487</v>
      </c>
      <c r="AK47" s="1500" t="s">
        <v>9488</v>
      </c>
      <c r="AL47" s="1500" t="s">
        <v>4673</v>
      </c>
      <c r="AM47" s="1502" t="s">
        <v>8983</v>
      </c>
      <c r="AN47" s="1502" t="s">
        <v>3443</v>
      </c>
      <c r="AO47" s="1502" t="s">
        <v>9489</v>
      </c>
      <c r="AP47" s="1502" t="s">
        <v>9490</v>
      </c>
      <c r="AQ47" s="1502" t="s">
        <v>4456</v>
      </c>
      <c r="AR47" s="1502" t="s">
        <v>9491</v>
      </c>
      <c r="AS47" s="1502" t="s">
        <v>4611</v>
      </c>
      <c r="AT47" s="1497" t="s">
        <v>9492</v>
      </c>
      <c r="AU47" s="1483" t="s">
        <v>9493</v>
      </c>
      <c r="AV47" s="1452" t="str">
        <f t="shared" si="1"/>
        <v>3:17</v>
      </c>
      <c r="AW47" s="1490" t="s">
        <v>9494</v>
      </c>
    </row>
    <row r="48" ht="15.75" customHeight="1">
      <c r="A48" s="1491" t="s">
        <v>1031</v>
      </c>
      <c r="B48" s="1489" t="s">
        <v>8517</v>
      </c>
      <c r="C48" s="1445">
        <v>0.05112268518518519</v>
      </c>
      <c r="D48" s="1495" t="s">
        <v>9495</v>
      </c>
      <c r="E48" s="1495" t="s">
        <v>4744</v>
      </c>
      <c r="F48" s="1495" t="s">
        <v>9496</v>
      </c>
      <c r="G48" s="1495" t="s">
        <v>9497</v>
      </c>
      <c r="H48" s="1362" t="s">
        <v>9498</v>
      </c>
      <c r="I48" s="1579" t="s">
        <v>5043</v>
      </c>
      <c r="J48" s="1497" t="s">
        <v>4120</v>
      </c>
      <c r="K48" s="1497" t="s">
        <v>9499</v>
      </c>
      <c r="L48" s="1447" t="s">
        <v>3659</v>
      </c>
      <c r="M48" s="1497" t="s">
        <v>4557</v>
      </c>
      <c r="N48" s="1497" t="s">
        <v>9242</v>
      </c>
      <c r="O48" s="1497" t="s">
        <v>9500</v>
      </c>
      <c r="P48" s="1497" t="s">
        <v>1597</v>
      </c>
      <c r="Q48" s="1498" t="s">
        <v>9501</v>
      </c>
      <c r="R48" s="1600" t="s">
        <v>9502</v>
      </c>
      <c r="S48" s="1498" t="s">
        <v>424</v>
      </c>
      <c r="T48" s="1498" t="s">
        <v>9503</v>
      </c>
      <c r="U48" s="1498" t="s">
        <v>9504</v>
      </c>
      <c r="V48" s="1498" t="s">
        <v>9505</v>
      </c>
      <c r="W48" s="1499" t="s">
        <v>9506</v>
      </c>
      <c r="X48" s="1499" t="s">
        <v>9507</v>
      </c>
      <c r="Y48" s="1601" t="s">
        <v>946</v>
      </c>
      <c r="Z48" s="1499" t="s">
        <v>9508</v>
      </c>
      <c r="AA48" s="1454" t="s">
        <v>9509</v>
      </c>
      <c r="AB48" s="1499" t="s">
        <v>2947</v>
      </c>
      <c r="AC48" s="1581" t="s">
        <v>5111</v>
      </c>
      <c r="AD48" s="1495" t="s">
        <v>9510</v>
      </c>
      <c r="AE48" s="1495" t="s">
        <v>8565</v>
      </c>
      <c r="AF48" s="1500" t="s">
        <v>8681</v>
      </c>
      <c r="AG48" s="1500" t="s">
        <v>274</v>
      </c>
      <c r="AH48" s="1500" t="s">
        <v>475</v>
      </c>
      <c r="AI48" s="1500" t="s">
        <v>9511</v>
      </c>
      <c r="AJ48" s="1500" t="s">
        <v>9512</v>
      </c>
      <c r="AK48" s="1500" t="s">
        <v>4239</v>
      </c>
      <c r="AL48" s="1500" t="s">
        <v>9513</v>
      </c>
      <c r="AM48" s="1502" t="s">
        <v>9514</v>
      </c>
      <c r="AN48" s="1538" t="s">
        <v>3369</v>
      </c>
      <c r="AO48" s="1502" t="s">
        <v>7035</v>
      </c>
      <c r="AP48" s="1502" t="s">
        <v>9515</v>
      </c>
      <c r="AQ48" s="1502" t="s">
        <v>9516</v>
      </c>
      <c r="AR48" s="1502" t="s">
        <v>9517</v>
      </c>
      <c r="AS48" s="1502" t="s">
        <v>8421</v>
      </c>
      <c r="AT48" s="1497" t="s">
        <v>9518</v>
      </c>
      <c r="AU48" s="1483" t="s">
        <v>9519</v>
      </c>
      <c r="AV48" s="1452" t="str">
        <f t="shared" si="1"/>
        <v>4:57</v>
      </c>
      <c r="AW48" s="1582"/>
    </row>
    <row r="49">
      <c r="A49" s="1491" t="s">
        <v>2494</v>
      </c>
      <c r="B49" s="1485" t="s">
        <v>8517</v>
      </c>
      <c r="C49" s="1445">
        <v>0.05112268518518519</v>
      </c>
      <c r="D49" s="1454" t="s">
        <v>9520</v>
      </c>
      <c r="E49" s="1454" t="s">
        <v>4662</v>
      </c>
      <c r="F49" s="1454" t="s">
        <v>9521</v>
      </c>
      <c r="G49" s="1570" t="s">
        <v>8521</v>
      </c>
      <c r="H49" s="1362" t="s">
        <v>9522</v>
      </c>
      <c r="I49" s="1454" t="s">
        <v>795</v>
      </c>
      <c r="J49" s="1454" t="s">
        <v>6484</v>
      </c>
      <c r="K49" s="1454" t="s">
        <v>2590</v>
      </c>
      <c r="L49" s="1454" t="s">
        <v>1330</v>
      </c>
      <c r="M49" s="1454" t="s">
        <v>9523</v>
      </c>
      <c r="N49" s="1454" t="s">
        <v>9098</v>
      </c>
      <c r="O49" s="1454" t="s">
        <v>9524</v>
      </c>
      <c r="P49" s="1454" t="s">
        <v>3644</v>
      </c>
      <c r="Q49" s="1454" t="s">
        <v>9525</v>
      </c>
      <c r="R49" s="1454" t="s">
        <v>2325</v>
      </c>
      <c r="S49" s="1454" t="s">
        <v>3852</v>
      </c>
      <c r="T49" s="1454" t="s">
        <v>7826</v>
      </c>
      <c r="U49" s="1498" t="s">
        <v>8868</v>
      </c>
      <c r="V49" s="1454" t="s">
        <v>9526</v>
      </c>
      <c r="W49" s="1454" t="s">
        <v>9527</v>
      </c>
      <c r="X49" s="1454" t="s">
        <v>1557</v>
      </c>
      <c r="Y49" s="1454" t="s">
        <v>6997</v>
      </c>
      <c r="Z49" s="1454" t="s">
        <v>8728</v>
      </c>
      <c r="AA49" s="1499" t="s">
        <v>633</v>
      </c>
      <c r="AB49" s="1454" t="s">
        <v>9528</v>
      </c>
      <c r="AC49" s="1454" t="s">
        <v>5304</v>
      </c>
      <c r="AD49" s="1454" t="s">
        <v>8916</v>
      </c>
      <c r="AE49" s="1454" t="s">
        <v>3644</v>
      </c>
      <c r="AF49" s="1454" t="s">
        <v>9529</v>
      </c>
      <c r="AG49" s="1454" t="s">
        <v>9530</v>
      </c>
      <c r="AH49" s="1454" t="s">
        <v>2614</v>
      </c>
      <c r="AI49" s="1454" t="s">
        <v>6015</v>
      </c>
      <c r="AJ49" s="1454" t="s">
        <v>9531</v>
      </c>
      <c r="AK49" s="1454" t="s">
        <v>9010</v>
      </c>
      <c r="AL49" s="1454" t="s">
        <v>9532</v>
      </c>
      <c r="AM49" s="1454" t="s">
        <v>2665</v>
      </c>
      <c r="AN49" s="1454" t="s">
        <v>9533</v>
      </c>
      <c r="AO49" s="1454" t="s">
        <v>8639</v>
      </c>
      <c r="AP49" s="1454" t="s">
        <v>9534</v>
      </c>
      <c r="AQ49" s="1454" t="s">
        <v>9535</v>
      </c>
      <c r="AR49" s="1454" t="s">
        <v>2303</v>
      </c>
      <c r="AS49" s="1454" t="s">
        <v>6993</v>
      </c>
      <c r="AT49" s="1454" t="s">
        <v>9536</v>
      </c>
      <c r="AU49" s="1454" t="s">
        <v>9537</v>
      </c>
      <c r="AV49" s="1452" t="str">
        <f t="shared" si="1"/>
        <v>3:15</v>
      </c>
      <c r="AW49" s="1602"/>
    </row>
    <row r="50" ht="15.75" customHeight="1">
      <c r="A50" s="1443" t="s">
        <v>9538</v>
      </c>
      <c r="B50" s="1603" t="s">
        <v>8489</v>
      </c>
      <c r="C50" s="1445">
        <v>0.051180555555555556</v>
      </c>
      <c r="D50" s="1362" t="s">
        <v>9539</v>
      </c>
      <c r="E50" s="1454" t="s">
        <v>9540</v>
      </c>
      <c r="F50" s="1454" t="s">
        <v>4241</v>
      </c>
      <c r="G50" s="1454" t="s">
        <v>8164</v>
      </c>
      <c r="H50" s="1454" t="s">
        <v>9541</v>
      </c>
      <c r="I50" s="1454" t="s">
        <v>1670</v>
      </c>
      <c r="J50" s="1454" t="s">
        <v>1017</v>
      </c>
      <c r="K50" s="1454" t="s">
        <v>9066</v>
      </c>
      <c r="L50" s="1454" t="s">
        <v>8586</v>
      </c>
      <c r="M50" s="1454" t="s">
        <v>9542</v>
      </c>
      <c r="N50" s="1454" t="s">
        <v>9543</v>
      </c>
      <c r="O50" s="1454" t="s">
        <v>9544</v>
      </c>
      <c r="P50" s="1454" t="s">
        <v>3814</v>
      </c>
      <c r="Q50" s="1454" t="s">
        <v>7238</v>
      </c>
      <c r="R50" s="1454" t="s">
        <v>9545</v>
      </c>
      <c r="S50" s="1454" t="s">
        <v>8365</v>
      </c>
      <c r="T50" s="1452" t="s">
        <v>4287</v>
      </c>
      <c r="U50" s="1452" t="s">
        <v>9546</v>
      </c>
      <c r="V50" s="1454" t="s">
        <v>1906</v>
      </c>
      <c r="W50" s="1454" t="s">
        <v>9547</v>
      </c>
      <c r="X50" s="1454" t="s">
        <v>9548</v>
      </c>
      <c r="Y50" s="1454" t="s">
        <v>8907</v>
      </c>
      <c r="Z50" s="1454" t="s">
        <v>9549</v>
      </c>
      <c r="AA50" s="1454" t="s">
        <v>9550</v>
      </c>
      <c r="AB50" s="1454" t="s">
        <v>9551</v>
      </c>
      <c r="AC50" s="1454" t="s">
        <v>979</v>
      </c>
      <c r="AD50" s="1454" t="s">
        <v>9483</v>
      </c>
      <c r="AE50" s="1454" t="s">
        <v>3365</v>
      </c>
      <c r="AF50" s="1452" t="s">
        <v>9552</v>
      </c>
      <c r="AG50" s="1454" t="s">
        <v>394</v>
      </c>
      <c r="AH50" s="1454" t="s">
        <v>9553</v>
      </c>
      <c r="AI50" s="1454" t="s">
        <v>9554</v>
      </c>
      <c r="AJ50" s="1454" t="s">
        <v>9555</v>
      </c>
      <c r="AK50" s="1454" t="s">
        <v>9556</v>
      </c>
      <c r="AL50" s="1454" t="s">
        <v>9557</v>
      </c>
      <c r="AM50" s="1454" t="s">
        <v>7345</v>
      </c>
      <c r="AN50" s="1454" t="s">
        <v>9170</v>
      </c>
      <c r="AO50" s="1468" t="str">
        <f>HYPERLINK("https://clips.twitch.tv/AltruisticEmpathicManateeDoritosChip","1:20.90")</f>
        <v>1:20.90</v>
      </c>
      <c r="AP50" s="1454" t="s">
        <v>9558</v>
      </c>
      <c r="AQ50" s="1454" t="s">
        <v>9559</v>
      </c>
      <c r="AR50" s="1454" t="s">
        <v>9560</v>
      </c>
      <c r="AS50" s="1454" t="s">
        <v>9136</v>
      </c>
      <c r="AT50" s="1454" t="s">
        <v>9561</v>
      </c>
      <c r="AU50" s="1454" t="s">
        <v>9562</v>
      </c>
      <c r="AV50" s="1452" t="str">
        <f t="shared" si="1"/>
        <v>2:40</v>
      </c>
      <c r="AW50" s="1525" t="s">
        <v>9563</v>
      </c>
    </row>
    <row r="51" ht="15.75" customHeight="1">
      <c r="A51" s="1491" t="s">
        <v>3820</v>
      </c>
      <c r="B51" s="1594" t="s">
        <v>8489</v>
      </c>
      <c r="C51" s="1604">
        <v>0.05123738425925926</v>
      </c>
      <c r="D51" s="1495" t="s">
        <v>9564</v>
      </c>
      <c r="E51" s="1495" t="s">
        <v>4030</v>
      </c>
      <c r="F51" s="1495" t="s">
        <v>9565</v>
      </c>
      <c r="G51" s="1495" t="s">
        <v>8950</v>
      </c>
      <c r="H51" s="1579" t="s">
        <v>9566</v>
      </c>
      <c r="I51" s="1579" t="s">
        <v>9232</v>
      </c>
      <c r="J51" s="1497" t="s">
        <v>9208</v>
      </c>
      <c r="K51" s="1497" t="s">
        <v>7025</v>
      </c>
      <c r="L51" s="1497" t="s">
        <v>9567</v>
      </c>
      <c r="M51" s="1497" t="s">
        <v>8881</v>
      </c>
      <c r="N51" s="1605" t="s">
        <v>1209</v>
      </c>
      <c r="O51" s="1497" t="s">
        <v>3560</v>
      </c>
      <c r="P51" s="1497" t="s">
        <v>8624</v>
      </c>
      <c r="Q51" s="1498" t="s">
        <v>9568</v>
      </c>
      <c r="R51" s="1498" t="s">
        <v>9166</v>
      </c>
      <c r="S51" s="1498" t="s">
        <v>9569</v>
      </c>
      <c r="T51" s="1498" t="s">
        <v>9570</v>
      </c>
      <c r="U51" s="1498" t="s">
        <v>9571</v>
      </c>
      <c r="V51" s="1498" t="s">
        <v>4313</v>
      </c>
      <c r="W51" s="1499" t="s">
        <v>9572</v>
      </c>
      <c r="X51" s="1499" t="s">
        <v>9573</v>
      </c>
      <c r="Y51" s="1499" t="s">
        <v>9574</v>
      </c>
      <c r="Z51" s="1499" t="s">
        <v>1316</v>
      </c>
      <c r="AA51" s="1499" t="s">
        <v>8843</v>
      </c>
      <c r="AB51" s="1499" t="s">
        <v>9317</v>
      </c>
      <c r="AC51" s="1499" t="s">
        <v>496</v>
      </c>
      <c r="AD51" s="1495" t="s">
        <v>9575</v>
      </c>
      <c r="AE51" s="1495" t="s">
        <v>6401</v>
      </c>
      <c r="AF51" s="1500" t="s">
        <v>9576</v>
      </c>
      <c r="AG51" s="1500" t="s">
        <v>9577</v>
      </c>
      <c r="AH51" s="1500" t="s">
        <v>9578</v>
      </c>
      <c r="AI51" s="1500" t="s">
        <v>314</v>
      </c>
      <c r="AJ51" s="1500" t="s">
        <v>9579</v>
      </c>
      <c r="AK51" s="1456" t="s">
        <v>9053</v>
      </c>
      <c r="AL51" s="1500" t="s">
        <v>9090</v>
      </c>
      <c r="AM51" s="1502" t="s">
        <v>9580</v>
      </c>
      <c r="AN51" s="1502" t="s">
        <v>587</v>
      </c>
      <c r="AO51" s="1502" t="s">
        <v>9581</v>
      </c>
      <c r="AP51" s="1502" t="s">
        <v>9582</v>
      </c>
      <c r="AQ51" s="1362" t="s">
        <v>9583</v>
      </c>
      <c r="AR51" s="1606" t="s">
        <v>9584</v>
      </c>
      <c r="AS51" s="1502" t="s">
        <v>9585</v>
      </c>
      <c r="AT51" s="1497" t="s">
        <v>9586</v>
      </c>
      <c r="AU51" s="1483" t="s">
        <v>9587</v>
      </c>
      <c r="AV51" s="1452" t="str">
        <f t="shared" si="1"/>
        <v>4:25</v>
      </c>
      <c r="AW51" s="1490" t="s">
        <v>9588</v>
      </c>
    </row>
    <row r="52" ht="15.75" customHeight="1">
      <c r="A52" s="1491" t="s">
        <v>1710</v>
      </c>
      <c r="B52" s="1607" t="s">
        <v>8543</v>
      </c>
      <c r="C52" s="1583">
        <v>0.051319444444444445</v>
      </c>
      <c r="D52" s="1362" t="s">
        <v>9589</v>
      </c>
      <c r="E52" s="1452" t="s">
        <v>9590</v>
      </c>
      <c r="F52" s="1452" t="s">
        <v>9591</v>
      </c>
      <c r="G52" s="1452" t="s">
        <v>9592</v>
      </c>
      <c r="H52" s="1452" t="s">
        <v>5125</v>
      </c>
      <c r="I52" s="1452" t="s">
        <v>6400</v>
      </c>
      <c r="J52" s="1452" t="s">
        <v>9593</v>
      </c>
      <c r="K52" s="1452" t="s">
        <v>8890</v>
      </c>
      <c r="L52" s="1452" t="s">
        <v>3941</v>
      </c>
      <c r="M52" s="1452" t="s">
        <v>9362</v>
      </c>
      <c r="N52" s="1452" t="s">
        <v>9149</v>
      </c>
      <c r="O52" s="1452" t="s">
        <v>9594</v>
      </c>
      <c r="P52" s="1608" t="s">
        <v>8553</v>
      </c>
      <c r="Q52" s="1452" t="s">
        <v>9595</v>
      </c>
      <c r="R52" s="1452" t="s">
        <v>9596</v>
      </c>
      <c r="S52" s="1452" t="s">
        <v>1207</v>
      </c>
      <c r="T52" s="1452" t="s">
        <v>9597</v>
      </c>
      <c r="U52" s="1452" t="s">
        <v>1054</v>
      </c>
      <c r="V52" s="1452" t="s">
        <v>463</v>
      </c>
      <c r="W52" s="1452" t="s">
        <v>9598</v>
      </c>
      <c r="X52" s="1452" t="s">
        <v>311</v>
      </c>
      <c r="Y52" s="1452" t="s">
        <v>9599</v>
      </c>
      <c r="Z52" s="1452" t="s">
        <v>7350</v>
      </c>
      <c r="AA52" s="1452" t="s">
        <v>6288</v>
      </c>
      <c r="AB52" s="1452" t="s">
        <v>4541</v>
      </c>
      <c r="AC52" s="1452" t="s">
        <v>6118</v>
      </c>
      <c r="AD52" s="1452" t="s">
        <v>9600</v>
      </c>
      <c r="AE52" s="1608" t="s">
        <v>8565</v>
      </c>
      <c r="AF52" s="1608" t="s">
        <v>2772</v>
      </c>
      <c r="AG52" s="1452" t="s">
        <v>4652</v>
      </c>
      <c r="AH52" s="1452" t="s">
        <v>9601</v>
      </c>
      <c r="AI52" s="1452" t="s">
        <v>9602</v>
      </c>
      <c r="AJ52" s="1452" t="s">
        <v>9603</v>
      </c>
      <c r="AK52" s="1452" t="s">
        <v>5979</v>
      </c>
      <c r="AL52" s="1452" t="s">
        <v>6162</v>
      </c>
      <c r="AM52" s="1608" t="s">
        <v>8570</v>
      </c>
      <c r="AN52" s="1454" t="s">
        <v>2564</v>
      </c>
      <c r="AO52" s="1452" t="s">
        <v>4987</v>
      </c>
      <c r="AP52" s="1452" t="s">
        <v>9604</v>
      </c>
      <c r="AQ52" s="1452" t="s">
        <v>9605</v>
      </c>
      <c r="AR52" s="1452" t="s">
        <v>9019</v>
      </c>
      <c r="AS52" s="1452" t="s">
        <v>4546</v>
      </c>
      <c r="AT52" s="1452" t="s">
        <v>9606</v>
      </c>
      <c r="AU52" s="1452" t="s">
        <v>9607</v>
      </c>
      <c r="AV52" s="1452" t="str">
        <f t="shared" si="1"/>
        <v>3:15</v>
      </c>
      <c r="AW52" s="1525" t="s">
        <v>9608</v>
      </c>
    </row>
    <row r="53">
      <c r="A53" s="1491" t="s">
        <v>1887</v>
      </c>
      <c r="B53" s="1489" t="s">
        <v>8489</v>
      </c>
      <c r="C53" s="1445">
        <v>0.05133101851851852</v>
      </c>
      <c r="D53" s="1593" t="s">
        <v>9609</v>
      </c>
      <c r="E53" s="1495" t="s">
        <v>9610</v>
      </c>
      <c r="F53" s="1495" t="s">
        <v>9611</v>
      </c>
      <c r="G53" s="1495" t="s">
        <v>9612</v>
      </c>
      <c r="H53" s="1579" t="s">
        <v>9613</v>
      </c>
      <c r="I53" s="1579" t="s">
        <v>2986</v>
      </c>
      <c r="J53" s="1497" t="s">
        <v>2025</v>
      </c>
      <c r="K53" s="1497" t="s">
        <v>9614</v>
      </c>
      <c r="L53" s="1497" t="s">
        <v>4275</v>
      </c>
      <c r="M53" s="1497" t="s">
        <v>9615</v>
      </c>
      <c r="N53" s="1497" t="s">
        <v>8735</v>
      </c>
      <c r="O53" s="1497" t="s">
        <v>9616</v>
      </c>
      <c r="P53" s="1497" t="s">
        <v>8668</v>
      </c>
      <c r="Q53" s="1498" t="s">
        <v>9617</v>
      </c>
      <c r="R53" s="1498" t="s">
        <v>9407</v>
      </c>
      <c r="S53" s="1498" t="s">
        <v>9618</v>
      </c>
      <c r="T53" s="1498" t="s">
        <v>9411</v>
      </c>
      <c r="U53" s="1498" t="s">
        <v>9619</v>
      </c>
      <c r="V53" s="1498" t="s">
        <v>9186</v>
      </c>
      <c r="W53" s="1499" t="s">
        <v>9620</v>
      </c>
      <c r="X53" s="1499" t="s">
        <v>9621</v>
      </c>
      <c r="Y53" s="1499" t="s">
        <v>5552</v>
      </c>
      <c r="Z53" s="1499" t="s">
        <v>1572</v>
      </c>
      <c r="AA53" s="1499" t="s">
        <v>9622</v>
      </c>
      <c r="AB53" s="1499" t="s">
        <v>6202</v>
      </c>
      <c r="AC53" s="1499" t="s">
        <v>263</v>
      </c>
      <c r="AD53" s="1495" t="s">
        <v>8936</v>
      </c>
      <c r="AE53" s="1495" t="s">
        <v>5552</v>
      </c>
      <c r="AF53" s="1500" t="s">
        <v>9623</v>
      </c>
      <c r="AG53" s="1500" t="s">
        <v>5809</v>
      </c>
      <c r="AH53" s="1500" t="s">
        <v>4106</v>
      </c>
      <c r="AI53" s="1500" t="s">
        <v>9624</v>
      </c>
      <c r="AJ53" s="1500" t="s">
        <v>9625</v>
      </c>
      <c r="AK53" s="1500" t="s">
        <v>9548</v>
      </c>
      <c r="AL53" s="1500" t="s">
        <v>4109</v>
      </c>
      <c r="AM53" s="1502" t="s">
        <v>9626</v>
      </c>
      <c r="AN53" s="1502" t="s">
        <v>4115</v>
      </c>
      <c r="AO53" s="1502" t="s">
        <v>9627</v>
      </c>
      <c r="AP53" s="1502" t="s">
        <v>9628</v>
      </c>
      <c r="AQ53" s="1502" t="s">
        <v>9224</v>
      </c>
      <c r="AR53" s="1502" t="s">
        <v>9629</v>
      </c>
      <c r="AS53" s="1502" t="s">
        <v>9630</v>
      </c>
      <c r="AT53" s="1497" t="s">
        <v>9631</v>
      </c>
      <c r="AU53" s="1483" t="s">
        <v>9632</v>
      </c>
      <c r="AV53" s="1452" t="str">
        <f t="shared" si="1"/>
        <v>1:34</v>
      </c>
      <c r="AW53" s="1582"/>
    </row>
    <row r="54">
      <c r="A54" s="1491" t="s">
        <v>3006</v>
      </c>
      <c r="B54" s="1489" t="s">
        <v>8489</v>
      </c>
      <c r="C54" s="1445">
        <v>0.05134259259259259</v>
      </c>
      <c r="D54" s="1495" t="s">
        <v>9633</v>
      </c>
      <c r="E54" s="1495" t="s">
        <v>6397</v>
      </c>
      <c r="F54" s="1495" t="s">
        <v>9634</v>
      </c>
      <c r="G54" s="1495" t="s">
        <v>9635</v>
      </c>
      <c r="H54" s="1495" t="s">
        <v>9636</v>
      </c>
      <c r="I54" s="1495" t="s">
        <v>1421</v>
      </c>
      <c r="J54" s="1497" t="s">
        <v>5062</v>
      </c>
      <c r="K54" s="1497" t="s">
        <v>7233</v>
      </c>
      <c r="L54" s="1497" t="s">
        <v>4913</v>
      </c>
      <c r="M54" s="1497" t="s">
        <v>3651</v>
      </c>
      <c r="N54" s="1497" t="s">
        <v>2087</v>
      </c>
      <c r="O54" s="1497" t="s">
        <v>9637</v>
      </c>
      <c r="P54" s="1497" t="s">
        <v>4609</v>
      </c>
      <c r="Q54" s="1498" t="s">
        <v>9638</v>
      </c>
      <c r="R54" s="1498" t="s">
        <v>2689</v>
      </c>
      <c r="S54" s="1498" t="s">
        <v>9639</v>
      </c>
      <c r="T54" s="1498" t="s">
        <v>9640</v>
      </c>
      <c r="U54" s="1498" t="s">
        <v>9504</v>
      </c>
      <c r="V54" s="1498" t="s">
        <v>9641</v>
      </c>
      <c r="W54" s="1499" t="s">
        <v>9642</v>
      </c>
      <c r="X54" s="1499" t="s">
        <v>8566</v>
      </c>
      <c r="Y54" s="1499" t="s">
        <v>9236</v>
      </c>
      <c r="Z54" s="1499" t="s">
        <v>3052</v>
      </c>
      <c r="AA54" s="1454" t="s">
        <v>610</v>
      </c>
      <c r="AB54" s="1499" t="s">
        <v>8931</v>
      </c>
      <c r="AC54" s="1499" t="s">
        <v>9108</v>
      </c>
      <c r="AD54" s="1495" t="s">
        <v>9643</v>
      </c>
      <c r="AE54" s="1495" t="s">
        <v>9644</v>
      </c>
      <c r="AF54" s="1500" t="s">
        <v>9645</v>
      </c>
      <c r="AG54" s="1500" t="s">
        <v>9646</v>
      </c>
      <c r="AH54" s="1500" t="s">
        <v>1913</v>
      </c>
      <c r="AI54" s="1500" t="s">
        <v>429</v>
      </c>
      <c r="AJ54" s="1500" t="s">
        <v>9647</v>
      </c>
      <c r="AK54" s="1500" t="s">
        <v>9648</v>
      </c>
      <c r="AL54" s="1500" t="s">
        <v>5694</v>
      </c>
      <c r="AM54" s="1502" t="s">
        <v>9649</v>
      </c>
      <c r="AN54" s="1502" t="s">
        <v>6357</v>
      </c>
      <c r="AO54" s="1502" t="s">
        <v>9650</v>
      </c>
      <c r="AP54" s="1502" t="s">
        <v>9651</v>
      </c>
      <c r="AQ54" s="1502" t="s">
        <v>9224</v>
      </c>
      <c r="AR54" s="1502" t="s">
        <v>9652</v>
      </c>
      <c r="AS54" s="1502" t="s">
        <v>1912</v>
      </c>
      <c r="AT54" s="1497" t="s">
        <v>9653</v>
      </c>
      <c r="AU54" s="1483" t="s">
        <v>9537</v>
      </c>
      <c r="AV54" s="1452" t="str">
        <f t="shared" si="1"/>
        <v>2:56</v>
      </c>
      <c r="AW54" s="1490" t="s">
        <v>9654</v>
      </c>
    </row>
    <row r="55" ht="15.75" customHeight="1">
      <c r="A55" s="1458" t="s">
        <v>1481</v>
      </c>
      <c r="B55" s="1607" t="s">
        <v>8543</v>
      </c>
      <c r="C55" s="1583">
        <v>0.05134259259259259</v>
      </c>
      <c r="D55" s="1362" t="s">
        <v>9655</v>
      </c>
      <c r="E55" s="1509" t="s">
        <v>9656</v>
      </c>
      <c r="F55" s="1509" t="s">
        <v>9634</v>
      </c>
      <c r="G55" s="1509" t="s">
        <v>9657</v>
      </c>
      <c r="H55" s="1496" t="s">
        <v>9658</v>
      </c>
      <c r="I55" s="1609" t="s">
        <v>354</v>
      </c>
      <c r="J55" s="1511" t="s">
        <v>9659</v>
      </c>
      <c r="K55" s="1511" t="s">
        <v>3959</v>
      </c>
      <c r="L55" s="1610" t="s">
        <v>3883</v>
      </c>
      <c r="M55" s="1511" t="s">
        <v>5680</v>
      </c>
      <c r="N55" s="1511" t="s">
        <v>9660</v>
      </c>
      <c r="O55" s="1610" t="s">
        <v>8552</v>
      </c>
      <c r="P55" s="1511" t="s">
        <v>395</v>
      </c>
      <c r="Q55" s="1512" t="s">
        <v>9661</v>
      </c>
      <c r="R55" s="1512" t="s">
        <v>1701</v>
      </c>
      <c r="S55" s="1512" t="s">
        <v>9662</v>
      </c>
      <c r="T55" s="1611" t="s">
        <v>8556</v>
      </c>
      <c r="U55" s="1512" t="s">
        <v>9663</v>
      </c>
      <c r="V55" s="1512" t="s">
        <v>4108</v>
      </c>
      <c r="W55" s="1612" t="s">
        <v>8559</v>
      </c>
      <c r="X55" s="1513" t="s">
        <v>4394</v>
      </c>
      <c r="Y55" s="1513" t="s">
        <v>6400</v>
      </c>
      <c r="Z55" s="1513" t="s">
        <v>7594</v>
      </c>
      <c r="AA55" s="1513" t="s">
        <v>9053</v>
      </c>
      <c r="AB55" s="1612" t="s">
        <v>8563</v>
      </c>
      <c r="AC55" s="1513" t="s">
        <v>6495</v>
      </c>
      <c r="AD55" s="1502" t="s">
        <v>9664</v>
      </c>
      <c r="AE55" s="1509" t="s">
        <v>9665</v>
      </c>
      <c r="AF55" s="1514" t="s">
        <v>9666</v>
      </c>
      <c r="AG55" s="1514" t="s">
        <v>9667</v>
      </c>
      <c r="AH55" s="1514" t="s">
        <v>6276</v>
      </c>
      <c r="AI55" s="1514" t="s">
        <v>9668</v>
      </c>
      <c r="AJ55" s="1514" t="s">
        <v>9669</v>
      </c>
      <c r="AK55" s="1613" t="s">
        <v>8568</v>
      </c>
      <c r="AL55" s="1514" t="s">
        <v>1639</v>
      </c>
      <c r="AM55" s="1501" t="s">
        <v>9530</v>
      </c>
      <c r="AN55" s="1502" t="s">
        <v>4212</v>
      </c>
      <c r="AO55" s="1501" t="s">
        <v>9670</v>
      </c>
      <c r="AP55" s="1501" t="s">
        <v>9671</v>
      </c>
      <c r="AQ55" s="1501" t="s">
        <v>9672</v>
      </c>
      <c r="AR55" s="1501" t="s">
        <v>8581</v>
      </c>
      <c r="AS55" s="1501" t="s">
        <v>4727</v>
      </c>
      <c r="AT55" s="1511" t="s">
        <v>9673</v>
      </c>
      <c r="AU55" s="1515" t="s">
        <v>9674</v>
      </c>
      <c r="AV55" s="1452" t="str">
        <f t="shared" si="1"/>
        <v>1:58</v>
      </c>
      <c r="AW55" s="1582"/>
    </row>
    <row r="56" ht="15.75" customHeight="1">
      <c r="A56" s="1443" t="s">
        <v>3315</v>
      </c>
      <c r="B56" s="1444" t="s">
        <v>8489</v>
      </c>
      <c r="C56" s="1583">
        <v>0.05134259259259259</v>
      </c>
      <c r="D56" s="1362" t="s">
        <v>9675</v>
      </c>
      <c r="E56" s="1452" t="s">
        <v>9676</v>
      </c>
      <c r="F56" s="1452" t="s">
        <v>9677</v>
      </c>
      <c r="G56" s="1452" t="s">
        <v>7638</v>
      </c>
      <c r="H56" s="1452" t="s">
        <v>8724</v>
      </c>
      <c r="I56" s="1452" t="s">
        <v>6165</v>
      </c>
      <c r="J56" s="1452" t="s">
        <v>9678</v>
      </c>
      <c r="K56" s="1452" t="s">
        <v>3968</v>
      </c>
      <c r="L56" s="1452" t="s">
        <v>9679</v>
      </c>
      <c r="M56" s="1452" t="s">
        <v>9680</v>
      </c>
      <c r="N56" s="1452" t="s">
        <v>2853</v>
      </c>
      <c r="O56" s="1452" t="s">
        <v>9681</v>
      </c>
      <c r="P56" s="1452" t="s">
        <v>1132</v>
      </c>
      <c r="Q56" s="1452" t="s">
        <v>2554</v>
      </c>
      <c r="R56" s="1452" t="s">
        <v>9407</v>
      </c>
      <c r="S56" s="1452" t="s">
        <v>9275</v>
      </c>
      <c r="T56" s="1452" t="s">
        <v>9682</v>
      </c>
      <c r="U56" s="1452" t="s">
        <v>9683</v>
      </c>
      <c r="V56" s="1452" t="s">
        <v>4210</v>
      </c>
      <c r="W56" s="1452" t="s">
        <v>9684</v>
      </c>
      <c r="X56" s="1452" t="s">
        <v>9685</v>
      </c>
      <c r="Y56" s="1452" t="s">
        <v>395</v>
      </c>
      <c r="Z56" s="1452" t="s">
        <v>7029</v>
      </c>
      <c r="AA56" s="1452" t="s">
        <v>9219</v>
      </c>
      <c r="AB56" s="1452" t="s">
        <v>8609</v>
      </c>
      <c r="AC56" s="1452" t="s">
        <v>979</v>
      </c>
      <c r="AD56" s="1452" t="s">
        <v>9686</v>
      </c>
      <c r="AE56" s="1452" t="s">
        <v>395</v>
      </c>
      <c r="AF56" s="1452" t="s">
        <v>9687</v>
      </c>
      <c r="AG56" s="1452" t="s">
        <v>9688</v>
      </c>
      <c r="AH56" s="1452" t="s">
        <v>5273</v>
      </c>
      <c r="AI56" s="1452" t="s">
        <v>9689</v>
      </c>
      <c r="AJ56" s="1452" t="s">
        <v>9625</v>
      </c>
      <c r="AK56" s="1452" t="s">
        <v>7371</v>
      </c>
      <c r="AL56" s="1452" t="s">
        <v>3287</v>
      </c>
      <c r="AM56" s="1452" t="s">
        <v>4237</v>
      </c>
      <c r="AN56" s="1452" t="s">
        <v>9690</v>
      </c>
      <c r="AO56" s="1452" t="s">
        <v>8729</v>
      </c>
      <c r="AP56" s="1452" t="s">
        <v>9691</v>
      </c>
      <c r="AQ56" s="1452" t="s">
        <v>9692</v>
      </c>
      <c r="AR56" s="1452" t="s">
        <v>9693</v>
      </c>
      <c r="AS56" s="1501" t="s">
        <v>4517</v>
      </c>
      <c r="AT56" s="1452" t="s">
        <v>9694</v>
      </c>
      <c r="AU56" s="1452" t="s">
        <v>8870</v>
      </c>
      <c r="AV56" s="1452" t="str">
        <f t="shared" si="1"/>
        <v>2:27</v>
      </c>
      <c r="AW56" s="1525"/>
    </row>
    <row r="57" ht="15.75" customHeight="1">
      <c r="A57" s="1491" t="s">
        <v>1311</v>
      </c>
      <c r="B57" s="1485" t="s">
        <v>8543</v>
      </c>
      <c r="C57" s="1445">
        <v>0.05140046296296296</v>
      </c>
      <c r="D57" s="1454" t="s">
        <v>9695</v>
      </c>
      <c r="E57" s="1454" t="s">
        <v>1736</v>
      </c>
      <c r="F57" s="1454" t="s">
        <v>9696</v>
      </c>
      <c r="G57" s="1596" t="s">
        <v>8547</v>
      </c>
      <c r="H57" s="1362" t="s">
        <v>9697</v>
      </c>
      <c r="I57" s="1454" t="s">
        <v>1836</v>
      </c>
      <c r="J57" s="1596" t="s">
        <v>8549</v>
      </c>
      <c r="K57" s="1454" t="s">
        <v>9698</v>
      </c>
      <c r="L57" s="1454" t="s">
        <v>9699</v>
      </c>
      <c r="M57" s="1596" t="s">
        <v>8550</v>
      </c>
      <c r="N57" s="1454" t="s">
        <v>9700</v>
      </c>
      <c r="O57" s="1454" t="s">
        <v>9701</v>
      </c>
      <c r="P57" s="1454" t="s">
        <v>1095</v>
      </c>
      <c r="Q57" s="1454" t="s">
        <v>9501</v>
      </c>
      <c r="R57" s="1454" t="s">
        <v>9702</v>
      </c>
      <c r="S57" s="1454" t="s">
        <v>9703</v>
      </c>
      <c r="T57" s="1454" t="s">
        <v>3367</v>
      </c>
      <c r="U57" s="1454" t="s">
        <v>9421</v>
      </c>
      <c r="V57" s="1454" t="s">
        <v>5804</v>
      </c>
      <c r="W57" s="1454" t="s">
        <v>9704</v>
      </c>
      <c r="X57" s="1454" t="s">
        <v>648</v>
      </c>
      <c r="Y57" s="1454" t="s">
        <v>9705</v>
      </c>
      <c r="Z57" s="1454" t="s">
        <v>9706</v>
      </c>
      <c r="AA57" s="1614" t="s">
        <v>8562</v>
      </c>
      <c r="AB57" s="1454" t="s">
        <v>5961</v>
      </c>
      <c r="AC57" s="1454" t="s">
        <v>9707</v>
      </c>
      <c r="AD57" s="1454" t="s">
        <v>8852</v>
      </c>
      <c r="AE57" s="1454" t="s">
        <v>2695</v>
      </c>
      <c r="AF57" s="1454" t="s">
        <v>9708</v>
      </c>
      <c r="AG57" s="1596" t="s">
        <v>4711</v>
      </c>
      <c r="AH57" s="1596" t="s">
        <v>5280</v>
      </c>
      <c r="AI57" s="1454" t="s">
        <v>9709</v>
      </c>
      <c r="AJ57" s="1454" t="s">
        <v>9710</v>
      </c>
      <c r="AK57" s="1454" t="s">
        <v>7573</v>
      </c>
      <c r="AL57" s="1454" t="s">
        <v>3940</v>
      </c>
      <c r="AM57" s="1454" t="s">
        <v>9711</v>
      </c>
      <c r="AN57" s="1454" t="s">
        <v>3760</v>
      </c>
      <c r="AO57" s="1596" t="s">
        <v>8572</v>
      </c>
      <c r="AP57" s="1615" t="s">
        <v>8573</v>
      </c>
      <c r="AQ57" s="1454" t="s">
        <v>3391</v>
      </c>
      <c r="AR57" s="1454" t="s">
        <v>1697</v>
      </c>
      <c r="AS57" s="1454" t="s">
        <v>5245</v>
      </c>
      <c r="AT57" s="1454" t="s">
        <v>9712</v>
      </c>
      <c r="AU57" s="1454" t="s">
        <v>8870</v>
      </c>
      <c r="AV57" s="1452" t="str">
        <f t="shared" si="1"/>
        <v>2:22</v>
      </c>
      <c r="AW57" s="1487" t="s">
        <v>9713</v>
      </c>
    </row>
    <row r="58" ht="15.75" customHeight="1">
      <c r="A58" s="1491" t="s">
        <v>4093</v>
      </c>
      <c r="B58" s="1489" t="s">
        <v>8489</v>
      </c>
      <c r="C58" s="1445">
        <v>0.05153935185185185</v>
      </c>
      <c r="D58" s="1524" t="s">
        <v>9714</v>
      </c>
      <c r="E58" s="1524" t="s">
        <v>6683</v>
      </c>
      <c r="F58" s="1524" t="s">
        <v>9715</v>
      </c>
      <c r="G58" s="1524" t="s">
        <v>4995</v>
      </c>
      <c r="H58" s="1362" t="s">
        <v>9716</v>
      </c>
      <c r="I58" s="1524" t="s">
        <v>1421</v>
      </c>
      <c r="J58" s="1524" t="s">
        <v>9717</v>
      </c>
      <c r="K58" s="1524" t="s">
        <v>3684</v>
      </c>
      <c r="L58" s="1524" t="s">
        <v>4313</v>
      </c>
      <c r="M58" s="1524" t="s">
        <v>7163</v>
      </c>
      <c r="N58" s="1524" t="s">
        <v>9718</v>
      </c>
      <c r="O58" s="1524" t="s">
        <v>3875</v>
      </c>
      <c r="P58" s="1524" t="s">
        <v>6997</v>
      </c>
      <c r="Q58" s="1524" t="s">
        <v>9719</v>
      </c>
      <c r="R58" s="1524" t="s">
        <v>3496</v>
      </c>
      <c r="S58" s="1616" t="s">
        <v>9360</v>
      </c>
      <c r="T58" s="1524" t="s">
        <v>9169</v>
      </c>
      <c r="U58" s="1524" t="s">
        <v>9720</v>
      </c>
      <c r="V58" s="1524" t="s">
        <v>1869</v>
      </c>
      <c r="W58" s="1524" t="s">
        <v>9721</v>
      </c>
      <c r="X58" s="1524" t="s">
        <v>1754</v>
      </c>
      <c r="Y58" s="1524" t="s">
        <v>3697</v>
      </c>
      <c r="Z58" s="1524" t="s">
        <v>7341</v>
      </c>
      <c r="AA58" s="1524" t="s">
        <v>935</v>
      </c>
      <c r="AB58" s="1524" t="s">
        <v>9722</v>
      </c>
      <c r="AC58" s="1524" t="s">
        <v>9707</v>
      </c>
      <c r="AD58" s="1524" t="s">
        <v>9723</v>
      </c>
      <c r="AE58" s="1524" t="s">
        <v>5002</v>
      </c>
      <c r="AF58" s="1447" t="s">
        <v>9724</v>
      </c>
      <c r="AG58" s="1524" t="s">
        <v>9725</v>
      </c>
      <c r="AH58" s="1524" t="s">
        <v>9726</v>
      </c>
      <c r="AI58" s="1524" t="s">
        <v>9727</v>
      </c>
      <c r="AJ58" s="1524" t="s">
        <v>9728</v>
      </c>
      <c r="AK58" s="1524" t="s">
        <v>5170</v>
      </c>
      <c r="AL58" s="1524" t="s">
        <v>9532</v>
      </c>
      <c r="AM58" s="1524" t="s">
        <v>9709</v>
      </c>
      <c r="AN58" s="1524" t="s">
        <v>2684</v>
      </c>
      <c r="AO58" s="1524" t="s">
        <v>5718</v>
      </c>
      <c r="AP58" s="1616" t="s">
        <v>9469</v>
      </c>
      <c r="AQ58" s="1524" t="s">
        <v>9729</v>
      </c>
      <c r="AR58" s="1524" t="s">
        <v>5062</v>
      </c>
      <c r="AS58" s="1524" t="s">
        <v>9136</v>
      </c>
      <c r="AT58" s="1524" t="s">
        <v>9730</v>
      </c>
      <c r="AU58" s="1524" t="s">
        <v>9731</v>
      </c>
      <c r="AV58" s="1617" t="str">
        <f t="shared" si="1"/>
        <v>2:41</v>
      </c>
      <c r="AW58" s="1618" t="s">
        <v>9732</v>
      </c>
    </row>
    <row r="59" ht="15.75" customHeight="1">
      <c r="A59" s="1443" t="s">
        <v>2036</v>
      </c>
      <c r="B59" s="1444" t="s">
        <v>8489</v>
      </c>
      <c r="C59" s="1445">
        <v>0.05157407407407407</v>
      </c>
      <c r="D59" s="1362" t="s">
        <v>9733</v>
      </c>
      <c r="E59" s="1495" t="s">
        <v>9734</v>
      </c>
      <c r="F59" s="1495" t="s">
        <v>9735</v>
      </c>
      <c r="G59" s="1509" t="s">
        <v>9230</v>
      </c>
      <c r="H59" s="1496" t="s">
        <v>9736</v>
      </c>
      <c r="I59" s="1496" t="s">
        <v>2113</v>
      </c>
      <c r="J59" s="1511" t="s">
        <v>5522</v>
      </c>
      <c r="K59" s="1511" t="s">
        <v>3614</v>
      </c>
      <c r="L59" s="1511" t="s">
        <v>9737</v>
      </c>
      <c r="M59" s="1511" t="s">
        <v>9404</v>
      </c>
      <c r="N59" s="1511" t="s">
        <v>1282</v>
      </c>
      <c r="O59" s="1511" t="s">
        <v>9704</v>
      </c>
      <c r="P59" s="1511" t="s">
        <v>8713</v>
      </c>
      <c r="Q59" s="1512" t="s">
        <v>9738</v>
      </c>
      <c r="R59" s="1512" t="s">
        <v>9739</v>
      </c>
      <c r="S59" s="1512" t="s">
        <v>9740</v>
      </c>
      <c r="T59" s="1512" t="s">
        <v>7345</v>
      </c>
      <c r="U59" s="1512" t="s">
        <v>7279</v>
      </c>
      <c r="V59" s="1512" t="s">
        <v>5156</v>
      </c>
      <c r="W59" s="1513" t="s">
        <v>9741</v>
      </c>
      <c r="X59" s="1513" t="s">
        <v>9742</v>
      </c>
      <c r="Y59" s="1513" t="s">
        <v>9599</v>
      </c>
      <c r="Z59" s="1513" t="s">
        <v>8563</v>
      </c>
      <c r="AA59" s="1513" t="s">
        <v>6015</v>
      </c>
      <c r="AB59" s="1513" t="s">
        <v>5730</v>
      </c>
      <c r="AC59" s="1513" t="s">
        <v>6330</v>
      </c>
      <c r="AD59" s="1495" t="s">
        <v>9743</v>
      </c>
      <c r="AE59" s="1509" t="s">
        <v>5573</v>
      </c>
      <c r="AF59" s="1514" t="s">
        <v>9744</v>
      </c>
      <c r="AG59" s="1514" t="s">
        <v>9745</v>
      </c>
      <c r="AH59" s="1514" t="s">
        <v>9746</v>
      </c>
      <c r="AI59" s="1514" t="s">
        <v>1086</v>
      </c>
      <c r="AJ59" s="1514" t="s">
        <v>9747</v>
      </c>
      <c r="AK59" s="1500" t="s">
        <v>648</v>
      </c>
      <c r="AL59" s="1500" t="s">
        <v>9748</v>
      </c>
      <c r="AM59" s="1501" t="s">
        <v>3737</v>
      </c>
      <c r="AN59" s="1501" t="s">
        <v>9749</v>
      </c>
      <c r="AO59" s="1501" t="s">
        <v>9750</v>
      </c>
      <c r="AP59" s="1501" t="s">
        <v>9751</v>
      </c>
      <c r="AQ59" s="1501" t="s">
        <v>9752</v>
      </c>
      <c r="AR59" s="1502" t="s">
        <v>7835</v>
      </c>
      <c r="AS59" s="1501" t="s">
        <v>4517</v>
      </c>
      <c r="AT59" s="1511" t="s">
        <v>9753</v>
      </c>
      <c r="AU59" s="1515" t="s">
        <v>9754</v>
      </c>
      <c r="AV59" s="1452" t="str">
        <f t="shared" si="1"/>
        <v>4:40</v>
      </c>
      <c r="AW59" s="1582" t="s">
        <v>9755</v>
      </c>
    </row>
    <row r="60" ht="15.75" customHeight="1">
      <c r="A60" s="1491" t="s">
        <v>9756</v>
      </c>
      <c r="B60" s="1489" t="s">
        <v>8489</v>
      </c>
      <c r="C60" s="1445">
        <v>0.051631944444444446</v>
      </c>
      <c r="D60" s="1495" t="s">
        <v>9757</v>
      </c>
      <c r="E60" s="1495" t="s">
        <v>6549</v>
      </c>
      <c r="F60" s="1495" t="s">
        <v>8720</v>
      </c>
      <c r="G60" s="1495" t="s">
        <v>9758</v>
      </c>
      <c r="H60" s="1579" t="s">
        <v>9759</v>
      </c>
      <c r="I60" s="1579" t="s">
        <v>9760</v>
      </c>
      <c r="J60" s="1497" t="s">
        <v>9761</v>
      </c>
      <c r="K60" s="1497" t="s">
        <v>7573</v>
      </c>
      <c r="L60" s="1497" t="s">
        <v>4565</v>
      </c>
      <c r="M60" s="1497" t="s">
        <v>9762</v>
      </c>
      <c r="N60" s="1497" t="s">
        <v>6280</v>
      </c>
      <c r="O60" s="1497" t="s">
        <v>9763</v>
      </c>
      <c r="P60" s="1497" t="s">
        <v>6582</v>
      </c>
      <c r="Q60" s="1498" t="s">
        <v>9764</v>
      </c>
      <c r="R60" s="1498" t="s">
        <v>9596</v>
      </c>
      <c r="S60" s="1498" t="s">
        <v>5644</v>
      </c>
      <c r="T60" s="1498" t="s">
        <v>6143</v>
      </c>
      <c r="U60" s="1498" t="s">
        <v>9765</v>
      </c>
      <c r="V60" s="1498" t="s">
        <v>9766</v>
      </c>
      <c r="W60" s="1499" t="s">
        <v>9767</v>
      </c>
      <c r="X60" s="1499" t="s">
        <v>648</v>
      </c>
      <c r="Y60" s="1499" t="s">
        <v>5145</v>
      </c>
      <c r="Z60" s="1499" t="s">
        <v>9768</v>
      </c>
      <c r="AA60" s="1454" t="s">
        <v>9769</v>
      </c>
      <c r="AB60" s="1499" t="s">
        <v>9370</v>
      </c>
      <c r="AC60" s="1499" t="s">
        <v>4787</v>
      </c>
      <c r="AD60" s="1495" t="s">
        <v>9770</v>
      </c>
      <c r="AE60" s="1495" t="s">
        <v>9043</v>
      </c>
      <c r="AF60" s="1619" t="s">
        <v>9771</v>
      </c>
      <c r="AG60" s="1500" t="s">
        <v>6653</v>
      </c>
      <c r="AH60" s="1500" t="s">
        <v>9746</v>
      </c>
      <c r="AI60" s="1500" t="s">
        <v>4160</v>
      </c>
      <c r="AJ60" s="1500" t="s">
        <v>9772</v>
      </c>
      <c r="AK60" s="1500" t="s">
        <v>1594</v>
      </c>
      <c r="AL60" s="1500" t="s">
        <v>3591</v>
      </c>
      <c r="AM60" s="1502" t="s">
        <v>6015</v>
      </c>
      <c r="AN60" s="1502" t="s">
        <v>5694</v>
      </c>
      <c r="AO60" s="1502" t="s">
        <v>6483</v>
      </c>
      <c r="AP60" s="1502" t="s">
        <v>9773</v>
      </c>
      <c r="AQ60" s="1502" t="s">
        <v>3621</v>
      </c>
      <c r="AR60" s="1502" t="s">
        <v>9336</v>
      </c>
      <c r="AS60" s="1502" t="s">
        <v>4135</v>
      </c>
      <c r="AT60" s="1497" t="s">
        <v>9774</v>
      </c>
      <c r="AU60" s="1483" t="s">
        <v>9775</v>
      </c>
      <c r="AV60" s="1452" t="str">
        <f t="shared" si="1"/>
        <v>2:25</v>
      </c>
      <c r="AW60" s="1580" t="s">
        <v>9776</v>
      </c>
    </row>
    <row r="61" ht="15.75" customHeight="1">
      <c r="A61" s="1528" t="s">
        <v>9777</v>
      </c>
      <c r="B61" s="1444" t="s">
        <v>8489</v>
      </c>
      <c r="C61" s="1583">
        <v>0.051631944444444446</v>
      </c>
      <c r="D61" s="1362" t="s">
        <v>9778</v>
      </c>
      <c r="E61" s="1617" t="s">
        <v>9779</v>
      </c>
      <c r="F61" s="1617" t="s">
        <v>8573</v>
      </c>
      <c r="G61" s="1617" t="s">
        <v>9780</v>
      </c>
      <c r="H61" s="1617" t="s">
        <v>9781</v>
      </c>
      <c r="I61" s="1617" t="s">
        <v>9707</v>
      </c>
      <c r="J61" s="1617" t="s">
        <v>3615</v>
      </c>
      <c r="K61" s="1617" t="s">
        <v>9782</v>
      </c>
      <c r="L61" s="1617" t="s">
        <v>5414</v>
      </c>
      <c r="M61" s="1617" t="s">
        <v>736</v>
      </c>
      <c r="N61" s="1617" t="s">
        <v>9783</v>
      </c>
      <c r="O61" s="1617" t="s">
        <v>4796</v>
      </c>
      <c r="P61" s="1617" t="s">
        <v>8523</v>
      </c>
      <c r="Q61" s="1617" t="s">
        <v>9784</v>
      </c>
      <c r="R61" s="1617" t="s">
        <v>9785</v>
      </c>
      <c r="S61" s="1617" t="s">
        <v>9560</v>
      </c>
      <c r="T61" s="1617" t="s">
        <v>9626</v>
      </c>
      <c r="U61" s="1617" t="s">
        <v>9786</v>
      </c>
      <c r="V61" s="1617" t="s">
        <v>9787</v>
      </c>
      <c r="W61" s="1617" t="s">
        <v>9788</v>
      </c>
      <c r="X61" s="1617" t="s">
        <v>9709</v>
      </c>
      <c r="Y61" s="1617" t="s">
        <v>4787</v>
      </c>
      <c r="Z61" s="1617" t="s">
        <v>7270</v>
      </c>
      <c r="AA61" s="1617" t="s">
        <v>9131</v>
      </c>
      <c r="AB61" s="1617" t="s">
        <v>9789</v>
      </c>
      <c r="AC61" s="1617" t="s">
        <v>395</v>
      </c>
      <c r="AD61" s="1617" t="s">
        <v>6054</v>
      </c>
      <c r="AE61" s="1617" t="s">
        <v>2986</v>
      </c>
      <c r="AF61" s="1617" t="s">
        <v>9475</v>
      </c>
      <c r="AG61" s="1617" t="s">
        <v>9790</v>
      </c>
      <c r="AH61" s="1617" t="s">
        <v>5456</v>
      </c>
      <c r="AI61" s="1617" t="s">
        <v>4179</v>
      </c>
      <c r="AJ61" s="1617" t="s">
        <v>9791</v>
      </c>
      <c r="AK61" s="1617" t="s">
        <v>9622</v>
      </c>
      <c r="AL61" s="1617" t="s">
        <v>4590</v>
      </c>
      <c r="AM61" s="1617" t="s">
        <v>9792</v>
      </c>
      <c r="AN61" s="1617" t="s">
        <v>8326</v>
      </c>
      <c r="AO61" s="1617" t="s">
        <v>5196</v>
      </c>
      <c r="AP61" s="1617" t="s">
        <v>9793</v>
      </c>
      <c r="AQ61" s="1617" t="s">
        <v>3703</v>
      </c>
      <c r="AR61" s="1617" t="s">
        <v>9151</v>
      </c>
      <c r="AS61" s="1617" t="s">
        <v>4772</v>
      </c>
      <c r="AT61" s="1617" t="s">
        <v>9794</v>
      </c>
      <c r="AU61" s="1620" t="str">
        <f>HYPERLINK("https://splits.io/pc9","1:16:48")</f>
        <v>1:16:48</v>
      </c>
      <c r="AV61" s="1617" t="str">
        <f t="shared" si="1"/>
        <v>2:27</v>
      </c>
      <c r="AW61" s="1621" t="s">
        <v>9795</v>
      </c>
    </row>
    <row r="62" ht="15.75" customHeight="1">
      <c r="A62" s="1443" t="s">
        <v>5727</v>
      </c>
      <c r="B62" s="1444" t="s">
        <v>8489</v>
      </c>
      <c r="C62" s="1583">
        <v>0.051631944444444446</v>
      </c>
      <c r="D62" s="1362" t="s">
        <v>9796</v>
      </c>
      <c r="E62" s="1617" t="s">
        <v>6683</v>
      </c>
      <c r="F62" s="1617" t="s">
        <v>9797</v>
      </c>
      <c r="G62" s="1617" t="s">
        <v>5358</v>
      </c>
      <c r="H62" s="1617" t="s">
        <v>9382</v>
      </c>
      <c r="I62" s="1617" t="s">
        <v>4787</v>
      </c>
      <c r="J62" s="1617" t="s">
        <v>8710</v>
      </c>
      <c r="K62" s="1617" t="s">
        <v>8362</v>
      </c>
      <c r="L62" s="1617" t="s">
        <v>5823</v>
      </c>
      <c r="M62" s="1617" t="s">
        <v>903</v>
      </c>
      <c r="N62" s="1617" t="s">
        <v>9798</v>
      </c>
      <c r="O62" s="1617" t="s">
        <v>9594</v>
      </c>
      <c r="P62" s="1617" t="s">
        <v>9478</v>
      </c>
      <c r="Q62" s="1617" t="s">
        <v>9799</v>
      </c>
      <c r="R62" s="1617" t="s">
        <v>9739</v>
      </c>
      <c r="S62" s="1617" t="s">
        <v>7225</v>
      </c>
      <c r="T62" s="1617" t="s">
        <v>9800</v>
      </c>
      <c r="U62" s="1617" t="s">
        <v>9801</v>
      </c>
      <c r="V62" s="1617" t="s">
        <v>9802</v>
      </c>
      <c r="W62" s="1617" t="s">
        <v>9803</v>
      </c>
      <c r="X62" s="1617" t="s">
        <v>9804</v>
      </c>
      <c r="Y62" s="1617" t="s">
        <v>1213</v>
      </c>
      <c r="Z62" s="1617" t="s">
        <v>4879</v>
      </c>
      <c r="AA62" s="1617" t="s">
        <v>9805</v>
      </c>
      <c r="AB62" s="1617" t="s">
        <v>7298</v>
      </c>
      <c r="AC62" s="1617" t="s">
        <v>9806</v>
      </c>
      <c r="AD62" s="1617" t="s">
        <v>9807</v>
      </c>
      <c r="AE62" s="1524" t="s">
        <v>5552</v>
      </c>
      <c r="AF62" s="1617" t="s">
        <v>9808</v>
      </c>
      <c r="AG62" s="1617" t="s">
        <v>9809</v>
      </c>
      <c r="AH62" s="1617" t="s">
        <v>2300</v>
      </c>
      <c r="AI62" s="1617" t="s">
        <v>5281</v>
      </c>
      <c r="AJ62" s="1617" t="s">
        <v>8142</v>
      </c>
      <c r="AK62" s="1617" t="s">
        <v>1785</v>
      </c>
      <c r="AL62" s="1617" t="s">
        <v>5694</v>
      </c>
      <c r="AM62" s="1617" t="s">
        <v>9810</v>
      </c>
      <c r="AN62" s="1617" t="s">
        <v>9811</v>
      </c>
      <c r="AO62" s="1617" t="s">
        <v>8758</v>
      </c>
      <c r="AP62" s="1617" t="s">
        <v>9812</v>
      </c>
      <c r="AQ62" s="1617" t="s">
        <v>9813</v>
      </c>
      <c r="AR62" s="1617" t="s">
        <v>4865</v>
      </c>
      <c r="AS62" s="1617" t="s">
        <v>3056</v>
      </c>
      <c r="AT62" s="1617" t="s">
        <v>9814</v>
      </c>
      <c r="AU62" s="1617" t="s">
        <v>9815</v>
      </c>
      <c r="AV62" s="1617" t="str">
        <f t="shared" si="1"/>
        <v>3:33</v>
      </c>
      <c r="AW62" s="1621"/>
    </row>
    <row r="63" ht="15.75" customHeight="1">
      <c r="A63" s="1443" t="s">
        <v>4340</v>
      </c>
      <c r="B63" s="1444" t="s">
        <v>8489</v>
      </c>
      <c r="C63" s="1583">
        <v>0.05164351851851852</v>
      </c>
      <c r="D63" s="1362" t="s">
        <v>9816</v>
      </c>
      <c r="E63" s="1617" t="s">
        <v>8659</v>
      </c>
      <c r="F63" s="1617" t="s">
        <v>9817</v>
      </c>
      <c r="G63" s="1617" t="s">
        <v>8547</v>
      </c>
      <c r="H63" s="1617" t="s">
        <v>9818</v>
      </c>
      <c r="I63" s="1617" t="s">
        <v>1421</v>
      </c>
      <c r="J63" s="1617" t="s">
        <v>837</v>
      </c>
      <c r="K63" s="1617" t="s">
        <v>7189</v>
      </c>
      <c r="L63" s="1617" t="s">
        <v>3738</v>
      </c>
      <c r="M63" s="1617" t="s">
        <v>9762</v>
      </c>
      <c r="N63" s="1617" t="s">
        <v>8813</v>
      </c>
      <c r="O63" s="1617" t="s">
        <v>9482</v>
      </c>
      <c r="P63" s="1617" t="s">
        <v>5228</v>
      </c>
      <c r="Q63" s="1617" t="s">
        <v>9819</v>
      </c>
      <c r="R63" s="1617" t="s">
        <v>9820</v>
      </c>
      <c r="S63" s="1617" t="s">
        <v>9821</v>
      </c>
      <c r="T63" s="1617" t="s">
        <v>9822</v>
      </c>
      <c r="U63" s="1617" t="s">
        <v>9823</v>
      </c>
      <c r="V63" s="1617" t="s">
        <v>9824</v>
      </c>
      <c r="W63" s="1617" t="s">
        <v>9825</v>
      </c>
      <c r="X63" s="1617" t="s">
        <v>627</v>
      </c>
      <c r="Y63" s="1617" t="s">
        <v>9826</v>
      </c>
      <c r="Z63" s="1617" t="s">
        <v>7594</v>
      </c>
      <c r="AA63" s="1617" t="s">
        <v>5647</v>
      </c>
      <c r="AB63" s="1617" t="s">
        <v>6484</v>
      </c>
      <c r="AC63" s="1617" t="s">
        <v>6623</v>
      </c>
      <c r="AD63" s="1617" t="s">
        <v>9827</v>
      </c>
      <c r="AE63" s="1617" t="s">
        <v>2007</v>
      </c>
      <c r="AF63" s="1617" t="s">
        <v>9828</v>
      </c>
      <c r="AG63" s="1617" t="s">
        <v>542</v>
      </c>
      <c r="AH63" s="1617" t="s">
        <v>5456</v>
      </c>
      <c r="AI63" s="1617" t="s">
        <v>9829</v>
      </c>
      <c r="AJ63" s="1617" t="s">
        <v>9830</v>
      </c>
      <c r="AK63" s="1617" t="s">
        <v>9831</v>
      </c>
      <c r="AL63" s="1617" t="s">
        <v>5225</v>
      </c>
      <c r="AM63" s="1617" t="s">
        <v>9279</v>
      </c>
      <c r="AN63" s="1617" t="s">
        <v>8876</v>
      </c>
      <c r="AO63" s="1617" t="s">
        <v>8581</v>
      </c>
      <c r="AP63" s="1617" t="s">
        <v>9832</v>
      </c>
      <c r="AQ63" s="1617" t="s">
        <v>9833</v>
      </c>
      <c r="AR63" s="1617" t="s">
        <v>3637</v>
      </c>
      <c r="AS63" s="1617" t="s">
        <v>9834</v>
      </c>
      <c r="AT63" s="1617" t="s">
        <v>9623</v>
      </c>
      <c r="AU63" s="1617" t="s">
        <v>9835</v>
      </c>
      <c r="AV63" s="1617" t="str">
        <f t="shared" si="1"/>
        <v>3:13</v>
      </c>
      <c r="AW63" s="1621" t="s">
        <v>9836</v>
      </c>
    </row>
    <row r="64" ht="15.75" customHeight="1">
      <c r="A64" s="1458" t="s">
        <v>859</v>
      </c>
      <c r="B64" s="1607" t="s">
        <v>8543</v>
      </c>
      <c r="C64" s="1583">
        <v>0.05167824074074074</v>
      </c>
      <c r="D64" s="1362" t="s">
        <v>9837</v>
      </c>
      <c r="E64" s="1617" t="s">
        <v>9838</v>
      </c>
      <c r="F64" s="1617" t="s">
        <v>9839</v>
      </c>
      <c r="G64" s="1617" t="s">
        <v>9840</v>
      </c>
      <c r="H64" s="1617" t="s">
        <v>9841</v>
      </c>
      <c r="I64" s="1617" t="s">
        <v>1995</v>
      </c>
      <c r="J64" s="1617" t="s">
        <v>9700</v>
      </c>
      <c r="K64" s="1617" t="s">
        <v>8790</v>
      </c>
      <c r="L64" s="1617" t="s">
        <v>1906</v>
      </c>
      <c r="M64" s="1617" t="s">
        <v>7330</v>
      </c>
      <c r="N64" s="1617" t="s">
        <v>9842</v>
      </c>
      <c r="O64" s="1617" t="s">
        <v>9843</v>
      </c>
      <c r="P64" s="1617" t="s">
        <v>2504</v>
      </c>
      <c r="Q64" s="1617" t="s">
        <v>745</v>
      </c>
      <c r="R64" s="1617" t="s">
        <v>9844</v>
      </c>
      <c r="S64" s="1617" t="s">
        <v>9845</v>
      </c>
      <c r="T64" s="1617" t="s">
        <v>9846</v>
      </c>
      <c r="U64" s="1617" t="s">
        <v>9436</v>
      </c>
      <c r="V64" s="1617" t="s">
        <v>501</v>
      </c>
      <c r="W64" s="1617" t="s">
        <v>5852</v>
      </c>
      <c r="X64" s="1617" t="s">
        <v>9847</v>
      </c>
      <c r="Y64" s="1617" t="s">
        <v>908</v>
      </c>
      <c r="Z64" s="1617" t="s">
        <v>4069</v>
      </c>
      <c r="AA64" s="1617" t="s">
        <v>1698</v>
      </c>
      <c r="AB64" s="1617" t="s">
        <v>9848</v>
      </c>
      <c r="AC64" s="1617" t="s">
        <v>9849</v>
      </c>
      <c r="AD64" s="1524" t="s">
        <v>9850</v>
      </c>
      <c r="AE64" s="1617" t="s">
        <v>2021</v>
      </c>
      <c r="AF64" s="1617" t="s">
        <v>9321</v>
      </c>
      <c r="AG64" s="1617" t="s">
        <v>6762</v>
      </c>
      <c r="AH64" s="1617" t="s">
        <v>4565</v>
      </c>
      <c r="AI64" s="1617" t="s">
        <v>6266</v>
      </c>
      <c r="AJ64" s="1617" t="s">
        <v>9851</v>
      </c>
      <c r="AK64" s="1617" t="s">
        <v>5042</v>
      </c>
      <c r="AL64" s="1617" t="s">
        <v>5280</v>
      </c>
      <c r="AM64" s="1617" t="s">
        <v>9852</v>
      </c>
      <c r="AN64" s="1617" t="s">
        <v>9853</v>
      </c>
      <c r="AO64" s="1617" t="s">
        <v>9854</v>
      </c>
      <c r="AP64" s="1617" t="s">
        <v>9855</v>
      </c>
      <c r="AQ64" s="1617" t="s">
        <v>9856</v>
      </c>
      <c r="AR64" s="1617" t="s">
        <v>9857</v>
      </c>
      <c r="AS64" s="1617" t="s">
        <v>9858</v>
      </c>
      <c r="AT64" s="1617" t="s">
        <v>9859</v>
      </c>
      <c r="AU64" s="1617" t="s">
        <v>9860</v>
      </c>
      <c r="AV64" s="1617" t="str">
        <f t="shared" si="1"/>
        <v>2:51</v>
      </c>
      <c r="AW64" s="1622"/>
    </row>
    <row r="65" ht="15.75" customHeight="1">
      <c r="A65" s="1491" t="s">
        <v>4733</v>
      </c>
      <c r="B65" s="1504" t="s">
        <v>8517</v>
      </c>
      <c r="C65" s="1583">
        <v>0.05170138888888889</v>
      </c>
      <c r="D65" s="1362" t="s">
        <v>9861</v>
      </c>
      <c r="E65" s="1617" t="s">
        <v>4334</v>
      </c>
      <c r="F65" s="1617" t="s">
        <v>9426</v>
      </c>
      <c r="G65" s="1617" t="s">
        <v>8915</v>
      </c>
      <c r="H65" s="1617" t="s">
        <v>9862</v>
      </c>
      <c r="I65" s="1617" t="s">
        <v>9863</v>
      </c>
      <c r="J65" s="1617" t="s">
        <v>9441</v>
      </c>
      <c r="K65" s="1617" t="s">
        <v>8758</v>
      </c>
      <c r="L65" s="1617" t="s">
        <v>4138</v>
      </c>
      <c r="M65" s="1617" t="s">
        <v>7530</v>
      </c>
      <c r="N65" s="1617" t="s">
        <v>6060</v>
      </c>
      <c r="O65" s="1617" t="s">
        <v>9544</v>
      </c>
      <c r="P65" s="1617" t="s">
        <v>496</v>
      </c>
      <c r="Q65" s="1617" t="s">
        <v>2928</v>
      </c>
      <c r="R65" s="1617" t="s">
        <v>9864</v>
      </c>
      <c r="S65" s="1617" t="s">
        <v>9750</v>
      </c>
      <c r="T65" s="1617" t="s">
        <v>2853</v>
      </c>
      <c r="U65" s="1617" t="s">
        <v>9865</v>
      </c>
      <c r="V65" s="1617" t="s">
        <v>9866</v>
      </c>
      <c r="W65" s="1617" t="s">
        <v>9788</v>
      </c>
      <c r="X65" s="1617" t="s">
        <v>3737</v>
      </c>
      <c r="Y65" s="1617" t="s">
        <v>2481</v>
      </c>
      <c r="Z65" s="1617" t="s">
        <v>504</v>
      </c>
      <c r="AA65" s="1617" t="s">
        <v>648</v>
      </c>
      <c r="AB65" s="1617" t="s">
        <v>9867</v>
      </c>
      <c r="AC65" s="1617" t="s">
        <v>968</v>
      </c>
      <c r="AD65" s="1617" t="s">
        <v>9498</v>
      </c>
      <c r="AE65" s="1617" t="s">
        <v>703</v>
      </c>
      <c r="AF65" s="1617" t="s">
        <v>9868</v>
      </c>
      <c r="AG65" s="1617" t="s">
        <v>9869</v>
      </c>
      <c r="AH65" s="1617" t="s">
        <v>9870</v>
      </c>
      <c r="AI65" s="1617" t="s">
        <v>9871</v>
      </c>
      <c r="AJ65" s="1617" t="s">
        <v>9872</v>
      </c>
      <c r="AK65" s="1617" t="s">
        <v>9445</v>
      </c>
      <c r="AL65" s="1617" t="s">
        <v>9873</v>
      </c>
      <c r="AM65" s="1617" t="s">
        <v>9727</v>
      </c>
      <c r="AN65" s="1617" t="s">
        <v>9874</v>
      </c>
      <c r="AO65" s="1617" t="s">
        <v>9489</v>
      </c>
      <c r="AP65" s="1617" t="s">
        <v>3300</v>
      </c>
      <c r="AQ65" s="1617" t="s">
        <v>9875</v>
      </c>
      <c r="AR65" s="1617" t="s">
        <v>9876</v>
      </c>
      <c r="AS65" s="1617" t="s">
        <v>6390</v>
      </c>
      <c r="AT65" s="1617" t="s">
        <v>9877</v>
      </c>
      <c r="AU65" s="1617" t="s">
        <v>9878</v>
      </c>
      <c r="AV65" s="1617" t="str">
        <f t="shared" si="1"/>
        <v>2:37</v>
      </c>
      <c r="AW65" s="1622" t="s">
        <v>9879</v>
      </c>
    </row>
    <row r="66" ht="15.75" customHeight="1">
      <c r="A66" s="1491" t="s">
        <v>5089</v>
      </c>
      <c r="B66" s="1485" t="s">
        <v>8517</v>
      </c>
      <c r="C66" s="1445">
        <v>0.05171296296296296</v>
      </c>
      <c r="D66" s="1593" t="s">
        <v>9880</v>
      </c>
      <c r="E66" s="1524" t="s">
        <v>9881</v>
      </c>
      <c r="F66" s="1524" t="s">
        <v>1538</v>
      </c>
      <c r="G66" s="1524" t="s">
        <v>9882</v>
      </c>
      <c r="H66" s="1524" t="s">
        <v>9883</v>
      </c>
      <c r="I66" s="1524" t="s">
        <v>9884</v>
      </c>
      <c r="J66" s="1524" t="s">
        <v>1017</v>
      </c>
      <c r="K66" s="1524" t="s">
        <v>4969</v>
      </c>
      <c r="L66" s="1524" t="s">
        <v>1896</v>
      </c>
      <c r="M66" s="1623" t="s">
        <v>9885</v>
      </c>
      <c r="N66" s="1524" t="s">
        <v>9886</v>
      </c>
      <c r="O66" s="1524" t="s">
        <v>1862</v>
      </c>
      <c r="P66" s="1524" t="s">
        <v>5145</v>
      </c>
      <c r="Q66" s="1524" t="s">
        <v>9887</v>
      </c>
      <c r="R66" s="1524" t="s">
        <v>9888</v>
      </c>
      <c r="S66" s="1524" t="s">
        <v>3815</v>
      </c>
      <c r="T66" s="1524" t="s">
        <v>9889</v>
      </c>
      <c r="U66" s="1524" t="s">
        <v>9677</v>
      </c>
      <c r="V66" s="1623" t="s">
        <v>9890</v>
      </c>
      <c r="W66" s="1623" t="s">
        <v>9891</v>
      </c>
      <c r="X66" s="1524" t="s">
        <v>9550</v>
      </c>
      <c r="Y66" s="1362" t="s">
        <v>9232</v>
      </c>
      <c r="Z66" s="1524" t="s">
        <v>1591</v>
      </c>
      <c r="AA66" s="1524" t="s">
        <v>1467</v>
      </c>
      <c r="AB66" s="1623" t="s">
        <v>9892</v>
      </c>
      <c r="AC66" s="1524" t="s">
        <v>2007</v>
      </c>
      <c r="AD66" s="1524" t="s">
        <v>9893</v>
      </c>
      <c r="AE66" s="1524" t="s">
        <v>3898</v>
      </c>
      <c r="AF66" s="1524" t="s">
        <v>9894</v>
      </c>
      <c r="AG66" s="1524" t="s">
        <v>542</v>
      </c>
      <c r="AH66" s="1524" t="s">
        <v>9895</v>
      </c>
      <c r="AI66" s="1524" t="s">
        <v>5484</v>
      </c>
      <c r="AJ66" s="1524" t="s">
        <v>9896</v>
      </c>
      <c r="AK66" s="1524" t="s">
        <v>9897</v>
      </c>
      <c r="AL66" s="1524" t="s">
        <v>1739</v>
      </c>
      <c r="AM66" s="1524" t="s">
        <v>9718</v>
      </c>
      <c r="AN66" s="1524" t="s">
        <v>9898</v>
      </c>
      <c r="AO66" s="1524" t="s">
        <v>2825</v>
      </c>
      <c r="AP66" s="1524" t="s">
        <v>2085</v>
      </c>
      <c r="AQ66" s="1524" t="s">
        <v>787</v>
      </c>
      <c r="AR66" s="1524" t="s">
        <v>9517</v>
      </c>
      <c r="AS66" s="1524" t="s">
        <v>7002</v>
      </c>
      <c r="AT66" s="1524" t="s">
        <v>9899</v>
      </c>
      <c r="AU66" s="1524" t="s">
        <v>9900</v>
      </c>
      <c r="AV66" s="1617" t="str">
        <f t="shared" si="1"/>
        <v>4:14</v>
      </c>
      <c r="AW66" s="1618" t="s">
        <v>9901</v>
      </c>
    </row>
    <row r="67" ht="15.75" customHeight="1">
      <c r="A67" s="1491" t="s">
        <v>2234</v>
      </c>
      <c r="B67" s="1603" t="s">
        <v>8517</v>
      </c>
      <c r="C67" s="1445">
        <v>0.05173611111111111</v>
      </c>
      <c r="D67" s="1362" t="s">
        <v>9902</v>
      </c>
      <c r="E67" s="1524" t="s">
        <v>9903</v>
      </c>
      <c r="F67" s="1524" t="s">
        <v>9904</v>
      </c>
      <c r="G67" s="1524" t="s">
        <v>9905</v>
      </c>
      <c r="H67" s="1524" t="s">
        <v>7463</v>
      </c>
      <c r="I67" s="1524" t="s">
        <v>509</v>
      </c>
      <c r="J67" s="1524" t="s">
        <v>8856</v>
      </c>
      <c r="K67" s="1524" t="s">
        <v>9906</v>
      </c>
      <c r="L67" s="1524" t="s">
        <v>7078</v>
      </c>
      <c r="M67" s="1524" t="s">
        <v>3654</v>
      </c>
      <c r="N67" s="1524" t="s">
        <v>9907</v>
      </c>
      <c r="O67" s="1524" t="s">
        <v>9908</v>
      </c>
      <c r="P67" s="1524" t="s">
        <v>3827</v>
      </c>
      <c r="Q67" s="1524" t="s">
        <v>9909</v>
      </c>
      <c r="R67" s="1524" t="s">
        <v>9844</v>
      </c>
      <c r="S67" s="1524" t="s">
        <v>5618</v>
      </c>
      <c r="T67" s="1524" t="s">
        <v>9910</v>
      </c>
      <c r="U67" s="1524" t="s">
        <v>9911</v>
      </c>
      <c r="V67" s="1524" t="s">
        <v>364</v>
      </c>
      <c r="W67" s="1524" t="s">
        <v>5651</v>
      </c>
      <c r="X67" s="1524" t="s">
        <v>9745</v>
      </c>
      <c r="Y67" s="1524" t="s">
        <v>1213</v>
      </c>
      <c r="Z67" s="1524" t="s">
        <v>9912</v>
      </c>
      <c r="AA67" s="1524" t="s">
        <v>9131</v>
      </c>
      <c r="AB67" s="1524" t="s">
        <v>6482</v>
      </c>
      <c r="AC67" s="1524" t="s">
        <v>1670</v>
      </c>
      <c r="AD67" s="1524" t="s">
        <v>9770</v>
      </c>
      <c r="AE67" s="1524" t="s">
        <v>9204</v>
      </c>
      <c r="AF67" s="1524" t="s">
        <v>9218</v>
      </c>
      <c r="AG67" s="1524" t="s">
        <v>4952</v>
      </c>
      <c r="AH67" s="1524" t="s">
        <v>9913</v>
      </c>
      <c r="AI67" s="1524" t="s">
        <v>9914</v>
      </c>
      <c r="AJ67" s="1524" t="s">
        <v>9915</v>
      </c>
      <c r="AK67" s="1524" t="s">
        <v>8824</v>
      </c>
      <c r="AL67" s="1524" t="s">
        <v>9916</v>
      </c>
      <c r="AM67" s="1524" t="s">
        <v>2911</v>
      </c>
      <c r="AN67" s="1524" t="s">
        <v>5225</v>
      </c>
      <c r="AO67" s="1524" t="s">
        <v>9670</v>
      </c>
      <c r="AP67" s="1524" t="s">
        <v>9917</v>
      </c>
      <c r="AQ67" s="1524" t="s">
        <v>9918</v>
      </c>
      <c r="AR67" s="1524" t="s">
        <v>426</v>
      </c>
      <c r="AS67" s="1524" t="s">
        <v>9919</v>
      </c>
      <c r="AT67" s="1524" t="s">
        <v>9920</v>
      </c>
      <c r="AU67" s="1524" t="s">
        <v>9921</v>
      </c>
      <c r="AV67" s="1617" t="str">
        <f t="shared" si="1"/>
        <v>3:51</v>
      </c>
      <c r="AW67" s="1618" t="s">
        <v>9922</v>
      </c>
    </row>
    <row r="68" ht="15.75" customHeight="1">
      <c r="A68" s="1491" t="s">
        <v>8245</v>
      </c>
      <c r="B68" s="1489" t="s">
        <v>8543</v>
      </c>
      <c r="C68" s="1445">
        <v>0.051805555555555556</v>
      </c>
      <c r="D68" s="1524" t="s">
        <v>9923</v>
      </c>
      <c r="E68" s="1524" t="s">
        <v>9924</v>
      </c>
      <c r="F68" s="1362" t="s">
        <v>9925</v>
      </c>
      <c r="G68" s="1524" t="s">
        <v>9926</v>
      </c>
      <c r="H68" s="1463" t="s">
        <v>9927</v>
      </c>
      <c r="I68" s="1463">
        <v>49.81</v>
      </c>
      <c r="J68" s="1463" t="s">
        <v>9928</v>
      </c>
      <c r="K68" s="1463" t="s">
        <v>6164</v>
      </c>
      <c r="L68" s="1463">
        <v>59.57</v>
      </c>
      <c r="M68" s="1463" t="s">
        <v>9929</v>
      </c>
      <c r="N68" s="1463" t="s">
        <v>9930</v>
      </c>
      <c r="O68" s="1462" t="s">
        <v>7382</v>
      </c>
      <c r="P68" s="1462" t="s">
        <v>9931</v>
      </c>
      <c r="Q68" s="1462" t="s">
        <v>9932</v>
      </c>
      <c r="R68" s="1463" t="s">
        <v>9933</v>
      </c>
      <c r="S68" s="1463" t="s">
        <v>9560</v>
      </c>
      <c r="T68" s="1463" t="s">
        <v>9934</v>
      </c>
      <c r="U68" s="1463" t="s">
        <v>9935</v>
      </c>
      <c r="V68" s="1463" t="s">
        <v>4468</v>
      </c>
      <c r="W68" s="1463" t="s">
        <v>9936</v>
      </c>
      <c r="X68" s="1463" t="s">
        <v>9937</v>
      </c>
      <c r="Y68" s="1462" t="s">
        <v>9446</v>
      </c>
      <c r="Z68" s="1624" t="s">
        <v>8561</v>
      </c>
      <c r="AA68" s="1463" t="s">
        <v>938</v>
      </c>
      <c r="AB68" s="1462" t="s">
        <v>4370</v>
      </c>
      <c r="AC68" s="1463">
        <v>49.53</v>
      </c>
      <c r="AD68" s="1463" t="s">
        <v>1947</v>
      </c>
      <c r="AE68" s="1462" t="s">
        <v>9938</v>
      </c>
      <c r="AF68" s="1463" t="s">
        <v>8718</v>
      </c>
      <c r="AG68" s="1463" t="s">
        <v>9939</v>
      </c>
      <c r="AH68" s="1463">
        <v>59.93</v>
      </c>
      <c r="AI68" s="1463" t="s">
        <v>9940</v>
      </c>
      <c r="AJ68" s="1463" t="s">
        <v>9941</v>
      </c>
      <c r="AK68" s="1463" t="s">
        <v>5840</v>
      </c>
      <c r="AL68" s="1463">
        <v>59.13</v>
      </c>
      <c r="AM68" s="1463" t="s">
        <v>9876</v>
      </c>
      <c r="AN68" s="1463">
        <v>57.86</v>
      </c>
      <c r="AO68" s="1463" t="s">
        <v>7681</v>
      </c>
      <c r="AP68" s="1463" t="s">
        <v>9942</v>
      </c>
      <c r="AQ68" s="1463" t="s">
        <v>9452</v>
      </c>
      <c r="AR68" s="1463" t="s">
        <v>6079</v>
      </c>
      <c r="AS68" s="1463">
        <v>47.67</v>
      </c>
      <c r="AT68" s="1524" t="s">
        <v>9943</v>
      </c>
      <c r="AU68" s="1524" t="s">
        <v>9944</v>
      </c>
      <c r="AV68" s="1617" t="str">
        <f t="shared" si="1"/>
        <v>2:57</v>
      </c>
      <c r="AW68" s="1625" t="s">
        <v>9945</v>
      </c>
    </row>
    <row r="69">
      <c r="A69" s="1626" t="s">
        <v>1384</v>
      </c>
      <c r="B69" s="1485" t="s">
        <v>8517</v>
      </c>
      <c r="C69" s="1627">
        <v>0.05181712962962963</v>
      </c>
      <c r="D69" s="1447" t="s">
        <v>9946</v>
      </c>
      <c r="E69" s="1573" t="s">
        <v>9947</v>
      </c>
      <c r="F69" s="1447" t="s">
        <v>9948</v>
      </c>
      <c r="G69" s="1447" t="s">
        <v>9949</v>
      </c>
      <c r="H69" s="1447" t="s">
        <v>9950</v>
      </c>
      <c r="I69" s="1447" t="s">
        <v>5083</v>
      </c>
      <c r="J69" s="1447" t="s">
        <v>8841</v>
      </c>
      <c r="K69" s="1573" t="s">
        <v>9122</v>
      </c>
      <c r="L69" s="1447" t="s">
        <v>9913</v>
      </c>
      <c r="M69" s="1447" t="s">
        <v>1523</v>
      </c>
      <c r="N69" s="1573" t="s">
        <v>9414</v>
      </c>
      <c r="O69" s="1447" t="s">
        <v>7435</v>
      </c>
      <c r="P69" s="1447" t="s">
        <v>9050</v>
      </c>
      <c r="Q69" s="1447" t="s">
        <v>9951</v>
      </c>
      <c r="R69" s="1447" t="s">
        <v>3225</v>
      </c>
      <c r="S69" s="1573" t="s">
        <v>4984</v>
      </c>
      <c r="T69" s="1447" t="s">
        <v>9952</v>
      </c>
      <c r="U69" s="1573" t="s">
        <v>9953</v>
      </c>
      <c r="V69" s="1447" t="s">
        <v>9866</v>
      </c>
      <c r="W69" s="1447" t="s">
        <v>9954</v>
      </c>
      <c r="X69" s="1447" t="s">
        <v>9507</v>
      </c>
      <c r="Y69" s="1447" t="s">
        <v>9955</v>
      </c>
      <c r="Z69" s="1573" t="s">
        <v>6247</v>
      </c>
      <c r="AA69" s="1447" t="s">
        <v>928</v>
      </c>
      <c r="AB69" s="1447" t="s">
        <v>9956</v>
      </c>
      <c r="AC69" s="1447" t="s">
        <v>2113</v>
      </c>
      <c r="AD69" s="1447" t="s">
        <v>9957</v>
      </c>
      <c r="AE69" s="1573" t="s">
        <v>6582</v>
      </c>
      <c r="AF69" s="1447" t="s">
        <v>9623</v>
      </c>
      <c r="AG69" s="1447" t="s">
        <v>408</v>
      </c>
      <c r="AH69" s="1447" t="s">
        <v>9958</v>
      </c>
      <c r="AI69" s="1447" t="s">
        <v>245</v>
      </c>
      <c r="AJ69" s="1573" t="s">
        <v>9959</v>
      </c>
      <c r="AK69" s="1447" t="s">
        <v>9222</v>
      </c>
      <c r="AL69" s="1447" t="s">
        <v>4802</v>
      </c>
      <c r="AM69" s="1447" t="s">
        <v>9960</v>
      </c>
      <c r="AN69" s="1447" t="s">
        <v>9273</v>
      </c>
      <c r="AO69" s="1447" t="s">
        <v>9961</v>
      </c>
      <c r="AP69" s="1573" t="s">
        <v>9962</v>
      </c>
      <c r="AQ69" s="1447" t="s">
        <v>9963</v>
      </c>
      <c r="AR69" s="1447" t="s">
        <v>9964</v>
      </c>
      <c r="AS69" s="1573" t="s">
        <v>357</v>
      </c>
      <c r="AT69" s="1447" t="s">
        <v>9965</v>
      </c>
      <c r="AU69" s="1454" t="s">
        <v>9966</v>
      </c>
      <c r="AV69" s="1515" t="str">
        <f t="shared" si="1"/>
        <v>3:49</v>
      </c>
      <c r="AW69" s="1628" t="s">
        <v>9967</v>
      </c>
    </row>
    <row r="70" ht="15.75" customHeight="1">
      <c r="A70" s="1443" t="s">
        <v>3113</v>
      </c>
      <c r="B70" s="1504" t="s">
        <v>8517</v>
      </c>
      <c r="C70" s="1583">
        <v>0.051863425925925924</v>
      </c>
      <c r="D70" s="1362" t="s">
        <v>9968</v>
      </c>
      <c r="E70" s="1617" t="s">
        <v>6375</v>
      </c>
      <c r="F70" s="1617" t="s">
        <v>9969</v>
      </c>
      <c r="G70" s="1617" t="s">
        <v>9970</v>
      </c>
      <c r="H70" s="1617" t="s">
        <v>9971</v>
      </c>
      <c r="I70" s="1617" t="s">
        <v>2130</v>
      </c>
      <c r="J70" s="1617" t="s">
        <v>1839</v>
      </c>
      <c r="K70" s="1617" t="s">
        <v>1666</v>
      </c>
      <c r="L70" s="1617" t="s">
        <v>3121</v>
      </c>
      <c r="M70" s="1617" t="s">
        <v>9739</v>
      </c>
      <c r="N70" s="1617" t="s">
        <v>5170</v>
      </c>
      <c r="O70" s="1617" t="s">
        <v>9972</v>
      </c>
      <c r="P70" s="1617" t="s">
        <v>1286</v>
      </c>
      <c r="Q70" s="1617" t="s">
        <v>9973</v>
      </c>
      <c r="R70" s="1617" t="s">
        <v>9974</v>
      </c>
      <c r="S70" s="1617" t="s">
        <v>9975</v>
      </c>
      <c r="T70" s="1617" t="s">
        <v>9976</v>
      </c>
      <c r="U70" s="1617" t="s">
        <v>9977</v>
      </c>
      <c r="V70" s="1617" t="s">
        <v>9526</v>
      </c>
      <c r="W70" s="1617" t="s">
        <v>9978</v>
      </c>
      <c r="X70" s="1617" t="s">
        <v>9871</v>
      </c>
      <c r="Y70" s="1617" t="s">
        <v>3249</v>
      </c>
      <c r="Z70" s="1617" t="s">
        <v>9979</v>
      </c>
      <c r="AA70" s="1617" t="s">
        <v>9980</v>
      </c>
      <c r="AB70" s="1617" t="s">
        <v>8365</v>
      </c>
      <c r="AC70" s="1617" t="s">
        <v>968</v>
      </c>
      <c r="AD70" s="1617" t="s">
        <v>9981</v>
      </c>
      <c r="AE70" s="1617" t="s">
        <v>1231</v>
      </c>
      <c r="AF70" s="1617" t="s">
        <v>9982</v>
      </c>
      <c r="AG70" s="1617" t="s">
        <v>9983</v>
      </c>
      <c r="AH70" s="1617" t="s">
        <v>5414</v>
      </c>
      <c r="AI70" s="1617" t="s">
        <v>9914</v>
      </c>
      <c r="AJ70" s="1617" t="s">
        <v>9984</v>
      </c>
      <c r="AK70" s="1617" t="s">
        <v>1999</v>
      </c>
      <c r="AL70" s="1617" t="s">
        <v>9958</v>
      </c>
      <c r="AM70" s="1617" t="s">
        <v>9985</v>
      </c>
      <c r="AN70" s="1617" t="s">
        <v>9434</v>
      </c>
      <c r="AO70" s="1617" t="s">
        <v>8712</v>
      </c>
      <c r="AP70" s="1617" t="s">
        <v>9986</v>
      </c>
      <c r="AQ70" s="1617" t="s">
        <v>9987</v>
      </c>
      <c r="AR70" s="1617" t="s">
        <v>2275</v>
      </c>
      <c r="AS70" s="1617" t="s">
        <v>4856</v>
      </c>
      <c r="AT70" s="1617" t="s">
        <v>9988</v>
      </c>
      <c r="AU70" s="1617" t="s">
        <v>9989</v>
      </c>
      <c r="AV70" s="1617" t="str">
        <f t="shared" si="1"/>
        <v>2:06</v>
      </c>
      <c r="AW70" s="1618" t="s">
        <v>9990</v>
      </c>
    </row>
    <row r="71" ht="15.75" customHeight="1">
      <c r="A71" s="1443" t="s">
        <v>1174</v>
      </c>
      <c r="B71" s="1444" t="s">
        <v>8489</v>
      </c>
      <c r="C71" s="1583">
        <v>0.051875</v>
      </c>
      <c r="D71" s="1362" t="s">
        <v>9991</v>
      </c>
      <c r="E71" s="1617" t="s">
        <v>3359</v>
      </c>
      <c r="F71" s="1617" t="s">
        <v>9992</v>
      </c>
      <c r="G71" s="1617" t="s">
        <v>9993</v>
      </c>
      <c r="H71" s="1617" t="s">
        <v>9994</v>
      </c>
      <c r="I71" s="1617" t="s">
        <v>9995</v>
      </c>
      <c r="J71" s="1617" t="s">
        <v>2619</v>
      </c>
      <c r="K71" s="1617" t="s">
        <v>9996</v>
      </c>
      <c r="L71" s="1617" t="s">
        <v>8582</v>
      </c>
      <c r="M71" s="1617" t="s">
        <v>7548</v>
      </c>
      <c r="N71" s="1617" t="s">
        <v>9626</v>
      </c>
      <c r="O71" s="1617" t="s">
        <v>4579</v>
      </c>
      <c r="P71" s="1617" t="s">
        <v>1597</v>
      </c>
      <c r="Q71" s="1617" t="s">
        <v>9997</v>
      </c>
      <c r="R71" s="1617" t="s">
        <v>9238</v>
      </c>
      <c r="S71" s="1617" t="s">
        <v>4544</v>
      </c>
      <c r="T71" s="1617" t="s">
        <v>9998</v>
      </c>
      <c r="U71" s="1617" t="s">
        <v>9786</v>
      </c>
      <c r="V71" s="1617" t="s">
        <v>6386</v>
      </c>
      <c r="W71" s="1617" t="s">
        <v>4579</v>
      </c>
      <c r="X71" s="1617" t="s">
        <v>9414</v>
      </c>
      <c r="Y71" s="1617" t="s">
        <v>9448</v>
      </c>
      <c r="Z71" s="1617" t="s">
        <v>9999</v>
      </c>
      <c r="AA71" s="1617" t="s">
        <v>429</v>
      </c>
      <c r="AB71" s="1617" t="s">
        <v>642</v>
      </c>
      <c r="AC71" s="1617" t="s">
        <v>10000</v>
      </c>
      <c r="AD71" s="1617" t="s">
        <v>9827</v>
      </c>
      <c r="AE71" s="1617" t="s">
        <v>979</v>
      </c>
      <c r="AF71" s="1617" t="s">
        <v>10001</v>
      </c>
      <c r="AG71" s="1617" t="s">
        <v>10002</v>
      </c>
      <c r="AH71" s="1617" t="s">
        <v>9737</v>
      </c>
      <c r="AI71" s="1617" t="s">
        <v>10003</v>
      </c>
      <c r="AJ71" s="1617" t="s">
        <v>10004</v>
      </c>
      <c r="AK71" s="1617" t="s">
        <v>10005</v>
      </c>
      <c r="AL71" s="1617" t="s">
        <v>5650</v>
      </c>
      <c r="AM71" s="1617" t="s">
        <v>10006</v>
      </c>
      <c r="AN71" s="1617" t="s">
        <v>6206</v>
      </c>
      <c r="AO71" s="1524" t="s">
        <v>9584</v>
      </c>
      <c r="AP71" s="1617" t="s">
        <v>10007</v>
      </c>
      <c r="AQ71" s="1617" t="s">
        <v>10008</v>
      </c>
      <c r="AR71" s="1617" t="s">
        <v>9260</v>
      </c>
      <c r="AS71" s="1617" t="s">
        <v>9327</v>
      </c>
      <c r="AT71" s="1617" t="s">
        <v>10009</v>
      </c>
      <c r="AU71" s="1524" t="s">
        <v>10010</v>
      </c>
      <c r="AV71" s="1617" t="str">
        <f t="shared" si="1"/>
        <v>0:37</v>
      </c>
      <c r="AW71" s="1622" t="s">
        <v>10011</v>
      </c>
    </row>
    <row r="72">
      <c r="A72" s="1491" t="s">
        <v>7843</v>
      </c>
      <c r="B72" s="1485" t="s">
        <v>8489</v>
      </c>
      <c r="C72" s="1445">
        <v>0.05188657407407407</v>
      </c>
      <c r="D72" s="1524" t="s">
        <v>10012</v>
      </c>
      <c r="E72" s="1362" t="s">
        <v>900</v>
      </c>
      <c r="F72" s="1362" t="s">
        <v>10013</v>
      </c>
      <c r="G72" s="1362" t="s">
        <v>10014</v>
      </c>
      <c r="H72" s="1362" t="s">
        <v>10015</v>
      </c>
      <c r="I72" s="1362" t="s">
        <v>703</v>
      </c>
      <c r="J72" s="1362" t="s">
        <v>4239</v>
      </c>
      <c r="K72" s="1362" t="s">
        <v>9233</v>
      </c>
      <c r="L72" s="1362" t="s">
        <v>2804</v>
      </c>
      <c r="M72" s="1362" t="s">
        <v>10016</v>
      </c>
      <c r="N72" s="1362" t="s">
        <v>4117</v>
      </c>
      <c r="O72" s="1362" t="s">
        <v>10017</v>
      </c>
      <c r="P72" s="1362" t="s">
        <v>5230</v>
      </c>
      <c r="Q72" s="1362" t="s">
        <v>10018</v>
      </c>
      <c r="R72" s="1362" t="s">
        <v>5601</v>
      </c>
      <c r="S72" s="1362" t="s">
        <v>10019</v>
      </c>
      <c r="T72" s="1362" t="s">
        <v>8566</v>
      </c>
      <c r="U72" s="1362" t="s">
        <v>10020</v>
      </c>
      <c r="V72" s="1362" t="s">
        <v>5513</v>
      </c>
      <c r="W72" s="1362" t="s">
        <v>10021</v>
      </c>
      <c r="X72" s="1362" t="s">
        <v>10022</v>
      </c>
      <c r="Y72" s="1362" t="s">
        <v>10023</v>
      </c>
      <c r="Z72" s="1362" t="s">
        <v>9245</v>
      </c>
      <c r="AA72" s="1362" t="s">
        <v>5203</v>
      </c>
      <c r="AB72" s="1362" t="s">
        <v>712</v>
      </c>
      <c r="AC72" s="1362" t="s">
        <v>10024</v>
      </c>
      <c r="AD72" s="1362" t="s">
        <v>3424</v>
      </c>
      <c r="AE72" s="1362" t="s">
        <v>5874</v>
      </c>
      <c r="AF72" s="1362" t="s">
        <v>10025</v>
      </c>
      <c r="AG72" s="1362" t="s">
        <v>2534</v>
      </c>
      <c r="AH72" s="1362" t="s">
        <v>2804</v>
      </c>
      <c r="AI72" s="1362" t="s">
        <v>3535</v>
      </c>
      <c r="AJ72" s="1362" t="s">
        <v>10026</v>
      </c>
      <c r="AK72" s="1362" t="s">
        <v>9252</v>
      </c>
      <c r="AL72" s="1362" t="s">
        <v>9699</v>
      </c>
      <c r="AM72" s="1362" t="s">
        <v>9220</v>
      </c>
      <c r="AN72" s="1362" t="s">
        <v>3648</v>
      </c>
      <c r="AO72" s="1362" t="s">
        <v>8705</v>
      </c>
      <c r="AP72" s="1362" t="s">
        <v>9651</v>
      </c>
      <c r="AQ72" s="1362" t="s">
        <v>10008</v>
      </c>
      <c r="AR72" s="1362" t="s">
        <v>10027</v>
      </c>
      <c r="AS72" s="1362" t="s">
        <v>6390</v>
      </c>
      <c r="AT72" s="1362" t="s">
        <v>10028</v>
      </c>
      <c r="AU72" s="1524" t="s">
        <v>10029</v>
      </c>
      <c r="AV72" s="1617" t="str">
        <f t="shared" si="1"/>
        <v>4:21</v>
      </c>
      <c r="AW72" s="1618" t="s">
        <v>10030</v>
      </c>
    </row>
    <row r="73" ht="15.75" customHeight="1">
      <c r="A73" s="1443" t="s">
        <v>4942</v>
      </c>
      <c r="B73" s="1607" t="s">
        <v>8543</v>
      </c>
      <c r="C73" s="1445">
        <v>0.051909722222222225</v>
      </c>
      <c r="D73" s="1629" t="s">
        <v>10031</v>
      </c>
      <c r="E73" s="1520" t="s">
        <v>2290</v>
      </c>
      <c r="F73" s="1520" t="s">
        <v>10032</v>
      </c>
      <c r="G73" s="1520" t="s">
        <v>10033</v>
      </c>
      <c r="H73" s="1520" t="s">
        <v>10034</v>
      </c>
      <c r="I73" s="1629">
        <v>49.97</v>
      </c>
      <c r="J73" s="1520" t="s">
        <v>2273</v>
      </c>
      <c r="K73" s="1520" t="s">
        <v>10035</v>
      </c>
      <c r="L73" s="1520" t="s">
        <v>10036</v>
      </c>
      <c r="M73" s="1520" t="s">
        <v>2990</v>
      </c>
      <c r="N73" s="1520" t="s">
        <v>4804</v>
      </c>
      <c r="O73" s="1520" t="s">
        <v>5846</v>
      </c>
      <c r="P73" s="1629">
        <v>48.99</v>
      </c>
      <c r="Q73" s="1520" t="s">
        <v>10037</v>
      </c>
      <c r="R73" s="1520" t="s">
        <v>5820</v>
      </c>
      <c r="S73" s="1520" t="s">
        <v>4308</v>
      </c>
      <c r="T73" s="1520" t="s">
        <v>10038</v>
      </c>
      <c r="U73" s="1520" t="s">
        <v>10039</v>
      </c>
      <c r="V73" s="1520" t="s">
        <v>2540</v>
      </c>
      <c r="W73" s="1520" t="s">
        <v>10040</v>
      </c>
      <c r="X73" s="1520" t="s">
        <v>9742</v>
      </c>
      <c r="Y73" s="1630">
        <v>47.93</v>
      </c>
      <c r="Z73" s="1520" t="s">
        <v>10041</v>
      </c>
      <c r="AA73" s="1520" t="s">
        <v>5120</v>
      </c>
      <c r="AB73" s="1520" t="s">
        <v>9722</v>
      </c>
      <c r="AC73" s="1624">
        <v>49.24</v>
      </c>
      <c r="AD73" s="1520" t="s">
        <v>9142</v>
      </c>
      <c r="AE73" s="1629">
        <v>49.87</v>
      </c>
      <c r="AF73" s="1520" t="s">
        <v>10042</v>
      </c>
      <c r="AG73" s="1520" t="s">
        <v>10043</v>
      </c>
      <c r="AH73" s="1629">
        <v>59.9</v>
      </c>
      <c r="AI73" s="1520" t="s">
        <v>10044</v>
      </c>
      <c r="AJ73" s="1631" t="s">
        <v>8567</v>
      </c>
      <c r="AK73" s="1520" t="s">
        <v>2040</v>
      </c>
      <c r="AL73" s="1629">
        <v>58.74</v>
      </c>
      <c r="AM73" s="1520" t="s">
        <v>2087</v>
      </c>
      <c r="AN73" s="1629">
        <v>57.51</v>
      </c>
      <c r="AO73" s="1520" t="s">
        <v>4894</v>
      </c>
      <c r="AP73" s="1520" t="s">
        <v>10045</v>
      </c>
      <c r="AQ73" s="1520" t="s">
        <v>3391</v>
      </c>
      <c r="AR73" s="1631" t="s">
        <v>6483</v>
      </c>
      <c r="AS73" s="1629">
        <v>47.44</v>
      </c>
      <c r="AT73" s="1520" t="s">
        <v>10046</v>
      </c>
      <c r="AU73" s="1524" t="s">
        <v>10047</v>
      </c>
      <c r="AV73" s="1617" t="str">
        <f t="shared" si="1"/>
        <v>2:59</v>
      </c>
      <c r="AW73" s="1618" t="s">
        <v>7818</v>
      </c>
    </row>
    <row r="74">
      <c r="A74" s="1491" t="s">
        <v>8408</v>
      </c>
      <c r="B74" s="1489" t="s">
        <v>8489</v>
      </c>
      <c r="C74" s="1445">
        <v>0.05193287037037037</v>
      </c>
      <c r="D74" s="1593" t="s">
        <v>10048</v>
      </c>
      <c r="E74" s="1524" t="s">
        <v>7576</v>
      </c>
      <c r="F74" s="1524" t="s">
        <v>10049</v>
      </c>
      <c r="G74" s="1524" t="s">
        <v>10050</v>
      </c>
      <c r="H74" s="1524" t="s">
        <v>10051</v>
      </c>
      <c r="I74" s="1524" t="s">
        <v>2504</v>
      </c>
      <c r="J74" s="1524" t="s">
        <v>4333</v>
      </c>
      <c r="K74" s="1524" t="s">
        <v>9171</v>
      </c>
      <c r="L74" s="1524"/>
      <c r="M74" s="1524" t="s">
        <v>7195</v>
      </c>
      <c r="N74" s="1524" t="s">
        <v>9395</v>
      </c>
      <c r="O74" s="1524" t="s">
        <v>8559</v>
      </c>
      <c r="P74" s="1524" t="s">
        <v>9644</v>
      </c>
      <c r="Q74" s="1524" t="s">
        <v>10052</v>
      </c>
      <c r="R74" s="1524" t="s">
        <v>10053</v>
      </c>
      <c r="S74" s="1524" t="s">
        <v>8931</v>
      </c>
      <c r="T74" s="1524" t="s">
        <v>9188</v>
      </c>
      <c r="U74" s="1524" t="s">
        <v>2352</v>
      </c>
      <c r="V74" s="1524" t="s">
        <v>9003</v>
      </c>
      <c r="W74" s="1524" t="s">
        <v>5846</v>
      </c>
      <c r="X74" s="1524" t="s">
        <v>648</v>
      </c>
      <c r="Y74" s="1524" t="s">
        <v>8945</v>
      </c>
      <c r="Z74" s="1524" t="s">
        <v>8590</v>
      </c>
      <c r="AA74" s="1524" t="s">
        <v>7694</v>
      </c>
      <c r="AB74" s="1524" t="s">
        <v>9652</v>
      </c>
      <c r="AC74" s="1524" t="s">
        <v>3031</v>
      </c>
      <c r="AD74" s="1524" t="s">
        <v>10054</v>
      </c>
      <c r="AE74" s="1524" t="s">
        <v>10055</v>
      </c>
      <c r="AF74" s="1524" t="s">
        <v>10056</v>
      </c>
      <c r="AG74" s="1524" t="s">
        <v>9790</v>
      </c>
      <c r="AH74" s="1524" t="s">
        <v>10057</v>
      </c>
      <c r="AI74" s="1524" t="s">
        <v>10058</v>
      </c>
      <c r="AJ74" s="1524" t="s">
        <v>10059</v>
      </c>
      <c r="AK74" s="1524" t="s">
        <v>10060</v>
      </c>
      <c r="AL74" s="1524" t="s">
        <v>3244</v>
      </c>
      <c r="AM74" s="1524" t="s">
        <v>10061</v>
      </c>
      <c r="AN74" s="1524" t="s">
        <v>3659</v>
      </c>
      <c r="AO74" s="1524" t="s">
        <v>10062</v>
      </c>
      <c r="AP74" s="1524" t="s">
        <v>10063</v>
      </c>
      <c r="AQ74" s="1524" t="s">
        <v>10064</v>
      </c>
      <c r="AR74" s="1524" t="s">
        <v>10065</v>
      </c>
      <c r="AS74" s="1524" t="s">
        <v>3869</v>
      </c>
      <c r="AT74" s="1524" t="s">
        <v>10066</v>
      </c>
      <c r="AU74" s="1524" t="s">
        <v>10067</v>
      </c>
      <c r="AV74" s="1617" t="str">
        <f t="shared" si="1"/>
        <v>4:12</v>
      </c>
      <c r="AW74" s="1622"/>
    </row>
    <row r="75">
      <c r="A75" s="1491" t="s">
        <v>3406</v>
      </c>
      <c r="B75" s="1485" t="s">
        <v>8489</v>
      </c>
      <c r="C75" s="1445">
        <v>0.05196759259259259</v>
      </c>
      <c r="D75" s="1362" t="s">
        <v>10068</v>
      </c>
      <c r="E75" s="1524" t="s">
        <v>10069</v>
      </c>
      <c r="F75" s="1524" t="s">
        <v>1356</v>
      </c>
      <c r="G75" s="1524" t="s">
        <v>10070</v>
      </c>
      <c r="H75" s="1362" t="s">
        <v>10071</v>
      </c>
      <c r="I75" s="1524" t="s">
        <v>9760</v>
      </c>
      <c r="J75" s="1524" t="s">
        <v>4116</v>
      </c>
      <c r="K75" s="1524" t="s">
        <v>9376</v>
      </c>
      <c r="L75" s="1524" t="s">
        <v>4992</v>
      </c>
      <c r="M75" s="1524" t="s">
        <v>3261</v>
      </c>
      <c r="N75" s="1524" t="s">
        <v>10072</v>
      </c>
      <c r="O75" s="1524" t="s">
        <v>10073</v>
      </c>
      <c r="P75" s="1524" t="s">
        <v>8534</v>
      </c>
      <c r="Q75" s="1524" t="s">
        <v>10074</v>
      </c>
      <c r="R75" s="1524" t="s">
        <v>3261</v>
      </c>
      <c r="S75" s="1447" t="s">
        <v>2430</v>
      </c>
      <c r="T75" s="1524" t="s">
        <v>9622</v>
      </c>
      <c r="U75" s="1524" t="s">
        <v>9786</v>
      </c>
      <c r="V75" s="1524" t="s">
        <v>9186</v>
      </c>
      <c r="W75" s="1524" t="s">
        <v>10075</v>
      </c>
      <c r="X75" s="1524" t="s">
        <v>9805</v>
      </c>
      <c r="Y75" s="1524" t="s">
        <v>616</v>
      </c>
      <c r="Z75" s="1524" t="s">
        <v>10076</v>
      </c>
      <c r="AA75" s="1524" t="s">
        <v>9279</v>
      </c>
      <c r="AB75" s="1524" t="s">
        <v>504</v>
      </c>
      <c r="AC75" s="1524" t="s">
        <v>1118</v>
      </c>
      <c r="AD75" s="1524" t="s">
        <v>8500</v>
      </c>
      <c r="AE75" s="1524" t="s">
        <v>8907</v>
      </c>
      <c r="AF75" s="1524" t="s">
        <v>10077</v>
      </c>
      <c r="AG75" s="1524" t="s">
        <v>3435</v>
      </c>
      <c r="AH75" s="1524" t="s">
        <v>5079</v>
      </c>
      <c r="AI75" s="1524" t="s">
        <v>6107</v>
      </c>
      <c r="AJ75" s="1524" t="s">
        <v>10078</v>
      </c>
      <c r="AK75" s="1524" t="s">
        <v>472</v>
      </c>
      <c r="AL75" s="1524" t="s">
        <v>2304</v>
      </c>
      <c r="AM75" s="1524" t="s">
        <v>3355</v>
      </c>
      <c r="AN75" s="1524" t="s">
        <v>675</v>
      </c>
      <c r="AO75" s="1524" t="s">
        <v>10079</v>
      </c>
      <c r="AP75" s="1524" t="s">
        <v>10074</v>
      </c>
      <c r="AQ75" s="1524" t="s">
        <v>10080</v>
      </c>
      <c r="AR75" s="1524" t="s">
        <v>4116</v>
      </c>
      <c r="AS75" s="1524" t="s">
        <v>946</v>
      </c>
      <c r="AT75" s="1524" t="s">
        <v>10081</v>
      </c>
      <c r="AU75" s="1524" t="s">
        <v>10082</v>
      </c>
      <c r="AV75" s="1524" t="s">
        <v>8349</v>
      </c>
      <c r="AW75" s="1625" t="s">
        <v>10083</v>
      </c>
    </row>
    <row r="76" ht="15.75" customHeight="1">
      <c r="A76" s="1528" t="s">
        <v>10084</v>
      </c>
      <c r="B76" s="1444" t="s">
        <v>8489</v>
      </c>
      <c r="C76" s="1583">
        <v>0.05199074074074074</v>
      </c>
      <c r="D76" s="1362" t="s">
        <v>10085</v>
      </c>
      <c r="E76" s="1617" t="s">
        <v>10086</v>
      </c>
      <c r="F76" s="1617" t="s">
        <v>10087</v>
      </c>
      <c r="G76" s="1617" t="s">
        <v>10088</v>
      </c>
      <c r="H76" s="1617" t="s">
        <v>7491</v>
      </c>
      <c r="I76" s="1617" t="s">
        <v>9599</v>
      </c>
      <c r="J76" s="1617" t="s">
        <v>10089</v>
      </c>
      <c r="K76" s="1617" t="s">
        <v>10090</v>
      </c>
      <c r="L76" s="1617" t="s">
        <v>3121</v>
      </c>
      <c r="M76" s="1617" t="s">
        <v>10091</v>
      </c>
      <c r="N76" s="1617" t="s">
        <v>9323</v>
      </c>
      <c r="O76" s="1617" t="s">
        <v>10092</v>
      </c>
      <c r="P76" s="1617" t="s">
        <v>2470</v>
      </c>
      <c r="Q76" s="1617" t="s">
        <v>5092</v>
      </c>
      <c r="R76" s="1617" t="s">
        <v>5350</v>
      </c>
      <c r="S76" s="1617" t="s">
        <v>4945</v>
      </c>
      <c r="T76" s="1617" t="s">
        <v>5809</v>
      </c>
      <c r="U76" s="1617" t="s">
        <v>10093</v>
      </c>
      <c r="V76" s="1617" t="s">
        <v>6386</v>
      </c>
      <c r="W76" s="1617" t="s">
        <v>7851</v>
      </c>
      <c r="X76" s="1617" t="s">
        <v>10094</v>
      </c>
      <c r="Y76" s="1617" t="s">
        <v>2113</v>
      </c>
      <c r="Z76" s="1617" t="s">
        <v>10095</v>
      </c>
      <c r="AA76" s="1617" t="s">
        <v>9742</v>
      </c>
      <c r="AB76" s="1617" t="s">
        <v>10096</v>
      </c>
      <c r="AC76" s="1617" t="s">
        <v>8565</v>
      </c>
      <c r="AD76" s="1617" t="s">
        <v>10097</v>
      </c>
      <c r="AE76" s="1617" t="s">
        <v>6623</v>
      </c>
      <c r="AF76" s="1617" t="s">
        <v>10098</v>
      </c>
      <c r="AG76" s="1617" t="s">
        <v>10005</v>
      </c>
      <c r="AH76" s="1617" t="s">
        <v>10099</v>
      </c>
      <c r="AI76" s="1617" t="s">
        <v>10100</v>
      </c>
      <c r="AJ76" s="1617" t="s">
        <v>10101</v>
      </c>
      <c r="AK76" s="1617" t="s">
        <v>842</v>
      </c>
      <c r="AL76" s="1617" t="s">
        <v>3313</v>
      </c>
      <c r="AM76" s="1617" t="s">
        <v>9511</v>
      </c>
      <c r="AN76" s="1617" t="s">
        <v>10102</v>
      </c>
      <c r="AO76" s="1524" t="s">
        <v>7449</v>
      </c>
      <c r="AP76" s="1524" t="s">
        <v>10103</v>
      </c>
      <c r="AQ76" s="1617" t="s">
        <v>5386</v>
      </c>
      <c r="AR76" s="1617" t="s">
        <v>10104</v>
      </c>
      <c r="AS76" s="1617" t="s">
        <v>1136</v>
      </c>
      <c r="AT76" s="1617" t="s">
        <v>9645</v>
      </c>
      <c r="AU76" s="1620" t="str">
        <f>HYPERLINK("https://splits.io/m3t","1:18:40")</f>
        <v>1:18:40</v>
      </c>
      <c r="AV76" s="1617" t="str">
        <f t="shared" ref="AV76:AV79" si="2">TEXT(AU76-C76,"m:ss")</f>
        <v>3:48</v>
      </c>
      <c r="AW76" s="1621" t="s">
        <v>10105</v>
      </c>
    </row>
    <row r="77" ht="15.75" customHeight="1">
      <c r="A77" s="1528" t="s">
        <v>10106</v>
      </c>
      <c r="B77" s="1444" t="s">
        <v>8489</v>
      </c>
      <c r="C77" s="1583">
        <v>0.052002314814814814</v>
      </c>
      <c r="D77" s="1362" t="s">
        <v>10107</v>
      </c>
      <c r="E77" s="1617" t="s">
        <v>8781</v>
      </c>
      <c r="F77" s="1617" t="s">
        <v>10108</v>
      </c>
      <c r="G77" s="1617" t="s">
        <v>10109</v>
      </c>
      <c r="H77" s="1617" t="s">
        <v>10110</v>
      </c>
      <c r="I77" s="1617" t="s">
        <v>3660</v>
      </c>
      <c r="J77" s="1617" t="s">
        <v>9208</v>
      </c>
      <c r="K77" s="1617" t="s">
        <v>4544</v>
      </c>
      <c r="L77" s="1617" t="s">
        <v>3607</v>
      </c>
      <c r="M77" s="1617" t="s">
        <v>9785</v>
      </c>
      <c r="N77" s="1617" t="s">
        <v>4582</v>
      </c>
      <c r="O77" s="1617" t="s">
        <v>10111</v>
      </c>
      <c r="P77" s="1617" t="s">
        <v>10112</v>
      </c>
      <c r="Q77" s="1617" t="s">
        <v>4889</v>
      </c>
      <c r="R77" s="1617" t="s">
        <v>1523</v>
      </c>
      <c r="S77" s="1617" t="s">
        <v>9293</v>
      </c>
      <c r="T77" s="1617" t="s">
        <v>543</v>
      </c>
      <c r="U77" s="1617" t="s">
        <v>1932</v>
      </c>
      <c r="V77" s="1617" t="s">
        <v>476</v>
      </c>
      <c r="W77" s="1617" t="s">
        <v>5723</v>
      </c>
      <c r="X77" s="1617" t="s">
        <v>9554</v>
      </c>
      <c r="Y77" s="1617" t="s">
        <v>2481</v>
      </c>
      <c r="Z77" s="1617" t="s">
        <v>5495</v>
      </c>
      <c r="AA77" s="1617" t="s">
        <v>9323</v>
      </c>
      <c r="AB77" s="1617" t="s">
        <v>10113</v>
      </c>
      <c r="AC77" s="1617" t="s">
        <v>2986</v>
      </c>
      <c r="AD77" s="1617" t="s">
        <v>10114</v>
      </c>
      <c r="AE77" s="1617" t="s">
        <v>5230</v>
      </c>
      <c r="AF77" s="1617" t="s">
        <v>10115</v>
      </c>
      <c r="AG77" s="1617" t="s">
        <v>10116</v>
      </c>
      <c r="AH77" s="1617" t="s">
        <v>2300</v>
      </c>
      <c r="AI77" s="1617" t="s">
        <v>10117</v>
      </c>
      <c r="AJ77" s="1617" t="s">
        <v>10118</v>
      </c>
      <c r="AK77" s="1617" t="s">
        <v>4694</v>
      </c>
      <c r="AL77" s="1617" t="s">
        <v>8909</v>
      </c>
      <c r="AM77" s="1617" t="s">
        <v>1528</v>
      </c>
      <c r="AN77" s="1617" t="s">
        <v>8663</v>
      </c>
      <c r="AO77" s="1617" t="s">
        <v>8998</v>
      </c>
      <c r="AP77" s="1617" t="s">
        <v>10119</v>
      </c>
      <c r="AQ77" s="1617" t="s">
        <v>10120</v>
      </c>
      <c r="AR77" s="1617" t="s">
        <v>10038</v>
      </c>
      <c r="AS77" s="1617" t="s">
        <v>10121</v>
      </c>
      <c r="AT77" s="1617" t="s">
        <v>10122</v>
      </c>
      <c r="AU77" s="1617" t="s">
        <v>10123</v>
      </c>
      <c r="AV77" s="1617" t="str">
        <f t="shared" si="2"/>
        <v>3:32</v>
      </c>
      <c r="AW77" s="1621" t="s">
        <v>10124</v>
      </c>
    </row>
    <row r="78" ht="15.75" customHeight="1">
      <c r="A78" s="1528" t="s">
        <v>10125</v>
      </c>
      <c r="B78" s="1504" t="s">
        <v>8517</v>
      </c>
      <c r="C78" s="1583">
        <v>0.05201388888888889</v>
      </c>
      <c r="D78" s="1362" t="s">
        <v>10126</v>
      </c>
      <c r="E78" s="1524" t="s">
        <v>10127</v>
      </c>
      <c r="F78" s="1617" t="s">
        <v>10128</v>
      </c>
      <c r="G78" s="1617" t="s">
        <v>10129</v>
      </c>
      <c r="H78" s="1617" t="s">
        <v>1732</v>
      </c>
      <c r="I78" s="1617" t="s">
        <v>10130</v>
      </c>
      <c r="J78" s="1617" t="s">
        <v>10131</v>
      </c>
      <c r="K78" s="1617" t="s">
        <v>4308</v>
      </c>
      <c r="L78" s="1617" t="s">
        <v>10132</v>
      </c>
      <c r="M78" s="1617" t="s">
        <v>10133</v>
      </c>
      <c r="N78" s="1617" t="s">
        <v>10134</v>
      </c>
      <c r="O78" s="1617" t="s">
        <v>10135</v>
      </c>
      <c r="P78" s="1617" t="s">
        <v>1670</v>
      </c>
      <c r="Q78" s="1617" t="s">
        <v>10136</v>
      </c>
      <c r="R78" s="1617" t="s">
        <v>7375</v>
      </c>
      <c r="S78" s="1617" t="s">
        <v>10137</v>
      </c>
      <c r="T78" s="1617" t="s">
        <v>10138</v>
      </c>
      <c r="U78" s="1617" t="s">
        <v>10139</v>
      </c>
      <c r="V78" s="1617" t="s">
        <v>8082</v>
      </c>
      <c r="W78" s="1617" t="s">
        <v>10140</v>
      </c>
      <c r="X78" s="1617" t="s">
        <v>9554</v>
      </c>
      <c r="Y78" s="1617" t="s">
        <v>304</v>
      </c>
      <c r="Z78" s="1617" t="s">
        <v>2498</v>
      </c>
      <c r="AA78" s="1617" t="s">
        <v>5862</v>
      </c>
      <c r="AB78" s="1617" t="s">
        <v>8805</v>
      </c>
      <c r="AC78" s="1617" t="s">
        <v>890</v>
      </c>
      <c r="AD78" s="1617" t="s">
        <v>10141</v>
      </c>
      <c r="AE78" s="1617" t="s">
        <v>1213</v>
      </c>
      <c r="AF78" s="1617" t="s">
        <v>10142</v>
      </c>
      <c r="AG78" s="1617" t="s">
        <v>2911</v>
      </c>
      <c r="AH78" s="1617" t="s">
        <v>6063</v>
      </c>
      <c r="AI78" s="1617" t="s">
        <v>1645</v>
      </c>
      <c r="AJ78" s="1617" t="s">
        <v>10143</v>
      </c>
      <c r="AK78" s="1617" t="s">
        <v>3637</v>
      </c>
      <c r="AL78" s="1617" t="s">
        <v>3941</v>
      </c>
      <c r="AM78" s="1617" t="s">
        <v>971</v>
      </c>
      <c r="AN78" s="1617" t="s">
        <v>9873</v>
      </c>
      <c r="AO78" s="1617" t="s">
        <v>2303</v>
      </c>
      <c r="AP78" s="1617" t="s">
        <v>10144</v>
      </c>
      <c r="AQ78" s="1617" t="s">
        <v>1051</v>
      </c>
      <c r="AR78" s="1617" t="s">
        <v>8560</v>
      </c>
      <c r="AS78" s="1617" t="s">
        <v>9630</v>
      </c>
      <c r="AT78" s="1617" t="s">
        <v>10145</v>
      </c>
      <c r="AU78" s="1617" t="s">
        <v>10146</v>
      </c>
      <c r="AV78" s="1617" t="str">
        <f t="shared" si="2"/>
        <v>2:58</v>
      </c>
      <c r="AW78" s="1622" t="s">
        <v>10147</v>
      </c>
    </row>
    <row r="79" ht="15.75" customHeight="1">
      <c r="A79" s="1443" t="s">
        <v>6454</v>
      </c>
      <c r="B79" s="1504" t="s">
        <v>8517</v>
      </c>
      <c r="C79" s="1583">
        <v>0.05207175925925926</v>
      </c>
      <c r="D79" s="1362" t="s">
        <v>10148</v>
      </c>
      <c r="E79" s="1617" t="s">
        <v>10149</v>
      </c>
      <c r="F79" s="1617" t="s">
        <v>10150</v>
      </c>
      <c r="G79" s="1617" t="s">
        <v>10151</v>
      </c>
      <c r="H79" s="1617" t="s">
        <v>8957</v>
      </c>
      <c r="I79" s="1617" t="s">
        <v>4967</v>
      </c>
      <c r="J79" s="1617" t="s">
        <v>9114</v>
      </c>
      <c r="K79" s="1617" t="s">
        <v>9750</v>
      </c>
      <c r="L79" s="1617" t="s">
        <v>10152</v>
      </c>
      <c r="M79" s="1617" t="s">
        <v>2789</v>
      </c>
      <c r="N79" s="1617" t="s">
        <v>10153</v>
      </c>
      <c r="O79" s="1617" t="s">
        <v>10154</v>
      </c>
      <c r="P79" s="1617" t="s">
        <v>795</v>
      </c>
      <c r="Q79" s="1617" t="s">
        <v>10155</v>
      </c>
      <c r="R79" s="1617" t="s">
        <v>4986</v>
      </c>
      <c r="S79" s="1617" t="s">
        <v>6010</v>
      </c>
      <c r="T79" s="1617" t="s">
        <v>5809</v>
      </c>
      <c r="U79" s="1617" t="s">
        <v>10156</v>
      </c>
      <c r="V79" s="1617" t="s">
        <v>2540</v>
      </c>
      <c r="W79" s="1617" t="s">
        <v>8564</v>
      </c>
      <c r="X79" s="1617" t="s">
        <v>10157</v>
      </c>
      <c r="Y79" s="1617" t="s">
        <v>1379</v>
      </c>
      <c r="Z79" s="1617" t="s">
        <v>7321</v>
      </c>
      <c r="AA79" s="1617" t="s">
        <v>1556</v>
      </c>
      <c r="AB79" s="1617" t="s">
        <v>10158</v>
      </c>
      <c r="AC79" s="1617" t="s">
        <v>238</v>
      </c>
      <c r="AD79" s="1617" t="s">
        <v>4323</v>
      </c>
      <c r="AE79" s="1617" t="s">
        <v>6118</v>
      </c>
      <c r="AF79" s="1617" t="s">
        <v>10159</v>
      </c>
      <c r="AG79" s="1617" t="s">
        <v>9554</v>
      </c>
      <c r="AH79" s="1617" t="s">
        <v>7081</v>
      </c>
      <c r="AI79" s="1617" t="s">
        <v>9914</v>
      </c>
      <c r="AJ79" s="1617" t="s">
        <v>10160</v>
      </c>
      <c r="AK79" s="1617" t="s">
        <v>10161</v>
      </c>
      <c r="AL79" s="1617" t="s">
        <v>4387</v>
      </c>
      <c r="AM79" s="1617" t="s">
        <v>9668</v>
      </c>
      <c r="AN79" s="1617" t="s">
        <v>3941</v>
      </c>
      <c r="AO79" s="1617" t="s">
        <v>4308</v>
      </c>
      <c r="AP79" s="1617" t="s">
        <v>9406</v>
      </c>
      <c r="AQ79" s="1617" t="s">
        <v>10162</v>
      </c>
      <c r="AR79" s="1617" t="s">
        <v>1555</v>
      </c>
      <c r="AS79" s="1617" t="s">
        <v>6106</v>
      </c>
      <c r="AT79" s="1617" t="s">
        <v>7638</v>
      </c>
      <c r="AU79" s="1617" t="s">
        <v>10163</v>
      </c>
      <c r="AV79" s="1617" t="str">
        <f t="shared" si="2"/>
        <v>3:10</v>
      </c>
      <c r="AW79" s="1622" t="s">
        <v>10164</v>
      </c>
    </row>
    <row r="80">
      <c r="A80" s="1626" t="s">
        <v>4025</v>
      </c>
      <c r="B80" s="1607" t="s">
        <v>8543</v>
      </c>
      <c r="C80" s="1632">
        <v>0.052141203703703703</v>
      </c>
      <c r="D80" s="1362" t="s">
        <v>10165</v>
      </c>
      <c r="E80" s="1495" t="s">
        <v>3023</v>
      </c>
      <c r="F80" s="1495" t="s">
        <v>10166</v>
      </c>
      <c r="G80" s="1520" t="s">
        <v>10167</v>
      </c>
      <c r="H80" s="1520" t="s">
        <v>10168</v>
      </c>
      <c r="I80" s="1520" t="s">
        <v>2465</v>
      </c>
      <c r="J80" s="1520" t="s">
        <v>6917</v>
      </c>
      <c r="K80" s="1633" t="s">
        <v>6172</v>
      </c>
      <c r="L80" s="1634" t="s">
        <v>7078</v>
      </c>
      <c r="M80" s="1520" t="s">
        <v>10169</v>
      </c>
      <c r="N80" s="1520" t="s">
        <v>5809</v>
      </c>
      <c r="O80" s="1520" t="s">
        <v>5604</v>
      </c>
      <c r="P80" s="1520" t="s">
        <v>2007</v>
      </c>
      <c r="Q80" s="1520" t="s">
        <v>10170</v>
      </c>
      <c r="R80" s="1520" t="s">
        <v>10171</v>
      </c>
      <c r="S80" s="1635" t="s">
        <v>2350</v>
      </c>
      <c r="T80" s="1520" t="s">
        <v>8947</v>
      </c>
      <c r="U80" s="1520" t="s">
        <v>3521</v>
      </c>
      <c r="V80" s="1520" t="s">
        <v>10172</v>
      </c>
      <c r="W80" s="1520" t="s">
        <v>10173</v>
      </c>
      <c r="X80" s="1520" t="s">
        <v>4568</v>
      </c>
      <c r="Y80" s="1520" t="s">
        <v>3697</v>
      </c>
      <c r="Z80" s="1520" t="s">
        <v>4278</v>
      </c>
      <c r="AA80" s="1520" t="s">
        <v>408</v>
      </c>
      <c r="AB80" s="1520" t="s">
        <v>645</v>
      </c>
      <c r="AC80" s="1520" t="s">
        <v>6118</v>
      </c>
      <c r="AD80" s="1447" t="s">
        <v>8875</v>
      </c>
      <c r="AE80" s="1520" t="s">
        <v>492</v>
      </c>
      <c r="AF80" s="1520" t="s">
        <v>10174</v>
      </c>
      <c r="AG80" s="1520" t="s">
        <v>10175</v>
      </c>
      <c r="AH80" s="1520" t="s">
        <v>4639</v>
      </c>
      <c r="AI80" s="1520" t="s">
        <v>10176</v>
      </c>
      <c r="AJ80" s="1520" t="s">
        <v>10177</v>
      </c>
      <c r="AK80" s="1520" t="s">
        <v>10178</v>
      </c>
      <c r="AL80" s="1520" t="s">
        <v>5094</v>
      </c>
      <c r="AM80" s="1520" t="s">
        <v>9792</v>
      </c>
      <c r="AN80" s="1520" t="s">
        <v>4471</v>
      </c>
      <c r="AO80" s="1520" t="s">
        <v>8856</v>
      </c>
      <c r="AP80" s="1520" t="s">
        <v>10179</v>
      </c>
      <c r="AQ80" s="1633" t="s">
        <v>8574</v>
      </c>
      <c r="AR80" s="1520" t="s">
        <v>10180</v>
      </c>
      <c r="AS80" s="1631" t="s">
        <v>784</v>
      </c>
      <c r="AT80" s="1520" t="s">
        <v>10181</v>
      </c>
      <c r="AU80" s="1483" t="s">
        <v>10182</v>
      </c>
      <c r="AV80" s="1483" t="s">
        <v>10183</v>
      </c>
      <c r="AW80" s="1636" t="s">
        <v>10184</v>
      </c>
    </row>
    <row r="81">
      <c r="A81" s="1491" t="s">
        <v>3966</v>
      </c>
      <c r="B81" s="1489" t="s">
        <v>8489</v>
      </c>
      <c r="C81" s="1445">
        <v>0.0522337962962963</v>
      </c>
      <c r="D81" s="1593" t="s">
        <v>10185</v>
      </c>
      <c r="E81" s="1524" t="s">
        <v>10186</v>
      </c>
      <c r="F81" s="1524" t="s">
        <v>10187</v>
      </c>
      <c r="G81" s="1524" t="s">
        <v>10188</v>
      </c>
      <c r="H81" s="1524" t="s">
        <v>10189</v>
      </c>
      <c r="I81" s="1524" t="s">
        <v>1917</v>
      </c>
      <c r="J81" s="1524" t="s">
        <v>8157</v>
      </c>
      <c r="K81" s="1524" t="s">
        <v>4544</v>
      </c>
      <c r="L81" s="1524" t="s">
        <v>6185</v>
      </c>
      <c r="M81" s="1524" t="s">
        <v>10190</v>
      </c>
      <c r="N81" s="1524" t="s">
        <v>10191</v>
      </c>
      <c r="O81" s="1524" t="s">
        <v>10192</v>
      </c>
      <c r="P81" s="1524" t="s">
        <v>5230</v>
      </c>
      <c r="Q81" s="1524" t="s">
        <v>4954</v>
      </c>
      <c r="R81" s="1524" t="s">
        <v>6170</v>
      </c>
      <c r="S81" s="1524" t="s">
        <v>627</v>
      </c>
      <c r="T81" s="1524" t="s">
        <v>9960</v>
      </c>
      <c r="U81" s="1524" t="s">
        <v>8902</v>
      </c>
      <c r="V81" s="1524" t="s">
        <v>10193</v>
      </c>
      <c r="W81" s="1524" t="s">
        <v>10194</v>
      </c>
      <c r="X81" s="1524" t="s">
        <v>3435</v>
      </c>
      <c r="Y81" s="1524" t="s">
        <v>789</v>
      </c>
      <c r="Z81" s="1524" t="s">
        <v>10195</v>
      </c>
      <c r="AA81" s="1362" t="s">
        <v>10196</v>
      </c>
      <c r="AB81" s="1524" t="s">
        <v>7025</v>
      </c>
      <c r="AC81" s="1524" t="s">
        <v>9938</v>
      </c>
      <c r="AD81" s="1524" t="s">
        <v>7488</v>
      </c>
      <c r="AE81" s="1524" t="s">
        <v>4990</v>
      </c>
      <c r="AF81" s="1455" t="s">
        <v>10197</v>
      </c>
      <c r="AG81" s="1524" t="s">
        <v>10198</v>
      </c>
      <c r="AH81" s="1524" t="s">
        <v>5119</v>
      </c>
      <c r="AI81" s="1524" t="s">
        <v>6648</v>
      </c>
      <c r="AJ81" s="1524" t="s">
        <v>10199</v>
      </c>
      <c r="AK81" s="1524" t="s">
        <v>10200</v>
      </c>
      <c r="AL81" s="1524" t="s">
        <v>9874</v>
      </c>
      <c r="AM81" s="1524" t="s">
        <v>10201</v>
      </c>
      <c r="AN81" s="1524" t="s">
        <v>1126</v>
      </c>
      <c r="AO81" s="1524" t="s">
        <v>10202</v>
      </c>
      <c r="AP81" s="1524" t="s">
        <v>5653</v>
      </c>
      <c r="AQ81" s="1524" t="s">
        <v>10203</v>
      </c>
      <c r="AR81" s="1524" t="s">
        <v>715</v>
      </c>
      <c r="AS81" s="1455" t="s">
        <v>2927</v>
      </c>
      <c r="AT81" s="1524" t="s">
        <v>10204</v>
      </c>
      <c r="AU81" s="1524" t="s">
        <v>10205</v>
      </c>
      <c r="AV81" s="1617" t="str">
        <f t="shared" ref="AV81:AV99" si="3">TEXT(AU81-C81,"m:ss")</f>
        <v>4:32</v>
      </c>
      <c r="AW81" s="1618" t="s">
        <v>10206</v>
      </c>
    </row>
    <row r="82">
      <c r="A82" s="1491" t="s">
        <v>5261</v>
      </c>
      <c r="B82" s="1485" t="s">
        <v>8517</v>
      </c>
      <c r="C82" s="1445">
        <v>0.05232638888888889</v>
      </c>
      <c r="D82" s="1593" t="s">
        <v>10207</v>
      </c>
      <c r="E82" s="1524" t="s">
        <v>1283</v>
      </c>
      <c r="F82" s="1524" t="s">
        <v>10208</v>
      </c>
      <c r="G82" s="1524" t="s">
        <v>10209</v>
      </c>
      <c r="H82" s="1524" t="s">
        <v>10210</v>
      </c>
      <c r="I82" s="1524" t="s">
        <v>1315</v>
      </c>
      <c r="J82" s="1524" t="s">
        <v>7778</v>
      </c>
      <c r="K82" s="1524" t="s">
        <v>9761</v>
      </c>
      <c r="L82" s="1524" t="s">
        <v>10211</v>
      </c>
      <c r="M82" s="1524" t="s">
        <v>7516</v>
      </c>
      <c r="N82" s="1524" t="s">
        <v>10212</v>
      </c>
      <c r="O82" s="1524" t="s">
        <v>10213</v>
      </c>
      <c r="P82" s="1524" t="s">
        <v>535</v>
      </c>
      <c r="Q82" s="1524" t="s">
        <v>9595</v>
      </c>
      <c r="R82" s="1524" t="s">
        <v>5411</v>
      </c>
      <c r="S82" s="1524" t="s">
        <v>9414</v>
      </c>
      <c r="T82" s="1524" t="s">
        <v>10214</v>
      </c>
      <c r="U82" s="1524" t="s">
        <v>10215</v>
      </c>
      <c r="V82" s="1524" t="s">
        <v>10216</v>
      </c>
      <c r="W82" s="1524" t="s">
        <v>6254</v>
      </c>
      <c r="X82" s="1524" t="s">
        <v>314</v>
      </c>
      <c r="Y82" s="1524" t="s">
        <v>6496</v>
      </c>
      <c r="Z82" s="1524" t="s">
        <v>813</v>
      </c>
      <c r="AA82" s="1617" t="s">
        <v>9414</v>
      </c>
      <c r="AB82" s="1524" t="s">
        <v>10217</v>
      </c>
      <c r="AC82" s="1524" t="s">
        <v>6165</v>
      </c>
      <c r="AD82" s="1524" t="s">
        <v>10218</v>
      </c>
      <c r="AE82" s="1524" t="s">
        <v>223</v>
      </c>
      <c r="AF82" s="1524" t="s">
        <v>8075</v>
      </c>
      <c r="AG82" s="1524" t="s">
        <v>3186</v>
      </c>
      <c r="AH82" s="1524" t="s">
        <v>1896</v>
      </c>
      <c r="AI82" s="1524" t="s">
        <v>428</v>
      </c>
      <c r="AJ82" s="1524" t="s">
        <v>10219</v>
      </c>
      <c r="AK82" s="1524" t="s">
        <v>10220</v>
      </c>
      <c r="AL82" s="1524" t="s">
        <v>9916</v>
      </c>
      <c r="AM82" s="1524" t="s">
        <v>2911</v>
      </c>
      <c r="AN82" s="1524" t="s">
        <v>5948</v>
      </c>
      <c r="AO82" s="1524" t="s">
        <v>3731</v>
      </c>
      <c r="AP82" s="1524" t="s">
        <v>10221</v>
      </c>
      <c r="AQ82" s="1524" t="s">
        <v>7515</v>
      </c>
      <c r="AR82" s="1524" t="s">
        <v>6164</v>
      </c>
      <c r="AS82" s="1524" t="s">
        <v>10222</v>
      </c>
      <c r="AT82" s="1524" t="s">
        <v>10223</v>
      </c>
      <c r="AU82" s="1524" t="s">
        <v>10224</v>
      </c>
      <c r="AV82" s="1617" t="str">
        <f t="shared" si="3"/>
        <v>3:48</v>
      </c>
      <c r="AW82" s="1622"/>
    </row>
    <row r="83" ht="15.75" customHeight="1">
      <c r="A83" s="1443" t="s">
        <v>10225</v>
      </c>
      <c r="B83" s="1444" t="s">
        <v>8489</v>
      </c>
      <c r="C83" s="1583">
        <v>0.05240740740740741</v>
      </c>
      <c r="D83" s="1362" t="s">
        <v>10226</v>
      </c>
      <c r="E83" s="1617" t="s">
        <v>1736</v>
      </c>
      <c r="F83" s="1617" t="s">
        <v>7768</v>
      </c>
      <c r="G83" s="1617" t="s">
        <v>9896</v>
      </c>
      <c r="H83" s="1617" t="s">
        <v>10227</v>
      </c>
      <c r="I83" s="1617" t="s">
        <v>10228</v>
      </c>
      <c r="J83" s="1617" t="s">
        <v>10229</v>
      </c>
      <c r="K83" s="1617" t="s">
        <v>10230</v>
      </c>
      <c r="L83" s="1617" t="s">
        <v>4573</v>
      </c>
      <c r="M83" s="1617" t="s">
        <v>3271</v>
      </c>
      <c r="N83" s="1617" t="s">
        <v>4876</v>
      </c>
      <c r="O83" s="1617" t="s">
        <v>10231</v>
      </c>
      <c r="P83" s="1617" t="s">
        <v>10232</v>
      </c>
      <c r="Q83" s="1617" t="s">
        <v>4343</v>
      </c>
      <c r="R83" s="1617" t="s">
        <v>2325</v>
      </c>
      <c r="S83" s="1617" t="s">
        <v>9670</v>
      </c>
      <c r="T83" s="1617" t="s">
        <v>5120</v>
      </c>
      <c r="U83" s="1617" t="s">
        <v>10233</v>
      </c>
      <c r="V83" s="1617" t="s">
        <v>10234</v>
      </c>
      <c r="W83" s="1617" t="s">
        <v>10235</v>
      </c>
      <c r="X83" s="1617" t="s">
        <v>10236</v>
      </c>
      <c r="Y83" s="1617" t="s">
        <v>6400</v>
      </c>
      <c r="Z83" s="1617" t="s">
        <v>10095</v>
      </c>
      <c r="AA83" s="1617" t="s">
        <v>2026</v>
      </c>
      <c r="AB83" s="1617" t="s">
        <v>10237</v>
      </c>
      <c r="AC83" s="1617" t="s">
        <v>1612</v>
      </c>
      <c r="AD83" s="1617" t="s">
        <v>10238</v>
      </c>
      <c r="AE83" s="1617" t="s">
        <v>1612</v>
      </c>
      <c r="AF83" s="1617" t="s">
        <v>10239</v>
      </c>
      <c r="AG83" s="1617" t="s">
        <v>9829</v>
      </c>
      <c r="AH83" s="1617" t="s">
        <v>2195</v>
      </c>
      <c r="AI83" s="1617" t="s">
        <v>3252</v>
      </c>
      <c r="AJ83" s="1617" t="s">
        <v>10240</v>
      </c>
      <c r="AK83" s="1617" t="s">
        <v>7026</v>
      </c>
      <c r="AL83" s="1617" t="s">
        <v>10241</v>
      </c>
      <c r="AM83" s="1617" t="s">
        <v>1238</v>
      </c>
      <c r="AN83" s="1617" t="s">
        <v>3024</v>
      </c>
      <c r="AO83" s="1617" t="s">
        <v>10242</v>
      </c>
      <c r="AP83" s="1617" t="s">
        <v>3668</v>
      </c>
      <c r="AQ83" s="1617" t="s">
        <v>10243</v>
      </c>
      <c r="AR83" s="1617" t="s">
        <v>10244</v>
      </c>
      <c r="AS83" s="1617" t="s">
        <v>9136</v>
      </c>
      <c r="AT83" s="1617" t="s">
        <v>9221</v>
      </c>
      <c r="AU83" s="1617" t="s">
        <v>10245</v>
      </c>
      <c r="AV83" s="1617" t="str">
        <f t="shared" si="3"/>
        <v>3:40</v>
      </c>
      <c r="AW83" s="1621" t="s">
        <v>10246</v>
      </c>
    </row>
    <row r="84" ht="15.75" customHeight="1">
      <c r="A84" s="1528" t="s">
        <v>10247</v>
      </c>
      <c r="B84" s="1444" t="s">
        <v>8489</v>
      </c>
      <c r="C84" s="1583">
        <v>0.05263888888888889</v>
      </c>
      <c r="D84" s="1362" t="s">
        <v>10248</v>
      </c>
      <c r="E84" s="1617" t="s">
        <v>9947</v>
      </c>
      <c r="F84" s="1617" t="s">
        <v>10249</v>
      </c>
      <c r="G84" s="1617" t="s">
        <v>10250</v>
      </c>
      <c r="H84" s="1617" t="s">
        <v>10251</v>
      </c>
      <c r="I84" s="1617" t="s">
        <v>10252</v>
      </c>
      <c r="J84" s="1617" t="s">
        <v>10253</v>
      </c>
      <c r="K84" s="1617" t="s">
        <v>4239</v>
      </c>
      <c r="L84" s="1617" t="s">
        <v>4313</v>
      </c>
      <c r="M84" s="1617" t="s">
        <v>9243</v>
      </c>
      <c r="N84" s="1617" t="s">
        <v>10254</v>
      </c>
      <c r="O84" s="1617" t="s">
        <v>8533</v>
      </c>
      <c r="P84" s="1617" t="s">
        <v>496</v>
      </c>
      <c r="Q84" s="1617" t="s">
        <v>10255</v>
      </c>
      <c r="R84" s="1617" t="s">
        <v>5601</v>
      </c>
      <c r="S84" s="1617" t="s">
        <v>2002</v>
      </c>
      <c r="T84" s="1617" t="s">
        <v>10256</v>
      </c>
      <c r="U84" s="1617" t="s">
        <v>10257</v>
      </c>
      <c r="V84" s="1617" t="s">
        <v>10258</v>
      </c>
      <c r="W84" s="1617" t="s">
        <v>10259</v>
      </c>
      <c r="X84" s="1617" t="s">
        <v>5756</v>
      </c>
      <c r="Y84" s="1617" t="s">
        <v>1612</v>
      </c>
      <c r="Z84" s="1617" t="s">
        <v>6484</v>
      </c>
      <c r="AA84" s="1524" t="s">
        <v>7699</v>
      </c>
      <c r="AB84" s="1617" t="s">
        <v>9134</v>
      </c>
      <c r="AC84" s="1617" t="s">
        <v>9955</v>
      </c>
      <c r="AD84" s="1617" t="s">
        <v>3061</v>
      </c>
      <c r="AE84" s="1617" t="s">
        <v>1118</v>
      </c>
      <c r="AF84" s="1617" t="s">
        <v>10260</v>
      </c>
      <c r="AG84" s="1617" t="s">
        <v>2812</v>
      </c>
      <c r="AH84" s="1617" t="s">
        <v>6643</v>
      </c>
      <c r="AI84" s="1617" t="s">
        <v>10261</v>
      </c>
      <c r="AJ84" s="1617" t="s">
        <v>10262</v>
      </c>
      <c r="AK84" s="1617" t="s">
        <v>9550</v>
      </c>
      <c r="AL84" s="1617" t="s">
        <v>10263</v>
      </c>
      <c r="AM84" s="1617" t="s">
        <v>10264</v>
      </c>
      <c r="AN84" s="1617" t="s">
        <v>3940</v>
      </c>
      <c r="AO84" s="1617" t="s">
        <v>8856</v>
      </c>
      <c r="AP84" s="1617" t="s">
        <v>10265</v>
      </c>
      <c r="AQ84" s="1617" t="s">
        <v>10266</v>
      </c>
      <c r="AR84" s="1617" t="s">
        <v>1349</v>
      </c>
      <c r="AS84" s="1617" t="s">
        <v>1136</v>
      </c>
      <c r="AT84" s="1617" t="s">
        <v>10267</v>
      </c>
      <c r="AU84" s="1617" t="s">
        <v>10268</v>
      </c>
      <c r="AV84" s="1617" t="str">
        <f t="shared" si="3"/>
        <v>4:28</v>
      </c>
      <c r="AW84" s="1621" t="s">
        <v>10269</v>
      </c>
    </row>
    <row r="85">
      <c r="A85" s="1491" t="s">
        <v>3633</v>
      </c>
      <c r="B85" s="1594" t="s">
        <v>8543</v>
      </c>
      <c r="C85" s="1445">
        <v>0.052662037037037035</v>
      </c>
      <c r="D85" s="1362" t="s">
        <v>10270</v>
      </c>
      <c r="E85" s="1362" t="s">
        <v>547</v>
      </c>
      <c r="F85" s="1362" t="s">
        <v>10271</v>
      </c>
      <c r="G85" s="1362" t="s">
        <v>10272</v>
      </c>
      <c r="H85" s="1362" t="s">
        <v>8732</v>
      </c>
      <c r="I85" s="1362" t="s">
        <v>10273</v>
      </c>
      <c r="J85" s="1362" t="s">
        <v>1668</v>
      </c>
      <c r="K85" s="1362" t="s">
        <v>10274</v>
      </c>
      <c r="L85" s="1362" t="s">
        <v>2805</v>
      </c>
      <c r="M85" s="1362" t="s">
        <v>270</v>
      </c>
      <c r="N85" s="1362" t="s">
        <v>9032</v>
      </c>
      <c r="O85" s="1362" t="s">
        <v>10275</v>
      </c>
      <c r="P85" s="1362" t="s">
        <v>2152</v>
      </c>
      <c r="Q85" s="1362" t="s">
        <v>3577</v>
      </c>
      <c r="R85" s="1362" t="s">
        <v>10276</v>
      </c>
      <c r="S85" s="1362" t="s">
        <v>10277</v>
      </c>
      <c r="T85" s="1362" t="s">
        <v>10278</v>
      </c>
      <c r="U85" s="1362" t="s">
        <v>10279</v>
      </c>
      <c r="V85" s="1362" t="s">
        <v>10280</v>
      </c>
      <c r="W85" s="1362" t="s">
        <v>10281</v>
      </c>
      <c r="X85" s="1362" t="s">
        <v>2777</v>
      </c>
      <c r="Y85" s="1362" t="s">
        <v>2942</v>
      </c>
      <c r="Z85" s="1362" t="s">
        <v>6260</v>
      </c>
      <c r="AA85" s="1524" t="s">
        <v>10282</v>
      </c>
      <c r="AB85" s="1362" t="s">
        <v>10283</v>
      </c>
      <c r="AC85" s="1362" t="s">
        <v>6495</v>
      </c>
      <c r="AD85" s="1637" t="s">
        <v>8564</v>
      </c>
      <c r="AE85" s="1362" t="s">
        <v>339</v>
      </c>
      <c r="AF85" s="1362" t="s">
        <v>10284</v>
      </c>
      <c r="AG85" s="1362" t="s">
        <v>7437</v>
      </c>
      <c r="AH85" s="1362" t="s">
        <v>3770</v>
      </c>
      <c r="AI85" s="1362" t="s">
        <v>10285</v>
      </c>
      <c r="AJ85" s="1362" t="s">
        <v>10286</v>
      </c>
      <c r="AK85" s="1362" t="s">
        <v>10287</v>
      </c>
      <c r="AL85" s="1362" t="s">
        <v>4710</v>
      </c>
      <c r="AM85" s="1362" t="s">
        <v>5722</v>
      </c>
      <c r="AN85" s="1637" t="s">
        <v>8571</v>
      </c>
      <c r="AO85" s="1362" t="s">
        <v>10288</v>
      </c>
      <c r="AP85" s="1362" t="s">
        <v>10289</v>
      </c>
      <c r="AQ85" s="1362" t="s">
        <v>10290</v>
      </c>
      <c r="AR85" s="1362" t="s">
        <v>5979</v>
      </c>
      <c r="AS85" s="1362" t="s">
        <v>6965</v>
      </c>
      <c r="AT85" s="1362" t="s">
        <v>10291</v>
      </c>
      <c r="AU85" s="1638" t="s">
        <v>10292</v>
      </c>
      <c r="AV85" s="1617" t="str">
        <f t="shared" si="3"/>
        <v>4:43</v>
      </c>
      <c r="AW85" s="1625" t="s">
        <v>10293</v>
      </c>
    </row>
    <row r="86" ht="15.75" customHeight="1">
      <c r="A86" s="1491" t="s">
        <v>10294</v>
      </c>
      <c r="B86" s="1485" t="s">
        <v>8489</v>
      </c>
      <c r="C86" s="1445">
        <v>0.05267361111111111</v>
      </c>
      <c r="D86" s="1593" t="s">
        <v>9633</v>
      </c>
      <c r="E86" s="1524" t="s">
        <v>900</v>
      </c>
      <c r="F86" s="1524" t="s">
        <v>7462</v>
      </c>
      <c r="G86" s="1524" t="s">
        <v>10295</v>
      </c>
      <c r="H86" s="1524" t="s">
        <v>10296</v>
      </c>
      <c r="I86" s="1524" t="s">
        <v>5646</v>
      </c>
      <c r="J86" s="1362" t="s">
        <v>10297</v>
      </c>
      <c r="K86" s="1524" t="s">
        <v>10298</v>
      </c>
      <c r="L86" s="1524" t="s">
        <v>3770</v>
      </c>
      <c r="M86" s="1524" t="s">
        <v>7419</v>
      </c>
      <c r="N86" s="1524" t="s">
        <v>10299</v>
      </c>
      <c r="O86" s="1524" t="s">
        <v>10300</v>
      </c>
      <c r="P86" s="1524" t="s">
        <v>9599</v>
      </c>
      <c r="Q86" s="1524" t="s">
        <v>10301</v>
      </c>
      <c r="R86" s="1524" t="s">
        <v>5664</v>
      </c>
      <c r="S86" s="1524" t="s">
        <v>7455</v>
      </c>
      <c r="T86" s="1524" t="s">
        <v>10302</v>
      </c>
      <c r="U86" s="1524" t="s">
        <v>10303</v>
      </c>
      <c r="V86" s="1524" t="s">
        <v>4045</v>
      </c>
      <c r="W86" s="1524" t="s">
        <v>10304</v>
      </c>
      <c r="X86" s="1524" t="s">
        <v>2534</v>
      </c>
      <c r="Y86" s="1524" t="s">
        <v>9204</v>
      </c>
      <c r="Z86" s="1524" t="s">
        <v>8683</v>
      </c>
      <c r="AA86" s="1524" t="s">
        <v>10305</v>
      </c>
      <c r="AB86" s="1524" t="s">
        <v>9821</v>
      </c>
      <c r="AC86" s="1524" t="s">
        <v>9074</v>
      </c>
      <c r="AD86" s="1524" t="s">
        <v>10306</v>
      </c>
      <c r="AE86" s="1524" t="s">
        <v>2504</v>
      </c>
      <c r="AF86" s="1524" t="s">
        <v>10307</v>
      </c>
      <c r="AG86" s="1524" t="s">
        <v>10308</v>
      </c>
      <c r="AH86" s="1524" t="s">
        <v>4313</v>
      </c>
      <c r="AI86" s="1524" t="s">
        <v>10309</v>
      </c>
      <c r="AJ86" s="1524" t="s">
        <v>10310</v>
      </c>
      <c r="AK86" s="1524" t="s">
        <v>1767</v>
      </c>
      <c r="AL86" s="1524" t="s">
        <v>2699</v>
      </c>
      <c r="AM86" s="1524" t="s">
        <v>1767</v>
      </c>
      <c r="AN86" s="1524" t="s">
        <v>2699</v>
      </c>
      <c r="AO86" s="1524" t="s">
        <v>6079</v>
      </c>
      <c r="AP86" s="1524" t="s">
        <v>10311</v>
      </c>
      <c r="AQ86" s="1524" t="s">
        <v>2252</v>
      </c>
      <c r="AR86" s="1524" t="s">
        <v>10120</v>
      </c>
      <c r="AS86" s="1524" t="s">
        <v>10312</v>
      </c>
      <c r="AT86" s="1524" t="s">
        <v>10313</v>
      </c>
      <c r="AU86" s="1524" t="s">
        <v>10314</v>
      </c>
      <c r="AV86" s="1617" t="str">
        <f t="shared" si="3"/>
        <v>5:58</v>
      </c>
      <c r="AW86" s="1618" t="s">
        <v>10315</v>
      </c>
    </row>
    <row r="87" ht="15.75" customHeight="1">
      <c r="A87" s="1443" t="s">
        <v>5999</v>
      </c>
      <c r="B87" s="1504" t="s">
        <v>8517</v>
      </c>
      <c r="C87" s="1583">
        <v>0.05275462962962963</v>
      </c>
      <c r="D87" s="1362" t="s">
        <v>10316</v>
      </c>
      <c r="E87" s="1617" t="s">
        <v>9656</v>
      </c>
      <c r="F87" s="1617" t="s">
        <v>10317</v>
      </c>
      <c r="G87" s="1617" t="s">
        <v>8718</v>
      </c>
      <c r="H87" s="1617" t="s">
        <v>7293</v>
      </c>
      <c r="I87" s="1617" t="s">
        <v>2366</v>
      </c>
      <c r="J87" s="1617" t="s">
        <v>4255</v>
      </c>
      <c r="K87" s="1617" t="s">
        <v>9975</v>
      </c>
      <c r="L87" s="1617" t="s">
        <v>5329</v>
      </c>
      <c r="M87" s="1617" t="s">
        <v>4238</v>
      </c>
      <c r="N87" s="1617" t="s">
        <v>10318</v>
      </c>
      <c r="O87" s="1617" t="s">
        <v>10319</v>
      </c>
      <c r="P87" s="1617" t="s">
        <v>6230</v>
      </c>
      <c r="Q87" s="1617" t="s">
        <v>10320</v>
      </c>
      <c r="R87" s="1617" t="s">
        <v>10321</v>
      </c>
      <c r="S87" s="1617" t="s">
        <v>8507</v>
      </c>
      <c r="T87" s="1617" t="s">
        <v>2704</v>
      </c>
      <c r="U87" s="1617" t="s">
        <v>511</v>
      </c>
      <c r="V87" s="1617" t="s">
        <v>4206</v>
      </c>
      <c r="W87" s="1617" t="s">
        <v>10322</v>
      </c>
      <c r="X87" s="1617" t="s">
        <v>10323</v>
      </c>
      <c r="Y87" s="1617" t="s">
        <v>5741</v>
      </c>
      <c r="Z87" s="1617" t="s">
        <v>8805</v>
      </c>
      <c r="AA87" s="1617" t="s">
        <v>10324</v>
      </c>
      <c r="AB87" s="1617" t="s">
        <v>504</v>
      </c>
      <c r="AC87" s="1617" t="s">
        <v>9849</v>
      </c>
      <c r="AD87" s="1617" t="s">
        <v>10325</v>
      </c>
      <c r="AE87" s="1617" t="s">
        <v>10326</v>
      </c>
      <c r="AF87" s="1617" t="s">
        <v>9373</v>
      </c>
      <c r="AG87" s="1617" t="s">
        <v>3196</v>
      </c>
      <c r="AH87" s="1617" t="s">
        <v>748</v>
      </c>
      <c r="AI87" s="1617" t="s">
        <v>5357</v>
      </c>
      <c r="AJ87" s="1617" t="s">
        <v>10327</v>
      </c>
      <c r="AK87" s="1617" t="s">
        <v>8930</v>
      </c>
      <c r="AL87" s="1617" t="s">
        <v>5421</v>
      </c>
      <c r="AM87" s="1617" t="s">
        <v>3182</v>
      </c>
      <c r="AN87" s="1617" t="s">
        <v>6366</v>
      </c>
      <c r="AO87" s="1617" t="s">
        <v>10328</v>
      </c>
      <c r="AP87" s="1617" t="s">
        <v>10329</v>
      </c>
      <c r="AQ87" s="1617" t="s">
        <v>10330</v>
      </c>
      <c r="AR87" s="1617" t="s">
        <v>9910</v>
      </c>
      <c r="AS87" s="1617" t="s">
        <v>8817</v>
      </c>
      <c r="AT87" s="1617" t="s">
        <v>10331</v>
      </c>
      <c r="AU87" s="1617" t="s">
        <v>10332</v>
      </c>
      <c r="AV87" s="1617" t="str">
        <f t="shared" si="3"/>
        <v>3:59</v>
      </c>
      <c r="AW87" s="1622" t="s">
        <v>10333</v>
      </c>
    </row>
    <row r="88" ht="15.75" customHeight="1">
      <c r="A88" s="1528" t="s">
        <v>10334</v>
      </c>
      <c r="B88" s="1607" t="s">
        <v>8543</v>
      </c>
      <c r="C88" s="1583">
        <v>0.05291666666666667</v>
      </c>
      <c r="D88" s="1362" t="s">
        <v>10335</v>
      </c>
      <c r="E88" s="1617" t="s">
        <v>10336</v>
      </c>
      <c r="F88" s="1617" t="s">
        <v>5865</v>
      </c>
      <c r="G88" s="1617" t="s">
        <v>9512</v>
      </c>
      <c r="H88" s="1617" t="s">
        <v>9841</v>
      </c>
      <c r="I88" s="1617" t="s">
        <v>2993</v>
      </c>
      <c r="J88" s="1617" t="s">
        <v>10337</v>
      </c>
      <c r="K88" s="1617" t="s">
        <v>5486</v>
      </c>
      <c r="L88" s="1617" t="s">
        <v>7756</v>
      </c>
      <c r="M88" s="1617" t="s">
        <v>10338</v>
      </c>
      <c r="N88" s="1617" t="s">
        <v>10339</v>
      </c>
      <c r="O88" s="1617" t="s">
        <v>10340</v>
      </c>
      <c r="P88" s="1617" t="s">
        <v>9707</v>
      </c>
      <c r="Q88" s="1617" t="s">
        <v>10341</v>
      </c>
      <c r="R88" s="1617" t="s">
        <v>9596</v>
      </c>
      <c r="S88" s="1617" t="s">
        <v>4649</v>
      </c>
      <c r="T88" s="1617" t="s">
        <v>8717</v>
      </c>
      <c r="U88" s="1617" t="s">
        <v>5492</v>
      </c>
      <c r="V88" s="1617" t="s">
        <v>1195</v>
      </c>
      <c r="W88" s="1617" t="s">
        <v>1989</v>
      </c>
      <c r="X88" s="1617" t="s">
        <v>3246</v>
      </c>
      <c r="Y88" s="1617" t="s">
        <v>681</v>
      </c>
      <c r="Z88" s="1617" t="s">
        <v>10342</v>
      </c>
      <c r="AA88" s="1524" t="s">
        <v>7689</v>
      </c>
      <c r="AB88" s="1617" t="s">
        <v>3684</v>
      </c>
      <c r="AC88" s="1617" t="s">
        <v>2481</v>
      </c>
      <c r="AD88" s="1617" t="s">
        <v>10343</v>
      </c>
      <c r="AE88" s="1617" t="s">
        <v>10344</v>
      </c>
      <c r="AF88" s="1617" t="s">
        <v>10345</v>
      </c>
      <c r="AG88" s="1617" t="s">
        <v>10346</v>
      </c>
      <c r="AH88" s="1617" t="s">
        <v>10347</v>
      </c>
      <c r="AI88" s="1617" t="s">
        <v>10348</v>
      </c>
      <c r="AJ88" s="1617" t="s">
        <v>10349</v>
      </c>
      <c r="AK88" s="1617" t="s">
        <v>10350</v>
      </c>
      <c r="AL88" s="1617" t="s">
        <v>1739</v>
      </c>
      <c r="AM88" s="1617" t="s">
        <v>3368</v>
      </c>
      <c r="AN88" s="1617" t="s">
        <v>10351</v>
      </c>
      <c r="AO88" s="1617" t="s">
        <v>10352</v>
      </c>
      <c r="AP88" s="1617" t="s">
        <v>3179</v>
      </c>
      <c r="AQ88" s="1617" t="s">
        <v>10353</v>
      </c>
      <c r="AR88" s="1617" t="s">
        <v>10256</v>
      </c>
      <c r="AS88" s="1617" t="s">
        <v>4395</v>
      </c>
      <c r="AT88" s="1617" t="s">
        <v>10354</v>
      </c>
      <c r="AU88" s="1617" t="s">
        <v>10355</v>
      </c>
      <c r="AV88" s="1617" t="str">
        <f t="shared" si="3"/>
        <v>2:38</v>
      </c>
      <c r="AW88" s="1622"/>
    </row>
    <row r="89" ht="15.75" customHeight="1">
      <c r="A89" s="1491" t="s">
        <v>6295</v>
      </c>
      <c r="B89" s="1489" t="s">
        <v>8489</v>
      </c>
      <c r="C89" s="1445">
        <v>0.05324074074074074</v>
      </c>
      <c r="D89" s="1362" t="s">
        <v>10356</v>
      </c>
      <c r="E89" s="1362" t="s">
        <v>10357</v>
      </c>
      <c r="F89" s="1362" t="s">
        <v>10358</v>
      </c>
      <c r="G89" s="1362" t="s">
        <v>9249</v>
      </c>
      <c r="H89" s="1362" t="s">
        <v>10359</v>
      </c>
      <c r="I89" s="1362" t="s">
        <v>6118</v>
      </c>
      <c r="J89" s="1362" t="s">
        <v>1872</v>
      </c>
      <c r="K89" s="1362" t="s">
        <v>4431</v>
      </c>
      <c r="L89" s="1362" t="s">
        <v>10360</v>
      </c>
      <c r="M89" s="1362" t="s">
        <v>10361</v>
      </c>
      <c r="N89" s="1362" t="s">
        <v>10362</v>
      </c>
      <c r="O89" s="1362" t="s">
        <v>10363</v>
      </c>
      <c r="P89" s="1362" t="s">
        <v>10364</v>
      </c>
      <c r="Q89" s="1362" t="s">
        <v>10365</v>
      </c>
      <c r="R89" s="1362" t="s">
        <v>8503</v>
      </c>
      <c r="S89" s="1362" t="s">
        <v>10236</v>
      </c>
      <c r="T89" s="1362" t="s">
        <v>10366</v>
      </c>
      <c r="U89" s="1362" t="s">
        <v>10367</v>
      </c>
      <c r="V89" s="1362" t="s">
        <v>2827</v>
      </c>
      <c r="W89" s="1362" t="s">
        <v>10368</v>
      </c>
      <c r="X89" s="1362" t="s">
        <v>10369</v>
      </c>
      <c r="Y89" s="1362" t="s">
        <v>5646</v>
      </c>
      <c r="Z89" s="1362" t="s">
        <v>4172</v>
      </c>
      <c r="AA89" s="1524" t="s">
        <v>10370</v>
      </c>
      <c r="AB89" s="1362" t="s">
        <v>9639</v>
      </c>
      <c r="AC89" s="1362" t="s">
        <v>5600</v>
      </c>
      <c r="AD89" s="1362" t="s">
        <v>10371</v>
      </c>
      <c r="AE89" s="1362" t="s">
        <v>9448</v>
      </c>
      <c r="AF89" s="1362" t="s">
        <v>10372</v>
      </c>
      <c r="AG89" s="1362" t="s">
        <v>10175</v>
      </c>
      <c r="AH89" s="1362" t="s">
        <v>5724</v>
      </c>
      <c r="AI89" s="1362" t="s">
        <v>10373</v>
      </c>
      <c r="AJ89" s="1362" t="s">
        <v>10374</v>
      </c>
      <c r="AK89" s="1524" t="s">
        <v>10375</v>
      </c>
      <c r="AL89" s="1362" t="s">
        <v>9958</v>
      </c>
      <c r="AM89" s="1362" t="s">
        <v>10376</v>
      </c>
      <c r="AN89" s="1362" t="s">
        <v>9787</v>
      </c>
      <c r="AO89" s="1362" t="s">
        <v>4682</v>
      </c>
      <c r="AP89" s="1362" t="s">
        <v>10377</v>
      </c>
      <c r="AQ89" s="1362" t="s">
        <v>10378</v>
      </c>
      <c r="AR89" s="1524" t="s">
        <v>3769</v>
      </c>
      <c r="AS89" s="1362" t="s">
        <v>10379</v>
      </c>
      <c r="AT89" s="1362" t="s">
        <v>10380</v>
      </c>
      <c r="AU89" s="1524" t="s">
        <v>10292</v>
      </c>
      <c r="AV89" s="1617" t="str">
        <f t="shared" si="3"/>
        <v>3:53</v>
      </c>
      <c r="AW89" s="1618" t="s">
        <v>10381</v>
      </c>
    </row>
    <row r="90">
      <c r="A90" s="1491" t="s">
        <v>4813</v>
      </c>
      <c r="B90" s="1485" t="s">
        <v>8543</v>
      </c>
      <c r="C90" s="1445">
        <v>0.05331018518518518</v>
      </c>
      <c r="D90" s="1524" t="s">
        <v>10382</v>
      </c>
      <c r="E90" s="1524" t="s">
        <v>7836</v>
      </c>
      <c r="F90" s="1524" t="s">
        <v>10150</v>
      </c>
      <c r="G90" s="1524" t="s">
        <v>10383</v>
      </c>
      <c r="H90" s="1362" t="s">
        <v>10384</v>
      </c>
      <c r="I90" s="1524" t="s">
        <v>10385</v>
      </c>
      <c r="J90" s="1524" t="s">
        <v>9886</v>
      </c>
      <c r="K90" s="1524" t="s">
        <v>8712</v>
      </c>
      <c r="L90" s="1524" t="s">
        <v>4203</v>
      </c>
      <c r="M90" s="1524" t="s">
        <v>10386</v>
      </c>
      <c r="N90" s="1524" t="s">
        <v>9668</v>
      </c>
      <c r="O90" s="1524" t="s">
        <v>10387</v>
      </c>
      <c r="P90" s="1524" t="s">
        <v>6165</v>
      </c>
      <c r="Q90" s="1524" t="s">
        <v>10388</v>
      </c>
      <c r="R90" s="1524" t="s">
        <v>2232</v>
      </c>
      <c r="S90" s="1524" t="s">
        <v>7706</v>
      </c>
      <c r="T90" s="1524" t="s">
        <v>7274</v>
      </c>
      <c r="U90" s="1524" t="s">
        <v>10389</v>
      </c>
      <c r="V90" s="1524" t="s">
        <v>9866</v>
      </c>
      <c r="W90" s="1524" t="s">
        <v>10390</v>
      </c>
      <c r="X90" s="1524" t="s">
        <v>6912</v>
      </c>
      <c r="Y90" s="1524" t="s">
        <v>5532</v>
      </c>
      <c r="Z90" s="1524" t="s">
        <v>9670</v>
      </c>
      <c r="AA90" s="1524" t="s">
        <v>10391</v>
      </c>
      <c r="AB90" s="1524" t="s">
        <v>3539</v>
      </c>
      <c r="AC90" s="1524" t="s">
        <v>10392</v>
      </c>
      <c r="AD90" s="1524" t="s">
        <v>10393</v>
      </c>
      <c r="AE90" s="1524" t="s">
        <v>5741</v>
      </c>
      <c r="AF90" s="1524" t="s">
        <v>10394</v>
      </c>
      <c r="AG90" s="1524" t="s">
        <v>10395</v>
      </c>
      <c r="AH90" s="1524" t="s">
        <v>10396</v>
      </c>
      <c r="AI90" s="1524" t="s">
        <v>10397</v>
      </c>
      <c r="AJ90" s="1524" t="s">
        <v>10398</v>
      </c>
      <c r="AK90" s="1524" t="s">
        <v>2275</v>
      </c>
      <c r="AL90" s="1524" t="s">
        <v>2243</v>
      </c>
      <c r="AM90" s="1524" t="s">
        <v>10399</v>
      </c>
      <c r="AN90" s="1524" t="s">
        <v>10400</v>
      </c>
      <c r="AO90" s="1524" t="s">
        <v>10401</v>
      </c>
      <c r="AP90" s="1524" t="s">
        <v>2783</v>
      </c>
      <c r="AQ90" s="1524" t="s">
        <v>10402</v>
      </c>
      <c r="AR90" s="1524" t="s">
        <v>1753</v>
      </c>
      <c r="AS90" s="1524" t="s">
        <v>946</v>
      </c>
      <c r="AT90" s="1524" t="s">
        <v>10403</v>
      </c>
      <c r="AU90" s="1524" t="s">
        <v>10404</v>
      </c>
      <c r="AV90" s="1617" t="str">
        <f t="shared" si="3"/>
        <v>4:18</v>
      </c>
      <c r="AW90" s="1622"/>
    </row>
    <row r="91" ht="15.75" customHeight="1">
      <c r="A91" s="1528" t="s">
        <v>10405</v>
      </c>
      <c r="B91" s="1607" t="s">
        <v>8543</v>
      </c>
      <c r="C91" s="1445">
        <v>0.05348379629629629</v>
      </c>
      <c r="D91" s="1362" t="s">
        <v>10406</v>
      </c>
      <c r="E91" s="1617" t="s">
        <v>10186</v>
      </c>
      <c r="F91" s="1617" t="s">
        <v>6365</v>
      </c>
      <c r="G91" s="1617" t="s">
        <v>10407</v>
      </c>
      <c r="H91" s="1617" t="s">
        <v>10408</v>
      </c>
      <c r="I91" s="1617" t="s">
        <v>2435</v>
      </c>
      <c r="J91" s="1617" t="s">
        <v>9047</v>
      </c>
      <c r="K91" s="1617" t="s">
        <v>8556</v>
      </c>
      <c r="L91" s="1617" t="s">
        <v>4874</v>
      </c>
      <c r="M91" s="1617" t="s">
        <v>8965</v>
      </c>
      <c r="N91" s="1617" t="s">
        <v>10409</v>
      </c>
      <c r="O91" s="1617" t="s">
        <v>4473</v>
      </c>
      <c r="P91" s="1617" t="s">
        <v>890</v>
      </c>
      <c r="Q91" s="1524" t="s">
        <v>10410</v>
      </c>
      <c r="R91" s="1617" t="s">
        <v>9933</v>
      </c>
      <c r="S91" s="1617" t="s">
        <v>9281</v>
      </c>
      <c r="T91" s="1617" t="s">
        <v>10157</v>
      </c>
      <c r="U91" s="1617" t="s">
        <v>10411</v>
      </c>
      <c r="V91" s="1617" t="s">
        <v>3378</v>
      </c>
      <c r="W91" s="1617" t="s">
        <v>3454</v>
      </c>
      <c r="X91" s="1617" t="s">
        <v>3126</v>
      </c>
      <c r="Y91" s="1617" t="s">
        <v>1497</v>
      </c>
      <c r="Z91" s="1617" t="s">
        <v>8900</v>
      </c>
      <c r="AA91" s="1524" t="s">
        <v>10412</v>
      </c>
      <c r="AB91" s="1617" t="s">
        <v>9678</v>
      </c>
      <c r="AC91" s="1617" t="s">
        <v>1202</v>
      </c>
      <c r="AD91" s="1617" t="s">
        <v>10413</v>
      </c>
      <c r="AE91" s="1617" t="s">
        <v>604</v>
      </c>
      <c r="AF91" s="1524" t="s">
        <v>10414</v>
      </c>
      <c r="AG91" s="1617" t="s">
        <v>5783</v>
      </c>
      <c r="AH91" s="1617" t="s">
        <v>9147</v>
      </c>
      <c r="AI91" s="1617" t="s">
        <v>2729</v>
      </c>
      <c r="AJ91" s="1617" t="s">
        <v>10415</v>
      </c>
      <c r="AK91" s="1617" t="s">
        <v>8937</v>
      </c>
      <c r="AL91" s="1617" t="s">
        <v>10416</v>
      </c>
      <c r="AM91" s="1617" t="s">
        <v>8513</v>
      </c>
      <c r="AN91" s="1617" t="s">
        <v>9958</v>
      </c>
      <c r="AO91" s="1617" t="s">
        <v>8890</v>
      </c>
      <c r="AP91" s="1617" t="s">
        <v>10417</v>
      </c>
      <c r="AQ91" s="1617" t="s">
        <v>4570</v>
      </c>
      <c r="AR91" s="1617" t="s">
        <v>1349</v>
      </c>
      <c r="AS91" s="1617" t="s">
        <v>8727</v>
      </c>
      <c r="AT91" s="1617" t="s">
        <v>4773</v>
      </c>
      <c r="AU91" s="1617" t="s">
        <v>10418</v>
      </c>
      <c r="AV91" s="1617" t="str">
        <f t="shared" si="3"/>
        <v>3:27</v>
      </c>
      <c r="AW91" s="1618" t="s">
        <v>10419</v>
      </c>
    </row>
    <row r="92">
      <c r="A92" s="1491" t="s">
        <v>5439</v>
      </c>
      <c r="B92" s="1489" t="s">
        <v>8489</v>
      </c>
      <c r="C92" s="1445">
        <v>0.05376157407407407</v>
      </c>
      <c r="D92" s="1524" t="s">
        <v>10420</v>
      </c>
      <c r="E92" s="1524" t="s">
        <v>10421</v>
      </c>
      <c r="F92" s="1524" t="s">
        <v>10422</v>
      </c>
      <c r="G92" s="1524" t="s">
        <v>10423</v>
      </c>
      <c r="H92" s="1639" t="s">
        <v>10424</v>
      </c>
      <c r="I92" s="1362" t="s">
        <v>238</v>
      </c>
      <c r="J92" s="1524" t="s">
        <v>9550</v>
      </c>
      <c r="K92" s="1524" t="s">
        <v>10425</v>
      </c>
      <c r="L92" s="1524" t="s">
        <v>2608</v>
      </c>
      <c r="M92" s="1524" t="s">
        <v>1387</v>
      </c>
      <c r="N92" s="1524" t="s">
        <v>10426</v>
      </c>
      <c r="O92" s="1524" t="s">
        <v>10427</v>
      </c>
      <c r="P92" s="1524" t="s">
        <v>993</v>
      </c>
      <c r="Q92" s="1524" t="s">
        <v>4493</v>
      </c>
      <c r="R92" s="1524" t="s">
        <v>10428</v>
      </c>
      <c r="S92" s="1640" t="s">
        <v>10429</v>
      </c>
      <c r="T92" s="1640" t="s">
        <v>9110</v>
      </c>
      <c r="U92" s="1524" t="s">
        <v>10430</v>
      </c>
      <c r="V92" s="1524" t="s">
        <v>10431</v>
      </c>
      <c r="W92" s="1524" t="s">
        <v>7673</v>
      </c>
      <c r="X92" s="1524" t="s">
        <v>10432</v>
      </c>
      <c r="Y92" s="1524" t="s">
        <v>2206</v>
      </c>
      <c r="Z92" s="1524" t="s">
        <v>9678</v>
      </c>
      <c r="AA92" s="1524" t="s">
        <v>10433</v>
      </c>
      <c r="AB92" s="1524" t="s">
        <v>10434</v>
      </c>
      <c r="AC92" s="1524" t="s">
        <v>7626</v>
      </c>
      <c r="AD92" s="1524" t="s">
        <v>5913</v>
      </c>
      <c r="AE92" s="1524" t="s">
        <v>2481</v>
      </c>
      <c r="AF92" s="1524" t="s">
        <v>7711</v>
      </c>
      <c r="AG92" s="1524" t="s">
        <v>10435</v>
      </c>
      <c r="AH92" s="1524" t="s">
        <v>9107</v>
      </c>
      <c r="AI92" s="1524" t="s">
        <v>7508</v>
      </c>
      <c r="AJ92" s="1524" t="s">
        <v>10436</v>
      </c>
      <c r="AK92" s="1524" t="s">
        <v>4865</v>
      </c>
      <c r="AL92" s="1524" t="s">
        <v>10437</v>
      </c>
      <c r="AM92" s="1524" t="s">
        <v>4877</v>
      </c>
      <c r="AN92" s="1524" t="s">
        <v>10438</v>
      </c>
      <c r="AO92" s="1524" t="s">
        <v>8502</v>
      </c>
      <c r="AP92" s="1524" t="s">
        <v>10439</v>
      </c>
      <c r="AQ92" s="1524" t="s">
        <v>10440</v>
      </c>
      <c r="AR92" s="1524" t="s">
        <v>5226</v>
      </c>
      <c r="AS92" s="1524" t="s">
        <v>8676</v>
      </c>
      <c r="AT92" s="1524" t="s">
        <v>10441</v>
      </c>
      <c r="AU92" s="1524" t="s">
        <v>10442</v>
      </c>
      <c r="AV92" s="1617" t="str">
        <f t="shared" si="3"/>
        <v>4:58</v>
      </c>
      <c r="AW92" s="1641"/>
    </row>
    <row r="93" ht="15.75" customHeight="1">
      <c r="A93" s="1528" t="s">
        <v>6402</v>
      </c>
      <c r="B93" s="1607" t="s">
        <v>8543</v>
      </c>
      <c r="C93" s="1583">
        <v>0.05386574074074074</v>
      </c>
      <c r="D93" s="1617" t="s">
        <v>10443</v>
      </c>
      <c r="E93" s="1617" t="s">
        <v>7253</v>
      </c>
      <c r="F93" s="1617" t="s">
        <v>10444</v>
      </c>
      <c r="G93" s="1617" t="s">
        <v>4438</v>
      </c>
      <c r="H93" s="1617" t="s">
        <v>10445</v>
      </c>
      <c r="I93" s="1617" t="s">
        <v>10385</v>
      </c>
      <c r="J93" s="1617" t="s">
        <v>10446</v>
      </c>
      <c r="K93" s="1617" t="s">
        <v>10447</v>
      </c>
      <c r="L93" s="1617" t="s">
        <v>1504</v>
      </c>
      <c r="M93" s="1617" t="s">
        <v>4619</v>
      </c>
      <c r="N93" s="1617" t="s">
        <v>7411</v>
      </c>
      <c r="O93" s="1617" t="s">
        <v>10448</v>
      </c>
      <c r="P93" s="1617" t="s">
        <v>6165</v>
      </c>
      <c r="Q93" s="1617" t="s">
        <v>10449</v>
      </c>
      <c r="R93" s="1617" t="s">
        <v>10450</v>
      </c>
      <c r="S93" s="1617" t="s">
        <v>10451</v>
      </c>
      <c r="T93" s="1617" t="s">
        <v>9660</v>
      </c>
      <c r="U93" s="1617" t="s">
        <v>10452</v>
      </c>
      <c r="V93" s="1617" t="s">
        <v>10453</v>
      </c>
      <c r="W93" s="1617" t="s">
        <v>10454</v>
      </c>
      <c r="X93" s="1617" t="s">
        <v>1464</v>
      </c>
      <c r="Y93" s="1617" t="s">
        <v>1891</v>
      </c>
      <c r="Z93" s="1617" t="s">
        <v>9122</v>
      </c>
      <c r="AA93" s="1362" t="s">
        <v>10455</v>
      </c>
      <c r="AB93" s="1617" t="s">
        <v>10456</v>
      </c>
      <c r="AC93" s="1617" t="s">
        <v>6994</v>
      </c>
      <c r="AD93" s="1617" t="s">
        <v>10457</v>
      </c>
      <c r="AE93" s="1617" t="s">
        <v>10458</v>
      </c>
      <c r="AF93" s="1617" t="s">
        <v>10004</v>
      </c>
      <c r="AG93" s="1617" t="s">
        <v>10459</v>
      </c>
      <c r="AH93" s="1617" t="s">
        <v>10460</v>
      </c>
      <c r="AI93" s="1617" t="s">
        <v>3661</v>
      </c>
      <c r="AJ93" s="1617" t="s">
        <v>10461</v>
      </c>
      <c r="AK93" s="1617" t="s">
        <v>3203</v>
      </c>
      <c r="AL93" s="1617" t="s">
        <v>4676</v>
      </c>
      <c r="AM93" s="1617" t="s">
        <v>9648</v>
      </c>
      <c r="AN93" s="1617" t="s">
        <v>9186</v>
      </c>
      <c r="AO93" s="1524" t="s">
        <v>9364</v>
      </c>
      <c r="AP93" s="1617" t="s">
        <v>10462</v>
      </c>
      <c r="AQ93" s="1617" t="s">
        <v>10463</v>
      </c>
      <c r="AR93" s="1617" t="s">
        <v>10464</v>
      </c>
      <c r="AS93" s="1617" t="s">
        <v>8907</v>
      </c>
      <c r="AT93" s="1617" t="s">
        <v>10465</v>
      </c>
      <c r="AU93" s="1617" t="s">
        <v>10404</v>
      </c>
      <c r="AV93" s="1617" t="str">
        <f t="shared" si="3"/>
        <v>3:30</v>
      </c>
      <c r="AW93" s="1622"/>
    </row>
    <row r="94">
      <c r="A94" s="1491" t="s">
        <v>5308</v>
      </c>
      <c r="B94" s="1489" t="s">
        <v>8543</v>
      </c>
      <c r="C94" s="1445">
        <v>0.05482638888888889</v>
      </c>
      <c r="D94" s="1593" t="s">
        <v>10466</v>
      </c>
      <c r="E94" s="1524" t="s">
        <v>9274</v>
      </c>
      <c r="F94" s="1524" t="s">
        <v>10467</v>
      </c>
      <c r="G94" s="1524" t="s">
        <v>10468</v>
      </c>
      <c r="H94" s="1524" t="s">
        <v>10469</v>
      </c>
      <c r="I94" s="1524" t="s">
        <v>10470</v>
      </c>
      <c r="J94" s="1524" t="s">
        <v>10471</v>
      </c>
      <c r="K94" s="1524" t="s">
        <v>9682</v>
      </c>
      <c r="L94" s="1524" t="s">
        <v>10472</v>
      </c>
      <c r="M94" s="1524" t="s">
        <v>1751</v>
      </c>
      <c r="N94" s="1524" t="s">
        <v>10473</v>
      </c>
      <c r="O94" s="1524" t="s">
        <v>10474</v>
      </c>
      <c r="P94" s="1524" t="s">
        <v>6400</v>
      </c>
      <c r="Q94" s="1524" t="s">
        <v>10475</v>
      </c>
      <c r="R94" s="1524" t="s">
        <v>8905</v>
      </c>
      <c r="S94" s="1524" t="s">
        <v>10476</v>
      </c>
      <c r="T94" s="1524" t="s">
        <v>10391</v>
      </c>
      <c r="U94" s="1524" t="s">
        <v>10477</v>
      </c>
      <c r="V94" s="1524" t="s">
        <v>972</v>
      </c>
      <c r="W94" s="1524" t="s">
        <v>10478</v>
      </c>
      <c r="X94" s="1524" t="s">
        <v>10479</v>
      </c>
      <c r="Y94" s="1524" t="s">
        <v>1845</v>
      </c>
      <c r="Z94" s="1524" t="s">
        <v>9700</v>
      </c>
      <c r="AA94" s="1524" t="s">
        <v>2510</v>
      </c>
      <c r="AB94" s="1524" t="s">
        <v>5410</v>
      </c>
      <c r="AC94" s="1524" t="s">
        <v>10480</v>
      </c>
      <c r="AD94" s="1524" t="s">
        <v>10481</v>
      </c>
      <c r="AE94" s="1524" t="s">
        <v>1612</v>
      </c>
      <c r="AF94" s="1524" t="s">
        <v>10482</v>
      </c>
      <c r="AG94" s="1524" t="s">
        <v>10483</v>
      </c>
      <c r="AH94" s="1524" t="s">
        <v>10484</v>
      </c>
      <c r="AI94" s="1524" t="s">
        <v>10485</v>
      </c>
      <c r="AJ94" s="1524" t="s">
        <v>10486</v>
      </c>
      <c r="AK94" s="1524" t="s">
        <v>245</v>
      </c>
      <c r="AL94" s="1524" t="s">
        <v>7078</v>
      </c>
      <c r="AM94" s="1524" t="s">
        <v>4442</v>
      </c>
      <c r="AN94" s="1524" t="s">
        <v>10487</v>
      </c>
      <c r="AO94" s="1524" t="s">
        <v>1872</v>
      </c>
      <c r="AP94" s="1524" t="s">
        <v>1015</v>
      </c>
      <c r="AQ94" s="1524" t="s">
        <v>10488</v>
      </c>
      <c r="AR94" s="1524" t="s">
        <v>10489</v>
      </c>
      <c r="AS94" s="1524" t="s">
        <v>2270</v>
      </c>
      <c r="AT94" s="1524" t="s">
        <v>10490</v>
      </c>
      <c r="AU94" s="1524" t="s">
        <v>10491</v>
      </c>
      <c r="AV94" s="1617" t="str">
        <f t="shared" si="3"/>
        <v>3:40</v>
      </c>
      <c r="AW94" s="1618" t="s">
        <v>10492</v>
      </c>
    </row>
    <row r="95">
      <c r="A95" s="1491" t="s">
        <v>5493</v>
      </c>
      <c r="B95" s="1489" t="s">
        <v>8489</v>
      </c>
      <c r="C95" s="1445">
        <v>0.05482638888888889</v>
      </c>
      <c r="D95" s="1467" t="s">
        <v>10493</v>
      </c>
      <c r="E95" s="1467" t="s">
        <v>9121</v>
      </c>
      <c r="F95" s="1467" t="s">
        <v>10494</v>
      </c>
      <c r="G95" s="1467" t="s">
        <v>10495</v>
      </c>
      <c r="H95" s="1467" t="s">
        <v>10496</v>
      </c>
      <c r="I95" s="1467">
        <v>50.26</v>
      </c>
      <c r="J95" s="1467" t="s">
        <v>10471</v>
      </c>
      <c r="K95" s="1467" t="s">
        <v>10497</v>
      </c>
      <c r="L95" s="1467" t="s">
        <v>10498</v>
      </c>
      <c r="M95" s="1467" t="s">
        <v>2299</v>
      </c>
      <c r="N95" s="1467" t="s">
        <v>10499</v>
      </c>
      <c r="O95" s="1467" t="s">
        <v>10500</v>
      </c>
      <c r="P95" s="1467">
        <v>49.15</v>
      </c>
      <c r="Q95" s="1467" t="s">
        <v>10501</v>
      </c>
      <c r="R95" s="1467" t="s">
        <v>3339</v>
      </c>
      <c r="S95" s="1467" t="s">
        <v>10502</v>
      </c>
      <c r="T95" s="1467" t="s">
        <v>5120</v>
      </c>
      <c r="U95" s="1467" t="s">
        <v>10503</v>
      </c>
      <c r="V95" s="1467" t="s">
        <v>10504</v>
      </c>
      <c r="W95" s="1467" t="s">
        <v>10505</v>
      </c>
      <c r="X95" s="1467" t="s">
        <v>10506</v>
      </c>
      <c r="Y95" s="1467">
        <v>51.87</v>
      </c>
      <c r="Z95" s="1467" t="s">
        <v>6164</v>
      </c>
      <c r="AA95" s="1467" t="s">
        <v>6377</v>
      </c>
      <c r="AB95" s="1467" t="s">
        <v>2002</v>
      </c>
      <c r="AC95" s="1467">
        <v>49.75</v>
      </c>
      <c r="AD95" s="1467" t="s">
        <v>10507</v>
      </c>
      <c r="AE95" s="1467">
        <v>50.16</v>
      </c>
      <c r="AF95" s="1467" t="s">
        <v>10508</v>
      </c>
      <c r="AG95" s="1467" t="s">
        <v>10509</v>
      </c>
      <c r="AH95" s="1467" t="s">
        <v>6251</v>
      </c>
      <c r="AI95" s="1467" t="s">
        <v>2017</v>
      </c>
      <c r="AJ95" s="1467" t="s">
        <v>10510</v>
      </c>
      <c r="AK95" s="1467" t="s">
        <v>10426</v>
      </c>
      <c r="AL95" s="1467">
        <v>59.29</v>
      </c>
      <c r="AM95" s="1467" t="s">
        <v>4570</v>
      </c>
      <c r="AN95" s="1467" t="s">
        <v>643</v>
      </c>
      <c r="AO95" s="1467" t="s">
        <v>8966</v>
      </c>
      <c r="AP95" s="1467" t="s">
        <v>10511</v>
      </c>
      <c r="AQ95" s="1467" t="s">
        <v>10512</v>
      </c>
      <c r="AR95" s="1467" t="s">
        <v>7315</v>
      </c>
      <c r="AS95" s="1467">
        <v>47.7</v>
      </c>
      <c r="AT95" s="1467" t="s">
        <v>10513</v>
      </c>
      <c r="AU95" s="1474" t="s">
        <v>10514</v>
      </c>
      <c r="AV95" s="1617" t="str">
        <f t="shared" si="3"/>
        <v>5:51</v>
      </c>
      <c r="AW95" s="1625" t="s">
        <v>10515</v>
      </c>
    </row>
    <row r="96">
      <c r="A96" s="1491" t="s">
        <v>5561</v>
      </c>
      <c r="B96" s="1485" t="s">
        <v>8489</v>
      </c>
      <c r="C96" s="1445">
        <v>0.05559027777777778</v>
      </c>
      <c r="D96" s="1593" t="s">
        <v>10516</v>
      </c>
      <c r="E96" s="1524" t="s">
        <v>10517</v>
      </c>
      <c r="F96" s="1524" t="s">
        <v>10518</v>
      </c>
      <c r="G96" s="1524" t="s">
        <v>8161</v>
      </c>
      <c r="H96" s="1524" t="s">
        <v>5876</v>
      </c>
      <c r="I96" s="1524" t="s">
        <v>2004</v>
      </c>
      <c r="J96" s="1524" t="s">
        <v>10519</v>
      </c>
      <c r="K96" s="1524" t="s">
        <v>6169</v>
      </c>
      <c r="L96" s="1524" t="s">
        <v>8306</v>
      </c>
      <c r="M96" s="1524" t="s">
        <v>7321</v>
      </c>
      <c r="N96" s="1524" t="s">
        <v>10520</v>
      </c>
      <c r="O96" s="1524" t="s">
        <v>10521</v>
      </c>
      <c r="P96" s="1524" t="s">
        <v>293</v>
      </c>
      <c r="Q96" s="1524" t="s">
        <v>1835</v>
      </c>
      <c r="R96" s="1524" t="s">
        <v>10522</v>
      </c>
      <c r="S96" s="1524" t="s">
        <v>5299</v>
      </c>
      <c r="T96" s="1524" t="s">
        <v>10523</v>
      </c>
      <c r="U96" s="1524" t="s">
        <v>10524</v>
      </c>
      <c r="V96" s="1524" t="s">
        <v>6398</v>
      </c>
      <c r="W96" s="1524" t="s">
        <v>9255</v>
      </c>
      <c r="X96" s="1524" t="s">
        <v>10525</v>
      </c>
      <c r="Y96" s="1524" t="s">
        <v>3075</v>
      </c>
      <c r="Z96" s="1524" t="s">
        <v>10526</v>
      </c>
      <c r="AA96" s="1524" t="s">
        <v>10285</v>
      </c>
      <c r="AB96" s="1524" t="s">
        <v>3614</v>
      </c>
      <c r="AC96" s="1524" t="s">
        <v>4787</v>
      </c>
      <c r="AD96" s="1524" t="s">
        <v>9521</v>
      </c>
      <c r="AE96" s="1524" t="s">
        <v>990</v>
      </c>
      <c r="AF96" s="1524" t="s">
        <v>10527</v>
      </c>
      <c r="AG96" s="1524" t="s">
        <v>3804</v>
      </c>
      <c r="AH96" s="1524" t="s">
        <v>8195</v>
      </c>
      <c r="AI96" s="1524" t="s">
        <v>10528</v>
      </c>
      <c r="AJ96" s="1524" t="s">
        <v>10529</v>
      </c>
      <c r="AK96" s="1524" t="s">
        <v>4613</v>
      </c>
      <c r="AL96" s="1524" t="s">
        <v>588</v>
      </c>
      <c r="AM96" s="1524" t="s">
        <v>10530</v>
      </c>
      <c r="AN96" s="1524" t="s">
        <v>10531</v>
      </c>
      <c r="AO96" s="1524" t="s">
        <v>1086</v>
      </c>
      <c r="AP96" s="1524" t="s">
        <v>10532</v>
      </c>
      <c r="AQ96" s="1524" t="s">
        <v>10533</v>
      </c>
      <c r="AR96" s="1524" t="s">
        <v>10534</v>
      </c>
      <c r="AS96" s="1524" t="s">
        <v>960</v>
      </c>
      <c r="AT96" s="1524" t="s">
        <v>10535</v>
      </c>
      <c r="AU96" s="1524" t="s">
        <v>10536</v>
      </c>
      <c r="AV96" s="1617" t="str">
        <f t="shared" si="3"/>
        <v>5:05</v>
      </c>
      <c r="AW96" s="1618" t="s">
        <v>10537</v>
      </c>
    </row>
    <row r="97">
      <c r="A97" s="1491" t="s">
        <v>4982</v>
      </c>
      <c r="B97" s="1485" t="s">
        <v>8517</v>
      </c>
      <c r="C97" s="1526">
        <v>0.05565972222222222</v>
      </c>
      <c r="D97" s="1524" t="s">
        <v>10538</v>
      </c>
      <c r="E97" s="1524" t="s">
        <v>3358</v>
      </c>
      <c r="F97" s="1524" t="s">
        <v>10539</v>
      </c>
      <c r="G97" s="1524" t="s">
        <v>10540</v>
      </c>
      <c r="H97" s="1362" t="s">
        <v>9011</v>
      </c>
      <c r="I97" s="1524" t="s">
        <v>3610</v>
      </c>
      <c r="J97" s="1524" t="s">
        <v>9264</v>
      </c>
      <c r="K97" s="1524" t="s">
        <v>837</v>
      </c>
      <c r="L97" s="1524" t="s">
        <v>10541</v>
      </c>
      <c r="M97" s="1524" t="s">
        <v>10542</v>
      </c>
      <c r="N97" s="1524" t="s">
        <v>6272</v>
      </c>
      <c r="O97" s="1524" t="s">
        <v>10543</v>
      </c>
      <c r="P97" s="1524" t="s">
        <v>9938</v>
      </c>
      <c r="Q97" s="1524" t="s">
        <v>10544</v>
      </c>
      <c r="R97" s="1524" t="s">
        <v>9702</v>
      </c>
      <c r="S97" s="1524" t="s">
        <v>428</v>
      </c>
      <c r="T97" s="1524" t="s">
        <v>10545</v>
      </c>
      <c r="U97" s="1524" t="s">
        <v>10546</v>
      </c>
      <c r="V97" s="1524" t="s">
        <v>10547</v>
      </c>
      <c r="W97" s="1524" t="s">
        <v>10548</v>
      </c>
      <c r="X97" s="1524" t="s">
        <v>10549</v>
      </c>
      <c r="Y97" s="1524" t="s">
        <v>2481</v>
      </c>
      <c r="Z97" s="1524" t="s">
        <v>5373</v>
      </c>
      <c r="AA97" s="1524" t="s">
        <v>9871</v>
      </c>
      <c r="AB97" s="1524" t="s">
        <v>10230</v>
      </c>
      <c r="AC97" s="1524" t="s">
        <v>9707</v>
      </c>
      <c r="AD97" s="1524" t="s">
        <v>10550</v>
      </c>
      <c r="AE97" s="1524" t="s">
        <v>10551</v>
      </c>
      <c r="AF97" s="1524" t="s">
        <v>10552</v>
      </c>
      <c r="AG97" s="1524" t="s">
        <v>10553</v>
      </c>
      <c r="AH97" s="1524" t="s">
        <v>10554</v>
      </c>
      <c r="AI97" s="1524" t="s">
        <v>10555</v>
      </c>
      <c r="AJ97" s="1524" t="s">
        <v>10556</v>
      </c>
      <c r="AK97" s="1524" t="s">
        <v>7274</v>
      </c>
      <c r="AL97" s="1524" t="s">
        <v>3832</v>
      </c>
      <c r="AM97" s="1524" t="s">
        <v>4877</v>
      </c>
      <c r="AN97" s="1524" t="s">
        <v>10557</v>
      </c>
      <c r="AO97" s="1524" t="s">
        <v>2068</v>
      </c>
      <c r="AP97" s="1524" t="s">
        <v>10558</v>
      </c>
      <c r="AQ97" s="1524" t="s">
        <v>10559</v>
      </c>
      <c r="AR97" s="1524" t="s">
        <v>10560</v>
      </c>
      <c r="AS97" s="1524" t="s">
        <v>2328</v>
      </c>
      <c r="AT97" s="1524" t="s">
        <v>10561</v>
      </c>
      <c r="AU97" s="1524" t="s">
        <v>10562</v>
      </c>
      <c r="AV97" s="1617" t="str">
        <f t="shared" si="3"/>
        <v>8:24</v>
      </c>
      <c r="AW97" s="1618" t="s">
        <v>9563</v>
      </c>
    </row>
    <row r="98">
      <c r="A98" s="1528" t="s">
        <v>10563</v>
      </c>
      <c r="B98" s="1504" t="s">
        <v>8517</v>
      </c>
      <c r="C98" s="1583">
        <v>0.057881944444444444</v>
      </c>
      <c r="D98" s="1524" t="s">
        <v>10564</v>
      </c>
      <c r="E98" s="1617" t="s">
        <v>10565</v>
      </c>
      <c r="F98" s="1524" t="s">
        <v>10566</v>
      </c>
      <c r="G98" s="1524" t="s">
        <v>10567</v>
      </c>
      <c r="H98" s="1617" t="s">
        <v>10568</v>
      </c>
      <c r="I98" s="1617" t="s">
        <v>1074</v>
      </c>
      <c r="J98" s="1617" t="s">
        <v>10569</v>
      </c>
      <c r="K98" s="1617" t="s">
        <v>3721</v>
      </c>
      <c r="L98" s="1617" t="s">
        <v>10570</v>
      </c>
      <c r="M98" s="1617" t="s">
        <v>6755</v>
      </c>
      <c r="N98" s="1617" t="s">
        <v>10571</v>
      </c>
      <c r="O98" s="1617" t="s">
        <v>10572</v>
      </c>
      <c r="P98" s="1617" t="s">
        <v>2452</v>
      </c>
      <c r="Q98" s="1617" t="s">
        <v>10573</v>
      </c>
      <c r="R98" s="1617" t="s">
        <v>10574</v>
      </c>
      <c r="S98" s="1617" t="s">
        <v>10575</v>
      </c>
      <c r="T98" s="1617" t="s">
        <v>1843</v>
      </c>
      <c r="U98" s="1617" t="s">
        <v>10576</v>
      </c>
      <c r="V98" s="1617" t="s">
        <v>10577</v>
      </c>
      <c r="W98" s="1617" t="s">
        <v>10578</v>
      </c>
      <c r="X98" s="1617" t="s">
        <v>10579</v>
      </c>
      <c r="Y98" s="1617" t="s">
        <v>2908</v>
      </c>
      <c r="Z98" s="1617" t="s">
        <v>10580</v>
      </c>
      <c r="AA98" s="1524" t="s">
        <v>10581</v>
      </c>
      <c r="AB98" s="1617" t="s">
        <v>9047</v>
      </c>
      <c r="AC98" s="1617" t="s">
        <v>3574</v>
      </c>
      <c r="AD98" s="1617" t="s">
        <v>5339</v>
      </c>
      <c r="AE98" s="1617" t="s">
        <v>2706</v>
      </c>
      <c r="AF98" s="1617" t="s">
        <v>10582</v>
      </c>
      <c r="AG98" s="1617" t="s">
        <v>5786</v>
      </c>
      <c r="AH98" s="1617" t="s">
        <v>10583</v>
      </c>
      <c r="AI98" s="1617" t="s">
        <v>4922</v>
      </c>
      <c r="AJ98" s="1617" t="s">
        <v>10584</v>
      </c>
      <c r="AK98" s="1617" t="s">
        <v>10585</v>
      </c>
      <c r="AL98" s="1617" t="s">
        <v>4022</v>
      </c>
      <c r="AM98" s="1617" t="s">
        <v>4931</v>
      </c>
      <c r="AN98" s="1617" t="s">
        <v>10586</v>
      </c>
      <c r="AO98" s="1617" t="s">
        <v>9939</v>
      </c>
      <c r="AP98" s="1617" t="s">
        <v>10587</v>
      </c>
      <c r="AQ98" s="1617" t="s">
        <v>7292</v>
      </c>
      <c r="AR98" s="1617" t="s">
        <v>10588</v>
      </c>
      <c r="AS98" s="1617" t="s">
        <v>638</v>
      </c>
      <c r="AT98" s="1617" t="s">
        <v>10589</v>
      </c>
      <c r="AU98" s="1617" t="s">
        <v>10590</v>
      </c>
      <c r="AV98" s="1617" t="str">
        <f t="shared" si="3"/>
        <v>2:11</v>
      </c>
      <c r="AW98" s="1622" t="s">
        <v>10591</v>
      </c>
    </row>
    <row r="99" ht="15.75" customHeight="1">
      <c r="A99" s="1491" t="s">
        <v>6236</v>
      </c>
      <c r="B99" s="1504" t="s">
        <v>8517</v>
      </c>
      <c r="C99" s="1445">
        <v>0.06635416666666667</v>
      </c>
      <c r="D99" s="1362" t="s">
        <v>10592</v>
      </c>
      <c r="E99" s="1362" t="s">
        <v>8362</v>
      </c>
      <c r="F99" s="1362" t="s">
        <v>10593</v>
      </c>
      <c r="G99" s="1362" t="s">
        <v>10594</v>
      </c>
      <c r="H99" s="1362" t="s">
        <v>10595</v>
      </c>
      <c r="I99" s="1362" t="s">
        <v>3583</v>
      </c>
      <c r="J99" s="1362" t="s">
        <v>10596</v>
      </c>
      <c r="K99" s="1362" t="s">
        <v>3992</v>
      </c>
      <c r="L99" s="1362" t="s">
        <v>7322</v>
      </c>
      <c r="M99" s="1362" t="s">
        <v>902</v>
      </c>
      <c r="N99" s="1362" t="s">
        <v>10597</v>
      </c>
      <c r="O99" s="1362" t="s">
        <v>10598</v>
      </c>
      <c r="P99" s="1362" t="s">
        <v>5254</v>
      </c>
      <c r="Q99" s="1362" t="s">
        <v>10599</v>
      </c>
      <c r="R99" s="1362" t="s">
        <v>4628</v>
      </c>
      <c r="S99" s="1362" t="s">
        <v>10600</v>
      </c>
      <c r="T99" s="1362" t="s">
        <v>10478</v>
      </c>
      <c r="U99" s="1362" t="s">
        <v>10601</v>
      </c>
      <c r="V99" s="1362" t="s">
        <v>7836</v>
      </c>
      <c r="W99" s="1362" t="s">
        <v>10602</v>
      </c>
      <c r="X99" s="1362" t="s">
        <v>10603</v>
      </c>
      <c r="Y99" s="1362" t="s">
        <v>786</v>
      </c>
      <c r="Z99" s="1362" t="s">
        <v>10604</v>
      </c>
      <c r="AA99" s="1617"/>
      <c r="AB99" s="1362" t="s">
        <v>10605</v>
      </c>
      <c r="AC99" s="1362" t="s">
        <v>922</v>
      </c>
      <c r="AD99" s="1362" t="s">
        <v>10606</v>
      </c>
      <c r="AE99" s="1362" t="s">
        <v>10607</v>
      </c>
      <c r="AF99" s="1362" t="s">
        <v>10608</v>
      </c>
      <c r="AG99" s="1362" t="s">
        <v>10609</v>
      </c>
      <c r="AH99" s="1362" t="s">
        <v>4214</v>
      </c>
      <c r="AI99" s="1362" t="s">
        <v>10610</v>
      </c>
      <c r="AJ99" s="1362" t="s">
        <v>10611</v>
      </c>
      <c r="AK99" s="1362" t="s">
        <v>10612</v>
      </c>
      <c r="AL99" s="1362" t="s">
        <v>10613</v>
      </c>
      <c r="AM99" s="1362" t="s">
        <v>10614</v>
      </c>
      <c r="AN99" s="1362" t="s">
        <v>9126</v>
      </c>
      <c r="AO99" s="1362" t="s">
        <v>2414</v>
      </c>
      <c r="AP99" s="1362" t="s">
        <v>10615</v>
      </c>
      <c r="AQ99" s="1362" t="s">
        <v>882</v>
      </c>
      <c r="AR99" s="1362" t="s">
        <v>10616</v>
      </c>
      <c r="AS99" s="1362" t="s">
        <v>4122</v>
      </c>
      <c r="AT99" s="1362" t="s">
        <v>10617</v>
      </c>
      <c r="AU99" s="1507" t="s">
        <v>10618</v>
      </c>
      <c r="AV99" s="1617" t="str">
        <f t="shared" si="3"/>
        <v>9:53</v>
      </c>
      <c r="AW99" s="1625" t="s">
        <v>10619</v>
      </c>
    </row>
    <row r="100">
      <c r="A100" s="1491" t="s">
        <v>4739</v>
      </c>
      <c r="B100" s="1489" t="s">
        <v>8517</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8535</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6445</v>
      </c>
      <c r="B101" s="1485" t="s">
        <v>8517</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9004</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8451</v>
      </c>
      <c r="C1" s="1375" t="s">
        <v>8452</v>
      </c>
      <c r="D1" s="1660" t="s">
        <v>10620</v>
      </c>
      <c r="E1" s="1661" t="s">
        <v>6672</v>
      </c>
      <c r="F1" s="1662" t="s">
        <v>6961</v>
      </c>
      <c r="G1" s="1663" t="s">
        <v>38</v>
      </c>
      <c r="H1" s="1664" t="s">
        <v>36</v>
      </c>
      <c r="I1" s="1660" t="s">
        <v>10621</v>
      </c>
      <c r="J1" s="1665" t="s">
        <v>39</v>
      </c>
      <c r="K1" s="1666" t="s">
        <v>6902</v>
      </c>
      <c r="L1" s="1383" t="s">
        <v>8484</v>
      </c>
      <c r="M1" s="1667" t="s">
        <v>8485</v>
      </c>
      <c r="N1" s="1668" t="s">
        <v>8486</v>
      </c>
      <c r="O1" s="1373" t="s">
        <v>8487</v>
      </c>
    </row>
    <row r="2" ht="15.75" customHeight="1">
      <c r="A2" s="1386" t="s">
        <v>8488</v>
      </c>
      <c r="B2" s="1669" t="s">
        <v>8489</v>
      </c>
      <c r="C2" s="1670">
        <v>0.04982638888888889</v>
      </c>
      <c r="D2" s="1402" t="s">
        <v>10622</v>
      </c>
      <c r="E2" s="1671" t="s">
        <v>10623</v>
      </c>
      <c r="F2" s="1672" t="s">
        <v>10624</v>
      </c>
      <c r="G2" s="1673" t="s">
        <v>10625</v>
      </c>
      <c r="H2" s="1674" t="s">
        <v>10626</v>
      </c>
      <c r="I2" s="1675" t="s">
        <v>10627</v>
      </c>
      <c r="J2" s="1676" t="s">
        <v>10628</v>
      </c>
      <c r="K2" s="1677" t="s">
        <v>10629</v>
      </c>
      <c r="L2" s="1678" t="s">
        <v>8677</v>
      </c>
      <c r="M2" s="1670">
        <v>0.050590277777777776</v>
      </c>
      <c r="N2" s="1679" t="str">
        <f t="shared" ref="N2:N39" si="1">TEXT(M2-C2, "m:ss")</f>
        <v>1:06</v>
      </c>
      <c r="O2" s="1411"/>
    </row>
    <row r="3" ht="15.75" customHeight="1">
      <c r="A3" s="1412" t="s">
        <v>8516</v>
      </c>
      <c r="B3" s="1680" t="s">
        <v>8517</v>
      </c>
      <c r="C3" s="1681">
        <v>0.051458333333333335</v>
      </c>
      <c r="D3" s="1415" t="s">
        <v>10630</v>
      </c>
      <c r="E3" s="1682" t="s">
        <v>5925</v>
      </c>
      <c r="F3" s="1417" t="s">
        <v>10631</v>
      </c>
      <c r="G3" s="1418" t="s">
        <v>10632</v>
      </c>
      <c r="H3" s="1421" t="s">
        <v>10633</v>
      </c>
      <c r="I3" s="1415" t="s">
        <v>10634</v>
      </c>
      <c r="J3" s="1423" t="s">
        <v>10635</v>
      </c>
      <c r="K3" s="1425" t="s">
        <v>10636</v>
      </c>
      <c r="L3" s="1426" t="s">
        <v>9117</v>
      </c>
      <c r="M3" s="1681">
        <v>0.05236111111111111</v>
      </c>
      <c r="N3" s="1683" t="str">
        <f t="shared" si="1"/>
        <v>1:18</v>
      </c>
    </row>
    <row r="4" ht="15.75" customHeight="1">
      <c r="A4" s="1428" t="s">
        <v>8542</v>
      </c>
      <c r="B4" s="1684" t="s">
        <v>8543</v>
      </c>
      <c r="C4" s="1685">
        <f>C24</f>
        <v>0.05158564815</v>
      </c>
      <c r="D4" s="1431" t="s">
        <v>10637</v>
      </c>
      <c r="E4" s="1686" t="s">
        <v>10638</v>
      </c>
      <c r="F4" s="1433" t="s">
        <v>10639</v>
      </c>
      <c r="G4" s="1434" t="s">
        <v>10640</v>
      </c>
      <c r="H4" s="1435" t="s">
        <v>10641</v>
      </c>
      <c r="I4" s="1431" t="s">
        <v>10642</v>
      </c>
      <c r="J4" s="1437" t="s">
        <v>10643</v>
      </c>
      <c r="K4" s="1438" t="s">
        <v>10644</v>
      </c>
      <c r="L4" s="1440" t="s">
        <v>8575</v>
      </c>
      <c r="M4" s="1687">
        <f>M24</f>
        <v>0.0521412037</v>
      </c>
      <c r="N4" s="1687" t="str">
        <f t="shared" si="1"/>
        <v>0:48</v>
      </c>
    </row>
    <row r="5" ht="15.75" customHeight="1">
      <c r="A5" s="1626" t="s">
        <v>1107</v>
      </c>
      <c r="B5" s="1603" t="s">
        <v>8489</v>
      </c>
      <c r="C5" s="1688">
        <v>0.04997685185185185</v>
      </c>
      <c r="D5" s="1689" t="s">
        <v>10622</v>
      </c>
      <c r="E5" s="1468" t="s">
        <v>10645</v>
      </c>
      <c r="F5" s="1689" t="s">
        <v>10624</v>
      </c>
      <c r="G5" s="1689" t="s">
        <v>10625</v>
      </c>
      <c r="H5" s="1690" t="s">
        <v>10646</v>
      </c>
      <c r="I5" s="1465" t="s">
        <v>10647</v>
      </c>
      <c r="J5" s="1465" t="s">
        <v>10648</v>
      </c>
      <c r="K5" s="1689" t="s">
        <v>10629</v>
      </c>
      <c r="L5" s="1465" t="s">
        <v>2159</v>
      </c>
      <c r="M5" s="1506" t="s">
        <v>8515</v>
      </c>
      <c r="N5" s="1691" t="str">
        <f t="shared" si="1"/>
        <v>0:53</v>
      </c>
      <c r="O5" s="1465" t="s">
        <v>10649</v>
      </c>
    </row>
    <row r="6" ht="15.75" customHeight="1">
      <c r="A6" s="1692" t="s">
        <v>446</v>
      </c>
      <c r="B6" s="1444" t="s">
        <v>8489</v>
      </c>
      <c r="C6" s="1693">
        <v>0.04998842592592593</v>
      </c>
      <c r="D6" s="1465" t="s">
        <v>10650</v>
      </c>
      <c r="E6" s="1694" t="s">
        <v>10623</v>
      </c>
      <c r="F6" s="1465" t="s">
        <v>10651</v>
      </c>
      <c r="G6" s="1465" t="s">
        <v>10652</v>
      </c>
      <c r="H6" s="1506" t="s">
        <v>10626</v>
      </c>
      <c r="I6" s="1465" t="s">
        <v>10653</v>
      </c>
      <c r="J6" s="1506" t="s">
        <v>10628</v>
      </c>
      <c r="K6" s="1465" t="s">
        <v>10654</v>
      </c>
      <c r="L6" s="1465" t="s">
        <v>8591</v>
      </c>
      <c r="M6" s="1465" t="s">
        <v>8611</v>
      </c>
      <c r="N6" s="1695" t="str">
        <f t="shared" si="1"/>
        <v>1:18</v>
      </c>
      <c r="O6" s="1465" t="s">
        <v>10655</v>
      </c>
    </row>
    <row r="7" ht="15.75" customHeight="1">
      <c r="A7" s="1656" t="s">
        <v>1969</v>
      </c>
      <c r="B7" s="1444" t="s">
        <v>8489</v>
      </c>
      <c r="C7" s="1688">
        <v>0.050150462962962966</v>
      </c>
      <c r="D7" s="1465" t="s">
        <v>10656</v>
      </c>
      <c r="E7" s="1465" t="s">
        <v>10657</v>
      </c>
      <c r="F7" s="1465" t="s">
        <v>10658</v>
      </c>
      <c r="G7" s="1465" t="s">
        <v>10659</v>
      </c>
      <c r="H7" s="1465" t="s">
        <v>10660</v>
      </c>
      <c r="I7" s="1465" t="s">
        <v>10661</v>
      </c>
      <c r="J7" s="1465" t="s">
        <v>10662</v>
      </c>
      <c r="K7" s="1465" t="s">
        <v>10663</v>
      </c>
      <c r="L7" s="1465" t="s">
        <v>10664</v>
      </c>
      <c r="M7" s="1696">
        <v>0.05077546296296296</v>
      </c>
      <c r="N7" s="1695" t="str">
        <f t="shared" si="1"/>
        <v>0:54</v>
      </c>
      <c r="O7" s="1465" t="s">
        <v>10655</v>
      </c>
    </row>
    <row r="8" ht="15.75" customHeight="1">
      <c r="A8" s="1692" t="s">
        <v>6380</v>
      </c>
      <c r="B8" s="1530" t="s">
        <v>8489</v>
      </c>
      <c r="C8" s="1697">
        <v>0.05025462962962963</v>
      </c>
      <c r="D8" s="1698" t="s">
        <v>10665</v>
      </c>
      <c r="E8" s="1466" t="s">
        <v>10666</v>
      </c>
      <c r="F8" s="1465" t="s">
        <v>10667</v>
      </c>
      <c r="G8" s="1465" t="s">
        <v>10668</v>
      </c>
      <c r="H8" s="1465" t="s">
        <v>10669</v>
      </c>
      <c r="I8" s="1465" t="s">
        <v>10449</v>
      </c>
      <c r="J8" s="1465" t="s">
        <v>10670</v>
      </c>
      <c r="K8" s="1465" t="s">
        <v>10671</v>
      </c>
      <c r="L8" s="1465" t="s">
        <v>8697</v>
      </c>
      <c r="M8" s="1696" t="s">
        <v>8698</v>
      </c>
      <c r="N8" s="1695" t="str">
        <f t="shared" si="1"/>
        <v>0:36</v>
      </c>
      <c r="O8" s="1465"/>
    </row>
    <row r="9" ht="15.75" customHeight="1">
      <c r="A9" s="1656" t="s">
        <v>6456</v>
      </c>
      <c r="B9" s="1444" t="s">
        <v>8489</v>
      </c>
      <c r="C9" s="1697">
        <v>0.050416666666666665</v>
      </c>
      <c r="D9" s="1465" t="s">
        <v>10672</v>
      </c>
      <c r="E9" s="1466" t="s">
        <v>10673</v>
      </c>
      <c r="F9" s="1468" t="s">
        <v>10674</v>
      </c>
      <c r="G9" s="1468" t="s">
        <v>10675</v>
      </c>
      <c r="H9" s="1465" t="s">
        <v>10676</v>
      </c>
      <c r="I9" s="1506" t="s">
        <v>10627</v>
      </c>
      <c r="J9" s="1465" t="s">
        <v>10677</v>
      </c>
      <c r="K9" s="1465" t="s">
        <v>10678</v>
      </c>
      <c r="L9" s="1468" t="s">
        <v>10664</v>
      </c>
      <c r="M9" s="1696">
        <v>0.0512037037037037</v>
      </c>
      <c r="N9" s="1695" t="str">
        <f t="shared" si="1"/>
        <v>1:08</v>
      </c>
      <c r="O9" s="1465" t="s">
        <v>10655</v>
      </c>
    </row>
    <row r="10">
      <c r="A10" s="1699" t="s">
        <v>955</v>
      </c>
      <c r="B10" s="1700" t="s">
        <v>8489</v>
      </c>
      <c r="C10" s="1697">
        <v>0.05047453703703704</v>
      </c>
      <c r="D10" s="1572" t="s">
        <v>10679</v>
      </c>
      <c r="E10" s="1466" t="s">
        <v>10680</v>
      </c>
      <c r="F10" s="1690" t="s">
        <v>10681</v>
      </c>
      <c r="G10" s="1465" t="s">
        <v>10682</v>
      </c>
      <c r="H10" s="1465" t="s">
        <v>10683</v>
      </c>
      <c r="I10" s="1465" t="s">
        <v>10684</v>
      </c>
      <c r="J10" s="1465" t="s">
        <v>10685</v>
      </c>
      <c r="K10" s="1465" t="s">
        <v>10686</v>
      </c>
      <c r="L10" s="1465" t="s">
        <v>3682</v>
      </c>
      <c r="M10" s="1696">
        <v>0.051076388888888886</v>
      </c>
      <c r="N10" s="1695" t="str">
        <f t="shared" si="1"/>
        <v>0:52</v>
      </c>
      <c r="O10" s="1465" t="s">
        <v>10687</v>
      </c>
    </row>
    <row r="11" ht="15.75" customHeight="1">
      <c r="A11" s="1626" t="s">
        <v>1626</v>
      </c>
      <c r="B11" s="1387" t="s">
        <v>8489</v>
      </c>
      <c r="C11" s="1697">
        <v>0.05061342592592592</v>
      </c>
      <c r="D11" s="1701" t="s">
        <v>10688</v>
      </c>
      <c r="E11" s="1466" t="s">
        <v>10689</v>
      </c>
      <c r="F11" s="1702" t="s">
        <v>10690</v>
      </c>
      <c r="G11" s="1465" t="s">
        <v>10691</v>
      </c>
      <c r="H11" s="1702" t="s">
        <v>10692</v>
      </c>
      <c r="I11" s="1702" t="s">
        <v>10693</v>
      </c>
      <c r="J11" s="1465" t="s">
        <v>10694</v>
      </c>
      <c r="K11" s="1465" t="s">
        <v>10695</v>
      </c>
      <c r="L11" s="1465" t="s">
        <v>3620</v>
      </c>
      <c r="M11" s="1696">
        <v>0.05122685185185185</v>
      </c>
      <c r="N11" s="1695" t="str">
        <f t="shared" si="1"/>
        <v>0:53</v>
      </c>
      <c r="O11" s="1465" t="s">
        <v>10696</v>
      </c>
    </row>
    <row r="12" ht="15.75" customHeight="1">
      <c r="A12" s="1644" t="s">
        <v>2099</v>
      </c>
      <c r="B12" s="1444" t="s">
        <v>8489</v>
      </c>
      <c r="C12" s="1693">
        <v>0.05061342592592592</v>
      </c>
      <c r="D12" s="1572" t="s">
        <v>10697</v>
      </c>
      <c r="E12" s="1703" t="s">
        <v>10698</v>
      </c>
      <c r="F12" s="1465" t="s">
        <v>10699</v>
      </c>
      <c r="G12" s="1465" t="s">
        <v>10700</v>
      </c>
      <c r="H12" s="1465" t="s">
        <v>10701</v>
      </c>
      <c r="I12" s="1465" t="s">
        <v>10702</v>
      </c>
      <c r="J12" s="1465" t="s">
        <v>10703</v>
      </c>
      <c r="K12" s="1465" t="s">
        <v>10704</v>
      </c>
      <c r="L12" s="1465" t="s">
        <v>6373</v>
      </c>
      <c r="M12" s="1696">
        <v>0.05153935185185185</v>
      </c>
      <c r="N12" s="1695" t="str">
        <f t="shared" si="1"/>
        <v>1:20</v>
      </c>
      <c r="O12" s="1465" t="s">
        <v>10655</v>
      </c>
    </row>
    <row r="13" ht="15.75" customHeight="1">
      <c r="A13" s="1692" t="s">
        <v>334</v>
      </c>
      <c r="B13" s="1444" t="s">
        <v>8489</v>
      </c>
      <c r="C13" s="1693">
        <v>0.05068287037037037</v>
      </c>
      <c r="D13" s="1465" t="s">
        <v>10705</v>
      </c>
      <c r="E13" s="1703" t="s">
        <v>10706</v>
      </c>
      <c r="F13" s="1465" t="s">
        <v>10707</v>
      </c>
      <c r="G13" s="1465" t="s">
        <v>10708</v>
      </c>
      <c r="H13" s="1465" t="s">
        <v>10709</v>
      </c>
      <c r="I13" s="1465" t="s">
        <v>10710</v>
      </c>
      <c r="J13" s="1465" t="s">
        <v>10711</v>
      </c>
      <c r="K13" s="1465" t="s">
        <v>10712</v>
      </c>
      <c r="L13" s="1704" t="s">
        <v>8677</v>
      </c>
      <c r="M13" s="1696">
        <v>0.05164351851851852</v>
      </c>
      <c r="N13" s="1695" t="str">
        <f t="shared" si="1"/>
        <v>1:23</v>
      </c>
      <c r="O13" s="1465" t="s">
        <v>10655</v>
      </c>
    </row>
    <row r="14">
      <c r="A14" s="1705" t="s">
        <v>3175</v>
      </c>
      <c r="B14" s="1706" t="s">
        <v>8489</v>
      </c>
      <c r="C14" s="1693">
        <v>0.05074791666666666</v>
      </c>
      <c r="D14" s="1707" t="s">
        <v>10713</v>
      </c>
      <c r="E14" s="1708" t="s">
        <v>5137</v>
      </c>
      <c r="F14" s="1690" t="s">
        <v>10714</v>
      </c>
      <c r="G14" s="1690" t="s">
        <v>10715</v>
      </c>
      <c r="H14" s="1690" t="s">
        <v>10716</v>
      </c>
      <c r="I14" s="1690" t="s">
        <v>10717</v>
      </c>
      <c r="J14" s="1690" t="s">
        <v>10718</v>
      </c>
      <c r="K14" s="1690" t="s">
        <v>10719</v>
      </c>
      <c r="L14" s="1690" t="s">
        <v>2075</v>
      </c>
      <c r="M14" s="1696">
        <v>0.052210648148148145</v>
      </c>
      <c r="N14" s="1696" t="str">
        <f t="shared" si="1"/>
        <v>2:06</v>
      </c>
      <c r="O14" s="1465"/>
    </row>
    <row r="15" ht="15.75" customHeight="1">
      <c r="A15" s="1709" t="s">
        <v>2739</v>
      </c>
      <c r="B15" s="1444" t="s">
        <v>8489</v>
      </c>
      <c r="C15" s="1710">
        <v>0.05103009259259259</v>
      </c>
      <c r="D15" s="1465" t="s">
        <v>10720</v>
      </c>
      <c r="E15" s="1703" t="s">
        <v>10260</v>
      </c>
      <c r="F15" s="1465" t="s">
        <v>10721</v>
      </c>
      <c r="G15" s="1465" t="s">
        <v>10722</v>
      </c>
      <c r="H15" s="1690" t="s">
        <v>10723</v>
      </c>
      <c r="I15" s="1465" t="s">
        <v>10724</v>
      </c>
      <c r="J15" s="1465" t="s">
        <v>10725</v>
      </c>
      <c r="K15" s="1465" t="s">
        <v>10726</v>
      </c>
      <c r="L15" s="1465" t="s">
        <v>10727</v>
      </c>
      <c r="M15" s="1696">
        <v>0.051909722222222225</v>
      </c>
      <c r="N15" s="1695" t="str">
        <f t="shared" si="1"/>
        <v>1:16</v>
      </c>
      <c r="O15" s="1465" t="s">
        <v>10655</v>
      </c>
    </row>
    <row r="16" ht="15.75" customHeight="1">
      <c r="A16" s="1711" t="s">
        <v>2347</v>
      </c>
      <c r="B16" s="1530" t="s">
        <v>8489</v>
      </c>
      <c r="C16" s="1693">
        <v>0.051145833333333335</v>
      </c>
      <c r="D16" s="1572" t="s">
        <v>10728</v>
      </c>
      <c r="E16" s="1466" t="s">
        <v>10729</v>
      </c>
      <c r="F16" s="1465" t="s">
        <v>10730</v>
      </c>
      <c r="G16" s="1465" t="s">
        <v>10731</v>
      </c>
      <c r="H16" s="1465" t="s">
        <v>10732</v>
      </c>
      <c r="I16" s="1465" t="s">
        <v>10733</v>
      </c>
      <c r="J16" s="1465" t="s">
        <v>10734</v>
      </c>
      <c r="K16" s="1465" t="s">
        <v>10735</v>
      </c>
      <c r="L16" s="1465" t="s">
        <v>2994</v>
      </c>
      <c r="M16" s="1696">
        <v>0.05228009259259259</v>
      </c>
      <c r="N16" s="1695" t="str">
        <f t="shared" si="1"/>
        <v>1:38</v>
      </c>
      <c r="O16" s="1465" t="s">
        <v>10736</v>
      </c>
    </row>
    <row r="17" ht="15.75" customHeight="1">
      <c r="A17" s="1692" t="s">
        <v>1481</v>
      </c>
      <c r="B17" s="1444" t="s">
        <v>8489</v>
      </c>
      <c r="C17" s="1693">
        <v>0.05122685185185185</v>
      </c>
      <c r="D17" s="1465" t="s">
        <v>10737</v>
      </c>
      <c r="E17" s="1703" t="s">
        <v>8547</v>
      </c>
      <c r="F17" s="1465" t="s">
        <v>10738</v>
      </c>
      <c r="G17" s="1465" t="s">
        <v>10739</v>
      </c>
      <c r="H17" s="1465" t="s">
        <v>10625</v>
      </c>
      <c r="I17" s="1465" t="s">
        <v>8494</v>
      </c>
      <c r="J17" s="1465" t="s">
        <v>10740</v>
      </c>
      <c r="K17" s="1465" t="s">
        <v>10741</v>
      </c>
      <c r="L17" s="1465" t="s">
        <v>10742</v>
      </c>
      <c r="M17" s="1696">
        <v>0.052037037037037034</v>
      </c>
      <c r="N17" s="1695" t="str">
        <f t="shared" si="1"/>
        <v>1:10</v>
      </c>
      <c r="O17" s="1465" t="s">
        <v>10655</v>
      </c>
    </row>
    <row r="18" ht="15.75" customHeight="1">
      <c r="A18" s="1711" t="s">
        <v>1802</v>
      </c>
      <c r="B18" s="1530" t="s">
        <v>8489</v>
      </c>
      <c r="C18" s="1693">
        <v>0.05122685185185185</v>
      </c>
      <c r="D18" s="1698" t="s">
        <v>10743</v>
      </c>
      <c r="E18" s="1466" t="s">
        <v>10744</v>
      </c>
      <c r="F18" s="1465" t="s">
        <v>10745</v>
      </c>
      <c r="G18" s="1465" t="s">
        <v>10746</v>
      </c>
      <c r="H18" s="1465" t="s">
        <v>10747</v>
      </c>
      <c r="I18" s="1465" t="s">
        <v>10748</v>
      </c>
      <c r="J18" s="1465" t="s">
        <v>10749</v>
      </c>
      <c r="K18" s="1465" t="s">
        <v>10750</v>
      </c>
      <c r="L18" s="1465" t="s">
        <v>5993</v>
      </c>
      <c r="M18" s="1696">
        <v>0.05224537037037037</v>
      </c>
      <c r="N18" s="1695" t="str">
        <f t="shared" si="1"/>
        <v>1:28</v>
      </c>
      <c r="O18" s="1465" t="s">
        <v>10751</v>
      </c>
    </row>
    <row r="19" ht="15.75" customHeight="1">
      <c r="A19" s="1711" t="s">
        <v>6445</v>
      </c>
      <c r="B19" s="1530" t="s">
        <v>8489</v>
      </c>
      <c r="C19" s="1693">
        <v>0.05133101851851852</v>
      </c>
      <c r="D19" s="1465" t="s">
        <v>10752</v>
      </c>
      <c r="E19" s="1466" t="s">
        <v>10753</v>
      </c>
      <c r="F19" s="1465" t="s">
        <v>10754</v>
      </c>
      <c r="G19" s="1468" t="s">
        <v>10755</v>
      </c>
      <c r="H19" s="1468" t="s">
        <v>10756</v>
      </c>
      <c r="I19" s="1465" t="s">
        <v>10757</v>
      </c>
      <c r="J19" s="1465" t="s">
        <v>10758</v>
      </c>
      <c r="K19" s="1465" t="s">
        <v>10759</v>
      </c>
      <c r="L19" s="1465" t="s">
        <v>10760</v>
      </c>
      <c r="M19" s="1696">
        <v>0.05197916666666667</v>
      </c>
      <c r="N19" s="1695" t="str">
        <f t="shared" si="1"/>
        <v>0:56</v>
      </c>
      <c r="O19" s="1465" t="s">
        <v>10761</v>
      </c>
    </row>
    <row r="20" ht="15.75" customHeight="1">
      <c r="A20" s="1711" t="s">
        <v>2312</v>
      </c>
      <c r="B20" s="1603" t="s">
        <v>8517</v>
      </c>
      <c r="C20" s="1697">
        <v>0.05137731481481481</v>
      </c>
      <c r="D20" s="1698" t="s">
        <v>10762</v>
      </c>
      <c r="E20" s="1712" t="s">
        <v>10763</v>
      </c>
      <c r="F20" s="1712" t="s">
        <v>10764</v>
      </c>
      <c r="G20" s="1712" t="s">
        <v>10765</v>
      </c>
      <c r="H20" s="1712" t="s">
        <v>10766</v>
      </c>
      <c r="I20" s="1712" t="s">
        <v>10767</v>
      </c>
      <c r="J20" s="1712" t="s">
        <v>10768</v>
      </c>
      <c r="K20" s="1465" t="s">
        <v>10769</v>
      </c>
      <c r="L20" s="1713" t="s">
        <v>4062</v>
      </c>
      <c r="M20" s="1696">
        <v>0.05299768518518518</v>
      </c>
      <c r="N20" s="1695" t="str">
        <f t="shared" si="1"/>
        <v>2:20</v>
      </c>
      <c r="O20" s="1465" t="s">
        <v>10655</v>
      </c>
    </row>
    <row r="21" ht="15.75" customHeight="1">
      <c r="A21" s="1656" t="s">
        <v>8896</v>
      </c>
      <c r="B21" s="1444" t="s">
        <v>8489</v>
      </c>
      <c r="C21" s="1697">
        <v>0.05144675925925926</v>
      </c>
      <c r="D21" s="1465" t="s">
        <v>10770</v>
      </c>
      <c r="E21" s="1703" t="s">
        <v>10771</v>
      </c>
      <c r="F21" s="1465" t="s">
        <v>10772</v>
      </c>
      <c r="G21" s="1465" t="s">
        <v>10773</v>
      </c>
      <c r="H21" s="1465" t="s">
        <v>10774</v>
      </c>
      <c r="I21" s="1465" t="s">
        <v>10775</v>
      </c>
      <c r="J21" s="1465" t="s">
        <v>10776</v>
      </c>
      <c r="K21" s="1465" t="s">
        <v>10777</v>
      </c>
      <c r="L21" s="1714" t="s">
        <v>8787</v>
      </c>
      <c r="M21" s="1696">
        <v>0.05258101851851852</v>
      </c>
      <c r="N21" s="1695" t="str">
        <f t="shared" si="1"/>
        <v>1:38</v>
      </c>
      <c r="O21" s="1465" t="s">
        <v>10655</v>
      </c>
    </row>
    <row r="22" ht="15.75" customHeight="1">
      <c r="A22" s="1711" t="s">
        <v>9101</v>
      </c>
      <c r="B22" s="1530" t="s">
        <v>8517</v>
      </c>
      <c r="C22" s="1693">
        <v>0.05146990740740741</v>
      </c>
      <c r="D22" s="1712" t="s">
        <v>10630</v>
      </c>
      <c r="E22" s="1466" t="s">
        <v>10088</v>
      </c>
      <c r="F22" s="1466" t="s">
        <v>10631</v>
      </c>
      <c r="G22" s="1466" t="s">
        <v>10632</v>
      </c>
      <c r="H22" s="1466" t="s">
        <v>10633</v>
      </c>
      <c r="I22" s="1465" t="s">
        <v>10778</v>
      </c>
      <c r="J22" s="1572" t="s">
        <v>10635</v>
      </c>
      <c r="K22" s="1712" t="s">
        <v>10636</v>
      </c>
      <c r="L22" s="1572" t="s">
        <v>9117</v>
      </c>
      <c r="M22" s="1715">
        <v>0.05236111111111111</v>
      </c>
      <c r="N22" s="1695" t="str">
        <f t="shared" si="1"/>
        <v>1:17</v>
      </c>
      <c r="O22" s="1465" t="s">
        <v>10655</v>
      </c>
    </row>
    <row r="23" ht="15.75" customHeight="1">
      <c r="A23" s="1692" t="s">
        <v>859</v>
      </c>
      <c r="B23" s="1444" t="s">
        <v>8489</v>
      </c>
      <c r="C23" s="1697">
        <v>0.051550925925925924</v>
      </c>
      <c r="D23" s="1465" t="s">
        <v>10779</v>
      </c>
      <c r="E23" s="1703" t="s">
        <v>10056</v>
      </c>
      <c r="F23" s="1465" t="s">
        <v>10780</v>
      </c>
      <c r="G23" s="1465" t="s">
        <v>10781</v>
      </c>
      <c r="H23" s="1465" t="s">
        <v>10782</v>
      </c>
      <c r="I23" s="1465" t="s">
        <v>10783</v>
      </c>
      <c r="J23" s="1465" t="s">
        <v>10784</v>
      </c>
      <c r="K23" s="1465" t="s">
        <v>10785</v>
      </c>
      <c r="L23" s="1714" t="s">
        <v>10786</v>
      </c>
      <c r="M23" s="1696">
        <v>0.05229166666666667</v>
      </c>
      <c r="N23" s="1695" t="str">
        <f t="shared" si="1"/>
        <v>1:04</v>
      </c>
      <c r="O23" s="1465" t="s">
        <v>10655</v>
      </c>
    </row>
    <row r="24">
      <c r="A24" s="1705" t="s">
        <v>1969</v>
      </c>
      <c r="B24" s="1603" t="s">
        <v>8543</v>
      </c>
      <c r="C24" s="1693">
        <v>0.05158564814814815</v>
      </c>
      <c r="D24" s="1716" t="s">
        <v>10637</v>
      </c>
      <c r="E24" s="1717" t="s">
        <v>10638</v>
      </c>
      <c r="F24" s="1716" t="s">
        <v>10639</v>
      </c>
      <c r="G24" s="1716" t="s">
        <v>10640</v>
      </c>
      <c r="H24" s="1716" t="s">
        <v>10641</v>
      </c>
      <c r="I24" s="1716" t="s">
        <v>10642</v>
      </c>
      <c r="J24" s="1716" t="s">
        <v>10643</v>
      </c>
      <c r="K24" s="1716" t="s">
        <v>10644</v>
      </c>
      <c r="L24" s="1716" t="s">
        <v>8575</v>
      </c>
      <c r="M24" s="1718">
        <v>0.052141203703703703</v>
      </c>
      <c r="N24" s="1695" t="str">
        <f t="shared" si="1"/>
        <v>0:48</v>
      </c>
      <c r="O24" s="1465" t="s">
        <v>10787</v>
      </c>
    </row>
    <row r="25" ht="15.75" customHeight="1">
      <c r="A25" s="1626" t="s">
        <v>2922</v>
      </c>
      <c r="B25" s="1530" t="s">
        <v>8489</v>
      </c>
      <c r="C25" s="1697">
        <v>0.051706365740740744</v>
      </c>
      <c r="D25" s="1572" t="s">
        <v>10788</v>
      </c>
      <c r="E25" s="1466" t="s">
        <v>10789</v>
      </c>
      <c r="F25" s="1465" t="s">
        <v>10790</v>
      </c>
      <c r="G25" s="1465" t="s">
        <v>10791</v>
      </c>
      <c r="H25" s="1465" t="s">
        <v>10792</v>
      </c>
      <c r="I25" s="1465" t="s">
        <v>10793</v>
      </c>
      <c r="J25" s="1465" t="s">
        <v>10794</v>
      </c>
      <c r="K25" s="1465" t="s">
        <v>10795</v>
      </c>
      <c r="L25" s="1465" t="s">
        <v>9418</v>
      </c>
      <c r="M25" s="1696">
        <v>0.0525</v>
      </c>
      <c r="N25" s="1696" t="str">
        <f t="shared" si="1"/>
        <v>1:09</v>
      </c>
      <c r="O25" s="1465"/>
    </row>
    <row r="26" ht="15.75" customHeight="1">
      <c r="A26" s="1719" t="s">
        <v>2186</v>
      </c>
      <c r="B26" s="1594" t="s">
        <v>8489</v>
      </c>
      <c r="C26" s="1697">
        <v>0.05171296296296296</v>
      </c>
      <c r="D26" s="1720" t="s">
        <v>10796</v>
      </c>
      <c r="E26" s="1720" t="s">
        <v>10797</v>
      </c>
      <c r="F26" s="1720" t="s">
        <v>10798</v>
      </c>
      <c r="G26" s="1720" t="s">
        <v>10799</v>
      </c>
      <c r="H26" s="1572" t="s">
        <v>10800</v>
      </c>
      <c r="I26" s="1720" t="s">
        <v>10801</v>
      </c>
      <c r="J26" s="1572" t="s">
        <v>10802</v>
      </c>
      <c r="K26" s="1720" t="s">
        <v>10803</v>
      </c>
      <c r="L26" s="1572" t="s">
        <v>7962</v>
      </c>
      <c r="M26" s="1696">
        <v>0.054375</v>
      </c>
      <c r="N26" s="1695" t="str">
        <f t="shared" si="1"/>
        <v>3:50</v>
      </c>
      <c r="O26" s="1465" t="s">
        <v>10804</v>
      </c>
    </row>
    <row r="27" ht="15.75" customHeight="1">
      <c r="A27" s="1711" t="s">
        <v>2970</v>
      </c>
      <c r="B27" s="1530" t="s">
        <v>8489</v>
      </c>
      <c r="C27" s="1693">
        <v>0.05180160879629629</v>
      </c>
      <c r="D27" s="1572" t="s">
        <v>10805</v>
      </c>
      <c r="E27" s="1466" t="s">
        <v>10806</v>
      </c>
      <c r="F27" s="1465" t="s">
        <v>10807</v>
      </c>
      <c r="G27" s="1465" t="s">
        <v>10808</v>
      </c>
      <c r="H27" s="1465" t="s">
        <v>10809</v>
      </c>
      <c r="I27" s="1465" t="s">
        <v>10810</v>
      </c>
      <c r="J27" s="1465" t="s">
        <v>10811</v>
      </c>
      <c r="K27" s="1465" t="s">
        <v>10812</v>
      </c>
      <c r="L27" s="1465" t="s">
        <v>10813</v>
      </c>
      <c r="M27" s="1696">
        <v>0.05303240740740741</v>
      </c>
      <c r="N27" s="1695" t="str">
        <f t="shared" si="1"/>
        <v>1:46</v>
      </c>
      <c r="O27" s="1465"/>
    </row>
    <row r="28" ht="15.75" customHeight="1">
      <c r="A28" s="1626" t="s">
        <v>1311</v>
      </c>
      <c r="B28" s="1603" t="s">
        <v>8543</v>
      </c>
      <c r="C28" s="1697">
        <v>0.052088194444444444</v>
      </c>
      <c r="D28" s="1572" t="s">
        <v>10814</v>
      </c>
      <c r="E28" s="1466" t="s">
        <v>10815</v>
      </c>
      <c r="F28" s="1465" t="s">
        <v>10816</v>
      </c>
      <c r="G28" s="1465" t="s">
        <v>10817</v>
      </c>
      <c r="H28" s="1465" t="s">
        <v>10818</v>
      </c>
      <c r="I28" s="1465" t="s">
        <v>10819</v>
      </c>
      <c r="J28" s="1465" t="s">
        <v>10820</v>
      </c>
      <c r="K28" s="1465" t="s">
        <v>10821</v>
      </c>
      <c r="L28" s="1465" t="s">
        <v>9712</v>
      </c>
      <c r="M28" s="1696">
        <v>0.053043981481481484</v>
      </c>
      <c r="N28" s="1695" t="str">
        <f t="shared" si="1"/>
        <v>1:23</v>
      </c>
      <c r="O28" s="1465" t="s">
        <v>10655</v>
      </c>
    </row>
    <row r="29" ht="15.75" customHeight="1">
      <c r="A29" s="1626" t="s">
        <v>2671</v>
      </c>
      <c r="B29" s="1530" t="s">
        <v>8517</v>
      </c>
      <c r="C29" s="1697">
        <v>0.05215277777777778</v>
      </c>
      <c r="D29" s="1465" t="s">
        <v>10822</v>
      </c>
      <c r="E29" s="1465" t="s">
        <v>5925</v>
      </c>
      <c r="F29" s="1465" t="s">
        <v>10823</v>
      </c>
      <c r="G29" s="1465" t="s">
        <v>10824</v>
      </c>
      <c r="H29" s="1465" t="s">
        <v>10825</v>
      </c>
      <c r="I29" s="1465" t="s">
        <v>10689</v>
      </c>
      <c r="J29" s="1465" t="s">
        <v>10826</v>
      </c>
      <c r="K29" s="1465" t="s">
        <v>10827</v>
      </c>
      <c r="L29" s="1465" t="s">
        <v>9470</v>
      </c>
      <c r="M29" s="1696">
        <v>0.05399305555555556</v>
      </c>
      <c r="N29" s="1695" t="str">
        <f t="shared" si="1"/>
        <v>2:39</v>
      </c>
      <c r="O29" s="1465" t="s">
        <v>10828</v>
      </c>
    </row>
    <row r="30" ht="15.75" customHeight="1">
      <c r="A30" s="1711" t="s">
        <v>3006</v>
      </c>
      <c r="B30" s="1530" t="s">
        <v>8489</v>
      </c>
      <c r="C30" s="1721">
        <v>0.05216435185185185</v>
      </c>
      <c r="D30" s="1465" t="s">
        <v>10829</v>
      </c>
      <c r="E30" s="1466" t="s">
        <v>10830</v>
      </c>
      <c r="F30" s="1465" t="s">
        <v>10831</v>
      </c>
      <c r="G30" s="1465" t="s">
        <v>10832</v>
      </c>
      <c r="H30" s="1465" t="s">
        <v>10833</v>
      </c>
      <c r="I30" s="1465" t="s">
        <v>10834</v>
      </c>
      <c r="J30" s="1465" t="s">
        <v>10835</v>
      </c>
      <c r="K30" s="1465" t="s">
        <v>10836</v>
      </c>
      <c r="L30" s="1465" t="s">
        <v>10837</v>
      </c>
      <c r="M30" s="1722">
        <v>0.05337962962962963</v>
      </c>
      <c r="N30" s="1695" t="str">
        <f t="shared" si="1"/>
        <v>1:45</v>
      </c>
      <c r="O30" s="1465" t="s">
        <v>10838</v>
      </c>
    </row>
    <row r="31" ht="15.75" customHeight="1">
      <c r="A31" s="1626" t="s">
        <v>767</v>
      </c>
      <c r="B31" s="1530" t="s">
        <v>8517</v>
      </c>
      <c r="C31" s="1697">
        <v>0.05224537037037037</v>
      </c>
      <c r="D31" s="1465" t="s">
        <v>10839</v>
      </c>
      <c r="E31" s="1723" t="s">
        <v>10840</v>
      </c>
      <c r="F31" s="1465" t="s">
        <v>10841</v>
      </c>
      <c r="G31" s="1465" t="s">
        <v>10842</v>
      </c>
      <c r="H31" s="1465" t="s">
        <v>10843</v>
      </c>
      <c r="I31" s="1465" t="s">
        <v>10634</v>
      </c>
      <c r="J31" s="1465" t="s">
        <v>10844</v>
      </c>
      <c r="K31" s="1468" t="s">
        <v>10845</v>
      </c>
      <c r="L31" s="1465" t="s">
        <v>10846</v>
      </c>
      <c r="M31" s="1696">
        <v>0.053043981481481484</v>
      </c>
      <c r="N31" s="1695" t="str">
        <f t="shared" si="1"/>
        <v>1:09</v>
      </c>
      <c r="O31" s="1465" t="s">
        <v>10847</v>
      </c>
    </row>
    <row r="32" ht="15.75" customHeight="1">
      <c r="A32" s="1711" t="s">
        <v>2970</v>
      </c>
      <c r="B32" s="1603" t="s">
        <v>8517</v>
      </c>
      <c r="C32" s="1693">
        <v>0.052316898148148154</v>
      </c>
      <c r="D32" s="1572" t="s">
        <v>10848</v>
      </c>
      <c r="E32" s="1466" t="s">
        <v>10849</v>
      </c>
      <c r="F32" s="1465" t="s">
        <v>10850</v>
      </c>
      <c r="G32" s="1465" t="s">
        <v>10851</v>
      </c>
      <c r="H32" s="1465" t="s">
        <v>10852</v>
      </c>
      <c r="I32" s="1465" t="s">
        <v>10853</v>
      </c>
      <c r="J32" s="1465" t="s">
        <v>10854</v>
      </c>
      <c r="K32" s="1465" t="s">
        <v>10855</v>
      </c>
      <c r="L32" s="1465" t="s">
        <v>9195</v>
      </c>
      <c r="M32" s="1696">
        <v>0.0537625</v>
      </c>
      <c r="N32" s="1695" t="str">
        <f t="shared" si="1"/>
        <v>2:05</v>
      </c>
      <c r="O32" s="1465" t="s">
        <v>10655</v>
      </c>
    </row>
    <row r="33" ht="15.75" customHeight="1">
      <c r="A33" s="1626" t="s">
        <v>4093</v>
      </c>
      <c r="B33" s="1530" t="s">
        <v>8489</v>
      </c>
      <c r="C33" s="1697">
        <v>0.05238425925925926</v>
      </c>
      <c r="D33" s="1698" t="s">
        <v>10856</v>
      </c>
      <c r="E33" s="1466" t="s">
        <v>10830</v>
      </c>
      <c r="F33" s="1465" t="s">
        <v>10857</v>
      </c>
      <c r="G33" s="1724" t="s">
        <v>10858</v>
      </c>
      <c r="H33" s="1465" t="s">
        <v>10859</v>
      </c>
      <c r="I33" s="1465" t="s">
        <v>10860</v>
      </c>
      <c r="J33" s="1465" t="s">
        <v>10861</v>
      </c>
      <c r="K33" s="1465" t="s">
        <v>10862</v>
      </c>
      <c r="L33" s="1465" t="s">
        <v>9730</v>
      </c>
      <c r="M33" s="1696">
        <v>0.05340277777777778</v>
      </c>
      <c r="N33" s="1695" t="str">
        <f t="shared" si="1"/>
        <v>1:28</v>
      </c>
      <c r="O33" s="1465" t="s">
        <v>10863</v>
      </c>
    </row>
    <row r="34" ht="15.75" customHeight="1">
      <c r="A34" s="1711" t="s">
        <v>9756</v>
      </c>
      <c r="B34" s="1530" t="s">
        <v>8489</v>
      </c>
      <c r="C34" s="1693">
        <v>0.05268518518518518</v>
      </c>
      <c r="D34" s="1572" t="s">
        <v>10864</v>
      </c>
      <c r="E34" s="1466" t="s">
        <v>10865</v>
      </c>
      <c r="F34" s="1465" t="s">
        <v>10866</v>
      </c>
      <c r="G34" s="1465" t="s">
        <v>10867</v>
      </c>
      <c r="H34" s="1465" t="s">
        <v>10868</v>
      </c>
      <c r="I34" s="1465" t="s">
        <v>10869</v>
      </c>
      <c r="J34" s="1465" t="s">
        <v>10870</v>
      </c>
      <c r="K34" s="1465" t="s">
        <v>10871</v>
      </c>
      <c r="L34" s="1465" t="s">
        <v>9774</v>
      </c>
      <c r="M34" s="1696">
        <v>0.05331018518518518</v>
      </c>
      <c r="N34" s="1695" t="str">
        <f t="shared" si="1"/>
        <v>0:54</v>
      </c>
      <c r="O34" s="1465" t="s">
        <v>10872</v>
      </c>
    </row>
    <row r="35" ht="15.75" customHeight="1">
      <c r="A35" s="1725" t="s">
        <v>3820</v>
      </c>
      <c r="B35" s="1700" t="s">
        <v>8489</v>
      </c>
      <c r="C35" s="1693">
        <v>0.05270034722222223</v>
      </c>
      <c r="D35" s="1698" t="s">
        <v>10873</v>
      </c>
      <c r="E35" s="1466" t="s">
        <v>10874</v>
      </c>
      <c r="F35" s="1465" t="s">
        <v>10875</v>
      </c>
      <c r="G35" s="1465" t="s">
        <v>10876</v>
      </c>
      <c r="H35" s="1465" t="s">
        <v>10877</v>
      </c>
      <c r="I35" s="1465" t="s">
        <v>10878</v>
      </c>
      <c r="J35" s="1465" t="s">
        <v>10879</v>
      </c>
      <c r="K35" s="1465" t="s">
        <v>10880</v>
      </c>
      <c r="L35" s="1465" t="s">
        <v>10881</v>
      </c>
      <c r="M35" s="1696">
        <v>0.05425925925925926</v>
      </c>
      <c r="N35" s="1695" t="str">
        <f t="shared" si="1"/>
        <v>2:15</v>
      </c>
      <c r="O35" s="1465" t="s">
        <v>10655</v>
      </c>
    </row>
    <row r="36">
      <c r="A36" s="1726" t="s">
        <v>3545</v>
      </c>
      <c r="B36" s="1700" t="s">
        <v>8489</v>
      </c>
      <c r="C36" s="1693">
        <v>0.053009259259259256</v>
      </c>
      <c r="D36" s="1698" t="s">
        <v>10882</v>
      </c>
      <c r="E36" s="1466" t="s">
        <v>10883</v>
      </c>
      <c r="F36" s="1465" t="s">
        <v>10884</v>
      </c>
      <c r="G36" s="1465" t="s">
        <v>10885</v>
      </c>
      <c r="H36" s="1465" t="s">
        <v>10886</v>
      </c>
      <c r="I36" s="1465" t="s">
        <v>10887</v>
      </c>
      <c r="J36" s="1465" t="s">
        <v>10888</v>
      </c>
      <c r="K36" s="1465" t="s">
        <v>10889</v>
      </c>
      <c r="L36" s="1465" t="s">
        <v>10890</v>
      </c>
      <c r="M36" s="1696">
        <v>0.05372685185185185</v>
      </c>
      <c r="N36" s="1695" t="str">
        <f t="shared" si="1"/>
        <v>1:02</v>
      </c>
      <c r="O36" s="1465" t="s">
        <v>10655</v>
      </c>
    </row>
    <row r="37" ht="15.75" customHeight="1">
      <c r="A37" s="1626" t="s">
        <v>3406</v>
      </c>
      <c r="B37" s="1530" t="s">
        <v>8489</v>
      </c>
      <c r="C37" s="1697">
        <v>0.05340277777777778</v>
      </c>
      <c r="D37" s="1572" t="s">
        <v>10891</v>
      </c>
      <c r="E37" s="1466" t="s">
        <v>10892</v>
      </c>
      <c r="F37" s="1465" t="s">
        <v>10893</v>
      </c>
      <c r="G37" s="1465" t="s">
        <v>10894</v>
      </c>
      <c r="H37" s="1465" t="s">
        <v>10895</v>
      </c>
      <c r="I37" s="1465" t="s">
        <v>10896</v>
      </c>
      <c r="J37" s="1465" t="s">
        <v>10897</v>
      </c>
      <c r="K37" s="1465" t="s">
        <v>10898</v>
      </c>
      <c r="L37" s="1465" t="s">
        <v>10899</v>
      </c>
      <c r="M37" s="1696">
        <v>0.05466435185185185</v>
      </c>
      <c r="N37" s="1695" t="str">
        <f t="shared" si="1"/>
        <v>1:49</v>
      </c>
      <c r="O37" s="1465" t="s">
        <v>10900</v>
      </c>
    </row>
    <row r="38" ht="15.75" customHeight="1">
      <c r="A38" s="1626" t="s">
        <v>1031</v>
      </c>
      <c r="B38" s="1680" t="s">
        <v>8517</v>
      </c>
      <c r="C38" s="1697">
        <v>0.05378472222222222</v>
      </c>
      <c r="D38" s="1572" t="s">
        <v>10901</v>
      </c>
      <c r="E38" s="1466" t="s">
        <v>10902</v>
      </c>
      <c r="F38" s="1465" t="s">
        <v>10903</v>
      </c>
      <c r="G38" s="1465" t="s">
        <v>10904</v>
      </c>
      <c r="H38" s="1465" t="s">
        <v>10905</v>
      </c>
      <c r="I38" s="1465" t="s">
        <v>8075</v>
      </c>
      <c r="J38" s="1465" t="s">
        <v>10906</v>
      </c>
      <c r="K38" s="1465" t="s">
        <v>10907</v>
      </c>
      <c r="L38" s="1465" t="s">
        <v>9518</v>
      </c>
      <c r="M38" s="1696">
        <v>0.054560185185185184</v>
      </c>
      <c r="N38" s="1695" t="str">
        <f t="shared" si="1"/>
        <v>1:07</v>
      </c>
      <c r="O38" s="1465"/>
    </row>
    <row r="39" ht="15.75" customHeight="1">
      <c r="A39" s="1626" t="s">
        <v>4982</v>
      </c>
      <c r="B39" s="1603" t="s">
        <v>8517</v>
      </c>
      <c r="C39" s="1697">
        <v>0.05748842592592593</v>
      </c>
      <c r="D39" s="1572" t="s">
        <v>10908</v>
      </c>
      <c r="E39" s="1466" t="s">
        <v>10909</v>
      </c>
      <c r="F39" s="1465" t="s">
        <v>10910</v>
      </c>
      <c r="G39" s="1465" t="s">
        <v>10911</v>
      </c>
      <c r="H39" s="1465" t="s">
        <v>10912</v>
      </c>
      <c r="I39" s="1465" t="s">
        <v>10913</v>
      </c>
      <c r="J39" s="1465" t="s">
        <v>10914</v>
      </c>
      <c r="K39" s="1465" t="s">
        <v>10915</v>
      </c>
      <c r="L39" s="1465" t="s">
        <v>10561</v>
      </c>
      <c r="M39" s="1696">
        <v>0.06149305555555556</v>
      </c>
      <c r="N39" s="1695" t="str">
        <f t="shared" si="1"/>
        <v>5:46</v>
      </c>
      <c r="O39" s="1465" t="s">
        <v>10655</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8451</v>
      </c>
      <c r="C1" s="1751" t="s">
        <v>10620</v>
      </c>
      <c r="D1" s="1752" t="s">
        <v>6672</v>
      </c>
      <c r="E1" s="1753" t="s">
        <v>6961</v>
      </c>
      <c r="F1" s="1754" t="s">
        <v>38</v>
      </c>
      <c r="G1" s="1755" t="s">
        <v>36</v>
      </c>
      <c r="H1" s="1751" t="s">
        <v>10621</v>
      </c>
      <c r="I1" s="1756" t="s">
        <v>39</v>
      </c>
      <c r="J1" s="1757" t="s">
        <v>6902</v>
      </c>
      <c r="K1" s="1373" t="s">
        <v>8485</v>
      </c>
      <c r="L1" s="1373" t="s">
        <v>8487</v>
      </c>
    </row>
    <row r="2" ht="15.75" customHeight="1">
      <c r="A2" s="1386" t="s">
        <v>8488</v>
      </c>
      <c r="B2" s="1669" t="s">
        <v>8489</v>
      </c>
      <c r="C2" s="1402" t="s">
        <v>10622</v>
      </c>
      <c r="D2" s="1391" t="s">
        <v>10916</v>
      </c>
      <c r="E2" s="1758" t="s">
        <v>10917</v>
      </c>
      <c r="F2" s="1759" t="s">
        <v>10918</v>
      </c>
      <c r="G2" s="1760" t="s">
        <v>10919</v>
      </c>
      <c r="H2" s="1402" t="s">
        <v>10920</v>
      </c>
      <c r="I2" s="1761" t="s">
        <v>10921</v>
      </c>
      <c r="J2" s="1677" t="s">
        <v>10922</v>
      </c>
      <c r="K2" s="1762" t="s">
        <v>8515</v>
      </c>
      <c r="L2" s="1763"/>
    </row>
    <row r="3" ht="15.75" customHeight="1">
      <c r="A3" s="1412" t="s">
        <v>8516</v>
      </c>
      <c r="B3" s="1680" t="s">
        <v>8517</v>
      </c>
      <c r="C3" s="1415" t="s">
        <v>10822</v>
      </c>
      <c r="D3" s="1416" t="s">
        <v>10923</v>
      </c>
      <c r="E3" s="1417" t="s">
        <v>10924</v>
      </c>
      <c r="F3" s="1418" t="s">
        <v>10925</v>
      </c>
      <c r="G3" s="1421" t="s">
        <v>10926</v>
      </c>
      <c r="H3" s="1415" t="s">
        <v>10927</v>
      </c>
      <c r="I3" s="1423" t="s">
        <v>10928</v>
      </c>
      <c r="J3" s="1425" t="s">
        <v>10929</v>
      </c>
      <c r="K3" s="1681">
        <v>0.053043981481481484</v>
      </c>
    </row>
    <row r="4" ht="15.75" customHeight="1">
      <c r="A4" s="1428" t="s">
        <v>8542</v>
      </c>
      <c r="B4" s="1684" t="s">
        <v>8543</v>
      </c>
      <c r="C4" s="1431" t="s">
        <v>10814</v>
      </c>
      <c r="D4" s="1432" t="s">
        <v>10930</v>
      </c>
      <c r="E4" s="1433" t="s">
        <v>10931</v>
      </c>
      <c r="F4" s="1434" t="s">
        <v>10932</v>
      </c>
      <c r="G4" s="1435" t="s">
        <v>10933</v>
      </c>
      <c r="H4" s="1431" t="s">
        <v>10934</v>
      </c>
      <c r="I4" s="1437" t="s">
        <v>10935</v>
      </c>
      <c r="J4" s="1438" t="s">
        <v>10936</v>
      </c>
      <c r="K4" s="1685">
        <v>0.053043981481481484</v>
      </c>
    </row>
    <row r="5" ht="15.75" customHeight="1">
      <c r="A5" s="1626" t="s">
        <v>1107</v>
      </c>
      <c r="B5" s="1530" t="s">
        <v>8489</v>
      </c>
      <c r="C5" s="1689" t="s">
        <v>10622</v>
      </c>
      <c r="D5" s="1689" t="s">
        <v>10916</v>
      </c>
      <c r="E5" s="1689" t="s">
        <v>10917</v>
      </c>
      <c r="F5" s="1689" t="s">
        <v>10918</v>
      </c>
      <c r="G5" s="1689" t="s">
        <v>10919</v>
      </c>
      <c r="H5" s="1689" t="s">
        <v>10920</v>
      </c>
      <c r="I5" s="1689" t="s">
        <v>10921</v>
      </c>
      <c r="J5" s="1689" t="s">
        <v>10922</v>
      </c>
      <c r="K5" s="1764" t="s">
        <v>8515</v>
      </c>
      <c r="L5" s="1465" t="s">
        <v>10937</v>
      </c>
    </row>
    <row r="6" ht="15.75" customHeight="1">
      <c r="A6" s="1765" t="s">
        <v>6380</v>
      </c>
      <c r="B6" s="1530" t="s">
        <v>8489</v>
      </c>
      <c r="C6" s="1634" t="s">
        <v>10665</v>
      </c>
      <c r="D6" s="1465" t="s">
        <v>10938</v>
      </c>
      <c r="E6" s="1465" t="s">
        <v>10939</v>
      </c>
      <c r="F6" s="1465" t="s">
        <v>10940</v>
      </c>
      <c r="G6" s="1465" t="s">
        <v>10941</v>
      </c>
      <c r="H6" s="1465" t="s">
        <v>10942</v>
      </c>
      <c r="I6" s="1465" t="s">
        <v>10943</v>
      </c>
      <c r="J6" s="1465" t="s">
        <v>10944</v>
      </c>
      <c r="K6" s="1465" t="s">
        <v>8698</v>
      </c>
      <c r="L6" s="1465"/>
    </row>
    <row r="7" ht="15.75" customHeight="1">
      <c r="A7" s="1656" t="s">
        <v>1969</v>
      </c>
      <c r="B7" s="1766" t="s">
        <v>8489</v>
      </c>
      <c r="C7" s="1465" t="s">
        <v>10656</v>
      </c>
      <c r="D7" s="1465" t="s">
        <v>10945</v>
      </c>
      <c r="E7" s="1690" t="s">
        <v>10946</v>
      </c>
      <c r="F7" s="1468" t="s">
        <v>10947</v>
      </c>
      <c r="G7" s="1767" t="s">
        <v>10948</v>
      </c>
      <c r="H7" s="1767" t="s">
        <v>10949</v>
      </c>
      <c r="I7" s="1465" t="s">
        <v>10950</v>
      </c>
      <c r="J7" s="1768" t="s">
        <v>10951</v>
      </c>
      <c r="K7" s="1768" t="s">
        <v>8653</v>
      </c>
      <c r="L7" s="1465" t="s">
        <v>10952</v>
      </c>
    </row>
    <row r="8" ht="15.75" customHeight="1">
      <c r="A8" s="1692" t="s">
        <v>446</v>
      </c>
      <c r="B8" s="1444" t="s">
        <v>8489</v>
      </c>
      <c r="C8" s="1634" t="s">
        <v>10650</v>
      </c>
      <c r="D8" s="1465" t="s">
        <v>10953</v>
      </c>
      <c r="E8" s="1465" t="s">
        <v>10954</v>
      </c>
      <c r="F8" s="1465" t="s">
        <v>10955</v>
      </c>
      <c r="G8" s="1465" t="s">
        <v>10956</v>
      </c>
      <c r="H8" s="1465" t="s">
        <v>10957</v>
      </c>
      <c r="I8" s="1465" t="s">
        <v>10958</v>
      </c>
      <c r="J8" s="1465" t="s">
        <v>10959</v>
      </c>
      <c r="K8" s="1465" t="s">
        <v>8611</v>
      </c>
      <c r="L8" s="1465"/>
    </row>
    <row r="9" ht="15.75" customHeight="1">
      <c r="A9" s="1656" t="s">
        <v>6456</v>
      </c>
      <c r="B9" s="1444" t="s">
        <v>8489</v>
      </c>
      <c r="C9" s="1465" t="s">
        <v>10960</v>
      </c>
      <c r="D9" s="1465" t="s">
        <v>10961</v>
      </c>
      <c r="E9" s="1465" t="s">
        <v>10962</v>
      </c>
      <c r="F9" s="1468" t="s">
        <v>10963</v>
      </c>
      <c r="G9" s="1468" t="s">
        <v>10964</v>
      </c>
      <c r="H9" s="1769" t="s">
        <v>10965</v>
      </c>
      <c r="I9" s="1468" t="s">
        <v>10966</v>
      </c>
      <c r="J9" s="1468" t="s">
        <v>10967</v>
      </c>
      <c r="K9" s="1465" t="s">
        <v>8633</v>
      </c>
      <c r="L9" s="1465"/>
    </row>
    <row r="10" ht="15.75" customHeight="1">
      <c r="A10" s="1626" t="s">
        <v>1626</v>
      </c>
      <c r="B10" s="1530" t="s">
        <v>8489</v>
      </c>
      <c r="C10" s="1770" t="s">
        <v>10688</v>
      </c>
      <c r="D10" s="1702" t="s">
        <v>10968</v>
      </c>
      <c r="E10" s="1702" t="s">
        <v>10969</v>
      </c>
      <c r="F10" s="1465" t="s">
        <v>10970</v>
      </c>
      <c r="G10" s="1724" t="s">
        <v>10971</v>
      </c>
      <c r="H10" s="1724" t="s">
        <v>10972</v>
      </c>
      <c r="I10" s="1724" t="s">
        <v>10973</v>
      </c>
      <c r="J10" s="1724" t="s">
        <v>10974</v>
      </c>
      <c r="K10" s="1724" t="s">
        <v>8848</v>
      </c>
      <c r="L10" s="1465" t="s">
        <v>10975</v>
      </c>
    </row>
    <row r="11" ht="15.75" customHeight="1">
      <c r="A11" s="1711" t="s">
        <v>955</v>
      </c>
      <c r="B11" s="1603" t="s">
        <v>8489</v>
      </c>
      <c r="C11" s="1771" t="s">
        <v>10679</v>
      </c>
      <c r="D11" s="1465" t="s">
        <v>10976</v>
      </c>
      <c r="E11" s="1465" t="s">
        <v>10977</v>
      </c>
      <c r="F11" s="1465" t="s">
        <v>10978</v>
      </c>
      <c r="G11" s="1465" t="s">
        <v>10979</v>
      </c>
      <c r="H11" s="1465" t="s">
        <v>10980</v>
      </c>
      <c r="I11" s="1465" t="s">
        <v>10981</v>
      </c>
      <c r="J11" s="1465" t="s">
        <v>10982</v>
      </c>
      <c r="K11" s="1465" t="s">
        <v>8721</v>
      </c>
      <c r="L11" s="1465" t="s">
        <v>10983</v>
      </c>
    </row>
    <row r="12" ht="15.75" customHeight="1">
      <c r="A12" s="1644" t="s">
        <v>2099</v>
      </c>
      <c r="B12" s="1444" t="s">
        <v>8489</v>
      </c>
      <c r="C12" s="1770" t="s">
        <v>10697</v>
      </c>
      <c r="D12" s="1465" t="s">
        <v>10984</v>
      </c>
      <c r="E12" s="1465" t="s">
        <v>10985</v>
      </c>
      <c r="F12" s="1465" t="s">
        <v>10986</v>
      </c>
      <c r="G12" s="1465" t="s">
        <v>10987</v>
      </c>
      <c r="H12" s="1465" t="s">
        <v>10988</v>
      </c>
      <c r="I12" s="1465" t="s">
        <v>10989</v>
      </c>
      <c r="J12" s="1465" t="s">
        <v>10990</v>
      </c>
      <c r="K12" s="1465" t="s">
        <v>8826</v>
      </c>
      <c r="L12" s="1465"/>
    </row>
    <row r="13" ht="15.75" customHeight="1">
      <c r="A13" s="1692" t="s">
        <v>334</v>
      </c>
      <c r="B13" s="1444" t="s">
        <v>8489</v>
      </c>
      <c r="C13" s="1465" t="s">
        <v>10991</v>
      </c>
      <c r="D13" s="1465" t="s">
        <v>10992</v>
      </c>
      <c r="E13" s="1465" t="s">
        <v>10993</v>
      </c>
      <c r="F13" s="1465" t="s">
        <v>10994</v>
      </c>
      <c r="G13" s="1465" t="s">
        <v>10995</v>
      </c>
      <c r="H13" s="1465" t="s">
        <v>10996</v>
      </c>
      <c r="I13" s="1465" t="s">
        <v>10997</v>
      </c>
      <c r="J13" s="1465" t="s">
        <v>10998</v>
      </c>
      <c r="K13" s="1465" t="s">
        <v>8678</v>
      </c>
      <c r="L13" s="1465"/>
    </row>
    <row r="14" ht="16.5" customHeight="1">
      <c r="A14" s="1709" t="s">
        <v>2739</v>
      </c>
      <c r="B14" s="1444" t="s">
        <v>8489</v>
      </c>
      <c r="C14" s="1465" t="s">
        <v>10720</v>
      </c>
      <c r="D14" s="1465" t="s">
        <v>10999</v>
      </c>
      <c r="E14" s="1465" t="s">
        <v>11000</v>
      </c>
      <c r="F14" s="1465" t="s">
        <v>11001</v>
      </c>
      <c r="G14" s="1465" t="s">
        <v>11002</v>
      </c>
      <c r="H14" s="1465" t="s">
        <v>11003</v>
      </c>
      <c r="I14" s="1465" t="s">
        <v>11004</v>
      </c>
      <c r="J14" s="1465" t="s">
        <v>11005</v>
      </c>
      <c r="K14" s="1465" t="s">
        <v>11006</v>
      </c>
      <c r="L14" s="1465" t="s">
        <v>11007</v>
      </c>
    </row>
    <row r="15" ht="15.0" customHeight="1">
      <c r="A15" s="1719" t="s">
        <v>1710</v>
      </c>
      <c r="B15" s="1594" t="s">
        <v>8489</v>
      </c>
      <c r="C15" s="1771" t="s">
        <v>11008</v>
      </c>
      <c r="D15" s="1465" t="s">
        <v>11009</v>
      </c>
      <c r="E15" s="1465" t="s">
        <v>11010</v>
      </c>
      <c r="F15" s="1465" t="s">
        <v>11011</v>
      </c>
      <c r="G15" s="1465" t="s">
        <v>11012</v>
      </c>
      <c r="H15" s="1465" t="s">
        <v>11013</v>
      </c>
      <c r="I15" s="1465" t="s">
        <v>11014</v>
      </c>
      <c r="J15" s="1465" t="s">
        <v>11015</v>
      </c>
      <c r="K15" s="1465" t="s">
        <v>9174</v>
      </c>
      <c r="L15" s="1465"/>
    </row>
    <row r="16" ht="15.75" customHeight="1">
      <c r="A16" s="1626" t="s">
        <v>6445</v>
      </c>
      <c r="B16" s="1444" t="s">
        <v>8489</v>
      </c>
      <c r="C16" s="1465" t="s">
        <v>10752</v>
      </c>
      <c r="D16" s="1465" t="s">
        <v>11016</v>
      </c>
      <c r="E16" s="1465" t="s">
        <v>11017</v>
      </c>
      <c r="F16" s="1465" t="s">
        <v>11018</v>
      </c>
      <c r="G16" s="1465" t="s">
        <v>11019</v>
      </c>
      <c r="H16" s="1465" t="s">
        <v>11020</v>
      </c>
      <c r="I16" s="1465" t="s">
        <v>11021</v>
      </c>
      <c r="J16" s="1465" t="s">
        <v>11022</v>
      </c>
      <c r="K16" s="1465" t="s">
        <v>9058</v>
      </c>
      <c r="L16" s="1465" t="s">
        <v>11023</v>
      </c>
    </row>
    <row r="17" ht="15.75" customHeight="1">
      <c r="A17" s="1692" t="s">
        <v>1481</v>
      </c>
      <c r="B17" s="1444" t="s">
        <v>8489</v>
      </c>
      <c r="C17" s="1465" t="s">
        <v>11024</v>
      </c>
      <c r="D17" s="1465" t="s">
        <v>11025</v>
      </c>
      <c r="E17" s="1465" t="s">
        <v>11026</v>
      </c>
      <c r="F17" s="1465" t="s">
        <v>11027</v>
      </c>
      <c r="G17" s="1465" t="s">
        <v>11028</v>
      </c>
      <c r="H17" s="1465" t="s">
        <v>11029</v>
      </c>
      <c r="I17" s="1465" t="s">
        <v>11030</v>
      </c>
      <c r="J17" s="1465" t="s">
        <v>11031</v>
      </c>
      <c r="K17" s="1465" t="s">
        <v>9034</v>
      </c>
      <c r="L17" s="1465"/>
    </row>
    <row r="18" ht="15.75" customHeight="1">
      <c r="A18" s="1626" t="s">
        <v>3175</v>
      </c>
      <c r="B18" s="1530" t="s">
        <v>8489</v>
      </c>
      <c r="C18" s="1707" t="s">
        <v>10713</v>
      </c>
      <c r="D18" s="1690" t="s">
        <v>11032</v>
      </c>
      <c r="E18" s="1690" t="s">
        <v>11033</v>
      </c>
      <c r="F18" s="1690" t="s">
        <v>11034</v>
      </c>
      <c r="G18" s="1690" t="s">
        <v>11035</v>
      </c>
      <c r="H18" s="1690" t="s">
        <v>11036</v>
      </c>
      <c r="I18" s="1690" t="s">
        <v>11037</v>
      </c>
      <c r="J18" s="1690" t="s">
        <v>11038</v>
      </c>
      <c r="K18" s="1690" t="s">
        <v>8993</v>
      </c>
      <c r="L18" s="1465"/>
    </row>
    <row r="19" ht="15.75" customHeight="1">
      <c r="A19" s="1626" t="s">
        <v>2347</v>
      </c>
      <c r="B19" s="1603" t="s">
        <v>8489</v>
      </c>
      <c r="C19" s="1771" t="s">
        <v>10728</v>
      </c>
      <c r="D19" s="1465" t="s">
        <v>11039</v>
      </c>
      <c r="E19" s="1465" t="s">
        <v>11040</v>
      </c>
      <c r="F19" s="1465" t="s">
        <v>11041</v>
      </c>
      <c r="G19" s="1465" t="s">
        <v>11042</v>
      </c>
      <c r="H19" s="1465" t="s">
        <v>11043</v>
      </c>
      <c r="I19" s="1465" t="s">
        <v>11044</v>
      </c>
      <c r="J19" s="1465" t="s">
        <v>11045</v>
      </c>
      <c r="K19" s="1465" t="s">
        <v>8894</v>
      </c>
      <c r="L19" s="1465" t="s">
        <v>11046</v>
      </c>
    </row>
    <row r="20" ht="15.75" customHeight="1">
      <c r="A20" s="1692" t="s">
        <v>859</v>
      </c>
      <c r="B20" s="1444" t="s">
        <v>8489</v>
      </c>
      <c r="C20" s="1465" t="s">
        <v>11047</v>
      </c>
      <c r="D20" s="1465" t="s">
        <v>11048</v>
      </c>
      <c r="E20" s="1465" t="s">
        <v>11049</v>
      </c>
      <c r="F20" s="1465" t="s">
        <v>11050</v>
      </c>
      <c r="G20" s="1465" t="s">
        <v>11051</v>
      </c>
      <c r="H20" s="1465" t="s">
        <v>11052</v>
      </c>
      <c r="I20" s="1465" t="s">
        <v>11053</v>
      </c>
      <c r="J20" s="1465" t="s">
        <v>11054</v>
      </c>
      <c r="K20" s="1465" t="s">
        <v>9329</v>
      </c>
      <c r="L20" s="1465"/>
    </row>
    <row r="21" ht="15.75" customHeight="1">
      <c r="A21" s="1626" t="s">
        <v>1802</v>
      </c>
      <c r="B21" s="1530" t="s">
        <v>8489</v>
      </c>
      <c r="C21" s="1465" t="s">
        <v>11055</v>
      </c>
      <c r="D21" s="1465" t="s">
        <v>11056</v>
      </c>
      <c r="E21" s="1724" t="s">
        <v>11057</v>
      </c>
      <c r="F21" s="1465" t="s">
        <v>11058</v>
      </c>
      <c r="G21" s="1465" t="s">
        <v>11059</v>
      </c>
      <c r="H21" s="1465" t="s">
        <v>11060</v>
      </c>
      <c r="I21" s="1465" t="s">
        <v>11061</v>
      </c>
      <c r="J21" s="1465" t="s">
        <v>11062</v>
      </c>
      <c r="K21" s="1465" t="s">
        <v>9084</v>
      </c>
      <c r="L21" s="1465"/>
    </row>
    <row r="22" ht="15.75" customHeight="1">
      <c r="A22" s="1656" t="s">
        <v>8896</v>
      </c>
      <c r="B22" s="1444" t="s">
        <v>8489</v>
      </c>
      <c r="C22" s="1465" t="s">
        <v>10770</v>
      </c>
      <c r="D22" s="1465" t="s">
        <v>11063</v>
      </c>
      <c r="E22" s="1465" t="s">
        <v>11064</v>
      </c>
      <c r="F22" s="1465" t="s">
        <v>11065</v>
      </c>
      <c r="G22" s="1465" t="s">
        <v>11066</v>
      </c>
      <c r="H22" s="1465" t="s">
        <v>11067</v>
      </c>
      <c r="I22" s="1465" t="s">
        <v>11068</v>
      </c>
      <c r="J22" s="1465" t="s">
        <v>11069</v>
      </c>
      <c r="K22" s="1465" t="s">
        <v>8912</v>
      </c>
      <c r="L22" s="1465"/>
    </row>
    <row r="23" ht="15.75" customHeight="1">
      <c r="A23" s="1626" t="s">
        <v>767</v>
      </c>
      <c r="B23" s="1530" t="s">
        <v>8517</v>
      </c>
      <c r="C23" s="1465" t="s">
        <v>11070</v>
      </c>
      <c r="D23" s="1712" t="s">
        <v>10923</v>
      </c>
      <c r="E23" s="1712" t="s">
        <v>10924</v>
      </c>
      <c r="F23" s="1712" t="s">
        <v>10925</v>
      </c>
      <c r="G23" s="1712" t="s">
        <v>10926</v>
      </c>
      <c r="H23" s="1712" t="s">
        <v>10927</v>
      </c>
      <c r="I23" s="1712" t="s">
        <v>10928</v>
      </c>
      <c r="J23" s="1712" t="s">
        <v>10929</v>
      </c>
      <c r="K23" s="1712" t="s">
        <v>8870</v>
      </c>
      <c r="L23" s="1465" t="s">
        <v>11071</v>
      </c>
    </row>
    <row r="24" ht="15.75" customHeight="1">
      <c r="A24" s="1711" t="s">
        <v>1311</v>
      </c>
      <c r="B24" s="1530" t="s">
        <v>8543</v>
      </c>
      <c r="C24" s="1595" t="s">
        <v>10814</v>
      </c>
      <c r="D24" s="1595" t="s">
        <v>10930</v>
      </c>
      <c r="E24" s="1595" t="s">
        <v>10931</v>
      </c>
      <c r="F24" s="1595" t="s">
        <v>10932</v>
      </c>
      <c r="G24" s="1595" t="s">
        <v>10933</v>
      </c>
      <c r="H24" s="1595" t="s">
        <v>10934</v>
      </c>
      <c r="I24" s="1595" t="s">
        <v>10935</v>
      </c>
      <c r="J24" s="1595" t="s">
        <v>10936</v>
      </c>
      <c r="K24" s="1595" t="s">
        <v>8870</v>
      </c>
      <c r="L24" s="1465"/>
    </row>
    <row r="25" ht="16.5" customHeight="1">
      <c r="A25" s="1711" t="s">
        <v>11072</v>
      </c>
      <c r="B25" s="1530" t="s">
        <v>8489</v>
      </c>
      <c r="C25" s="1720" t="s">
        <v>10796</v>
      </c>
      <c r="D25" s="1465" t="s">
        <v>11073</v>
      </c>
      <c r="E25" s="1465" t="s">
        <v>11074</v>
      </c>
      <c r="F25" s="1465" t="s">
        <v>11075</v>
      </c>
      <c r="G25" s="1465" t="s">
        <v>11066</v>
      </c>
      <c r="H25" s="1465" t="s">
        <v>11076</v>
      </c>
      <c r="I25" s="1465" t="s">
        <v>11077</v>
      </c>
      <c r="J25" s="1465" t="s">
        <v>11078</v>
      </c>
      <c r="K25" s="1465" t="s">
        <v>9493</v>
      </c>
      <c r="L25" s="1465"/>
    </row>
    <row r="26" ht="15.75" customHeight="1">
      <c r="A26" s="1711" t="s">
        <v>3006</v>
      </c>
      <c r="B26" s="1530" t="s">
        <v>8489</v>
      </c>
      <c r="C26" s="1465" t="s">
        <v>11079</v>
      </c>
      <c r="D26" s="1465" t="s">
        <v>11080</v>
      </c>
      <c r="E26" s="1465" t="s">
        <v>11081</v>
      </c>
      <c r="F26" s="1465" t="s">
        <v>11082</v>
      </c>
      <c r="G26" s="1465" t="s">
        <v>11083</v>
      </c>
      <c r="H26" s="1465" t="s">
        <v>11084</v>
      </c>
      <c r="I26" s="1465" t="s">
        <v>11085</v>
      </c>
      <c r="J26" s="1465" t="s">
        <v>11086</v>
      </c>
      <c r="K26" s="1465" t="s">
        <v>11087</v>
      </c>
      <c r="L26" s="1465" t="s">
        <v>11088</v>
      </c>
    </row>
    <row r="27">
      <c r="A27" s="1726" t="s">
        <v>2970</v>
      </c>
      <c r="B27" s="1700" t="s">
        <v>8517</v>
      </c>
      <c r="C27" s="1771" t="s">
        <v>11089</v>
      </c>
      <c r="D27" s="1465"/>
      <c r="E27" s="1465" t="s">
        <v>11090</v>
      </c>
      <c r="F27" s="1465" t="s">
        <v>11091</v>
      </c>
      <c r="G27" s="1465"/>
      <c r="H27" s="1465"/>
      <c r="I27" s="1465"/>
      <c r="J27" s="1465"/>
      <c r="K27" s="1465" t="s">
        <v>9607</v>
      </c>
      <c r="L27" s="1465"/>
    </row>
    <row r="28">
      <c r="A28" s="1705" t="s">
        <v>2312</v>
      </c>
      <c r="B28" s="1603" t="s">
        <v>8517</v>
      </c>
      <c r="C28" s="1465" t="s">
        <v>11092</v>
      </c>
      <c r="D28" s="1465" t="s">
        <v>11093</v>
      </c>
      <c r="E28" s="1465" t="s">
        <v>11094</v>
      </c>
      <c r="F28" s="1465" t="s">
        <v>11095</v>
      </c>
      <c r="G28" s="1465" t="s">
        <v>11096</v>
      </c>
      <c r="H28" s="1465" t="s">
        <v>11097</v>
      </c>
      <c r="I28" s="1465" t="s">
        <v>11098</v>
      </c>
      <c r="J28" s="1465" t="s">
        <v>11099</v>
      </c>
      <c r="K28" s="1465" t="s">
        <v>11100</v>
      </c>
      <c r="L28" s="1465" t="s">
        <v>11101</v>
      </c>
    </row>
    <row r="29" ht="15.75" customHeight="1">
      <c r="A29" s="1626" t="s">
        <v>2671</v>
      </c>
      <c r="B29" s="1594" t="s">
        <v>8517</v>
      </c>
      <c r="C29" s="1712" t="s">
        <v>10822</v>
      </c>
      <c r="D29" s="1465" t="s">
        <v>11102</v>
      </c>
      <c r="E29" s="1465" t="s">
        <v>11103</v>
      </c>
      <c r="F29" s="1465" t="s">
        <v>11104</v>
      </c>
      <c r="G29" s="1465" t="s">
        <v>11105</v>
      </c>
      <c r="H29" s="1465" t="s">
        <v>11106</v>
      </c>
      <c r="I29" s="1465" t="s">
        <v>11107</v>
      </c>
      <c r="J29" s="1465" t="s">
        <v>11108</v>
      </c>
      <c r="K29" s="1465" t="s">
        <v>9471</v>
      </c>
      <c r="L29" s="1465"/>
    </row>
    <row r="30" ht="15.75" customHeight="1">
      <c r="A30" s="1711" t="s">
        <v>5493</v>
      </c>
      <c r="B30" s="1530" t="s">
        <v>8489</v>
      </c>
      <c r="C30" s="1771" t="s">
        <v>11109</v>
      </c>
      <c r="D30" s="1465" t="s">
        <v>11110</v>
      </c>
      <c r="E30" s="1465" t="s">
        <v>11111</v>
      </c>
      <c r="F30" s="1465" t="s">
        <v>11112</v>
      </c>
      <c r="G30" s="1465" t="s">
        <v>11113</v>
      </c>
      <c r="H30" s="1465" t="s">
        <v>11114</v>
      </c>
      <c r="I30" s="1465" t="s">
        <v>11115</v>
      </c>
      <c r="J30" s="1465" t="s">
        <v>11116</v>
      </c>
      <c r="K30" s="1465" t="s">
        <v>11117</v>
      </c>
      <c r="L30" s="1465" t="s">
        <v>11118</v>
      </c>
    </row>
    <row r="31" ht="15.75" customHeight="1">
      <c r="A31" s="1711" t="s">
        <v>4982</v>
      </c>
      <c r="B31" s="1530" t="s">
        <v>8517</v>
      </c>
      <c r="C31" s="1771" t="s">
        <v>10908</v>
      </c>
      <c r="D31" s="1465" t="s">
        <v>11119</v>
      </c>
      <c r="E31" s="1465" t="s">
        <v>11120</v>
      </c>
      <c r="F31" s="1465" t="s">
        <v>11121</v>
      </c>
      <c r="G31" s="1465" t="s">
        <v>11122</v>
      </c>
      <c r="H31" s="1465" t="s">
        <v>11123</v>
      </c>
      <c r="I31" s="1465" t="s">
        <v>11124</v>
      </c>
      <c r="J31" s="1465" t="s">
        <v>11125</v>
      </c>
      <c r="K31" s="1465" t="s">
        <v>10562</v>
      </c>
      <c r="L31" s="1465" t="s">
        <v>11126</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11127</v>
      </c>
      <c r="C1" s="1776" t="s">
        <v>43</v>
      </c>
      <c r="D1" s="1777" t="s">
        <v>11128</v>
      </c>
      <c r="E1" s="1776" t="s">
        <v>11129</v>
      </c>
      <c r="F1" s="1778" t="s">
        <v>11130</v>
      </c>
    </row>
    <row r="2">
      <c r="A2" s="1779"/>
      <c r="B2" s="1780"/>
      <c r="C2" s="1780"/>
      <c r="D2" s="1780"/>
      <c r="E2" s="1780"/>
      <c r="F2" s="1780"/>
    </row>
    <row r="3">
      <c r="A3" s="1779"/>
      <c r="B3" s="1780"/>
      <c r="C3" s="1780"/>
      <c r="D3" s="1780"/>
      <c r="E3" s="1780"/>
      <c r="F3" s="1780"/>
    </row>
    <row r="4">
      <c r="A4" s="1781" t="s">
        <v>11131</v>
      </c>
      <c r="B4" s="1782" t="s">
        <v>11132</v>
      </c>
      <c r="C4" s="1783"/>
      <c r="D4" s="1783"/>
      <c r="E4" s="1783"/>
      <c r="F4" s="1784"/>
    </row>
    <row r="5">
      <c r="A5" s="1780"/>
      <c r="B5" s="1785"/>
      <c r="C5" s="1786"/>
      <c r="D5" s="1786"/>
      <c r="E5" s="1786"/>
      <c r="F5" s="1787"/>
    </row>
    <row r="6">
      <c r="A6" s="1788" t="s">
        <v>11132</v>
      </c>
      <c r="B6" s="1789" t="s">
        <v>11133</v>
      </c>
      <c r="C6" s="1790" t="s">
        <v>4368</v>
      </c>
      <c r="D6" s="1791" t="s">
        <v>11134</v>
      </c>
      <c r="E6" s="1790" t="s">
        <v>11135</v>
      </c>
      <c r="F6" s="1792">
        <v>44233.0</v>
      </c>
    </row>
    <row r="7">
      <c r="A7" s="1788" t="s">
        <v>11136</v>
      </c>
      <c r="B7" s="1793" t="s">
        <v>11137</v>
      </c>
      <c r="C7" s="1790" t="s">
        <v>859</v>
      </c>
      <c r="D7" s="1791" t="s">
        <v>11138</v>
      </c>
      <c r="E7" s="1790" t="s">
        <v>11135</v>
      </c>
      <c r="F7" s="1792">
        <v>43878.0</v>
      </c>
    </row>
    <row r="8">
      <c r="A8" s="1788" t="s">
        <v>11139</v>
      </c>
      <c r="B8" s="1794" t="s">
        <v>11140</v>
      </c>
      <c r="C8" s="1790" t="s">
        <v>334</v>
      </c>
      <c r="D8" s="1791" t="s">
        <v>11141</v>
      </c>
      <c r="E8" s="1790" t="s">
        <v>11135</v>
      </c>
      <c r="F8" s="1792">
        <v>43879.0</v>
      </c>
    </row>
    <row r="9">
      <c r="A9" s="1788" t="s">
        <v>11142</v>
      </c>
      <c r="B9" s="1795" t="s">
        <v>11143</v>
      </c>
      <c r="C9" s="1790" t="s">
        <v>4093</v>
      </c>
      <c r="D9" s="1791" t="s">
        <v>11144</v>
      </c>
      <c r="E9" s="1790" t="s">
        <v>11145</v>
      </c>
      <c r="F9" s="1792">
        <v>44084.0</v>
      </c>
    </row>
    <row r="10">
      <c r="A10" s="1788" t="s">
        <v>11146</v>
      </c>
      <c r="B10" s="1795" t="s">
        <v>11147</v>
      </c>
      <c r="C10" s="1796"/>
      <c r="D10" s="1797"/>
      <c r="E10" s="1796"/>
      <c r="F10" s="1796"/>
    </row>
    <row r="11">
      <c r="A11" s="1788" t="s">
        <v>11148</v>
      </c>
      <c r="B11" s="1782" t="s">
        <v>11136</v>
      </c>
      <c r="C11" s="1783"/>
      <c r="D11" s="1783"/>
      <c r="E11" s="1783"/>
      <c r="F11" s="1784"/>
    </row>
    <row r="12">
      <c r="A12" s="1788" t="s">
        <v>11149</v>
      </c>
      <c r="B12" s="1785"/>
      <c r="C12" s="1786"/>
      <c r="D12" s="1786"/>
      <c r="E12" s="1786"/>
      <c r="F12" s="1787"/>
    </row>
    <row r="13">
      <c r="A13" s="1788" t="s">
        <v>11150</v>
      </c>
      <c r="B13" s="1789" t="s">
        <v>11133</v>
      </c>
      <c r="C13" s="1790" t="s">
        <v>4368</v>
      </c>
      <c r="D13" s="1791" t="s">
        <v>11151</v>
      </c>
      <c r="E13" s="1790" t="s">
        <v>11135</v>
      </c>
      <c r="F13" s="1792">
        <v>44250.0</v>
      </c>
    </row>
    <row r="14" ht="15.75" customHeight="1">
      <c r="A14" s="1788" t="s">
        <v>11152</v>
      </c>
      <c r="B14" s="1793" t="s">
        <v>11137</v>
      </c>
      <c r="C14" s="1790" t="s">
        <v>4317</v>
      </c>
      <c r="D14" s="1791" t="s">
        <v>11153</v>
      </c>
      <c r="E14" s="1790" t="s">
        <v>11135</v>
      </c>
      <c r="F14" s="1792">
        <v>43364.0</v>
      </c>
    </row>
    <row r="15">
      <c r="A15" s="1788" t="s">
        <v>11154</v>
      </c>
      <c r="B15" s="1794" t="s">
        <v>11140</v>
      </c>
      <c r="C15" s="1790" t="s">
        <v>11155</v>
      </c>
      <c r="D15" s="1791" t="s">
        <v>11156</v>
      </c>
      <c r="E15" s="1790" t="s">
        <v>11145</v>
      </c>
      <c r="F15" s="1792">
        <v>43757.0</v>
      </c>
    </row>
    <row r="16">
      <c r="A16" s="1788" t="s">
        <v>11157</v>
      </c>
      <c r="B16" s="1795" t="s">
        <v>11143</v>
      </c>
      <c r="C16" s="1790" t="s">
        <v>11158</v>
      </c>
      <c r="D16" s="1791" t="s">
        <v>11159</v>
      </c>
      <c r="E16" s="1790" t="s">
        <v>11145</v>
      </c>
      <c r="F16" s="1792">
        <v>43438.0</v>
      </c>
    </row>
    <row r="17">
      <c r="A17" s="1788" t="s">
        <v>11160</v>
      </c>
      <c r="B17" s="1795" t="s">
        <v>11147</v>
      </c>
      <c r="C17" s="1796"/>
      <c r="D17" s="1797"/>
      <c r="E17" s="1796"/>
      <c r="F17" s="1796"/>
    </row>
    <row r="18">
      <c r="A18" s="1788" t="s">
        <v>11161</v>
      </c>
      <c r="B18" s="1798" t="s">
        <v>11139</v>
      </c>
      <c r="C18" s="1783"/>
      <c r="D18" s="1783"/>
      <c r="E18" s="1783"/>
      <c r="F18" s="1784"/>
    </row>
    <row r="19">
      <c r="A19" s="1788" t="s">
        <v>11162</v>
      </c>
      <c r="B19" s="1786"/>
      <c r="C19" s="1786"/>
      <c r="D19" s="1786"/>
      <c r="E19" s="1786"/>
      <c r="F19" s="1787"/>
    </row>
    <row r="20">
      <c r="A20" s="1799"/>
      <c r="B20" s="1789" t="s">
        <v>11133</v>
      </c>
      <c r="C20" s="1790" t="s">
        <v>11163</v>
      </c>
      <c r="D20" s="1791" t="s">
        <v>11164</v>
      </c>
      <c r="E20" s="1790" t="s">
        <v>11135</v>
      </c>
      <c r="F20" s="1792">
        <v>44021.0</v>
      </c>
    </row>
    <row r="21">
      <c r="A21" s="1799"/>
      <c r="B21" s="1793" t="s">
        <v>11137</v>
      </c>
      <c r="C21" s="1790" t="s">
        <v>5308</v>
      </c>
      <c r="D21" s="1791" t="s">
        <v>11165</v>
      </c>
      <c r="E21" s="1790" t="s">
        <v>11145</v>
      </c>
      <c r="F21" s="1792">
        <v>44022.0</v>
      </c>
    </row>
    <row r="22">
      <c r="A22" s="1800"/>
      <c r="B22" s="1794" t="s">
        <v>11140</v>
      </c>
      <c r="C22" s="1790" t="s">
        <v>11166</v>
      </c>
      <c r="D22" s="1791" t="s">
        <v>11167</v>
      </c>
      <c r="E22" s="1790" t="s">
        <v>11168</v>
      </c>
      <c r="F22" s="1792">
        <v>43884.0</v>
      </c>
    </row>
    <row r="23">
      <c r="A23" s="1800"/>
      <c r="B23" s="1795" t="s">
        <v>11143</v>
      </c>
      <c r="C23" s="1790" t="s">
        <v>5493</v>
      </c>
      <c r="D23" s="1791" t="s">
        <v>11169</v>
      </c>
      <c r="E23" s="1790" t="s">
        <v>11135</v>
      </c>
      <c r="F23" s="1792">
        <v>43892.0</v>
      </c>
    </row>
    <row r="24">
      <c r="A24" s="1800"/>
      <c r="B24" s="1795" t="s">
        <v>11147</v>
      </c>
      <c r="C24" s="1796"/>
      <c r="D24" s="1797"/>
      <c r="E24" s="1796"/>
      <c r="F24" s="1796"/>
    </row>
    <row r="25">
      <c r="A25" s="1800"/>
      <c r="B25" s="1782" t="s">
        <v>11142</v>
      </c>
      <c r="C25" s="1783"/>
      <c r="D25" s="1783"/>
      <c r="E25" s="1783"/>
      <c r="F25" s="1784"/>
    </row>
    <row r="26">
      <c r="A26" s="1800"/>
      <c r="B26" s="1785"/>
      <c r="C26" s="1786"/>
      <c r="D26" s="1786"/>
      <c r="E26" s="1786"/>
      <c r="F26" s="1787"/>
    </row>
    <row r="27">
      <c r="A27" s="1800"/>
      <c r="B27" s="1801" t="s">
        <v>11170</v>
      </c>
      <c r="C27" s="1783"/>
      <c r="D27" s="1783"/>
      <c r="E27" s="1783"/>
      <c r="F27" s="1784"/>
    </row>
    <row r="28">
      <c r="A28" s="1800"/>
      <c r="B28" s="1785"/>
      <c r="C28" s="1786"/>
      <c r="D28" s="1786"/>
      <c r="E28" s="1786"/>
      <c r="F28" s="1787"/>
    </row>
    <row r="29">
      <c r="A29" s="1800"/>
      <c r="B29" s="1789" t="s">
        <v>11133</v>
      </c>
      <c r="C29" s="1802" t="s">
        <v>446</v>
      </c>
      <c r="D29" s="1791" t="s">
        <v>11171</v>
      </c>
      <c r="E29" s="1790" t="s">
        <v>11135</v>
      </c>
      <c r="F29" s="1792">
        <v>43659.0</v>
      </c>
    </row>
    <row r="30">
      <c r="A30" s="1800"/>
      <c r="B30" s="1793" t="s">
        <v>11137</v>
      </c>
      <c r="C30" s="1790" t="s">
        <v>1710</v>
      </c>
      <c r="D30" s="1791" t="s">
        <v>11172</v>
      </c>
      <c r="E30" s="1790" t="s">
        <v>11135</v>
      </c>
      <c r="F30" s="1792">
        <v>43228.0</v>
      </c>
    </row>
    <row r="31">
      <c r="A31" s="1800"/>
      <c r="B31" s="1794" t="s">
        <v>11140</v>
      </c>
      <c r="C31" s="1796"/>
      <c r="D31" s="1803"/>
      <c r="E31" s="1796"/>
      <c r="F31" s="1796"/>
    </row>
    <row r="32">
      <c r="A32" s="1800"/>
      <c r="B32" s="1795" t="s">
        <v>11143</v>
      </c>
      <c r="C32" s="1796"/>
      <c r="D32" s="1803"/>
      <c r="E32" s="1796"/>
      <c r="F32" s="1796"/>
    </row>
    <row r="33">
      <c r="A33" s="1800"/>
      <c r="B33" s="1795" t="s">
        <v>11147</v>
      </c>
      <c r="C33" s="1796"/>
      <c r="D33" s="1803"/>
      <c r="E33" s="1796"/>
      <c r="F33" s="1796"/>
    </row>
    <row r="34">
      <c r="A34" s="1800"/>
      <c r="B34" s="1801" t="s">
        <v>11173</v>
      </c>
      <c r="C34" s="1783"/>
      <c r="D34" s="1783"/>
      <c r="E34" s="1783"/>
      <c r="F34" s="1784"/>
    </row>
    <row r="35">
      <c r="A35" s="1800"/>
      <c r="B35" s="1785"/>
      <c r="C35" s="1786"/>
      <c r="D35" s="1786"/>
      <c r="E35" s="1786"/>
      <c r="F35" s="1787"/>
    </row>
    <row r="36">
      <c r="A36" s="1800"/>
      <c r="B36" s="1789" t="s">
        <v>11133</v>
      </c>
      <c r="C36" s="1790" t="s">
        <v>1710</v>
      </c>
      <c r="D36" s="1791" t="s">
        <v>11174</v>
      </c>
      <c r="E36" s="1790" t="s">
        <v>11135</v>
      </c>
      <c r="F36" s="1792">
        <v>43352.0</v>
      </c>
    </row>
    <row r="37">
      <c r="A37" s="1800"/>
      <c r="B37" s="1793" t="s">
        <v>11137</v>
      </c>
      <c r="C37" s="1790" t="s">
        <v>11175</v>
      </c>
      <c r="D37" s="1791" t="s">
        <v>11176</v>
      </c>
      <c r="E37" s="1790" t="s">
        <v>11135</v>
      </c>
      <c r="F37" s="1792">
        <v>43799.0</v>
      </c>
    </row>
    <row r="38">
      <c r="A38" s="1800"/>
      <c r="B38" s="1794" t="s">
        <v>11140</v>
      </c>
      <c r="C38" s="1796"/>
      <c r="D38" s="1797"/>
      <c r="E38" s="1796"/>
      <c r="F38" s="1796"/>
    </row>
    <row r="39">
      <c r="A39" s="1800"/>
      <c r="B39" s="1795" t="s">
        <v>11143</v>
      </c>
      <c r="C39" s="1796"/>
      <c r="D39" s="1797"/>
      <c r="E39" s="1796"/>
      <c r="F39" s="1796"/>
    </row>
    <row r="40">
      <c r="A40" s="1800"/>
      <c r="B40" s="1795" t="s">
        <v>11147</v>
      </c>
      <c r="C40" s="1796"/>
      <c r="D40" s="1797"/>
      <c r="E40" s="1796"/>
      <c r="F40" s="1796"/>
    </row>
    <row r="41">
      <c r="A41" s="1800"/>
      <c r="B41" s="1782" t="s">
        <v>11146</v>
      </c>
      <c r="C41" s="1783"/>
      <c r="D41" s="1783"/>
      <c r="E41" s="1783"/>
      <c r="F41" s="1784"/>
    </row>
    <row r="42">
      <c r="A42" s="1800"/>
      <c r="B42" s="1785"/>
      <c r="C42" s="1786"/>
      <c r="D42" s="1786"/>
      <c r="E42" s="1786"/>
      <c r="F42" s="1787"/>
    </row>
    <row r="43">
      <c r="A43" s="1800"/>
      <c r="B43" s="1789" t="s">
        <v>11133</v>
      </c>
      <c r="C43" s="1790" t="s">
        <v>7199</v>
      </c>
      <c r="D43" s="1804" t="s">
        <v>11177</v>
      </c>
      <c r="E43" s="1790" t="s">
        <v>11135</v>
      </c>
      <c r="F43" s="1805">
        <v>44511.0</v>
      </c>
    </row>
    <row r="44">
      <c r="A44" s="1800"/>
      <c r="B44" s="1793" t="s">
        <v>11137</v>
      </c>
      <c r="C44" s="1790" t="s">
        <v>11175</v>
      </c>
      <c r="D44" s="1804" t="s">
        <v>11178</v>
      </c>
      <c r="E44" s="1790" t="s">
        <v>11135</v>
      </c>
      <c r="F44" s="1805">
        <v>43740.0</v>
      </c>
    </row>
    <row r="45">
      <c r="A45" s="1800"/>
      <c r="B45" s="1794" t="s">
        <v>11140</v>
      </c>
      <c r="C45" s="1790" t="s">
        <v>10247</v>
      </c>
      <c r="D45" s="1804" t="s">
        <v>11179</v>
      </c>
      <c r="E45" s="1790" t="s">
        <v>11135</v>
      </c>
      <c r="F45" s="1805">
        <v>42098.0</v>
      </c>
    </row>
    <row r="46">
      <c r="A46" s="1800"/>
      <c r="B46" s="1795" t="s">
        <v>11143</v>
      </c>
      <c r="C46" s="1790"/>
      <c r="D46" s="1804"/>
      <c r="E46" s="1790"/>
      <c r="F46" s="1805"/>
    </row>
    <row r="47">
      <c r="A47" s="1800"/>
      <c r="B47" s="1795" t="s">
        <v>11147</v>
      </c>
      <c r="C47" s="1796"/>
      <c r="D47" s="1806"/>
      <c r="E47" s="1796"/>
      <c r="F47" s="1800"/>
    </row>
    <row r="48">
      <c r="A48" s="1800"/>
      <c r="B48" s="1782" t="s">
        <v>11148</v>
      </c>
      <c r="C48" s="1783"/>
      <c r="D48" s="1783"/>
      <c r="E48" s="1783"/>
      <c r="F48" s="1784"/>
    </row>
    <row r="49">
      <c r="A49" s="1800"/>
      <c r="B49" s="1785"/>
      <c r="C49" s="1786"/>
      <c r="D49" s="1786"/>
      <c r="E49" s="1786"/>
      <c r="F49" s="1787"/>
    </row>
    <row r="50">
      <c r="A50" s="1800"/>
      <c r="B50" s="1789" t="s">
        <v>11133</v>
      </c>
      <c r="C50" s="1790" t="s">
        <v>11180</v>
      </c>
      <c r="D50" s="1804" t="s">
        <v>11181</v>
      </c>
      <c r="E50" s="1790" t="s">
        <v>11182</v>
      </c>
      <c r="F50" s="1805">
        <v>43395.0</v>
      </c>
    </row>
    <row r="51">
      <c r="A51" s="1800"/>
      <c r="B51" s="1793" t="s">
        <v>11137</v>
      </c>
      <c r="C51" s="1790" t="s">
        <v>2347</v>
      </c>
      <c r="D51" s="1804" t="s">
        <v>11183</v>
      </c>
      <c r="E51" s="1790" t="s">
        <v>11145</v>
      </c>
      <c r="F51" s="1805">
        <v>43376.0</v>
      </c>
    </row>
    <row r="52">
      <c r="A52" s="1800"/>
      <c r="B52" s="1794" t="s">
        <v>11140</v>
      </c>
      <c r="C52" s="1796"/>
      <c r="D52" s="1806"/>
      <c r="E52" s="1796"/>
      <c r="F52" s="1800"/>
    </row>
    <row r="53">
      <c r="A53" s="1800"/>
      <c r="B53" s="1795" t="s">
        <v>11143</v>
      </c>
      <c r="C53" s="1796"/>
      <c r="D53" s="1806"/>
      <c r="E53" s="1796"/>
      <c r="F53" s="1800"/>
    </row>
    <row r="54">
      <c r="A54" s="1800"/>
      <c r="B54" s="1795" t="s">
        <v>11147</v>
      </c>
      <c r="C54" s="1796"/>
      <c r="D54" s="1806"/>
      <c r="E54" s="1796"/>
      <c r="F54" s="1800"/>
    </row>
    <row r="55">
      <c r="A55" s="1800"/>
      <c r="B55" s="1782" t="s">
        <v>11149</v>
      </c>
      <c r="C55" s="1783"/>
      <c r="D55" s="1783"/>
      <c r="E55" s="1783"/>
      <c r="F55" s="1784"/>
    </row>
    <row r="56">
      <c r="A56" s="1800"/>
      <c r="B56" s="1785"/>
      <c r="C56" s="1786"/>
      <c r="D56" s="1786"/>
      <c r="E56" s="1786"/>
      <c r="F56" s="1787"/>
    </row>
    <row r="57">
      <c r="A57" s="1800"/>
      <c r="B57" s="1807" t="s">
        <v>11184</v>
      </c>
      <c r="C57" s="1783"/>
      <c r="D57" s="1783"/>
      <c r="E57" s="1783"/>
      <c r="F57" s="1784"/>
    </row>
    <row r="58">
      <c r="A58" s="1800"/>
      <c r="B58" s="1785"/>
      <c r="C58" s="1786"/>
      <c r="D58" s="1786"/>
      <c r="E58" s="1786"/>
      <c r="F58" s="1787"/>
    </row>
    <row r="59">
      <c r="A59" s="1800"/>
      <c r="B59" s="1789" t="s">
        <v>11133</v>
      </c>
      <c r="C59" s="1808" t="s">
        <v>446</v>
      </c>
      <c r="D59" s="1804" t="s">
        <v>11185</v>
      </c>
      <c r="E59" s="1790" t="s">
        <v>11135</v>
      </c>
      <c r="F59" s="1805">
        <v>43758.0</v>
      </c>
    </row>
    <row r="60">
      <c r="A60" s="1800"/>
      <c r="B60" s="1793" t="s">
        <v>11137</v>
      </c>
      <c r="C60" s="1796"/>
      <c r="D60" s="1806"/>
      <c r="E60" s="1796"/>
      <c r="F60" s="1800"/>
    </row>
    <row r="61">
      <c r="A61" s="1800"/>
      <c r="B61" s="1794" t="s">
        <v>11140</v>
      </c>
      <c r="C61" s="1796"/>
      <c r="D61" s="1806"/>
      <c r="E61" s="1796"/>
      <c r="F61" s="1800"/>
    </row>
    <row r="62">
      <c r="A62" s="1800"/>
      <c r="B62" s="1795" t="s">
        <v>11143</v>
      </c>
      <c r="C62" s="1796"/>
      <c r="D62" s="1806"/>
      <c r="E62" s="1796"/>
      <c r="F62" s="1800"/>
    </row>
    <row r="63">
      <c r="A63" s="1800"/>
      <c r="B63" s="1795" t="s">
        <v>11147</v>
      </c>
      <c r="C63" s="1796"/>
      <c r="D63" s="1806"/>
      <c r="E63" s="1796"/>
      <c r="F63" s="1800"/>
    </row>
    <row r="64">
      <c r="A64" s="1800"/>
      <c r="B64" s="1807" t="s">
        <v>11173</v>
      </c>
      <c r="C64" s="1783"/>
      <c r="D64" s="1783"/>
      <c r="E64" s="1783"/>
      <c r="F64" s="1784"/>
    </row>
    <row r="65">
      <c r="A65" s="1800"/>
      <c r="B65" s="1785"/>
      <c r="C65" s="1786"/>
      <c r="D65" s="1786"/>
      <c r="E65" s="1786"/>
      <c r="F65" s="1787"/>
    </row>
    <row r="66">
      <c r="A66" s="1800"/>
      <c r="B66" s="1789" t="s">
        <v>11133</v>
      </c>
      <c r="C66" s="1790" t="s">
        <v>11186</v>
      </c>
      <c r="D66" s="1809" t="s">
        <v>11187</v>
      </c>
      <c r="E66" s="1790" t="s">
        <v>11135</v>
      </c>
      <c r="F66" s="1805">
        <v>44805.0</v>
      </c>
    </row>
    <row r="67">
      <c r="A67" s="1800"/>
      <c r="B67" s="1793" t="s">
        <v>11137</v>
      </c>
      <c r="C67" s="1790" t="s">
        <v>11188</v>
      </c>
      <c r="D67" s="1804" t="s">
        <v>11189</v>
      </c>
      <c r="E67" s="1790" t="s">
        <v>11135</v>
      </c>
      <c r="F67" s="1805">
        <v>43307.0</v>
      </c>
    </row>
    <row r="68">
      <c r="A68" s="1800"/>
      <c r="B68" s="1794" t="s">
        <v>11140</v>
      </c>
      <c r="C68" s="1796"/>
      <c r="D68" s="1806"/>
      <c r="E68" s="1796"/>
      <c r="F68" s="1800"/>
    </row>
    <row r="69">
      <c r="A69" s="1800"/>
      <c r="B69" s="1795" t="s">
        <v>11143</v>
      </c>
      <c r="C69" s="1796"/>
      <c r="D69" s="1806"/>
      <c r="E69" s="1796"/>
      <c r="F69" s="1800"/>
    </row>
    <row r="70">
      <c r="A70" s="1800"/>
      <c r="B70" s="1795" t="s">
        <v>11147</v>
      </c>
      <c r="C70" s="1796"/>
      <c r="D70" s="1806"/>
      <c r="E70" s="1796"/>
      <c r="F70" s="1800"/>
    </row>
    <row r="71">
      <c r="A71" s="1800"/>
      <c r="B71" s="1782" t="s">
        <v>11150</v>
      </c>
      <c r="C71" s="1783"/>
      <c r="D71" s="1783"/>
      <c r="E71" s="1783"/>
      <c r="F71" s="1784"/>
    </row>
    <row r="72">
      <c r="A72" s="1800"/>
      <c r="B72" s="1785"/>
      <c r="C72" s="1786"/>
      <c r="D72" s="1786"/>
      <c r="E72" s="1786"/>
      <c r="F72" s="1787"/>
    </row>
    <row r="73">
      <c r="A73" s="1800"/>
      <c r="B73" s="1807" t="s">
        <v>11190</v>
      </c>
      <c r="C73" s="1783"/>
      <c r="D73" s="1783"/>
      <c r="E73" s="1783"/>
      <c r="F73" s="1784"/>
    </row>
    <row r="74">
      <c r="A74" s="1800"/>
      <c r="B74" s="1785"/>
      <c r="C74" s="1786"/>
      <c r="D74" s="1786"/>
      <c r="E74" s="1786"/>
      <c r="F74" s="1787"/>
    </row>
    <row r="75">
      <c r="A75" s="1800"/>
      <c r="B75" s="1789" t="s">
        <v>11133</v>
      </c>
      <c r="C75" s="1790" t="s">
        <v>4368</v>
      </c>
      <c r="D75" s="1804" t="s">
        <v>11191</v>
      </c>
      <c r="E75" s="1790" t="s">
        <v>11135</v>
      </c>
      <c r="F75" s="1805">
        <v>44246.0</v>
      </c>
    </row>
    <row r="76">
      <c r="A76" s="1800"/>
      <c r="B76" s="1793" t="s">
        <v>11137</v>
      </c>
      <c r="C76" s="1790" t="s">
        <v>11180</v>
      </c>
      <c r="D76" s="1804" t="s">
        <v>11192</v>
      </c>
      <c r="E76" s="1790" t="s">
        <v>11182</v>
      </c>
      <c r="F76" s="1805">
        <v>43637.0</v>
      </c>
    </row>
    <row r="77">
      <c r="A77" s="1800"/>
      <c r="B77" s="1794" t="s">
        <v>11140</v>
      </c>
      <c r="C77" s="1796"/>
      <c r="D77" s="1806"/>
      <c r="E77" s="1796"/>
      <c r="F77" s="1800"/>
    </row>
    <row r="78">
      <c r="A78" s="1800"/>
      <c r="B78" s="1795" t="s">
        <v>11143</v>
      </c>
      <c r="C78" s="1796"/>
      <c r="D78" s="1806"/>
      <c r="E78" s="1796"/>
      <c r="F78" s="1800"/>
    </row>
    <row r="79">
      <c r="A79" s="1800"/>
      <c r="B79" s="1795" t="s">
        <v>11147</v>
      </c>
      <c r="C79" s="1796"/>
      <c r="D79" s="1806"/>
      <c r="E79" s="1796"/>
      <c r="F79" s="1800"/>
    </row>
    <row r="80">
      <c r="A80" s="1800"/>
      <c r="B80" s="1807" t="s">
        <v>11193</v>
      </c>
      <c r="C80" s="1783"/>
      <c r="D80" s="1783"/>
      <c r="E80" s="1783"/>
      <c r="F80" s="1784"/>
    </row>
    <row r="81">
      <c r="A81" s="1800"/>
      <c r="B81" s="1785"/>
      <c r="C81" s="1786"/>
      <c r="D81" s="1786"/>
      <c r="E81" s="1786"/>
      <c r="F81" s="1787"/>
    </row>
    <row r="82">
      <c r="A82" s="1800"/>
      <c r="B82" s="1789" t="s">
        <v>11133</v>
      </c>
      <c r="C82" s="1790" t="s">
        <v>6208</v>
      </c>
      <c r="D82" s="1804" t="s">
        <v>11194</v>
      </c>
      <c r="E82" s="1790" t="s">
        <v>11135</v>
      </c>
      <c r="F82" s="1805">
        <v>43592.0</v>
      </c>
    </row>
    <row r="83">
      <c r="A83" s="1800"/>
      <c r="B83" s="1793" t="s">
        <v>11137</v>
      </c>
      <c r="C83" s="1790" t="s">
        <v>11195</v>
      </c>
      <c r="D83" s="1804" t="s">
        <v>11196</v>
      </c>
      <c r="E83" s="1790" t="s">
        <v>11135</v>
      </c>
      <c r="F83" s="1805">
        <v>43396.0</v>
      </c>
    </row>
    <row r="84">
      <c r="A84" s="1800"/>
      <c r="B84" s="1794" t="s">
        <v>11140</v>
      </c>
      <c r="C84" s="1796"/>
      <c r="D84" s="1806"/>
      <c r="E84" s="1796"/>
      <c r="F84" s="1800"/>
    </row>
    <row r="85">
      <c r="A85" s="1800"/>
      <c r="B85" s="1795" t="s">
        <v>11143</v>
      </c>
      <c r="C85" s="1796"/>
      <c r="D85" s="1806"/>
      <c r="E85" s="1796"/>
      <c r="F85" s="1800"/>
    </row>
    <row r="86">
      <c r="A86" s="1800"/>
      <c r="B86" s="1795" t="s">
        <v>11147</v>
      </c>
      <c r="C86" s="1796"/>
      <c r="D86" s="1806"/>
      <c r="E86" s="1796"/>
      <c r="F86" s="1800"/>
    </row>
    <row r="87">
      <c r="A87" s="1800"/>
      <c r="B87" s="1782" t="s">
        <v>11152</v>
      </c>
      <c r="C87" s="1783"/>
      <c r="D87" s="1783"/>
      <c r="E87" s="1783"/>
      <c r="F87" s="1784"/>
    </row>
    <row r="88">
      <c r="A88" s="1800"/>
      <c r="B88" s="1785"/>
      <c r="C88" s="1786"/>
      <c r="D88" s="1786"/>
      <c r="E88" s="1786"/>
      <c r="F88" s="1787"/>
    </row>
    <row r="89">
      <c r="A89" s="1800"/>
      <c r="B89" s="1789" t="s">
        <v>11133</v>
      </c>
      <c r="C89" s="1808" t="s">
        <v>446</v>
      </c>
      <c r="D89" s="1804" t="s">
        <v>11197</v>
      </c>
      <c r="E89" s="1790" t="s">
        <v>11135</v>
      </c>
      <c r="F89" s="1805">
        <v>43457.0</v>
      </c>
    </row>
    <row r="90">
      <c r="A90" s="1800"/>
      <c r="B90" s="1793" t="s">
        <v>11137</v>
      </c>
      <c r="C90" s="1790" t="s">
        <v>2549</v>
      </c>
      <c r="D90" s="1804" t="s">
        <v>11198</v>
      </c>
      <c r="E90" s="1790" t="s">
        <v>11135</v>
      </c>
      <c r="F90" s="1805">
        <v>43925.0</v>
      </c>
    </row>
    <row r="91">
      <c r="A91" s="1800"/>
      <c r="B91" s="1794" t="s">
        <v>11140</v>
      </c>
      <c r="C91" s="1790" t="s">
        <v>4813</v>
      </c>
      <c r="D91" s="1804" t="s">
        <v>11199</v>
      </c>
      <c r="E91" s="1790" t="s">
        <v>11168</v>
      </c>
      <c r="F91" s="1805">
        <v>43433.0</v>
      </c>
    </row>
    <row r="92">
      <c r="A92" s="1800"/>
      <c r="B92" s="1795" t="s">
        <v>11143</v>
      </c>
      <c r="C92" s="1796"/>
      <c r="D92" s="1806"/>
      <c r="E92" s="1796"/>
      <c r="F92" s="1800"/>
    </row>
    <row r="93">
      <c r="A93" s="1800"/>
      <c r="B93" s="1795" t="s">
        <v>11147</v>
      </c>
      <c r="C93" s="1796"/>
      <c r="D93" s="1806"/>
      <c r="E93" s="1796"/>
      <c r="F93" s="1800"/>
    </row>
    <row r="94">
      <c r="A94" s="1800"/>
      <c r="B94" s="1782" t="s">
        <v>11154</v>
      </c>
      <c r="C94" s="1783"/>
      <c r="D94" s="1783"/>
      <c r="E94" s="1783"/>
      <c r="F94" s="1784"/>
    </row>
    <row r="95">
      <c r="A95" s="1800"/>
      <c r="B95" s="1785"/>
      <c r="C95" s="1786"/>
      <c r="D95" s="1786"/>
      <c r="E95" s="1786"/>
      <c r="F95" s="1787"/>
    </row>
    <row r="96">
      <c r="A96" s="1800"/>
      <c r="B96" s="1807" t="s">
        <v>11200</v>
      </c>
      <c r="C96" s="1783"/>
      <c r="D96" s="1783"/>
      <c r="E96" s="1783"/>
      <c r="F96" s="1784"/>
    </row>
    <row r="97">
      <c r="A97" s="1800"/>
      <c r="B97" s="1785"/>
      <c r="C97" s="1786"/>
      <c r="D97" s="1786"/>
      <c r="E97" s="1786"/>
      <c r="F97" s="1787"/>
    </row>
    <row r="98">
      <c r="A98" s="1800"/>
      <c r="B98" s="1789" t="s">
        <v>11133</v>
      </c>
      <c r="C98" s="1790" t="s">
        <v>11175</v>
      </c>
      <c r="D98" s="1804" t="s">
        <v>11201</v>
      </c>
      <c r="E98" s="1790" t="s">
        <v>11135</v>
      </c>
      <c r="F98" s="1805">
        <v>43862.0</v>
      </c>
    </row>
    <row r="99">
      <c r="A99" s="1800"/>
      <c r="B99" s="1793" t="s">
        <v>11137</v>
      </c>
      <c r="C99" s="1796"/>
      <c r="D99" s="1806"/>
      <c r="E99" s="1796"/>
      <c r="F99" s="1800"/>
    </row>
    <row r="100">
      <c r="A100" s="1800"/>
      <c r="B100" s="1794" t="s">
        <v>11140</v>
      </c>
      <c r="C100" s="1796"/>
      <c r="D100" s="1806"/>
      <c r="E100" s="1796"/>
      <c r="F100" s="1800"/>
    </row>
    <row r="101">
      <c r="A101" s="1800"/>
      <c r="B101" s="1795" t="s">
        <v>11143</v>
      </c>
      <c r="C101" s="1796"/>
      <c r="D101" s="1806"/>
      <c r="E101" s="1796"/>
      <c r="F101" s="1800"/>
    </row>
    <row r="102">
      <c r="A102" s="1800"/>
      <c r="B102" s="1795" t="s">
        <v>11147</v>
      </c>
      <c r="C102" s="1796"/>
      <c r="D102" s="1806"/>
      <c r="E102" s="1796"/>
      <c r="F102" s="1800"/>
    </row>
    <row r="103">
      <c r="A103" s="1800"/>
      <c r="B103" s="1807" t="s">
        <v>11202</v>
      </c>
      <c r="C103" s="1783"/>
      <c r="D103" s="1783"/>
      <c r="E103" s="1783"/>
      <c r="F103" s="1784"/>
    </row>
    <row r="104">
      <c r="A104" s="1800"/>
      <c r="B104" s="1785"/>
      <c r="C104" s="1786"/>
      <c r="D104" s="1786"/>
      <c r="E104" s="1786"/>
      <c r="F104" s="1787"/>
    </row>
    <row r="105">
      <c r="A105" s="1800"/>
      <c r="B105" s="1789" t="s">
        <v>11133</v>
      </c>
      <c r="C105" s="1790" t="s">
        <v>11175</v>
      </c>
      <c r="D105" s="1804" t="s">
        <v>11203</v>
      </c>
      <c r="E105" s="1790" t="s">
        <v>11135</v>
      </c>
      <c r="F105" s="1805">
        <v>43862.0</v>
      </c>
    </row>
    <row r="106">
      <c r="A106" s="1800"/>
      <c r="B106" s="1793" t="s">
        <v>11137</v>
      </c>
      <c r="C106" s="1810" t="s">
        <v>6138</v>
      </c>
      <c r="D106" s="1804" t="s">
        <v>11204</v>
      </c>
      <c r="E106" s="1790" t="s">
        <v>11182</v>
      </c>
      <c r="F106" s="1805">
        <v>43630.0</v>
      </c>
    </row>
    <row r="107">
      <c r="A107" s="1800"/>
      <c r="B107" s="1794" t="s">
        <v>11140</v>
      </c>
      <c r="C107" s="1796"/>
      <c r="D107" s="1806"/>
      <c r="E107" s="1796"/>
      <c r="F107" s="1800"/>
    </row>
    <row r="108">
      <c r="A108" s="1800"/>
      <c r="B108" s="1795" t="s">
        <v>11143</v>
      </c>
      <c r="C108" s="1796"/>
      <c r="D108" s="1806"/>
      <c r="E108" s="1796"/>
      <c r="F108" s="1800"/>
    </row>
    <row r="109">
      <c r="A109" s="1800"/>
      <c r="B109" s="1795" t="s">
        <v>11147</v>
      </c>
      <c r="C109" s="1796"/>
      <c r="D109" s="1806"/>
      <c r="E109" s="1796"/>
      <c r="F109" s="1800"/>
    </row>
    <row r="110">
      <c r="A110" s="1800"/>
      <c r="B110" s="1782" t="s">
        <v>11157</v>
      </c>
      <c r="C110" s="1783"/>
      <c r="D110" s="1783"/>
      <c r="E110" s="1783"/>
      <c r="F110" s="1784"/>
    </row>
    <row r="111">
      <c r="A111" s="1800"/>
      <c r="B111" s="1785"/>
      <c r="C111" s="1786"/>
      <c r="D111" s="1786"/>
      <c r="E111" s="1786"/>
      <c r="F111" s="1787"/>
    </row>
    <row r="112">
      <c r="A112" s="1800"/>
      <c r="B112" s="1789" t="s">
        <v>11133</v>
      </c>
      <c r="C112" s="1790" t="s">
        <v>5308</v>
      </c>
      <c r="D112" s="1804" t="s">
        <v>11205</v>
      </c>
      <c r="E112" s="1790" t="s">
        <v>11145</v>
      </c>
      <c r="F112" s="1805">
        <v>44132.0</v>
      </c>
    </row>
    <row r="113">
      <c r="A113" s="1800"/>
      <c r="B113" s="1793" t="s">
        <v>11137</v>
      </c>
      <c r="C113" s="1796"/>
      <c r="D113" s="1806"/>
      <c r="E113" s="1796"/>
      <c r="F113" s="1800"/>
    </row>
    <row r="114">
      <c r="A114" s="1800"/>
      <c r="B114" s="1794" t="s">
        <v>11140</v>
      </c>
      <c r="C114" s="1796"/>
      <c r="D114" s="1806"/>
      <c r="E114" s="1796"/>
      <c r="F114" s="1800"/>
    </row>
    <row r="115">
      <c r="A115" s="1800"/>
      <c r="B115" s="1795" t="s">
        <v>11143</v>
      </c>
      <c r="C115" s="1796"/>
      <c r="D115" s="1806"/>
      <c r="E115" s="1796"/>
      <c r="F115" s="1800"/>
    </row>
    <row r="116">
      <c r="A116" s="1800"/>
      <c r="B116" s="1795" t="s">
        <v>11147</v>
      </c>
      <c r="C116" s="1796"/>
      <c r="D116" s="1806"/>
      <c r="E116" s="1796"/>
      <c r="F116" s="1800"/>
    </row>
    <row r="117">
      <c r="A117" s="1800"/>
      <c r="B117" s="1782" t="s">
        <v>11160</v>
      </c>
      <c r="C117" s="1783"/>
      <c r="D117" s="1783"/>
      <c r="E117" s="1783"/>
      <c r="F117" s="1784"/>
    </row>
    <row r="118">
      <c r="A118" s="1800"/>
      <c r="B118" s="1785"/>
      <c r="C118" s="1786"/>
      <c r="D118" s="1786"/>
      <c r="E118" s="1786"/>
      <c r="F118" s="1787"/>
    </row>
    <row r="119">
      <c r="A119" s="1800"/>
      <c r="B119" s="1789" t="s">
        <v>11133</v>
      </c>
      <c r="C119" s="1790" t="s">
        <v>6192</v>
      </c>
      <c r="D119" s="1804" t="s">
        <v>11206</v>
      </c>
      <c r="E119" s="1790" t="s">
        <v>11135</v>
      </c>
      <c r="F119" s="1805">
        <v>43741.0</v>
      </c>
    </row>
    <row r="120">
      <c r="A120" s="1800"/>
      <c r="B120" s="1793" t="s">
        <v>11137</v>
      </c>
      <c r="C120" s="1790" t="s">
        <v>11207</v>
      </c>
      <c r="D120" s="1804" t="s">
        <v>11208</v>
      </c>
      <c r="E120" s="1790" t="s">
        <v>11168</v>
      </c>
      <c r="F120" s="1805">
        <v>43748.0</v>
      </c>
    </row>
    <row r="121">
      <c r="A121" s="1800"/>
      <c r="B121" s="1794" t="s">
        <v>11140</v>
      </c>
      <c r="C121" s="1790" t="s">
        <v>2234</v>
      </c>
      <c r="D121" s="1804" t="s">
        <v>11209</v>
      </c>
      <c r="E121" s="1790" t="s">
        <v>11182</v>
      </c>
      <c r="F121" s="1805">
        <v>43729.0</v>
      </c>
    </row>
    <row r="122">
      <c r="A122" s="1800"/>
      <c r="B122" s="1795" t="s">
        <v>11143</v>
      </c>
      <c r="C122" s="1808" t="s">
        <v>446</v>
      </c>
      <c r="D122" s="1804" t="s">
        <v>11210</v>
      </c>
      <c r="E122" s="1790" t="s">
        <v>11135</v>
      </c>
      <c r="F122" s="1805">
        <v>44470.0</v>
      </c>
    </row>
    <row r="123">
      <c r="A123" s="1800"/>
      <c r="B123" s="1795" t="s">
        <v>11147</v>
      </c>
      <c r="C123" s="1790" t="s">
        <v>5308</v>
      </c>
      <c r="D123" s="1804" t="s">
        <v>11211</v>
      </c>
      <c r="E123" s="1790" t="s">
        <v>11145</v>
      </c>
      <c r="F123" s="1805">
        <v>44020.0</v>
      </c>
    </row>
    <row r="124">
      <c r="A124" s="1811" t="s">
        <v>11212</v>
      </c>
      <c r="B124" s="1782" t="s">
        <v>11161</v>
      </c>
      <c r="C124" s="1783"/>
      <c r="D124" s="1783"/>
      <c r="E124" s="1783"/>
      <c r="F124" s="1784"/>
    </row>
    <row r="125">
      <c r="A125" s="1811" t="s">
        <v>11213</v>
      </c>
      <c r="B125" s="1785"/>
      <c r="C125" s="1786"/>
      <c r="D125" s="1786"/>
      <c r="E125" s="1786"/>
      <c r="F125" s="1787"/>
    </row>
    <row r="126">
      <c r="A126" s="1812"/>
      <c r="B126" s="1789" t="s">
        <v>11133</v>
      </c>
      <c r="C126" s="1790" t="s">
        <v>1031</v>
      </c>
      <c r="D126" s="1813">
        <v>0.06525462962962963</v>
      </c>
      <c r="E126" s="1790" t="s">
        <v>11145</v>
      </c>
      <c r="F126" s="1792">
        <v>44652.0</v>
      </c>
    </row>
    <row r="127">
      <c r="A127" s="1812"/>
      <c r="B127" s="1793" t="s">
        <v>11137</v>
      </c>
      <c r="C127" s="1790" t="s">
        <v>4219</v>
      </c>
      <c r="D127" s="1813">
        <v>0.06892361111111112</v>
      </c>
      <c r="E127" s="1790" t="s">
        <v>11145</v>
      </c>
      <c r="F127" s="1792">
        <v>44652.0</v>
      </c>
    </row>
    <row r="128">
      <c r="A128" s="1812"/>
      <c r="B128" s="1794" t="s">
        <v>11140</v>
      </c>
      <c r="C128" s="1799" t="s">
        <v>5439</v>
      </c>
      <c r="D128" s="1814">
        <v>0.07195601851851852</v>
      </c>
      <c r="E128" s="1799" t="s">
        <v>11145</v>
      </c>
      <c r="F128" s="1805">
        <v>44652.0</v>
      </c>
    </row>
    <row r="129">
      <c r="A129" s="1812"/>
      <c r="B129" s="1795" t="s">
        <v>11143</v>
      </c>
      <c r="C129" s="1796" t="s">
        <v>11214</v>
      </c>
      <c r="D129" s="1815">
        <v>0.07211805555555556</v>
      </c>
      <c r="E129" s="1816" t="s">
        <v>11215</v>
      </c>
      <c r="F129" s="1805">
        <v>44652.0</v>
      </c>
    </row>
    <row r="130">
      <c r="A130" s="1812"/>
      <c r="B130" s="1795" t="s">
        <v>11147</v>
      </c>
      <c r="C130" s="1796"/>
      <c r="D130" s="1796"/>
      <c r="E130" s="1796"/>
      <c r="F130" s="1796"/>
    </row>
    <row r="131">
      <c r="A131" s="1817" t="s">
        <v>11162</v>
      </c>
      <c r="B131" s="1782" t="s">
        <v>11162</v>
      </c>
      <c r="C131" s="1783"/>
      <c r="D131" s="1783"/>
      <c r="E131" s="1783"/>
      <c r="F131" s="1784"/>
    </row>
    <row r="132">
      <c r="A132" s="1812"/>
      <c r="B132" s="1785"/>
      <c r="C132" s="1786"/>
      <c r="D132" s="1786"/>
      <c r="E132" s="1786"/>
      <c r="F132" s="1787"/>
    </row>
    <row r="133">
      <c r="A133" s="1812"/>
      <c r="B133" s="1789" t="s">
        <v>11133</v>
      </c>
      <c r="C133" s="1790" t="s">
        <v>2549</v>
      </c>
      <c r="D133" s="1818" t="s">
        <v>11216</v>
      </c>
      <c r="E133" s="1790" t="s">
        <v>11135</v>
      </c>
      <c r="F133" s="1792">
        <v>45152.0</v>
      </c>
    </row>
    <row r="134">
      <c r="A134" s="1812"/>
      <c r="B134" s="1793" t="s">
        <v>11137</v>
      </c>
      <c r="C134" s="1790" t="s">
        <v>4317</v>
      </c>
      <c r="D134" s="1818" t="s">
        <v>11217</v>
      </c>
      <c r="E134" s="1790" t="s">
        <v>11135</v>
      </c>
      <c r="F134" s="1792">
        <v>44866.0</v>
      </c>
    </row>
    <row r="135">
      <c r="A135" s="1812"/>
      <c r="B135" s="1794" t="s">
        <v>11140</v>
      </c>
      <c r="C135" s="1796"/>
      <c r="D135" s="1815"/>
      <c r="E135" s="1816"/>
      <c r="F135" s="1805"/>
    </row>
    <row r="136">
      <c r="A136" s="1812"/>
      <c r="B136" s="1795" t="s">
        <v>11143</v>
      </c>
      <c r="C136" s="1796"/>
      <c r="D136" s="1815"/>
      <c r="E136" s="1816"/>
      <c r="F136" s="1805"/>
    </row>
    <row r="137">
      <c r="A137" s="1812"/>
      <c r="B137" s="1795" t="s">
        <v>11147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