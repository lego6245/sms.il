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<sst xmlns="http://schemas.openxmlformats.org/spreadsheetml/2006/main" count="26738" uniqueCount="11104">
  <si>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</si>
  <si>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</si>
  <si>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</si>
  <si>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</si>
  <si>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</si>
  <si>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</si>
  <si>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</si>
  <si>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</si>
  <si>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</si>
  <si>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</si>
  <si>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</si>
  <si>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</si>
  <si>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</si>
  <si>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</si>
  <si>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</si>
  <si>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</si>
  <si>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</si>
  <si>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</si>
  <si>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</si>
  <si>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</si>
  <si>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</si>
  <si>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</si>
  <si>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</si>
  <si>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</si>
  <si>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</si>
  <si>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</si>
  <si>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</si>
  <si>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</si>
  <si>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</si>
  <si>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</si>
  <si>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</si>
  <si>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</si>
  <si>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</si>
  <si>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</si>
  <si>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</si>
  <si>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</si>
  <si>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</si>
  <si>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</si>
  <si>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</si>
  <si>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</si>
  <si>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</si>
  <si>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</si>
  <si>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</si>
  <si>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</si>
  <si>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</si>
  <si>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</si>
  <si>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</si>
  <si>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</si>
  <si>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</si>
  <si>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</si>
  <si>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</si>
  <si>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</si>
  <si>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</si>
  <si>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</si>
  <si>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</si>
  <si>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</si>
  <si>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</si>
  <si>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</si>
  <si>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</si>
  <si>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</si>
  <si>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</si>
  <si>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</si>
  <si>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</si>
  <si>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</si>
  <si>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</si>
  <si>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</si>
  <si>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</si>
  <si>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</si>
  <si>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</si>
  <si>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</si>
  <si>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</si>
  <si>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</si>
  <si>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</si>
  <si>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</si>
  <si>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</si>
  <si>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</si>
  <si>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</si>
  <si>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</si>
  <si>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</si>
  <si>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</si>
  <si>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</si>
  <si>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</si>
  <si>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</si>
  <si>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</si>
  <si>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</si>
  <si>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</si>
  <si>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</si>
  <si>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</si>
  <si>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</si>
  <si>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</si>
  <si>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</si>
  <si>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</si>
  <si>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</si>
  <si>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</si>
  <si>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</si>
  <si>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</si>
  <si>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</si>
  <si>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</si>
  <si>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</si>
  <si>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</si>
  <si>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</si>
  <si>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</si>
  <si>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</si>
  <si>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</si>
  <si>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</si>
  <si>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</si>
  <si>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</si>
  <si>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</si>
  <si>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</si>
  <si>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</si>
  <si>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</si>
  <si>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</si>
  <si>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</si>
  <si>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</si>
  <si>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</si>
  <si>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</si>
  <si>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</si>
  <si>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</si>
  <si>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</si>
  <si>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</si>
  <si>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</si>
  <si>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</si>
  <si>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</si>
  <si>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</si>
  <si>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</si>
  <si>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</si>
  <si>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</si>
  <si>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</si>
  <si>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</si>
  <si>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</si>
  <si>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</si>
  <si>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</si>
  <si>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</si>
  <si>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</si>
  <si>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</si>
  <si>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</si>
  <si>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</si>
  <si>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</si>
  <si>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</si>
  <si>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</si>
  <si>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</si>
  <si>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</si>
  <si>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</si>
  <si>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</si>
  <si>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</si>
  <si>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</si>
  <si>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</si>
  <si>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</si>
  <si>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</si>
  <si>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</si>
  <si>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</si>
  <si>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</si>
  <si>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</si>
  <si>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</si>
  <si>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</si>
  <si>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</si>
  <si>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</si>
  <si>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</si>
  <si>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</si>
  <si>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</si>
  <si>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</si>
  <si>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</si>
  <si>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</si>
  <si>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</si>
  <si>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</si>
  <si>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</si>
  <si>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</si>
  <si>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</si>
  <si>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</si>
  <si>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</si>
  <si>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</si>
  <si>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</si>
  <si>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</si>
  <si>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</si>
  <si>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</si>
  <si>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</si>
  <si>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</si>
  <si>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</si>
  <si>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</si>
  <si>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</si>
  <si>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</si>
  <si>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</si>
  <si>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</si>
  <si>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</si>
  <si>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</si>
  <si>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</si>
  <si>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</si>
  <si>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</si>
  <si>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</si>
  <si>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</si>
  <si>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</si>
  <si>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</si>
  <si>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</si>
  <si>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</si>
  <si>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</si>
  <si>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</si>
  <si>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</si>
  <si>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</si>
  <si>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</si>
  <si>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</si>
  <si>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</si>
  <si>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</si>
  <si>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</si>
  <si>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</si>
  <si>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</si>
  <si>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</si>
  <si>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</si>
  <si>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</si>
  <si>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</si>
  <si>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</si>
  <si>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</si>
  <si>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</si>
  <si>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</si>
  <si>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</si>
  <si>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</si>
  <si>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</si>
  <si>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</si>
  <si>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</si>
  <si>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</si>
  <si>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</si>
  <si>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</si>
  <si>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</si>
  <si>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</si>
  <si>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</si>
  <si>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</si>
  <si>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</si>
  <si>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</si>
  <si>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</si>
  <si>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</si>
  <si>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</si>
  <si>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</si>
  <si>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</si>
  <si>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</si>
  <si>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</si>
  <si>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</si>
  <si>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</si>
  <si>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</si>
  <si>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</si>
  <si>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</si>
  <si>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</si>
  <si>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</si>
  <si>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</si>
  <si>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</si>
  <si>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</si>
  <si>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</si>
  <si>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</si>
  <si>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</si>
  <si>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</si>
  <si>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</si>
  <si>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</si>
  <si>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</si>
  <si>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</si>
  <si>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</si>
  <si>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</si>
  <si>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</si>
  <si>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</si>
  <si>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</si>
  <si>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</si>
  <si>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</si>
  <si>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</si>
  <si>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</si>
  <si>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</si>
  <si>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</si>
  <si>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</si>
  <si>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</si>
  <si>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</si>
  <si>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</si>
  <si>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</si>
  <si>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</si>
  <si>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</si>
  <si>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</si>
  <si>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</si>
  <si>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</si>
  <si>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</si>
  <si>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</si>
  <si>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</si>
  <si>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</si>
  <si>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</si>
  <si>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</si>
  <si>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</si>
  <si>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</si>
  <si>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</si>
  <si>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</si>
  <si>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</si>
  <si>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</si>
  <si>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</si>
  <si>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</si>
  <si>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</si>
  <si>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</si>
  <si>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</si>
  <si>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</si>
  <si>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</si>
  <si>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</si>
  <si>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</si>
  <si>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</si>
  <si>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</si>
  <si>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</si>
  <si>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</si>
  <si>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</si>
  <si>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</si>
  <si>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</si>
  <si>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</si>
  <si>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</si>
  <si>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</si>
  <si>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</si>
  <si>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</si>
  <si>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</si>
  <si>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</si>
  <si>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</si>
  <si>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</si>
  <si>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</si>
  <si>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</si>
  <si>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</si>
  <si>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</si>
  <si>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</si>
  <si>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</si>
  <si>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</si>
  <si>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</si>
  <si>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</si>
  <si>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</si>
  <si>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</si>
  <si>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</si>
  <si>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</si>
  <si>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</si>
  <si>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</si>
  <si>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</si>
  <si>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</si>
  <si>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</si>
  <si>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</si>
  <si>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</si>
  <si>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</si>
  <si>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</si>
  <si>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</si>
  <si>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</si>
  <si>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</si>
  <si>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</si>
  <si>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</si>
  <si>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</si>
  <si>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</si>
  <si>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</si>
  <si>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</si>
  <si>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</si>
  <si>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</si>
  <si>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</si>
  <si>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</si>
  <si>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</si>
  <si>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</si>
  <si>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</si>
  <si>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</si>
  <si>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</si>
  <si>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</si>
  <si>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</si>
  <si>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</si>
  <si>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</si>
  <si>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</si>
  <si>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</si>
  <si>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</si>
  <si>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</si>
  <si>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</si>
  <si>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</si>
  <si>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</si>
  <si>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</si>
  <si>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</si>
  <si>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</si>
  <si>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</si>
  <si>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</si>
  <si>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</si>
  <si>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</si>
  <si>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</si>
  <si>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</si>
  <si>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</si>
  <si>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</si>
  <si>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</si>
  <si>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</si>
  <si>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</si>
  <si>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</si>
  <si>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</si>
  <si>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</si>
  <si>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</si>
  <si>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</si>
  <si>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</si>
  <si>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</si>
  <si>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</si>
  <si>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</si>
  <si>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</si>
  <si>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</si>
  <si>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</si>
  <si>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</si>
  <si>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</si>
  <si>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</si>
  <si>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</si>
  <si>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</si>
  <si>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</si>
  <si>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</si>
  <si>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</si>
  <si>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</si>
  <si>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</si>
  <si>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</si>
  <si>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</si>
  <si>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</si>
  <si>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</si>
  <si>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</si>
  <si>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</si>
  <si>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</si>
  <si>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</si>
  <si>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</si>
  <si>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</si>
  <si>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</si>
  <si>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</si>
  <si>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</si>
  <si>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</si>
  <si>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</si>
  <si>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</si>
  <si>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</si>
  <si>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</si>
  <si>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</si>
  <si>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</si>
  <si>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</si>
  <si>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</si>
  <si>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</si>
  <si>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</si>
  <si>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</si>
  <si>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</si>
  <si>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</si>
  <si>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</si>
  <si>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</si>
  <si>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</si>
  <si>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</si>
  <si>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</si>
  <si>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</si>
  <si>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</si>
  <si>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</si>
  <si>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</si>
  <si>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</si>
  <si>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</si>
  <si>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</si>
  <si>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</si>
  <si>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</si>
  <si>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</si>
  <si>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</si>
  <si>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</si>
  <si>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</si>
  <si>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</si>
  <si>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</si>
  <si>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</si>
  <si>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</si>
  <si>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</si>
  <si>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</si>
  <si>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</si>
  <si>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</si>
  <si>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</si>
  <si>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</si>
  <si>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</si>
  <si>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</si>
  <si>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</si>
  <si>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</si>
  <si>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</si>
  <si>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</si>
  <si>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</si>
  <si>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</si>
  <si>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</si>
  <si>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</si>
  <si>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</si>
  <si>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</si>
  <si>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</si>
  <si>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</si>
  <si>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</si>
  <si>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</si>
  <si>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</si>
  <si>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</si>
  <si>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</si>
  <si>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</si>
  <si>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</si>
  <si>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</si>
  <si>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</si>
  <si>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</si>
  <si>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</si>
  <si>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</si>
  <si>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</si>
  <si>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</si>
  <si>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</si>
  <si>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</si>
  <si>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</si>
  <si>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</si>
  <si>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</si>
  <si>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</si>
  <si>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</si>
  <si>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</si>
  <si>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</si>
  <si>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</si>
  <si>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</si>
  <si>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</si>
  <si>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</si>
  <si>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</si>
  <si>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</si>
  <si>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</si>
  <si>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</si>
  <si>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</si>
  <si>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</si>
  <si>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</si>
  <si>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</si>
  <si>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</si>
  <si>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</si>
  <si>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</si>
  <si>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</si>
  <si>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</si>
  <si>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</si>
  <si>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</si>
  <si>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</si>
  <si>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</si>
  <si>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</si>
  <si>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</si>
  <si>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</si>
  <si>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</si>
  <si>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</si>
  <si>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</si>
  <si>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</si>
  <si>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</si>
  <si>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</si>
  <si>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</si>
  <si>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</si>
  <si>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</si>
  <si>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</si>
  <si>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</si>
  <si>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</si>
  <si>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</si>
  <si>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</si>
  <si>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</si>
  <si>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</si>
  <si>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</si>
  <si>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</si>
  <si>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</si>
  <si>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</si>
  <si>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</si>
  <si>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</si>
  <si>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</si>
  <si>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</si>
  <si>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</si>
  <si>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</si>
  <si>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</si>
  <si>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</si>
  <si>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</si>
  <si>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</si>
  <si>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</si>
  <si>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</si>
  <si>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</si>
  <si>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</si>
  <si>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</si>
  <si>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</si>
  <si>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</si>
  <si>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</si>
  <si>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</si>
  <si>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</si>
  <si>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</si>
  <si>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</si>
  <si>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</si>
  <si>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</si>
  <si>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</si>
  <si>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</si>
  <si>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</si>
  <si>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</si>
  <si>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</si>
  <si>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</si>
  <si>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</si>
  <si>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</si>
  <si>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</si>
  <si>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</si>
  <si>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</si>
  <si>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</si>
  <si>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</si>
  <si>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</si>
  <si>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</si>
  <si>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</si>
  <si>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</si>
  <si>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</si>
  <si>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</si>
  <si>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</si>
  <si>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</si>
  <si>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</si>
  <si>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</si>
  <si>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</si>
  <si>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</si>
  <si>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</si>
  <si>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</si>
  <si>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</si>
  <si>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</si>
  <si>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</si>
  <si>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</si>
  <si>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</si>
  <si>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</si>
  <si>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</si>
  <si>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</si>
  <si>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</si>
  <si>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</si>
  <si>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</si>
  <si>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</si>
  <si>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</si>
  <si>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</si>
  <si>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</si>
  <si>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</si>
  <si>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</si>
  <si>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</si>
  <si>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</si>
  <si>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</si>
  <si>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</si>
  <si>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</si>
  <si>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</si>
  <si>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</si>
  <si>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</si>
  <si>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</si>
  <si>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</si>
  <si>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</si>
  <si>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</si>
  <si>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</si>
  <si>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</si>
  <si>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</si>
  <si>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</si>
  <si>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</si>
  <si>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</si>
  <si>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</si>
  <si>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</si>
  <si>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</si>
  <si>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</si>
  <si>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</si>
  <si>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</si>
  <si>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</si>
  <si>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</si>
  <si>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</si>
  <si>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</si>
  <si>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</si>
  <si>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</si>
  <si>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</si>
  <si>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</si>
  <si>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</si>
  <si>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</si>
  <si>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</si>
  <si>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</si>
  <si>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</si>
  <si>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</si>
  <si>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</si>
  <si>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</si>
  <si>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</si>
  <si>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</si>
  <si>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</si>
  <si>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</si>
  <si>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</si>
  <si>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</si>
  <si>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</si>
  <si>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</si>
  <si>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</si>
  <si>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</si>
  <si>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</si>
  <si>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</si>
  <si>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</si>
  <si>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</si>
  <si>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</si>
  <si>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</si>
  <si>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</si>
  <si>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</si>
  <si>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</si>
  <si>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</si>
  <si>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</si>
  <si>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</si>
  <si>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</si>
  <si>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</si>
  <si>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</si>
  <si>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</si>
  <si>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</si>
  <si>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</si>
  <si>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</si>
  <si>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</si>
  <si>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</si>
  <si>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</si>
  <si>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</si>
  <si>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</si>
  <si>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</si>
  <si>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</si>
  <si>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</si>
  <si>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</si>
  <si>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</si>
  <si>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</si>
  <si>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</si>
  <si>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</si>
  <si>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</si>
  <si>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</si>
  <si>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</si>
  <si>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</si>
  <si>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</si>
  <si>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</si>
  <si>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</si>
  <si>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</si>
  <si>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</si>
  <si>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</si>
  <si>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</si>
  <si>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</si>
  <si>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</si>
  <si>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</si>
  <si>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</si>
  <si>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</si>
  <si>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</si>
  <si>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</si>
  <si>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</si>
  <si>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</si>
  <si>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</si>
  <si>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</si>
  <si>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</si>
  <si>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</si>
  <si>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</si>
  <si>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</si>
  <si>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</si>
  <si>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</si>
  <si>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</si>
  <si>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</si>
  <si>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</si>
  <si>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</si>
  <si>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</si>
  <si>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</si>
  <si>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</si>
  <si>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</si>
  <si>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</si>
  <si>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</si>
  <si>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</si>
  <si>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</si>
  <si>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</si>
  <si>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</si>
  <si>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</si>
  <si>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</si>
  <si>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</si>
  <si>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</si>
  <si>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</si>
  <si>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</si>
  <si>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</si>
  <si>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</si>
  <si>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</si>
  <si>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</si>
  <si>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</si>
  <si>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</si>
  <si>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</si>
  <si>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</si>
  <si>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</si>
  <si>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</si>
  <si>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</si>
  <si>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</si>
  <si>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</si>
  <si>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</si>
  <si>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</si>
  <si>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</si>
  <si>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</si>
  <si>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</si>
  <si>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</si>
  <si>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</si>
  <si>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</si>
  <si>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</si>
  <si>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</si>
  <si>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</si>
  <si>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</si>
  <si>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</si>
  <si>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</si>
  <si>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</si>
  <si>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</si>
  <si>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</si>
  <si>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</si>
  <si>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</si>
  <si>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</si>
  <si>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</si>
  <si>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</si>
  <si>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</si>
  <si>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</si>
  <si>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</si>
  <si>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</si>
  <si>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</si>
  <si>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</si>
  <si>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</si>
  <si>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</si>
  <si>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</si>
  <si>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</si>
  <si>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</si>
  <si>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</si>
  <si>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</si>
  <si>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</si>
  <si>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</si>
  <si>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</si>
  <si>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</si>
  <si>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</si>
  <si>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</si>
  <si>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</si>
  <si>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</si>
  <si>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</si>
  <si>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</si>
  <si>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</si>
  <si>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</si>
  <si>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</si>
  <si>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</si>
  <si>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</si>
  <si>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</si>
  <si>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</si>
  <si>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</si>
  <si>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</si>
  <si>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</si>
  <si>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</si>
  <si>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</si>
  <si>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</si>
  <si>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</si>
  <si>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</si>
  <si>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</si>
  <si>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</si>
  <si>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</si>
  <si>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</si>
  <si>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</si>
  <si>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</si>
  <si>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</si>
  <si>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</si>
  <si>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</si>
  <si>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</si>
  <si>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</si>
  <si>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</si>
  <si>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</si>
  <si>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</si>
  <si>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</si>
  <si>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</si>
  <si>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</si>
  <si>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</si>
  <si>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</si>
  <si>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</si>
  <si>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</si>
  <si>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</si>
  <si>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</si>
  <si>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</si>
  <si>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</si>
  <si>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</si>
  <si>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</si>
  <si>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</si>
  <si>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</si>
  <si>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</si>
  <si>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</si>
  <si>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</si>
  <si>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</si>
  <si>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</si>
  <si>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</si>
  <si>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</si>
  <si>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</si>
  <si>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</si>
  <si>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</si>
  <si>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</si>
  <si>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</si>
  <si>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</si>
  <si>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</si>
  <si>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</si>
  <si>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</si>
  <si>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</si>
  <si>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</si>
  <si>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</si>
  <si>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</si>
  <si>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</si>
  <si>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</si>
  <si>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</si>
  <si>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</si>
  <si>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</si>
  <si>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</si>
  <si>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</si>
  <si>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</si>
  <si>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</si>
  <si>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</si>
  <si>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</si>
  <si>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</si>
  <si>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</si>
  <si>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</si>
  <si>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</si>
  <si>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</si>
  <si>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</si>
  <si>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</si>
  <si>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</si>
  <si>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</si>
  <si>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</si>
  <si>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</si>
  <si>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</si>
  <si>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</si>
  <si>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</si>
  <si>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</si>
  <si>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</si>
  <si>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</si>
  <si>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</si>
  <si>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</si>
  <si>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</si>
  <si>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</si>
  <si>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</si>
  <si>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</si>
  <si>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</si>
  <si>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</si>
  <si>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</si>
  <si>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</si>
  <si>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</si>
  <si>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</si>
  <si>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</si>
  <si>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</si>
  <si>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</si>
  <si>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</si>
  <si>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</si>
  <si>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</si>
  <si>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</si>
  <si>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</si>
  <si>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</si>
  <si>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</si>
  <si>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</si>
  <si>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</si>
  <si>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</si>
  <si>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</si>
  <si>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</si>
  <si>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</si>
  <si>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</si>
  <si>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</si>
  <si>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</si>
  <si>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</si>
  <si>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</si>
  <si>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</si>
  <si>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</si>
  <si>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</si>
  <si>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</si>
  <si>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</si>
  <si>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</si>
  <si>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</si>
  <si>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</si>
  <si>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</si>
  <si>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</si>
  <si>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</si>
  <si>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</si>
  <si>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</si>
  <si>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</si>
  <si>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</si>
  <si>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</si>
  <si>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</si>
  <si>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</si>
  <si>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</si>
  <si>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</si>
  <si>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</si>
  <si>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</si>
  <si>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</si>
  <si>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</si>
  <si>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</si>
  <si>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</si>
  <si>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</si>
  <si>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</si>
  <si>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</si>
  <si>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</si>
  <si>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</si>
  <si>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</si>
  <si>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</si>
  <si>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</si>
  <si>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</si>
  <si>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</si>
  <si>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</si>
  <si>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</si>
  <si>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</si>
  <si>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</si>
  <si>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</si>
  <si>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</si>
  <si>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</si>
  <si>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</si>
  <si>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</si>
  <si>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</si>
  <si>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</si>
  <si>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</si>
  <si>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</si>
  <si>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</si>
  <si>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</si>
  <si>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</si>
  <si>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</si>
  <si>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</si>
  <si>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</si>
  <si>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</si>
  <si>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</si>
  <si>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</si>
  <si>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</si>
  <si>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</si>
  <si>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</si>
  <si>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</si>
  <si>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</si>
  <si>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</si>
  <si>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</si>
  <si>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</si>
  <si>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</si>
  <si>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</si>
  <si>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</si>
  <si>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</si>
  <si>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</si>
  <si>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</si>
  <si>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</si>
  <si>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</si>
  <si>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</si>
  <si>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</si>
  <si>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</si>
  <si>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</si>
  <si>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</si>
  <si>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</si>
  <si>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</si>
  <si>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</si>
  <si>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</si>
  <si>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</si>
  <si>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</si>
  <si>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</si>
  <si>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</si>
  <si>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</si>
  <si>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</si>
  <si>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</si>
  <si>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</si>
  <si>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</si>
  <si>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</si>
  <si>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</si>
  <si>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</si>
  <si>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</si>
  <si>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</si>
  <si>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</si>
  <si>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</si>
  <si>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</si>
  <si>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</si>
  <si>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</si>
  <si>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</si>
  <si>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</si>
  <si>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</si>
  <si>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</si>
  <si>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</si>
  <si>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</si>
  <si>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</si>
  <si>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</si>
  <si>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</si>
  <si>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</si>
  <si>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</si>
  <si>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</si>
  <si>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</si>
  <si>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</si>
  <si>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</si>
  <si>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</si>
  <si>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</si>
  <si>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</si>
  <si>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</si>
  <si>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</si>
  <si>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</si>
  <si>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</si>
  <si>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</si>
  <si>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</si>
  <si>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</si>
  <si>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</si>
  <si>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</si>
  <si>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</si>
  <si>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</si>
  <si>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</si>
  <si>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</si>
  <si>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</si>
  <si>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</si>
  <si>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</si>
  <si>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</si>
  <si>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</si>
  <si>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</si>
  <si>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</si>
  <si>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</si>
  <si>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</si>
  <si>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</si>
  <si>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</si>
  <si>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</si>
  <si>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</si>
  <si>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</si>
  <si>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</si>
  <si>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</si>
  <si>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</si>
  <si>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</si>
  <si>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</si>
  <si>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</si>
  <si>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</si>
  <si>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</si>
  <si>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</si>
  <si>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</si>
  <si>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</si>
  <si>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</si>
  <si>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</si>
  <si>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</si>
  <si>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</si>
  <si>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</si>
  <si>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</si>
  <si>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</si>
  <si>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</si>
  <si>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</si>
  <si>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</si>
  <si>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</si>
  <si>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</si>
  <si>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</si>
  <si>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</si>
  <si>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</si>
  <si>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</si>
  <si>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</si>
  <si>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</si>
  <si>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</si>
  <si>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</si>
  <si>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</si>
  <si>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</si>
  <si>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</si>
  <si>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</si>
  <si>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</si>
  <si>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</si>
  <si>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</si>
  <si>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</si>
  <si>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</si>
  <si>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</si>
  <si>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</si>
  <si>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</si>
  <si>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</si>
  <si>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</si>
  <si>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</si>
  <si>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</si>
  <si>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</si>
  <si>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</si>
  <si>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</si>
  <si>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</si>
  <si>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</si>
  <si>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</si>
  <si>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</si>
  <si>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</si>
  <si>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</si>
  <si>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</si>
  <si>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</si>
  <si>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</si>
  <si>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</si>
  <si>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</si>
  <si>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</si>
  <si>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</si>
  <si>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</si>
  <si>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</si>
  <si>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</si>
  <si>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</si>
  <si>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</si>
  <si>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</si>
  <si>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</si>
  <si>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</si>
  <si>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</si>
  <si>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</si>
  <si>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</si>
  <si>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</si>
  <si>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</si>
  <si>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</si>
  <si>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</si>
  <si>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</si>
  <si>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</si>
  <si>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</si>
  <si>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</si>
  <si>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</si>
  <si>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</si>
  <si>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</si>
  <si>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</si>
  <si>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</si>
  <si>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</si>
  <si>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</si>
  <si>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</si>
  <si>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</si>
  <si>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</si>
  <si>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</si>
  <si>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</si>
  <si>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</si>
  <si>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</si>
  <si>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</si>
  <si>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</si>
  <si>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</si>
  <si>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</si>
  <si>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</si>
  <si>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</si>
  <si>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</si>
  <si>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</si>
  <si>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</si>
  <si>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</si>
  <si>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</si>
  <si>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</si>
  <si>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</si>
  <si>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</si>
  <si>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</si>
  <si>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</si>
  <si>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</si>
  <si>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</si>
  <si>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</si>
  <si>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</si>
  <si>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</si>
  <si>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</si>
  <si>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</si>
  <si>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</si>
  <si>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</si>
  <si>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</si>
  <si>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</si>
  <si>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</si>
  <si>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</si>
  <si>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</si>
  <si>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</si>
  <si>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</si>
  <si>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</si>
  <si>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</si>
  <si>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</si>
  <si>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</si>
  <si>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</si>
  <si>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</si>
  <si>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</si>
  <si>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</si>
  <si>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</si>
  <si>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</si>
  <si>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</si>
  <si>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</si>
  <si>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</si>
  <si>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</si>
  <si>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</si>
  <si>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</si>
  <si>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</si>
  <si>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</si>
  <si>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</si>
  <si>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</si>
  <si>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</si>
  <si>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</si>
  <si>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</si>
  <si>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</si>
  <si>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</si>
  <si>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</si>
  <si>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</si>
  <si>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</si>
  <si>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</si>
  <si>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</si>
  <si>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</si>
  <si>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</si>
  <si>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</si>
  <si>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</si>
  <si>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</si>
  <si>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</si>
  <si>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</si>
  <si>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</si>
  <si>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</si>
  <si>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</si>
  <si>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</si>
  <si>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</si>
  <si>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</si>
  <si>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</si>
  <si>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</si>
  <si>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</si>
  <si>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</si>
  <si>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</si>
  <si>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</si>
  <si>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</si>
  <si>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</si>
  <si>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</si>
  <si>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</si>
  <si>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</si>
  <si>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</si>
  <si>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</si>
  <si>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</si>
  <si>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</si>
  <si>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</si>
  <si>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</si>
  <si>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</si>
  <si>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</si>
  <si>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</si>
  <si>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</si>
  <si>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</si>
  <si>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</si>
  <si>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</si>
  <si>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</si>
  <si>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</si>
  <si>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</si>
  <si>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</si>
  <si>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</si>
  <si>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</si>
  <si>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</si>
  <si>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</si>
  <si>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</si>
  <si>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</si>
  <si>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</si>
  <si>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</si>
  <si>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</si>
  <si>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</si>
  <si>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</si>
  <si>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</si>
  <si>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</si>
  <si>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</si>
  <si>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</si>
  <si>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</si>
  <si>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</si>
  <si>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</si>
  <si>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</si>
  <si>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</si>
  <si>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</si>
  <si>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</si>
  <si>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</si>
  <si>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</si>
  <si>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</si>
  <si>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</si>
  <si>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</si>
  <si>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</si>
  <si>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</si>
  <si>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</si>
  <si>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</si>
  <si>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</si>
  <si>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</si>
  <si>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</si>
  <si>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</si>
  <si>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</si>
  <si>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</si>
  <si>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</si>
  <si>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</si>
  <si>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</si>
  <si>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</si>
  <si>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</si>
  <si>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</si>
  <si>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</si>
  <si>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</si>
  <si>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</si>
  <si>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</si>
  <si>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</si>
  <si>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</si>
  <si>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</si>
  <si>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</si>
  <si>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</si>
  <si>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</si>
  <si>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</si>
  <si>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</si>
  <si>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</si>
  <si>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</si>
  <si>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</si>
  <si>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</si>
  <si>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</si>
  <si>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</si>
  <si>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</si>
  <si>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</si>
  <si>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</si>
  <si>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</si>
  <si>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</si>
  <si>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</si>
  <si>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</si>
  <si>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</si>
  <si>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</si>
  <si>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</si>
  <si>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</si>
  <si>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</si>
  <si>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</si>
  <si>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</si>
  <si>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</si>
  <si>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</si>
  <si>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</si>
  <si>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</si>
  <si>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</si>
  <si>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</si>
  <si>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</si>
  <si>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</si>
  <si>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</si>
  <si>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</si>
  <si>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</si>
  <si>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</si>
  <si>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</si>
  <si>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</si>
  <si>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</si>
  <si>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</si>
  <si>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</si>
  <si>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</si>
  <si>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</si>
  <si>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</si>
  <si>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</si>
  <si>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</si>
  <si>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</si>
  <si>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</si>
  <si>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</si>
  <si>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</si>
  <si>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</si>
  <si>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</si>
  <si>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</si>
  <si>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</si>
  <si>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</si>
  <si>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</si>
  <si>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</si>
  <si>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</si>
  <si>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</si>
  <si>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</si>
  <si>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</si>
  <si>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</si>
  <si>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</si>
  <si>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</si>
  <si>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</si>
  <si>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</si>
  <si>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</si>
  <si>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</si>
  <si>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</si>
  <si>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</si>
  <si>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</si>
  <si>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</si>
  <si>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</si>
  <si>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</si>
  <si>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</si>
  <si>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</si>
  <si>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</si>
  <si>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</si>
  <si>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</si>
  <si>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</si>
  <si>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</si>
  <si>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</si>
  <si>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</si>
  <si>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</si>
  <si>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</si>
  <si>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</si>
  <si>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</si>
  <si>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</si>
  <si>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</si>
  <si>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</si>
  <si>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</si>
  <si>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</si>
  <si>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</si>
  <si>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</si>
  <si>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</si>
  <si>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</si>
  <si>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</si>
  <si>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</si>
  <si>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</si>
  <si>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</si>
  <si>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</si>
  <si>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</si>
  <si>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</si>
  <si>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</si>
  <si>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</si>
  <si>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</si>
  <si>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</si>
  <si>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</si>
  <si>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</si>
  <si>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</si>
  <si>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</si>
  <si>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</si>
  <si>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</si>
  <si>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</si>
  <si>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</si>
  <si>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</si>
  <si>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</si>
  <si>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</si>
  <si>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</si>
  <si>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</si>
  <si>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</si>
  <si>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</si>
  <si>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</si>
  <si>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</si>
  <si>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</si>
  <si>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</si>
  <si>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</si>
  <si>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</si>
  <si>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</si>
  <si>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</si>
  <si>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</si>
  <si>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</si>
  <si>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</si>
  <si>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</si>
  <si>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</si>
  <si>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</si>
  <si>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</si>
  <si>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</si>
  <si>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</si>
  <si>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</si>
  <si>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</si>
  <si>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</si>
  <si>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</si>
  <si>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</si>
  <si>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</si>
  <si>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</si>
  <si>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</si>
  <si>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</si>
  <si>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</si>
  <si>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</si>
  <si>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</si>
  <si>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</si>
  <si>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</si>
  <si>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</si>
  <si>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</si>
  <si>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</si>
  <si>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</si>
  <si>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</si>
  <si>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</si>
  <si>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</si>
  <si>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</si>
  <si>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</si>
  <si>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</si>
  <si>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</si>
  <si>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</si>
  <si>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</si>
  <si>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</si>
  <si>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</si>
  <si>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</si>
  <si>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</si>
  <si>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</si>
  <si>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</si>
  <si>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</si>
  <si>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</si>
  <si>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</si>
  <si>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</si>
  <si>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</si>
  <si>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</si>
  <si>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</si>
  <si>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</si>
  <si>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</si>
  <si>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</si>
  <si>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</si>
  <si>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</si>
  <si>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</si>
  <si>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</si>
  <si>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</si>
  <si>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</si>
  <si>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</si>
  <si>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</si>
  <si>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</si>
  <si>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</si>
  <si>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</si>
  <si>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</si>
  <si>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</si>
  <si>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</si>
  <si>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</si>
  <si>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</si>
  <si>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</si>
  <si>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</si>
  <si>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</si>
  <si>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</si>
  <si>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</si>
  <si>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</si>
  <si>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</si>
  <si>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</si>
  <si>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</si>
  <si>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</si>
  <si>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</si>
  <si>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</si>
  <si>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</si>
  <si>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</si>
  <si>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</si>
  <si>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</si>
  <si>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</si>
  <si>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</si>
  <si>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</si>
  <si>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</si>
  <si>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</si>
  <si>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</si>
  <si>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</si>
  <si>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</si>
  <si>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</si>
  <si>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</si>
  <si>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</si>
  <si>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</si>
  <si>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</si>
  <si>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</si>
  <si>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</si>
  <si>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</si>
  <si>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</si>
  <si>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</si>
  <si>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</si>
  <si>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</si>
  <si>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</si>
  <si>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</si>
  <si>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</si>
  <si>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</si>
  <si>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</si>
  <si>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</si>
  <si>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</si>
  <si>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</si>
  <si>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</si>
  <si>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</si>
  <si>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</si>
  <si>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</si>
  <si>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</si>
  <si>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</si>
  <si>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</si>
  <si>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</si>
  <si>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</si>
  <si>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</si>
  <si>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</si>
  <si>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</si>
  <si>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</si>
  <si>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</si>
  <si>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</si>
  <si>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</si>
  <si>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</si>
  <si>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</si>
  <si>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</si>
  <si>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</si>
  <si>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</si>
  <si>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</si>
  <si>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</si>
  <si>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</si>
  <si>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</si>
  <si>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</si>
  <si>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</si>
  <si>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</si>
  <si>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</si>
  <si>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</si>
  <si>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</si>
  <si>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</si>
  <si>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</si>
  <si>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</si>
  <si>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</si>
  <si>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</si>
  <si>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</si>
  <si>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</si>
  <si>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</si>
  <si>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</si>
  <si>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</si>
  <si>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</si>
  <si>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</si>
  <si>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</si>
  <si>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</si>
  <si>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</si>
  <si>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</si>
  <si>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</si>
  <si>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</si>
  <si>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</si>
  <si>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</si>
  <si>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</si>
  <si>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</si>
  <si>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</si>
  <si>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</si>
  <si>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</si>
  <si>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</si>
  <si>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</si>
  <si>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</si>
  <si>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</si>
  <si>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</si>
  <si>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</si>
  <si>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</si>
  <si>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</si>
  <si>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</si>
  <si>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</si>
  <si>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</si>
  <si>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</si>
  <si>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</si>
  <si>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</si>
  <si>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</si>
  <si>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</si>
  <si>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</si>
  <si>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</si>
  <si>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</si>
  <si>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</si>
  <si>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</si>
  <si>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</si>
  <si>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</si>
  <si>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</si>
  <si>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</si>
  <si>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</si>
  <si>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</si>
  <si>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</si>
  <si>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</si>
  <si>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</si>
  <si>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</si>
  <si>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</si>
  <si>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</si>
  <si>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</si>
  <si>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</si>
  <si>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</si>
  <si>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</si>
  <si>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</si>
  <si>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</si>
  <si>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</si>
  <si>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</si>
  <si>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</si>
  <si>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</si>
  <si>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</si>
  <si>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</si>
  <si>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</si>
  <si>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</si>
  <si>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</si>
  <si>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</si>
  <si>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</si>
  <si>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</si>
  <si>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</si>
  <si>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</si>
  <si>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</si>
  <si>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</si>
  <si>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</si>
  <si>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</si>
  <si>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</si>
  <si>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</si>
  <si>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</si>
  <si>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</si>
  <si>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</si>
  <si>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</si>
  <si>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</si>
  <si>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</si>
  <si>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</si>
  <si>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</si>
  <si>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</si>
  <si>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</si>
  <si>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</si>
  <si>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</si>
  <si>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</si>
  <si>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</si>
  <si>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</si>
  <si>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</si>
  <si>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</si>
  <si>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</si>
  <si>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</si>
  <si>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</si>
  <si>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</si>
  <si>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</si>
  <si>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</si>
  <si>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</si>
  <si>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</si>
  <si>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</si>
  <si>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</si>
  <si>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</si>
  <si>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</si>
  <si>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</si>
  <si>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</si>
  <si>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</si>
  <si>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</si>
  <si>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</si>
  <si>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</si>
  <si>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</si>
  <si>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</si>
  <si>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</si>
  <si>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</si>
  <si>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</si>
  <si>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</si>
  <si>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</si>
  <si>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</si>
  <si>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</si>
  <si>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</si>
  <si>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</si>
  <si>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</si>
  <si>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</si>
  <si>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</si>
  <si>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</si>
  <si>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</si>
  <si>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</si>
  <si>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</si>
  <si>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</si>
  <si>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</si>
  <si>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</si>
  <si>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</si>
  <si>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</si>
  <si>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</si>
  <si>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</si>
  <si>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</si>
  <si>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</si>
  <si>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</si>
  <si>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</si>
  <si>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</si>
  <si>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</si>
  <si>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</si>
  <si>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</si>
  <si>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</si>
  <si>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</si>
  <si>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</si>
  <si>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</si>
  <si>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</si>
  <si>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</si>
  <si>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</si>
  <si>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</si>
  <si>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</si>
  <si>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</si>
  <si>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</si>
  <si>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</si>
  <si>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</si>
  <si>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</si>
  <si>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</si>
  <si>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</si>
  <si>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</si>
  <si>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</si>
  <si>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</si>
  <si>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</si>
  <si>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</si>
  <si>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</si>
  <si>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</si>
  <si>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</si>
  <si>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</si>
  <si>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</si>
  <si>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</si>
  <si>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</si>
  <si>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</si>
  <si>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</si>
  <si>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</si>
  <si>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</si>
  <si>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</si>
  <si>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</si>
  <si>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</si>
  <si>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</si>
  <si>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</si>
  <si>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</si>
  <si>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</si>
  <si>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</si>
  <si>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</si>
  <si>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</si>
  <si>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</si>
  <si>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</si>
  <si>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</si>
  <si>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</si>
  <si>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</si>
  <si>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</si>
  <si>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</si>
  <si>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</si>
  <si>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</si>
  <si>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</si>
  <si>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</si>
  <si>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</si>
  <si>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</si>
  <si>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</si>
  <si>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</si>
  <si>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</si>
  <si>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</si>
  <si>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</si>
  <si>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</si>
  <si>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</si>
  <si>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</si>
  <si>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</si>
  <si>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</si>
  <si>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</si>
  <si>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</si>
  <si>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</si>
  <si>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</si>
  <si>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</si>
  <si>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</si>
  <si>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</si>
  <si>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</si>
  <si>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</si>
  <si>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</si>
  <si>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</si>
  <si>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</si>
  <si>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</si>
  <si>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</si>
  <si>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</si>
  <si>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</si>
  <si>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</si>
  <si>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</si>
  <si>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</si>
  <si>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</si>
  <si>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</si>
  <si>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</si>
  <si>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</si>
  <si>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</si>
  <si>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</si>
  <si>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</si>
  <si>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</si>
  <si>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</si>
  <si>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</si>
  <si>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</si>
  <si>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</si>
  <si>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</si>
  <si>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</si>
  <si>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</si>
  <si>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</si>
  <si>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</si>
  <si>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</si>
  <si>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</si>
  <si>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</si>
  <si>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</si>
  <si>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</si>
  <si>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</si>
  <si>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</si>
  <si>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</si>
  <si>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</si>
  <si>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</si>
  <si>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</si>
  <si>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</si>
  <si>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</si>
  <si>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</si>
  <si>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</si>
  <si>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</si>
  <si>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</si>
  <si>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</si>
  <si>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</si>
  <si>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</si>
  <si>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</si>
  <si>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</si>
  <si>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</si>
  <si>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</si>
  <si>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</si>
  <si>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</si>
  <si>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</si>
  <si>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</si>
  <si>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</si>
  <si>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</si>
  <si>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</si>
  <si>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</si>
  <si>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</si>
  <si>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</si>
  <si>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</si>
  <si>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</si>
  <si>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</si>
  <si>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</si>
  <si>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</si>
  <si>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</si>
  <si>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</si>
  <si>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</si>
  <si>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</si>
  <si>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</si>
  <si>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</si>
  <si>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</si>
  <si>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</si>
  <si>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</si>
  <si>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</si>
  <si>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</si>
  <si>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</si>
  <si>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</si>
  <si>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</si>
  <si>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</si>
  <si>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</si>
  <si>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</si>
  <si>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</si>
  <si>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</si>
  <si>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</si>
  <si>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</si>
  <si>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</si>
  <si>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</si>
  <si>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</si>
  <si>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</si>
  <si>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</si>
  <si>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</si>
  <si>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</si>
  <si>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</si>
  <si>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</si>
  <si>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</si>
  <si>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</si>
  <si>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</si>
  <si>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</si>
  <si>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</si>
  <si>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</si>
  <si>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</si>
  <si>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</si>
  <si>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</si>
  <si>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</si>
  <si>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</si>
  <si>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</si>
  <si>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</si>
  <si>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</si>
  <si>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</si>
  <si>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</si>
  <si>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</si>
  <si>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</si>
  <si>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</si>
  <si>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</si>
  <si>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</si>
  <si>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</si>
  <si>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</si>
  <si>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</si>
  <si>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</si>
  <si>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</si>
  <si>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</si>
  <si>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</si>
  <si>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</si>
  <si>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</si>
  <si>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</si>
  <si>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</si>
  <si>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</si>
  <si>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</si>
  <si>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</si>
  <si>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</si>
  <si>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</si>
  <si>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</si>
  <si>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</si>
  <si>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</si>
  <si>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</si>
  <si>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</si>
  <si>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</si>
  <si>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</si>
  <si>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</si>
  <si>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</si>
  <si>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</si>
  <si>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</si>
  <si>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</si>
  <si>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</si>
  <si>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</si>
  <si>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</si>
  <si>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</si>
  <si>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</si>
  <si>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</si>
  <si>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</si>
  <si>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</si>
  <si>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</si>
  <si>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</si>
  <si>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</si>
  <si>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</si>
  <si>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</si>
  <si>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</si>
  <si>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</si>
  <si>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</si>
  <si>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</si>
  <si>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</si>
  <si>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</si>
  <si>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</si>
  <si>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</si>
  <si>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</si>
  <si>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</si>
  <si>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</si>
  <si>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</si>
  <si>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</si>
  <si>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</si>
  <si>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</si>
  <si>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</si>
  <si>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</si>
  <si>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</si>
  <si>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</si>
  <si>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</si>
  <si>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</si>
  <si>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</si>
  <si>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</si>
  <si>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</si>
  <si>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</si>
  <si>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</si>
  <si>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</si>
  <si>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</si>
  <si>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</si>
  <si>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</si>
  <si>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</si>
  <si>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</si>
  <si>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</si>
  <si>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</si>
  <si>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</si>
  <si>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</si>
  <si>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</si>
  <si>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</si>
  <si>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</si>
  <si>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</si>
  <si>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</si>
  <si>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</si>
  <si>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</si>
  <si>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</si>
  <si>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</si>
  <si>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</si>
  <si>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</si>
  <si>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</si>
  <si>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</si>
  <si>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</si>
  <si>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</si>
  <si>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</si>
  <si>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</si>
  <si>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</si>
  <si>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</si>
  <si>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</si>
  <si>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</si>
  <si>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</si>
  <si>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</si>
  <si>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</si>
  <si>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</si>
  <si>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</si>
  <si>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</si>
  <si>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</si>
  <si>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</si>
  <si>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</si>
  <si>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</si>
  <si>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</si>
  <si>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</si>
  <si>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</si>
  <si>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</si>
  <si>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</si>
  <si>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</si>
  <si>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</si>
  <si>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</si>
  <si>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</si>
  <si>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</si>
  <si>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</si>
  <si>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</si>
  <si>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</si>
  <si>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</si>
  <si>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</si>
  <si>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</si>
  <si>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</si>
  <si>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</si>
  <si>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</si>
  <si>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</si>
  <si>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</si>
  <si>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</si>
  <si>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</si>
  <si>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</si>
  <si>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</si>
  <si>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</si>
  <si>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</si>
  <si>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</si>
  <si>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</si>
  <si>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</si>
  <si>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</si>
  <si>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</si>
  <si>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</si>
  <si>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</si>
  <si>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</si>
  <si>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</si>
  <si>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</si>
  <si>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</si>
  <si>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</si>
  <si>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</si>
  <si>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</si>
  <si>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</si>
  <si>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</si>
  <si>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</si>
  <si>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</si>
  <si>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</si>
  <si>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</si>
  <si>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</si>
  <si>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</si>
  <si>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</si>
  <si>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</si>
  <si>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</si>
  <si>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</si>
  <si>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</si>
  <si>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</si>
  <si>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</si>
  <si>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</si>
  <si>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</si>
  <si>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</si>
  <si>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</si>
  <si>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</si>
  <si>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</si>
  <si>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</si>
  <si>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</si>
  <si>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</si>
  <si>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</si>
  <si>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</si>
  <si>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</si>
  <si>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</si>
  <si>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</si>
  <si>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</si>
  <si>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</si>
  <si>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</si>
  <si>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</si>
  <si>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</si>
  <si>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</si>
  <si>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</si>
  <si>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</si>
  <si>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</si>
  <si>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</si>
  <si>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</si>
  <si>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</si>
  <si>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</si>
  <si>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</si>
  <si>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</si>
  <si>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</si>
  <si>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</si>
  <si>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</si>
  <si>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</si>
  <si>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</si>
  <si>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</si>
  <si>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</si>
  <si>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</si>
  <si>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</si>
  <si>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</si>
  <si>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</si>
  <si>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</si>
  <si>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</si>
  <si>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</si>
  <si>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</si>
  <si>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</si>
  <si>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</si>
  <si>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</si>
  <si>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</si>
  <si>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</si>
  <si>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</si>
  <si>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</si>
  <si>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</si>
  <si>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</si>
  <si>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</si>
  <si>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</si>
  <si>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</si>
  <si>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</si>
  <si>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</si>
  <si>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</si>
  <si>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</si>
  <si>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</si>
  <si>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</si>
  <si>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</si>
  <si>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</si>
  <si>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</si>
  <si>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</si>
  <si>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</si>
  <si>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</si>
  <si>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</si>
  <si>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</si>
  <si>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</si>
  <si>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</si>
  <si>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</si>
  <si>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</si>
  <si>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</si>
  <si>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</si>
  <si>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</si>
  <si>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</si>
  <si>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</si>
  <si>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</si>
  <si>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</si>
  <si>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</si>
  <si>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</si>
  <si>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</si>
  <si>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</si>
  <si>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</si>
  <si>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</si>
  <si>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</si>
  <si>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</si>
  <si>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</si>
  <si>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</si>
  <si>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</si>
  <si>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</si>
  <si>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</si>
  <si>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</si>
  <si>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</si>
  <si>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</si>
  <si>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</si>
  <si>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</si>
  <si>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</si>
  <si>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</si>
  <si>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</si>
  <si>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</si>
  <si>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</si>
  <si>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</si>
  <si>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</si>
  <si>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</si>
  <si>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</si>
  <si>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</si>
  <si>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</si>
  <si>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</si>
  <si>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</si>
  <si>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</si>
  <si>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</si>
  <si>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</si>
  <si>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</si>
  <si>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</si>
  <si>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</si>
  <si>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</si>
  <si>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</si>
  <si>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</si>
  <si>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</si>
  <si>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</si>
  <si>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</si>
  <si>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</si>
  <si>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</si>
  <si>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</si>
  <si>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</si>
  <si>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</si>
  <si>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</si>
  <si>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</si>
  <si>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</si>
  <si>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</si>
  <si>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</si>
  <si>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</si>
  <si>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</si>
  <si>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</si>
  <si>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</si>
  <si>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</si>
  <si>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</si>
  <si>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</si>
  <si>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</si>
  <si>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</si>
  <si>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</si>
  <si>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</si>
  <si>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</si>
  <si>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</si>
  <si>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</si>
  <si>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</si>
  <si>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</si>
  <si>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</si>
  <si>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</si>
  <si>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</si>
  <si>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</si>
  <si>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</si>
  <si>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</si>
  <si>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</si>
  <si>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</si>
  <si>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</si>
  <si>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</si>
  <si>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</si>
  <si>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</si>
  <si>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</si>
  <si>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</si>
  <si>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</si>
  <si>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</si>
  <si>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</si>
  <si>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</si>
  <si>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</si>
  <si>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</si>
  <si>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</si>
  <si>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</si>
  <si>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</si>
  <si>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</si>
  <si>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</si>
  <si>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</si>
  <si>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</si>
  <si>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</si>
  <si>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</si>
  <si>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</si>
  <si>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</si>
  <si>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</si>
  <si>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</si>
  <si>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</si>
  <si>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</si>
  <si>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</si>
  <si>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</si>
  <si>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</si>
  <si>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</si>
  <si>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</si>
  <si>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</si>
  <si>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</si>
  <si>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</si>
  <si>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</si>
  <si>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</si>
  <si>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</si>
  <si>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</si>
  <si>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</si>
  <si>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</si>
  <si>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</si>
  <si>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</si>
  <si>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</si>
  <si>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</si>
  <si>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</si>
  <si>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</si>
  <si>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</si>
  <si>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</si>
  <si>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</si>
  <si>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</si>
  <si>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</si>
  <si>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</si>
  <si>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</si>
  <si>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</si>
  <si>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</si>
  <si>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</si>
  <si>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</si>
  <si>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</si>
  <si>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</si>
  <si>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</si>
  <si>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</si>
  <si>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</si>
  <si>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</si>
  <si>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</si>
  <si>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</si>
  <si>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</si>
  <si>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</si>
  <si>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</si>
  <si>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</si>
  <si>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</si>
  <si>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</si>
  <si>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</si>
  <si>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</si>
  <si>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</si>
  <si>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</si>
  <si>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</si>
  <si>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</si>
  <si>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</si>
  <si>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</si>
  <si>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</si>
  <si>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</si>
  <si>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</si>
  <si>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</si>
  <si>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</si>
  <si>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</si>
  <si>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</si>
  <si>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</si>
  <si>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</si>
  <si>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</si>
  <si>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</si>
  <si>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</si>
  <si>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</si>
  <si>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</si>
  <si>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</si>
  <si>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</si>
  <si>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</si>
  <si>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</si>
  <si>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</si>
  <si>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</si>
  <si>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</si>
  <si>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</si>
  <si>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</si>
  <si>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</si>
  <si>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</si>
  <si>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</si>
  <si>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</si>
  <si>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</si>
  <si>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</si>
  <si>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</si>
  <si>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</si>
  <si>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</si>
  <si>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</si>
  <si>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</si>
  <si>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</si>
  <si>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</si>
  <si>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</si>
  <si>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</si>
  <si>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</si>
  <si>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</si>
  <si>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</si>
  <si>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</si>
  <si>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</si>
  <si>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</si>
  <si>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</si>
  <si>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</si>
  <si>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</si>
  <si>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</si>
  <si>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</si>
  <si>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</si>
  <si>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</si>
  <si>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</si>
  <si>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</si>
  <si>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</si>
  <si>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</si>
  <si>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</si>
  <si>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</si>
  <si>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</si>
  <si>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</si>
  <si>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</si>
  <si>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</si>
  <si>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</si>
  <si>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</si>
  <si>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</si>
  <si>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</si>
  <si>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</si>
  <si>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</si>
  <si>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</si>
  <si>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</si>
  <si>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</si>
  <si>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</si>
  <si>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</si>
  <si>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</si>
  <si>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</si>
  <si>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</si>
  <si>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</si>
  <si>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</si>
  <si>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</si>
  <si>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</si>
  <si>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</si>
  <si>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</si>
  <si>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</si>
  <si>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</si>
  <si>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</si>
  <si>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</si>
  <si>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</si>
  <si>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</si>
  <si>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</si>
  <si>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</si>
  <si>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</si>
  <si>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</si>
  <si>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</si>
  <si>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</si>
  <si>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</si>
  <si>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</si>
  <si>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</si>
  <si>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</si>
  <si>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</si>
  <si>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</si>
  <si>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</si>
  <si>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</si>
  <si>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</si>
  <si>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</si>
  <si>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</si>
  <si>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</si>
  <si>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</si>
  <si>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</si>
  <si>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</si>
  <si>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</si>
  <si>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</si>
  <si>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</si>
  <si>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</si>
  <si>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</si>
  <si>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</si>
  <si>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</si>
  <si>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</si>
  <si>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</si>
  <si>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</si>
  <si>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</si>
  <si>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</si>
  <si>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</si>
  <si>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</si>
  <si>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</si>
  <si>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</si>
  <si>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</si>
  <si>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</si>
  <si>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</si>
  <si>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</si>
  <si>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</si>
  <si>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</si>
  <si>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</si>
  <si>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</si>
  <si>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</si>
  <si>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</si>
  <si>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</si>
  <si>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</si>
  <si>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</si>
  <si>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</si>
  <si>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</si>
  <si>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</si>
  <si>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</si>
  <si>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</si>
  <si>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</si>
  <si>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</si>
  <si>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</si>
  <si>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</si>
  <si>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</si>
  <si>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</si>
  <si>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</si>
  <si>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</si>
  <si>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</si>
  <si>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</si>
  <si>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</si>
  <si>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</si>
  <si>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</si>
  <si>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</si>
  <si>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</si>
  <si>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</si>
  <si>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</si>
  <si>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</si>
  <si>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</si>
  <si>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</si>
  <si>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</si>
  <si>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</si>
  <si>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</si>
  <si>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</si>
  <si>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</si>
  <si>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</si>
  <si>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</si>
  <si>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</si>
  <si>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</si>
  <si>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</si>
  <si>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</si>
  <si>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</si>
  <si>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</si>
  <si>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</si>
  <si>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</si>
  <si>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</si>
  <si>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</si>
  <si>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</si>
  <si>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</si>
  <si>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</si>
  <si>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</si>
  <si>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</si>
  <si>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</si>
  <si>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</si>
  <si>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</si>
  <si>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</si>
  <si>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</si>
  <si>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</si>
  <si>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</si>
  <si>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</si>
  <si>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</si>
  <si>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</si>
  <si>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</si>
  <si>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</si>
  <si>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</si>
  <si>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</si>
  <si>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</si>
  <si>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</si>
  <si>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</si>
  <si>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</si>
  <si>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</si>
  <si>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</si>
  <si>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</si>
  <si>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</si>
  <si>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</si>
  <si>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</si>
  <si>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</si>
  <si>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</si>
  <si>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</si>
  <si>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</si>
  <si>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</si>
  <si>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</si>
  <si>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</si>
  <si>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</si>
  <si>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</si>
  <si>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</si>
  <si>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</si>
  <si>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</si>
  <si>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</si>
  <si>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</si>
  <si>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</si>
  <si>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</si>
  <si>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</si>
  <si>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</si>
  <si>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</si>
  <si>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</si>
  <si>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</si>
  <si>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</si>
  <si>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</si>
  <si>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</si>
  <si>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</si>
  <si>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</si>
  <si>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</si>
  <si>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</si>
  <si>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</si>
  <si>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</si>
  <si>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</si>
  <si>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</si>
  <si>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</si>
  <si>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</si>
  <si>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</si>
  <si>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</si>
  <si>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</si>
  <si>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</si>
  <si>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</si>
  <si>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</si>
  <si>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</si>
  <si>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</si>
  <si>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</si>
  <si>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</si>
  <si>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</si>
  <si>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</si>
  <si>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</si>
  <si>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</si>
  <si>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</si>
  <si>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</si>
  <si>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</si>
  <si>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</si>
  <si>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</si>
  <si>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</si>
  <si>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</si>
  <si>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</si>
  <si>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</si>
  <si>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</si>
  <si>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</si>
  <si>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</si>
  <si>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</si>
  <si>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</si>
  <si>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</si>
  <si>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</si>
  <si>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</si>
  <si>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</si>
  <si>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</si>
  <si>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</si>
  <si>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</si>
  <si>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</si>
  <si>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</si>
  <si>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</si>
  <si>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</si>
  <si>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</si>
  <si>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</si>
  <si>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</si>
  <si>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</si>
  <si>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</si>
  <si>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</si>
  <si>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</si>
  <si>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</si>
  <si>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</si>
  <si>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</si>
  <si>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</si>
  <si>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</si>
  <si>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</si>
  <si>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</si>
  <si>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</si>
  <si>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</si>
  <si>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</si>
  <si>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</si>
  <si>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</si>
  <si>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</si>
  <si>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</si>
  <si>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</si>
  <si>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</si>
  <si>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</si>
  <si>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</si>
  <si>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</si>
  <si>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</si>
  <si>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</si>
  <si>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</si>
  <si>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</si>
  <si>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</si>
  <si>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</si>
  <si>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</si>
  <si>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</si>
  <si>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</si>
  <si>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</si>
  <si>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</si>
  <si>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</si>
  <si>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</si>
  <si>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</si>
  <si>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</si>
  <si>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</si>
  <si>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</si>
  <si>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</si>
  <si>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</si>
  <si>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</si>
  <si>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</si>
  <si>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</si>
  <si>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</si>
  <si>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</si>
  <si>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</si>
  <si>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</si>
  <si>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</si>
  <si>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</si>
  <si>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</si>
  <si>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</si>
  <si>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</si>
  <si>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</si>
  <si>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</si>
  <si>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</si>
  <si>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</si>
  <si>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</si>
  <si>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</si>
  <si>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</si>
  <si>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</si>
  <si>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</si>
  <si>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</si>
  <si>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</si>
  <si>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</si>
  <si>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</si>
  <si>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</si>
  <si>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</si>
  <si>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</si>
  <si>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</si>
  <si>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</si>
  <si>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</si>
  <si>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</si>
  <si>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</si>
  <si>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</si>
  <si>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</si>
  <si>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</si>
  <si>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</si>
  <si>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</si>
  <si>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</si>
  <si>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</si>
  <si>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</si>
  <si>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</si>
  <si>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</si>
  <si>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</si>
  <si>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</si>
  <si>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</si>
  <si>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</si>
  <si>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</si>
  <si>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</si>
  <si>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</si>
  <si>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</si>
  <si>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</si>
  <si>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</si>
  <si>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</si>
  <si>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</si>
  <si>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</si>
  <si>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</si>
  <si>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</si>
  <si>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</si>
  <si>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</si>
  <si>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</si>
  <si>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</si>
  <si>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</si>
  <si>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</si>
  <si>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</si>
  <si>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</si>
  <si>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</si>
  <si>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</si>
  <si>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</si>
  <si>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</si>
  <si>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</si>
  <si>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</si>
  <si>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</si>
  <si>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</si>
  <si>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</si>
  <si>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</si>
  <si>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</si>
  <si>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</si>
  <si>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</si>
  <si>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</si>
  <si>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</si>
  <si>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</si>
  <si>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</si>
  <si>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</si>
  <si>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</si>
  <si>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</si>
  <si>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</si>
  <si>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</si>
  <si>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</si>
  <si>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</si>
  <si>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</si>
  <si>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</si>
  <si>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</si>
  <si>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</si>
  <si>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</si>
  <si>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</si>
  <si>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</si>
  <si>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</si>
  <si>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</si>
  <si>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</si>
  <si>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</si>
  <si>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</si>
  <si>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</si>
  <si>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</si>
  <si>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</si>
  <si>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</si>
  <si>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</si>
  <si>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</si>
  <si>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</si>
  <si>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</si>
  <si>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</si>
  <si>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</si>
  <si>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</si>
  <si>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</si>
  <si>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</si>
  <si>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</si>
  <si>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</si>
  <si>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</si>
  <si>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</si>
  <si>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</si>
  <si>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</si>
  <si>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</si>
  <si>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</si>
  <si>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</si>
  <si>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</si>
  <si>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</si>
  <si>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</si>
  <si>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</si>
  <si>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</si>
  <si>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</si>
  <si>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</si>
  <si>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</si>
  <si>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</si>
  <si>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</si>
  <si>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</si>
  <si>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</si>
  <si>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</si>
  <si>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</si>
  <si>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</si>
  <si>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</si>
  <si>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</si>
  <si>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</si>
  <si>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</si>
  <si>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</si>
  <si>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</si>
  <si>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</si>
  <si>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</si>
  <si>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</si>
  <si>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</si>
  <si>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</si>
  <si>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</si>
  <si>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</si>
  <si>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</si>
  <si>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</si>
  <si>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</si>
  <si>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</si>
  <si>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</si>
  <si>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</si>
  <si>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</si>
  <si>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</si>
  <si>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</si>
  <si>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</si>
  <si>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</si>
  <si>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</si>
  <si>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</si>
  <si>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</si>
  <si>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</si>
  <si>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</si>
  <si>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</si>
  <si>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</si>
  <si>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</si>
  <si>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</si>
  <si>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</si>
  <si>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</si>
  <si>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</si>
  <si>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</si>
  <si>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</si>
  <si>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</si>
  <si>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</si>
  <si>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</si>
  <si>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</si>
  <si>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</si>
  <si>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</si>
  <si>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</si>
  <si>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</si>
  <si>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</si>
  <si>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</si>
  <si>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</si>
  <si>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</si>
  <si>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</si>
  <si>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</si>
  <si>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</si>
  <si>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</si>
  <si>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</si>
  <si>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</si>
  <si>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</si>
  <si>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</si>
  <si>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</si>
  <si>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</si>
  <si>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</si>
  <si>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</si>
  <si>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</si>
  <si>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</si>
  <si>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</si>
  <si>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</si>
  <si>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</si>
  <si>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</si>
  <si>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</si>
  <si>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</si>
  <si>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</si>
  <si>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</si>
  <si>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</si>
  <si>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</si>
  <si>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</si>
  <si>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</si>
  <si>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</si>
  <si>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</si>
  <si>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</si>
  <si>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</si>
  <si>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</si>
  <si>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</si>
  <si>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</si>
  <si>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</si>
  <si>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</si>
  <si>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</si>
  <si>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</si>
  <si>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</si>
  <si>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</si>
  <si>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</si>
  <si>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</si>
  <si>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</si>
  <si>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</si>
  <si>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</si>
  <si>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</si>
  <si>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</si>
  <si>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</si>
  <si>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</si>
  <si>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</si>
  <si>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</si>
  <si>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</si>
  <si>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</si>
  <si>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</si>
  <si>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</si>
  <si>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</si>
  <si>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</si>
  <si>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</si>
  <si>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</si>
  <si>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</si>
  <si>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</si>
  <si>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</si>
  <si>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</si>
  <si>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</si>
  <si>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</si>
  <si>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</si>
  <si>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</si>
  <si>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</si>
  <si>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</si>
  <si>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</si>
  <si>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</si>
  <si>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</si>
  <si>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</si>
  <si>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</si>
  <si>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</si>
  <si>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</si>
  <si>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</si>
  <si>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</si>
  <si>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</si>
  <si>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</si>
  <si>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</si>
  <si>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</si>
  <si>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</si>
  <si>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</si>
  <si>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</si>
  <si>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</si>
  <si>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</si>
  <si>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</si>
  <si>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</si>
  <si>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</si>
  <si>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</si>
  <si>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</si>
  <si>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</si>
  <si>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</si>
  <si>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</si>
  <si>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</si>
  <si>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</si>
  <si>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</si>
  <si>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</si>
  <si>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</si>
  <si>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</si>
  <si>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</si>
  <si>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</si>
  <si>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</si>
  <si>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</si>
  <si>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</si>
  <si>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</si>
  <si>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</si>
  <si>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</si>
  <si>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</si>
  <si>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</si>
  <si>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</si>
  <si>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</si>
  <si>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</si>
  <si>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</si>
  <si>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</si>
  <si>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</si>
  <si>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</si>
  <si>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</si>
  <si>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</si>
  <si>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</si>
  <si>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</si>
  <si>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</si>
  <si>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</si>
  <si>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</si>
  <si>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</si>
  <si>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</si>
  <si>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</si>
  <si>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</si>
  <si>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</si>
  <si>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</si>
  <si>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</si>
  <si>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</si>
  <si>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</si>
  <si>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</si>
  <si>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</si>
  <si>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</si>
  <si>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</si>
  <si>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</si>
  <si>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</si>
  <si>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</si>
  <si>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</si>
  <si>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</si>
  <si>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</si>
  <si>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</si>
  <si>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</si>
  <si>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</si>
  <si>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</si>
  <si>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</si>
  <si>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</si>
  <si>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</si>
  <si>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</si>
  <si>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</si>
  <si>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</si>
  <si>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</si>
  <si>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</si>
  <si>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</si>
  <si>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</si>
  <si>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</si>
  <si>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</si>
  <si>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</si>
  <si>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</si>
  <si>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</si>
  <si>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</si>
  <si>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</si>
  <si>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</si>
  <si>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</si>
  <si>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</si>
  <si>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</si>
  <si>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</si>
  <si>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</si>
  <si>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</si>
  <si>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</si>
  <si>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</si>
  <si>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</si>
  <si>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</si>
  <si>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</si>
  <si>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</si>
  <si>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</si>
  <si>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</si>
  <si>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</si>
  <si>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</si>
  <si>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</si>
  <si>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</si>
  <si>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</si>
  <si>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</si>
  <si>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</si>
  <si>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</si>
  <si>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</si>
  <si>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</si>
  <si>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</si>
  <si>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</si>
  <si>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</si>
  <si>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</si>
  <si>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</si>
  <si>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</si>
  <si>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</si>
  <si>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</si>
  <si>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</si>
  <si>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</si>
  <si>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</si>
  <si>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</si>
  <si>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</si>
  <si>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</si>
  <si>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</si>
  <si>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</si>
  <si>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</si>
  <si>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</si>
  <si>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</si>
  <si>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</si>
  <si>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</si>
  <si>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</si>
  <si>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</si>
  <si>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</si>
  <si>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</si>
  <si>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</si>
  <si>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</si>
  <si>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</si>
  <si>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</si>
  <si>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</si>
  <si>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</si>
  <si>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</si>
  <si>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</si>
  <si>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</si>
  <si>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</si>
  <si>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</si>
  <si>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</si>
  <si>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</si>
  <si>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</si>
  <si>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</si>
  <si>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</si>
  <si>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</si>
  <si>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</si>
  <si>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</si>
  <si>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</si>
  <si>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</si>
  <si>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</si>
  <si>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</si>
  <si>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</si>
  <si>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</si>
  <si>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</si>
  <si>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</si>
  <si>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</si>
  <si>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</si>
  <si>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</si>
  <si>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</si>
  <si>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</si>
  <si>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</si>
  <si>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</si>
  <si>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</si>
  <si>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</si>
  <si>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</si>
  <si>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</si>
  <si>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</si>
  <si>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</si>
  <si>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</si>
  <si>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</si>
  <si>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</si>
  <si>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</si>
  <si>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</si>
  <si>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</si>
  <si>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</si>
  <si>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</si>
  <si>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</si>
  <si>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</si>
  <si>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</si>
  <si>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</si>
  <si>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</si>
  <si>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</si>
  <si>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</si>
  <si>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</si>
  <si>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</si>
  <si>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</si>
  <si>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</si>
  <si>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</si>
  <si>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</si>
  <si>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</si>
  <si>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</si>
  <si>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</si>
  <si>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</si>
  <si>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</si>
  <si>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</si>
  <si>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</si>
  <si>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</si>
  <si>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</si>
  <si>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</si>
  <si>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</si>
  <si>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</si>
  <si>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</si>
  <si>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</si>
  <si>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</si>
  <si>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</si>
  <si>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</si>
  <si>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</si>
  <si>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</si>
  <si>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</si>
  <si>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</si>
  <si>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</si>
  <si>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</si>
  <si>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</si>
  <si>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</si>
  <si>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</si>
  <si>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</si>
  <si>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</si>
  <si>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</si>
  <si>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</si>
  <si>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</si>
  <si>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</si>
  <si>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</si>
  <si>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</si>
  <si>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</si>
  <si>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</si>
  <si>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</si>
  <si>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</si>
  <si>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</si>
  <si>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</si>
  <si>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</si>
  <si>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</si>
  <si>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</si>
  <si>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</si>
  <si>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</si>
  <si>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</si>
  <si>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</si>
  <si>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</si>
  <si>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</si>
  <si>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</si>
  <si>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</si>
  <si>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</si>
  <si>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</si>
  <si>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</si>
  <si>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</si>
  <si>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</si>
  <si>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</si>
  <si>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</si>
  <si>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</si>
  <si>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</si>
  <si>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</si>
  <si>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</si>
  <si>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</si>
  <si>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</si>
  <si>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</si>
  <si>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</si>
  <si>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</si>
  <si>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</si>
  <si>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</si>
  <si>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</si>
  <si>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</si>
  <si>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</si>
  <si>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</si>
  <si>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</si>
  <si>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</si>
  <si>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</si>
  <si>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</si>
  <si>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</si>
  <si>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</si>
  <si>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</si>
  <si>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</si>
  <si>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</si>
  <si>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</si>
  <si>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</si>
  <si>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</si>
  <si>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</si>
  <si>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</si>
  <si>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</si>
  <si>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</si>
  <si>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</si>
  <si>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</si>
  <si>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</si>
  <si>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</si>
  <si>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</si>
  <si>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</si>
  <si>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</si>
  <si>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</si>
  <si>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</si>
  <si>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</si>
  <si>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</si>
  <si>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</si>
  <si>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</si>
  <si>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</si>
  <si>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</si>
  <si>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</si>
  <si>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</si>
  <si>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</si>
  <si>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</si>
  <si>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</si>
  <si>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</si>
  <si>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</si>
  <si>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</si>
  <si>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</si>
  <si>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</si>
  <si>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</si>
  <si>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</si>
  <si>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</si>
  <si>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</si>
  <si>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</si>
  <si>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</si>
  <si>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</si>
  <si>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</si>
  <si>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</si>
  <si>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</si>
  <si>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</si>
  <si>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</si>
  <si>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</si>
  <si>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</si>
  <si>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</si>
  <si>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</si>
  <si>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</si>
  <si>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</si>
  <si>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</si>
  <si>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</si>
  <si>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</si>
  <si>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</si>
  <si>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</si>
  <si>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</si>
  <si>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</si>
  <si>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</si>
  <si>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</si>
  <si>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</si>
  <si>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</si>
  <si>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</si>
  <si>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</si>
  <si>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</si>
  <si>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</si>
  <si>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</si>
  <si>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</si>
  <si>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</si>
  <si>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</si>
  <si>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</si>
  <si>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</si>
  <si>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</si>
  <si>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</si>
  <si>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</si>
  <si>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</si>
  <si>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</si>
  <si>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</si>
  <si>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</si>
  <si>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</si>
  <si>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</si>
  <si>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</si>
  <si>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</si>
  <si>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</si>
  <si>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</si>
  <si>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</si>
  <si>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</si>
  <si>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</si>
  <si>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</si>
  <si>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</si>
  <si>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</si>
  <si>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</si>
  <si>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</si>
  <si>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</si>
  <si>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</si>
  <si>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</si>
  <si>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</si>
  <si>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</si>
  <si>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</si>
  <si>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</si>
  <si>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</si>
  <si>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</si>
  <si>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</si>
  <si>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</si>
  <si>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</si>
  <si>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</si>
  <si>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</si>
  <si>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</si>
  <si>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</si>
  <si>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</si>
  <si>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</si>
  <si>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</si>
  <si>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</si>
  <si>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</si>
  <si>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</si>
  <si>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</si>
  <si>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</si>
  <si>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</si>
  <si>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</si>
  <si>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</si>
  <si>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</si>
  <si>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</si>
  <si>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</si>
  <si>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</si>
  <si>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</si>
  <si>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</si>
  <si>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</si>
  <si>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</si>
  <si>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</si>
  <si>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</si>
  <si>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</si>
  <si>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</si>
  <si>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</si>
  <si>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</si>
  <si>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</si>
  <si>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</si>
  <si>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</si>
  <si>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</si>
  <si>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</si>
  <si>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</si>
  <si>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</si>
  <si>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</si>
  <si>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</si>
  <si>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</si>
  <si>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</si>
  <si>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</si>
  <si>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</si>
  <si>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</si>
  <si>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</si>
  <si>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</si>
  <si>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</si>
  <si>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</si>
  <si>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</si>
  <si>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</si>
  <si>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</si>
  <si>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</si>
  <si>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</si>
  <si>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</si>
  <si>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</si>
  <si>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</si>
  <si>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</si>
  <si>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</si>
  <si>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</si>
  <si>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</si>
  <si>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</si>
  <si>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</si>
  <si>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</si>
  <si>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</si>
  <si>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</si>
  <si>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</si>
  <si>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</si>
  <si>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</si>
  <si>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</si>
  <si>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</si>
  <si>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</si>
  <si>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</si>
  <si>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</si>
  <si>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</si>
  <si>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</si>
  <si>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</si>
  <si>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</si>
  <si>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</si>
  <si>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</si>
  <si>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</si>
  <si>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</si>
  <si>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</si>
  <si>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</si>
  <si>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</si>
  <si>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</si>
  <si>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</si>
  <si>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</si>
  <si>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</si>
  <si>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</si>
  <si>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</si>
  <si>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</si>
  <si>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</si>
  <si>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</si>
  <si>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</si>
  <si>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</si>
  <si>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</si>
  <si>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</si>
  <si>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</si>
  <si>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</si>
  <si>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</si>
  <si>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</si>
  <si>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</si>
  <si>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</si>
  <si>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</si>
  <si>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</si>
  <si>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</si>
  <si>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</si>
  <si>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</si>
  <si>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</si>
  <si>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</si>
  <si>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</si>
  <si>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</si>
  <si>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</si>
  <si>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</si>
  <si>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</si>
  <si>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</si>
  <si>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</si>
  <si>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</si>
  <si>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</si>
  <si>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</si>
  <si>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</si>
  <si>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</si>
  <si>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</si>
  <si>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</si>
  <si>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</si>
  <si>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</si>
  <si>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</si>
  <si>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</si>
  <si>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</si>
  <si>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</si>
  <si>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</si>
  <si>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</si>
  <si>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</si>
  <si>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</si>
  <si>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</si>
  <si>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</si>
  <si>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</si>
  <si>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</si>
  <si>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</si>
  <si>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</si>
  <si>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</si>
  <si>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</si>
  <si>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</si>
  <si>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</si>
  <si>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</si>
  <si>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</si>
  <si>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</si>
  <si>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</si>
  <si>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</si>
  <si>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</si>
  <si>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</si>
  <si>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</si>
  <si>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</si>
  <si>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</si>
  <si>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</si>
  <si>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</si>
  <si>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</si>
  <si>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</si>
  <si>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</si>
  <si>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</si>
  <si>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</si>
  <si>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</si>
  <si>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</si>
  <si>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</si>
  <si>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</si>
  <si>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</si>
  <si>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</si>
  <si>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</si>
  <si>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</si>
  <si>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</si>
  <si>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</si>
  <si>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</si>
  <si>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</si>
  <si>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</si>
  <si>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</si>
  <si>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</si>
  <si>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</si>
  <si>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</si>
  <si>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</si>
  <si>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</si>
  <si>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</si>
  <si>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</si>
  <si>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</si>
  <si>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</si>
  <si>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</si>
  <si>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</si>
  <si>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</si>
  <si>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</si>
  <si>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</si>
  <si>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</si>
  <si>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</si>
  <si>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</si>
  <si>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</si>
  <si>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</si>
  <si>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</si>
  <si>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</si>
  <si>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</si>
  <si>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</si>
  <si>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</si>
  <si>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</si>
  <si>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</si>
  <si>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</si>
  <si>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</si>
  <si>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</si>
  <si>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</si>
  <si>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</si>
  <si>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</si>
  <si>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</si>
  <si>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</si>
  <si>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</si>
  <si>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</si>
  <si>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</si>
  <si>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</si>
  <si>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</si>
  <si>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</si>
  <si>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</si>
  <si>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</si>
  <si>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</si>
  <si>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</si>
  <si>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</si>
  <si>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</si>
  <si>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</si>
  <si>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</si>
  <si>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</si>
  <si>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</si>
  <si>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</si>
  <si>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</si>
  <si>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</si>
  <si>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</si>
  <si>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</si>
  <si>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</si>
  <si>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</si>
  <si>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</si>
  <si>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</si>
  <si>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</si>
  <si>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</si>
  <si>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</si>
  <si>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</si>
  <si>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</si>
  <si>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</si>
  <si>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</si>
  <si>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</si>
  <si>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</si>
  <si>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</si>
  <si>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</si>
  <si>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</si>
  <si>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</si>
  <si>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</si>
  <si>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</si>
  <si>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</si>
  <si>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</si>
  <si>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</si>
  <si>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</si>
  <si>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</si>
  <si>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</si>
  <si>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</si>
  <si>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</si>
  <si>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</si>
  <si>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</si>
  <si>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</si>
  <si>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</si>
  <si>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</si>
  <si>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</si>
  <si>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</si>
  <si>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</si>
  <si>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</si>
  <si>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</si>
  <si>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</si>
  <si>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</si>
  <si>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</si>
  <si>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</si>
  <si>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</si>
  <si>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</si>
  <si>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</si>
  <si>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</si>
  <si>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</si>
  <si>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</si>
  <si>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</si>
  <si>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</si>
  <si>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</si>
  <si>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</si>
  <si>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</si>
  <si>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</si>
  <si>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</si>
  <si>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</si>
  <si>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</si>
  <si>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</si>
  <si>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</si>
  <si>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</si>
  <si>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</si>
  <si>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</si>
  <si>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</si>
  <si>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</si>
  <si>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</si>
  <si>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</si>
  <si>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</si>
  <si>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</si>
  <si>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</si>
  <si>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</si>
  <si>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</si>
  <si>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</si>
  <si>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</si>
  <si>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</si>
  <si>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</si>
  <si>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</si>
  <si>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</si>
  <si>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</si>
  <si>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</si>
  <si>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</si>
  <si>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</si>
  <si>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</si>
  <si>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</si>
  <si>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</si>
  <si>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</si>
  <si>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</si>
  <si>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</si>
  <si>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</si>
  <si>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</si>
  <si>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</si>
  <si>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</si>
  <si>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</si>
  <si>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</si>
  <si>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</si>
  <si>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</si>
  <si>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</si>
  <si>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</si>
  <si>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</si>
  <si>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</si>
  <si>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</si>
  <si>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</si>
  <si>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</si>
  <si>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</si>
  <si>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</si>
  <si>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</si>
  <si>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</si>
  <si>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</si>
  <si>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</si>
  <si>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</si>
  <si>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</si>
  <si>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</si>
  <si>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</si>
  <si>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</si>
  <si>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</si>
  <si>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</si>
  <si>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</si>
  <si>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</si>
  <si>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</si>
  <si>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</si>
  <si>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</si>
  <si>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</si>
  <si>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</si>
  <si>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</si>
  <si>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</si>
  <si>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</si>
  <si>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</si>
  <si>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</si>
  <si>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</si>
  <si>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</si>
  <si>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</si>
  <si>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</si>
  <si>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</si>
  <si>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</si>
  <si>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</si>
  <si>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</si>
  <si>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</si>
  <si>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</si>
  <si>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</si>
  <si>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</si>
  <si>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</si>
  <si>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</si>
  <si>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</si>
  <si>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</si>
  <si>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</si>
  <si>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</si>
  <si>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</si>
  <si>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</si>
  <si>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</si>
  <si>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</si>
  <si>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</si>
  <si>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</si>
  <si>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</si>
  <si>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</si>
  <si>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</si>
  <si>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</si>
  <si>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</si>
  <si>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</si>
  <si>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</si>
  <si>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</si>
  <si>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</si>
  <si>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</si>
  <si>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</si>
  <si>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</si>
  <si>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</si>
  <si>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</si>
  <si>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</si>
  <si>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</si>
  <si>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</si>
  <si>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</si>
  <si>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</si>
  <si>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</si>
  <si>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</si>
  <si>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</si>
  <si>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</si>
  <si>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</si>
  <si>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</si>
  <si>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</si>
  <si>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</si>
  <si>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</si>
  <si>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</si>
  <si>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</si>
  <si>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</si>
  <si>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</si>
  <si>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</si>
  <si>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</si>
  <si>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</si>
  <si>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</si>
  <si>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</si>
  <si>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</si>
  <si>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</si>
  <si>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</si>
  <si>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</si>
  <si>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</si>
  <si>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</si>
  <si>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</si>
  <si>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</si>
  <si>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</si>
  <si>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</si>
  <si>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</si>
  <si>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</si>
  <si>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</si>
  <si>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</si>
  <si>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</si>
  <si>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</si>
  <si>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</si>
  <si>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</si>
  <si>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</si>
  <si>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</si>
  <si>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</si>
  <si>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</si>
  <si>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</si>
  <si>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</si>
  <si>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</si>
  <si>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</si>
  <si>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</si>
  <si>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</si>
  <si>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</si>
  <si>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</si>
  <si>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</si>
  <si>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</si>
  <si>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</si>
  <si>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</si>
  <si>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</si>
  <si>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</si>
  <si>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</si>
  <si>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</si>
  <si>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</si>
  <si>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</si>
  <si>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</si>
  <si>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</si>
  <si>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</si>
  <si>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</si>
  <si>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</si>
  <si>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</si>
  <si>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</si>
  <si>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</si>
  <si>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</si>
  <si>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</si>
  <si>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</si>
  <si>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</si>
  <si>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</si>
  <si>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</si>
  <si>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</si>
  <si>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</si>
  <si>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</si>
  <si>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</si>
  <si>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</si>
  <si>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</si>
  <si>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</si>
  <si>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</si>
  <si>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</si>
  <si>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</si>
  <si>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</si>
  <si>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</si>
  <si>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</si>
  <si>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</si>
  <si>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</si>
  <si>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</si>
  <si>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</si>
  <si>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</si>
  <si>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</si>
  <si>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</si>
  <si>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</si>
  <si>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</si>
  <si>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</si>
  <si>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</si>
  <si>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</si>
  <si>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</si>
  <si>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</si>
  <si>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</si>
  <si>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</si>
  <si>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</si>
  <si>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</si>
  <si>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</si>
  <si>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</si>
  <si>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</si>
  <si>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</si>
  <si>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</si>
  <si>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</si>
  <si>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</si>
  <si>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</si>
  <si>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</si>
  <si>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</si>
  <si>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</si>
  <si>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</si>
  <si>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</si>
  <si>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</si>
  <si>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</si>
  <si>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</si>
  <si>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</si>
  <si>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</si>
  <si>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</si>
  <si>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</si>
  <si>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</si>
  <si>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</si>
  <si>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</si>
  <si>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</si>
  <si>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</si>
  <si>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</si>
  <si>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</si>
  <si>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</si>
  <si>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</si>
  <si>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</si>
  <si>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</si>
  <si>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</si>
  <si>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</si>
  <si>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</si>
  <si>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</si>
  <si>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</si>
  <si>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</si>
  <si>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</si>
  <si>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</si>
  <si>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</si>
  <si>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</si>
  <si>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</si>
  <si>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</si>
  <si>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</si>
  <si>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</si>
  <si>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</si>
  <si>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</si>
  <si>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</si>
  <si>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</si>
  <si>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</si>
  <si>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</si>
  <si>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</si>
  <si>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</si>
  <si>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</si>
  <si>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</si>
  <si>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</si>
  <si>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</si>
  <si>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</si>
  <si>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</si>
  <si>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</si>
  <si>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</si>
  <si>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</si>
  <si>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</si>
  <si>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</si>
  <si>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</si>
  <si>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</si>
  <si>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</si>
  <si>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</si>
  <si>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</si>
  <si>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</si>
  <si>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</si>
  <si>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</si>
  <si>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</si>
  <si>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</si>
  <si>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</si>
  <si>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</si>
  <si>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</si>
  <si>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</si>
  <si>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</si>
  <si>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</si>
  <si>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</si>
  <si>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</si>
  <si>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</si>
  <si>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</si>
  <si>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</si>
  <si>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</si>
  <si>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</si>
  <si>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</si>
  <si>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</si>
  <si>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</si>
  <si>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</si>
  <si>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</si>
  <si>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</si>
  <si>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</si>
  <si>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</si>
  <si>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</si>
  <si>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</si>
  <si>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</si>
  <si>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</si>
  <si>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</si>
  <si>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</si>
  <si>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</si>
  <si>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</si>
  <si>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</si>
  <si>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</si>
  <si>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</si>
  <si>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</si>
  <si>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</si>
  <si>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</si>
  <si>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</si>
  <si>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</si>
  <si>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</si>
  <si>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</si>
  <si>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</si>
  <si>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</si>
  <si>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</si>
  <si>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</si>
  <si>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</si>
  <si>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</si>
  <si>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</si>
  <si>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</si>
  <si>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</si>
  <si>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</si>
  <si>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</si>
  <si>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</si>
  <si>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</si>
  <si>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</si>
  <si>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</si>
  <si>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</si>
  <si>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</si>
  <si>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</si>
  <si>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</si>
  <si>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</si>
  <si>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</si>
  <si>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</si>
  <si>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</si>
  <si>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</si>
  <si>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</si>
  <si>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</si>
  <si>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</si>
  <si>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</si>
  <si>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</si>
  <si>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</si>
  <si>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</si>
  <si>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</si>
  <si>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</si>
  <si>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</si>
  <si>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</si>
  <si>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</si>
  <si>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</si>
  <si>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</si>
  <si>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</si>
  <si>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</si>
  <si>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</si>
  <si>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</si>
  <si>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</si>
  <si>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</si>
  <si>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</si>
  <si>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</si>
  <si>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</si>
  <si>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</si>
  <si>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</si>
  <si>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</si>
  <si>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</si>
  <si>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</si>
  <si>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</si>
  <si>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</si>
  <si>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</si>
  <si>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</si>
  <si>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</si>
  <si>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</si>
  <si>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</si>
  <si>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</si>
  <si>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</si>
  <si>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</si>
  <si>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</si>
  <si>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</si>
  <si>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</si>
  <si>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</si>
  <si>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</si>
  <si>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</si>
  <si>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</si>
  <si>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</si>
  <si>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</si>
  <si>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</si>
  <si>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</si>
  <si>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</si>
  <si>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</si>
  <si>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</si>
  <si>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</si>
  <si>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</si>
  <si>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</si>
  <si>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</si>
  <si>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</si>
  <si>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</si>
  <si>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</si>
  <si>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</si>
  <si>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</si>
  <si>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</si>
  <si>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</si>
  <si>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</si>
  <si>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</si>
  <si>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</si>
  <si>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</si>
  <si>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</si>
  <si>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</si>
  <si>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</si>
  <si>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</si>
  <si>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</si>
  <si>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</si>
  <si>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</si>
  <si>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</si>
  <si>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</si>
  <si>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</si>
  <si>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</si>
  <si>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</si>
  <si>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</si>
  <si>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</si>
  <si>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</si>
  <si>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</si>
  <si>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</si>
  <si>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</si>
  <si>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</si>
  <si>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</si>
  <si>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</si>
  <si>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</si>
  <si>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</si>
  <si>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</si>
  <si>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</si>
  <si>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</si>
  <si>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</si>
  <si>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</si>
  <si>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</si>
  <si>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</si>
  <si>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</si>
  <si>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</si>
  <si>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</si>
  <si>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</si>
  <si>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</si>
  <si>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</si>
  <si>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</si>
  <si>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</si>
  <si>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</si>
  <si>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</si>
  <si>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</si>
  <si>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</si>
  <si>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</si>
  <si>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</si>
  <si>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</si>
  <si>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</si>
  <si>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</si>
  <si>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</si>
  <si>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</si>
  <si>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</si>
  <si>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</si>
  <si>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</si>
  <si>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</si>
  <si>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</si>
  <si>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</si>
  <si>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</si>
  <si>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</si>
  <si>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</si>
  <si>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</si>
  <si>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</si>
  <si>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</si>
  <si>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</si>
  <si>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</si>
  <si>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</si>
  <si>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</si>
  <si>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</si>
  <si>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</si>
  <si>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</si>
  <si>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</si>
  <si>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</si>
  <si>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</si>
  <si>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</si>
  <si>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</si>
  <si>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</si>
  <si>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</si>
  <si>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</si>
  <si>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</si>
  <si>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</si>
  <si>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</si>
  <si>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</si>
  <si>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</si>
  <si>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</si>
  <si>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</si>
  <si>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</si>
  <si>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</si>
  <si>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</si>
  <si>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</si>
  <si>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</si>
  <si>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</si>
  <si>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</si>
  <si>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</si>
  <si>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</si>
  <si>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</si>
  <si>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</si>
  <si>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</si>
  <si>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</si>
  <si>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</si>
  <si>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</si>
  <si>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</si>
  <si>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</si>
  <si>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</si>
  <si>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</si>
  <si>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</si>
  <si>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</si>
  <si>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</si>
  <si>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</si>
  <si>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</si>
  <si>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</si>
  <si>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</si>
  <si>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</si>
  <si>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</si>
  <si>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</si>
  <si>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</si>
  <si>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</si>
  <si>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</si>
  <si>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</si>
  <si>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</si>
  <si>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</si>
  <si>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</si>
  <si>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</si>
  <si>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</si>
  <si>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</si>
  <si>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</si>
  <si>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</si>
  <si>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</si>
  <si>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</si>
  <si>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</si>
  <si>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</si>
  <si>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</si>
  <si>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</si>
  <si>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</si>
  <si>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</si>
  <si>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</si>
  <si>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</si>
  <si>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</si>
  <si>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</si>
  <si>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</si>
  <si>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</si>
  <si>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</si>
  <si>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</si>
  <si>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</si>
  <si>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</si>
  <si>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</si>
  <si>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</si>
  <si>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</si>
  <si>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</si>
  <si>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</si>
  <si>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</si>
  <si>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</si>
  <si>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</si>
  <si>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</si>
  <si>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</si>
  <si>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</si>
  <si>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</si>
  <si>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</si>
  <si>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</si>
  <si>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</si>
  <si>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</si>
  <si>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</si>
  <si>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</si>
  <si>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</si>
  <si>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</si>
  <si>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</si>
  <si>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</si>
  <si>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</si>
  <si>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</si>
  <si>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</si>
  <si>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</si>
  <si>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</si>
  <si>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</si>
  <si>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</si>
  <si>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</si>
  <si>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</si>
  <si>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</si>
  <si>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</si>
  <si>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</si>
  <si>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</si>
  <si>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</si>
  <si>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</si>
  <si>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</si>
  <si>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</si>
  <si>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</si>
  <si>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</si>
  <si>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</si>
  <si>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</si>
  <si>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</si>
  <si>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</si>
  <si>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</si>
  <si>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</si>
  <si>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</si>
  <si>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</si>
  <si>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</si>
  <si>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</si>
  <si>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</si>
  <si>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</si>
  <si>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</si>
  <si>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</si>
  <si>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</si>
  <si>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</si>
  <si>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</si>
  <si>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</si>
  <si>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</si>
  <si>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</si>
  <si>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</si>
  <si>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</si>
  <si>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</si>
  <si>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</si>
  <si>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</si>
  <si>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</si>
  <si>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</si>
  <si>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</si>
  <si>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</si>
  <si>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</si>
  <si>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</si>
  <si>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</si>
  <si>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</si>
  <si>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</si>
  <si>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</si>
  <si>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</si>
  <si>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</si>
  <si>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</si>
  <si>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</si>
  <si>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</si>
  <si>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</si>
  <si>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</si>
  <si>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</si>
  <si>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</si>
  <si>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</si>
  <si>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</si>
  <si>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</si>
  <si>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</si>
  <si>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</si>
  <si>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</si>
  <si>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</si>
  <si>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</si>
  <si>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</si>
  <si>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</si>
  <si>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</si>
  <si>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</si>
  <si>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</si>
  <si>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</si>
  <si>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</si>
  <si>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</si>
  <si>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</si>
  <si>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</si>
  <si>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</si>
  <si>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</si>
  <si>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</si>
  <si>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</si>
  <si>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</si>
  <si>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</si>
  <si>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</si>
  <si>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</si>
  <si>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</si>
  <si>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</si>
  <si>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</si>
  <si>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</si>
  <si>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</si>
  <si>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</si>
  <si>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</si>
  <si>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</si>
  <si>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</si>
  <si>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</si>
  <si>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</si>
  <si>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</si>
  <si>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</si>
  <si>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</si>
  <si>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</si>
  <si>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</si>
  <si>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</si>
  <si>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</si>
  <si>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</si>
  <si>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</si>
  <si>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</si>
  <si>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</si>
  <si>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</si>
  <si>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</si>
  <si>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</si>
  <si>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</si>
  <si>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</si>
  <si>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</si>
  <si>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</si>
  <si>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</si>
  <si>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</si>
  <si>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</si>
  <si>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</si>
  <si>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</si>
  <si>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</si>
  <si>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</si>
  <si>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</si>
  <si>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</si>
  <si>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</si>
  <si>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</si>
  <si>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</si>
  <si>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</si>
  <si>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</si>
  <si>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</si>
  <si>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</si>
  <si>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</si>
  <si>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</si>
  <si>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</si>
  <si>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</si>
  <si>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</si>
  <si>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</si>
  <si>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</si>
  <si>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</si>
  <si>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</si>
  <si>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</si>
  <si>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</si>
  <si>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</si>
  <si>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</si>
  <si>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</si>
  <si>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</si>
  <si>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</si>
  <si>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</si>
  <si>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</si>
  <si>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</si>
  <si>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</si>
  <si>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</si>
  <si>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</si>
  <si>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</si>
  <si>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</si>
  <si>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</si>
  <si>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</si>
  <si>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</si>
  <si>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</si>
  <si>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</si>
  <si>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</si>
  <si>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</si>
  <si>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</si>
  <si>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</si>
  <si>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</si>
  <si>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</si>
  <si>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</si>
  <si>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</si>
  <si>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</si>
  <si>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</si>
  <si>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</si>
  <si>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</si>
  <si>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</si>
  <si>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</si>
  <si>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</si>
  <si>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</si>
  <si>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</si>
  <si>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</si>
  <si>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</si>
  <si>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</si>
  <si>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</si>
  <si>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</si>
  <si>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</si>
  <si>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</si>
  <si>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</si>
  <si>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</si>
  <si>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</si>
  <si>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</si>
  <si>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</si>
  <si>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</si>
  <si>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</si>
  <si>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</si>
  <si>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</si>
  <si>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</si>
  <si>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</si>
  <si>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</si>
  <si>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</si>
  <si>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</si>
  <si>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</si>
  <si>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</si>
  <si>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</si>
  <si>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</si>
  <si>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</si>
  <si>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</si>
  <si>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</si>
  <si>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</si>
  <si>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</si>
  <si>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</si>
  <si>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</si>
  <si>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</si>
  <si>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</si>
  <si>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</si>
  <si>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</si>
  <si>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</si>
  <si>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</si>
  <si>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</si>
  <si>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</si>
  <si>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</si>
  <si>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</si>
  <si>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</si>
  <si>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</si>
  <si>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</si>
  <si>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</si>
  <si>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</si>
  <si>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</si>
  <si>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</si>
  <si>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</si>
  <si>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</si>
  <si>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</si>
  <si>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</si>
  <si>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</si>
  <si>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</si>
  <si>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</si>
  <si>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</si>
  <si>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</si>
  <si>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</si>
  <si>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</si>
  <si>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</si>
  <si>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</si>
  <si>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</si>
  <si>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</si>
  <si>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</si>
  <si>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</si>
  <si>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</si>
  <si>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</si>
  <si>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</si>
  <si>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</si>
  <si>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</si>
  <si>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</si>
  <si>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</si>
  <si>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</si>
  <si>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</si>
  <si>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</si>
  <si>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</si>
  <si>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</si>
  <si>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</si>
  <si>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</si>
  <si>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</si>
  <si>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</si>
  <si>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</si>
  <si>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</si>
  <si>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</si>
  <si>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</si>
  <si>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</si>
  <si>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</si>
  <si>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</si>
  <si>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</si>
  <si>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</si>
  <si>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</si>
  <si>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</si>
  <si>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</si>
  <si>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</si>
  <si>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</si>
  <si>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</si>
  <si>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</si>
  <si>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</si>
  <si>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</si>
  <si>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</si>
  <si>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</si>
  <si>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</si>
  <si>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</si>
  <si>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</si>
  <si>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</si>
  <si>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</si>
  <si>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</si>
  <si>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</si>
  <si>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</si>
  <si>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</si>
  <si>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</si>
  <si>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</si>
  <si>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</si>
  <si>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</si>
  <si>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</si>
  <si>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</si>
  <si>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</si>
  <si>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</si>
  <si>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</si>
  <si>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</si>
  <si>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</si>
  <si>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</si>
  <si>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</si>
  <si>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</si>
  <si>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</si>
  <si>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</si>
  <si>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</si>
  <si>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</si>
  <si>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</si>
  <si>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</si>
  <si>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</si>
  <si>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</si>
  <si>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</si>
  <si>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</si>
  <si>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</si>
  <si>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</si>
  <si>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</si>
  <si>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</si>
  <si>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</si>
  <si>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</si>
  <si>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</si>
  <si>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</si>
  <si>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</si>
  <si>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</si>
  <si>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</si>
  <si>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</si>
  <si>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</si>
  <si>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</si>
  <si>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</si>
  <si>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</si>
  <si>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</si>
  <si>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</si>
  <si>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</si>
  <si>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</si>
  <si>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</si>
  <si>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</si>
  <si>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</si>
  <si>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</si>
  <si>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</si>
  <si>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</si>
  <si>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</si>
  <si>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</si>
  <si>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</si>
  <si>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</si>
  <si>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</si>
  <si>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</si>
  <si>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</si>
  <si>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</si>
  <si>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</si>
  <si>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</si>
  <si>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</si>
  <si>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</si>
  <si>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</si>
  <si>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</si>
  <si>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</si>
  <si>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</si>
  <si>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</si>
  <si>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</si>
  <si>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</si>
  <si>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</si>
  <si>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</si>
  <si>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</si>
  <si>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</si>
  <si>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</si>
  <si>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</si>
  <si>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</si>
  <si>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</si>
  <si>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</si>
  <si>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</si>
  <si>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</si>
  <si>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</si>
  <si>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</si>
  <si>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</si>
  <si>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</si>
  <si>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</si>
  <si>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</si>
  <si>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</si>
  <si>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</si>
  <si>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</si>
  <si>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</si>
  <si>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</si>
  <si>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</si>
  <si>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</si>
  <si>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</si>
  <si>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</si>
  <si>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</si>
  <si>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</si>
  <si>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</si>
  <si>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</si>
  <si>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</si>
  <si>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</si>
  <si>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</si>
  <si>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</si>
  <si>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</si>
  <si>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</si>
  <si>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</si>
  <si>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</si>
  <si>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</si>
  <si>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</si>
  <si>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</si>
  <si>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</si>
  <si>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</si>
  <si>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</si>
  <si>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</si>
  <si>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</si>
  <si>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</si>
  <si>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</si>
  <si>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</si>
  <si>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</si>
  <si>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</si>
  <si>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</si>
  <si>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</si>
  <si>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</si>
  <si>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</si>
  <si>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</si>
  <si>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</si>
  <si>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</si>
  <si>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</si>
  <si>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</si>
  <si>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</si>
  <si>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</si>
  <si>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</si>
  <si>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</si>
  <si>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</si>
  <si>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</si>
  <si>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</si>
  <si>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</si>
  <si>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</si>
  <si>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</si>
  <si>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</si>
  <si>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</si>
  <si>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</si>
  <si>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</si>
  <si>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</si>
  <si>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</si>
  <si>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</si>
  <si>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</si>
  <si>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</si>
  <si>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</si>
  <si>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</si>
  <si>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</si>
  <si>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</si>
  <si>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</si>
  <si>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</si>
  <si>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</si>
  <si>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</si>
  <si>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</si>
  <si>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</si>
  <si>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</si>
  <si>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</si>
  <si>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</si>
  <si>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</si>
  <si>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</si>
  <si>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</si>
  <si>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</si>
  <si>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</si>
  <si>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</si>
  <si>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</si>
  <si>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</si>
  <si>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</si>
  <si>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</si>
  <si>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</si>
  <si>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</si>
  <si>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</si>
  <si>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</si>
  <si>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</si>
  <si>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</si>
  <si>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</si>
  <si>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</si>
  <si>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</si>
  <si>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</si>
  <si>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</si>
  <si>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</si>
  <si>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</si>
  <si>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</si>
  <si>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</si>
  <si>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</si>
  <si>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</si>
  <si>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</si>
  <si>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</si>
  <si>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</si>
  <si>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</si>
  <si>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</si>
  <si>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</si>
  <si>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</si>
  <si>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</si>
  <si>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</si>
  <si>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</si>
  <si>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</si>
  <si>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</si>
  <si>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</si>
  <si>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</si>
  <si>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</si>
  <si>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</si>
  <si>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</si>
  <si>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</si>
  <si>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</si>
  <si>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</si>
  <si>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</si>
  <si>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</si>
  <si>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</si>
  <si>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</si>
  <si>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</si>
  <si>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</si>
  <si>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</si>
  <si>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</si>
  <si>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</si>
  <si>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</si>
  <si>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</si>
  <si>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</si>
  <si>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</si>
  <si>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</si>
  <si>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</si>
  <si>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</si>
  <si>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</si>
  <si>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</si>
  <si>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</si>
  <si>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</si>
  <si>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</si>
  <si>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</si>
  <si>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</si>
  <si>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</si>
  <si>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</si>
  <si>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</si>
  <si>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</si>
  <si>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</si>
  <si>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</si>
  <si>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</si>
  <si>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</si>
  <si>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</si>
  <si>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</si>
  <si>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</si>
  <si>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</si>
  <si>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</si>
  <si>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</si>
  <si>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</si>
  <si>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</si>
  <si>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</si>
  <si>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</si>
  <si>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</si>
  <si>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</si>
  <si>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</si>
  <si>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</si>
  <si>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</si>
  <si>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</si>
  <si>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</si>
  <si>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</si>
  <si>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</si>
  <si>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</si>
  <si>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</si>
  <si>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</si>
  <si>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</si>
  <si>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</si>
  <si>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</si>
  <si>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</si>
  <si>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</si>
  <si>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</si>
  <si>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</si>
  <si>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</si>
  <si>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</si>
  <si>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</si>
  <si>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</si>
  <si>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</si>
  <si>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</si>
  <si>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</si>
  <si>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</si>
  <si>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</si>
  <si>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</si>
  <si>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</si>
  <si>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</si>
  <si>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</si>
  <si>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</si>
  <si>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</si>
  <si>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</si>
  <si>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</si>
  <si>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</si>
  <si>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</si>
  <si>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</si>
  <si>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</si>
  <si>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</si>
  <si>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</si>
  <si>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</si>
  <si>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</si>
  <si>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</si>
  <si>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</si>
  <si>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</si>
  <si>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</si>
  <si>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</si>
  <si>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</si>
  <si>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</si>
  <si>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</si>
  <si>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</si>
  <si>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</si>
  <si>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</si>
  <si>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</si>
  <si>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</si>
  <si>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</si>
  <si>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</si>
  <si>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</si>
  <si>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</si>
  <si>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</si>
  <si>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</si>
  <si>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</si>
  <si>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</si>
  <si>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</si>
  <si>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</si>
  <si>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</si>
  <si>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</si>
  <si>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</si>
  <si>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</si>
  <si>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</si>
  <si>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</si>
  <si>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</si>
  <si>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</si>
  <si>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</si>
  <si>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</si>
  <si>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</si>
  <si>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</si>
  <si>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</si>
  <si>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</si>
  <si>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</si>
  <si>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</si>
  <si>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</si>
  <si>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</si>
  <si>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</si>
  <si>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</si>
  <si>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</si>
  <si>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</si>
  <si>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</si>
  <si>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</si>
  <si>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</si>
  <si>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</si>
  <si>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</si>
  <si>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</si>
  <si>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</si>
  <si>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</si>
  <si>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</si>
  <si>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</si>
  <si>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</si>
  <si>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</si>
  <si>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</si>
  <si>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</si>
  <si>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</si>
  <si>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</si>
  <si>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</si>
  <si>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</si>
  <si>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</si>
  <si>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</si>
  <si>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</si>
  <si>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</si>
  <si>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</si>
  <si>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</si>
  <si>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</si>
  <si>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</si>
  <si>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</si>
  <si>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</si>
  <si>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</si>
  <si>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</si>
  <si>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</si>
  <si>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</si>
  <si>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</si>
  <si>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</si>
  <si>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</si>
  <si>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</si>
  <si>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</si>
  <si>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</si>
  <si>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</si>
  <si>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</si>
  <si>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</si>
  <si>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</si>
  <si>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</si>
  <si>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</si>
  <si>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</si>
  <si>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</si>
  <si>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</si>
  <si>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</si>
  <si>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</si>
  <si>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</si>
  <si>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</si>
  <si>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</si>
  <si>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</si>
  <si>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</si>
  <si>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</si>
  <si>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</si>
  <si>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</si>
  <si>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</si>
  <si>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</si>
  <si>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</si>
  <si>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</si>
  <si>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</si>
  <si>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</si>
  <si>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</si>
  <si>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</si>
  <si>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</si>
  <si>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</si>
  <si>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</si>
  <si>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</si>
  <si>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</si>
  <si>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</si>
  <si>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</si>
  <si>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</si>
  <si>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</si>
  <si>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</si>
  <si>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</si>
  <si>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</si>
  <si>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</si>
  <si>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</si>
  <si>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</si>
  <si>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</si>
  <si>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</si>
  <si>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</si>
  <si>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</si>
  <si>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</si>
  <si>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</si>
  <si>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</si>
  <si>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</si>
  <si>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</si>
  <si>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</si>
  <si>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</si>
  <si>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</si>
  <si>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</si>
  <si>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</si>
  <si>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</si>
  <si>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</si>
  <si>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</si>
  <si>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</si>
  <si>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</si>
  <si>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</si>
  <si>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</si>
  <si>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</si>
  <si>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</si>
  <si>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</si>
  <si>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</si>
  <si>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</si>
  <si>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</si>
  <si>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</si>
  <si>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</si>
  <si>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</si>
  <si>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</si>
  <si>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</si>
  <si>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</si>
  <si>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</si>
  <si>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</si>
  <si>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</si>
  <si>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</si>
  <si>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</si>
  <si>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</si>
  <si>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</si>
  <si>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</si>
  <si>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</si>
  <si>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</si>
  <si>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</si>
  <si>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</si>
  <si>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</si>
  <si>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</si>
  <si>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</si>
  <si>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</si>
  <si>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</si>
  <si>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</si>
  <si>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</si>
  <si>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</si>
  <si>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</si>
  <si>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</si>
  <si>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</si>
  <si>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</si>
  <si>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</si>
  <si>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</si>
  <si>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</si>
  <si>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</si>
  <si>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</si>
  <si>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</si>
  <si>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</si>
  <si>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</si>
  <si>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</si>
  <si>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</si>
  <si>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</si>
  <si>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</si>
  <si>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</si>
  <si>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</si>
  <si>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</si>
  <si>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</si>
  <si>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</si>
  <si>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</si>
  <si>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</si>
  <si>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</si>
  <si>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</si>
  <si>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</si>
  <si>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</si>
  <si>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</si>
  <si>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</si>
  <si>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</si>
  <si>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</si>
  <si>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</si>
  <si>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</si>
  <si>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</si>
  <si>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</si>
  <si>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</si>
  <si>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</si>
  <si>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</si>
  <si>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</si>
  <si>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</si>
  <si>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</si>
  <si>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</si>
  <si>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</si>
  <si>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</si>
  <si>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</si>
  <si>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</si>
  <si>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</si>
  <si>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</si>
  <si>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</si>
  <si>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</si>
  <si>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</si>
  <si>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</si>
  <si>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</si>
  <si>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</si>
  <si>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</si>
  <si>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</si>
  <si>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</si>
  <si>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</si>
  <si>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</si>
  <si>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</si>
  <si>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</si>
  <si>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</si>
  <si>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</si>
  <si>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</si>
  <si>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</si>
  <si>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</si>
  <si>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</si>
  <si>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</si>
  <si>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</si>
  <si>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</si>
  <si>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</si>
  <si>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</si>
  <si>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</si>
  <si>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</si>
  <si>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</si>
  <si>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</si>
  <si>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</si>
  <si>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</si>
  <si>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</si>
  <si>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</si>
  <si>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</si>
  <si>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</si>
  <si>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</si>
  <si>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</si>
  <si>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</si>
  <si>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</si>
  <si>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</si>
  <si>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</si>
  <si>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</si>
  <si>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</si>
  <si>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</si>
  <si>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</si>
  <si>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</si>
  <si>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</si>
  <si>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</si>
  <si>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</si>
  <si>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</si>
  <si>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</si>
  <si>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</si>
  <si>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</si>
  <si>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</si>
  <si>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</si>
  <si>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</si>
  <si>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</si>
  <si>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</si>
  <si>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</si>
  <si>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</si>
  <si>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</si>
  <si>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</si>
  <si>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</si>
  <si>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</si>
  <si>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</si>
  <si>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</si>
  <si>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</si>
  <si>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</si>
  <si>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</si>
  <si>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</si>
  <si>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</si>
  <si>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</si>
  <si>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</si>
  <si>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</si>
  <si>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</si>
  <si>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2:43.39</t>
  </si>
  <si>
    <t>32.29</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</si>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</sst>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wt3SQLsMXsk"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1142</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3270</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3265</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3270</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3266</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3270</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3276</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3263</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4855</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5034</v>
      </c>
      <c r="P103" s="88" t="s">
        <v>3997</v>
      </c>
      <c r="Q103" s="93" t="s">
        <v>5035</v>
      </c>
      <c r="R103" s="98"/>
      <c r="S103" s="93" t="s">
        <v>1294</v>
      </c>
      <c r="T103" s="98"/>
      <c r="U103" s="93" t="s">
        <v>233</v>
      </c>
      <c r="V103" s="290" t="s">
        <v>5036</v>
      </c>
      <c r="W103" s="211"/>
      <c r="X103" s="93" t="s">
        <v>1600</v>
      </c>
      <c r="Y103" s="210" t="s">
        <v>3575</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3734</v>
      </c>
      <c r="AQ103" s="93" t="s">
        <v>1265</v>
      </c>
      <c r="AR103" s="98"/>
      <c r="AS103" s="93" t="s">
        <v>5046</v>
      </c>
      <c r="AT103" s="88" t="s">
        <v>5047</v>
      </c>
      <c r="AU103" s="93" t="s">
        <v>5048</v>
      </c>
      <c r="AV103" s="93" t="s">
        <v>4141</v>
      </c>
      <c r="AW103" s="98"/>
      <c r="AX103" s="97" t="str">
        <f>HYPERLINK("https://clips.twitch.tv/PeppyAbstruseSmoothieCurseLit","39.09")</f>
        <v>39.09</v>
      </c>
      <c r="AY103" s="93" t="s">
        <v>5049</v>
      </c>
      <c r="AZ103" s="96"/>
      <c r="BA103" s="93" t="s">
        <v>5050</v>
      </c>
      <c r="BB103" s="93" t="s">
        <v>5051</v>
      </c>
      <c r="BC103" s="93" t="s">
        <v>473</v>
      </c>
      <c r="BD103" s="98"/>
      <c r="BE103" s="93" t="s">
        <v>5052</v>
      </c>
      <c r="BF103" s="93" t="s">
        <v>3562</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4463</v>
      </c>
      <c r="BT103" s="93" t="s">
        <v>4298</v>
      </c>
      <c r="BU103" s="98"/>
      <c r="BV103" s="210" t="s">
        <v>431</v>
      </c>
      <c r="BW103" s="98"/>
      <c r="BX103" s="98"/>
      <c r="BY103" s="93" t="s">
        <v>3656</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3930</v>
      </c>
      <c r="CV103" s="88" t="s">
        <v>5067</v>
      </c>
      <c r="CW103" s="93" t="s">
        <v>5068</v>
      </c>
      <c r="CX103" s="98"/>
      <c r="CY103" s="93" t="s">
        <v>4362</v>
      </c>
      <c r="CZ103" s="93" t="s">
        <v>5069</v>
      </c>
      <c r="DA103" s="93" t="s">
        <v>4100</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1386</v>
      </c>
      <c r="DX103" s="93" t="s">
        <v>5079</v>
      </c>
      <c r="DY103" s="93" t="s">
        <v>4870</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4326</v>
      </c>
      <c r="L104" s="167" t="s">
        <v>2313</v>
      </c>
      <c r="M104" s="223"/>
      <c r="N104" s="167" t="s">
        <v>4265</v>
      </c>
      <c r="O104" s="167" t="s">
        <v>5086</v>
      </c>
      <c r="P104" s="167" t="s">
        <v>3997</v>
      </c>
      <c r="Q104" s="223"/>
      <c r="R104" s="223"/>
      <c r="S104" s="223"/>
      <c r="T104" s="223"/>
      <c r="U104" s="223"/>
      <c r="V104" s="223"/>
      <c r="W104" s="92"/>
      <c r="X104" s="199" t="s">
        <v>4712</v>
      </c>
      <c r="Y104" s="199" t="s">
        <v>3138</v>
      </c>
      <c r="Z104" s="199" t="s">
        <v>5087</v>
      </c>
      <c r="AA104" s="199" t="s">
        <v>4781</v>
      </c>
      <c r="AB104" s="273"/>
      <c r="AC104" s="199" t="s">
        <v>4168</v>
      </c>
      <c r="AD104" s="273"/>
      <c r="AE104" s="199" t="s">
        <v>3173</v>
      </c>
      <c r="AF104" s="199" t="s">
        <v>5088</v>
      </c>
      <c r="AG104" s="273"/>
      <c r="AH104" s="273"/>
      <c r="AI104" s="273"/>
      <c r="AJ104" s="273"/>
      <c r="AK104" s="92"/>
      <c r="AL104" s="168" t="s">
        <v>4038</v>
      </c>
      <c r="AM104" s="274"/>
      <c r="AN104" s="274"/>
      <c r="AO104" s="274"/>
      <c r="AP104" s="274"/>
      <c r="AQ104" s="274"/>
      <c r="AR104" s="274"/>
      <c r="AS104" s="274"/>
      <c r="AT104" s="274"/>
      <c r="AU104" s="168" t="s">
        <v>5089</v>
      </c>
      <c r="AV104" s="168" t="s">
        <v>4717</v>
      </c>
      <c r="AW104" s="274"/>
      <c r="AX104" s="274"/>
      <c r="AY104" s="274"/>
      <c r="AZ104" s="275"/>
      <c r="BA104" s="174" t="s">
        <v>1988</v>
      </c>
      <c r="BB104" s="173"/>
      <c r="BC104" s="174" t="s">
        <v>5090</v>
      </c>
      <c r="BD104" s="174" t="s">
        <v>4921</v>
      </c>
      <c r="BE104" s="127" t="s">
        <v>4127</v>
      </c>
      <c r="BF104" s="174" t="s">
        <v>1407</v>
      </c>
      <c r="BG104" s="173"/>
      <c r="BH104" s="174" t="s">
        <v>2564</v>
      </c>
      <c r="BI104" s="174" t="s">
        <v>5091</v>
      </c>
      <c r="BJ104" s="174"/>
      <c r="BK104" s="173"/>
      <c r="BL104" s="173"/>
      <c r="BM104" s="173"/>
      <c r="BN104" s="173"/>
      <c r="BO104" s="173"/>
      <c r="BP104" s="277"/>
      <c r="BQ104" s="175" t="s">
        <v>3759</v>
      </c>
      <c r="BR104" s="280"/>
      <c r="BS104" s="175" t="s">
        <v>2636</v>
      </c>
      <c r="BT104" s="175" t="s">
        <v>5092</v>
      </c>
      <c r="BU104" s="280"/>
      <c r="BV104" s="175" t="s">
        <v>5093</v>
      </c>
      <c r="BW104" s="280"/>
      <c r="BX104" s="280"/>
      <c r="BY104" s="175" t="s">
        <v>3656</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5107</v>
      </c>
      <c r="BF105" s="98"/>
      <c r="BG105" s="98"/>
      <c r="BH105" s="93" t="s">
        <v>3079</v>
      </c>
      <c r="BI105" s="93" t="s">
        <v>5108</v>
      </c>
      <c r="BJ105" s="98"/>
      <c r="BK105" s="93" t="s">
        <v>1490</v>
      </c>
      <c r="BL105" s="98"/>
      <c r="BM105" s="98"/>
      <c r="BN105" s="98"/>
      <c r="BO105" s="98"/>
      <c r="BP105" s="264"/>
      <c r="BQ105" s="93" t="s">
        <v>5109</v>
      </c>
      <c r="BR105" s="93" t="s">
        <v>4334</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3817</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4114</v>
      </c>
      <c r="J106" s="167" t="s">
        <v>5126</v>
      </c>
      <c r="K106" s="167" t="s">
        <v>3990</v>
      </c>
      <c r="L106" s="167" t="s">
        <v>1087</v>
      </c>
      <c r="M106" s="167" t="s">
        <v>5127</v>
      </c>
      <c r="N106" s="167" t="s">
        <v>5128</v>
      </c>
      <c r="O106" s="167" t="s">
        <v>851</v>
      </c>
      <c r="P106" s="167" t="s">
        <v>5129</v>
      </c>
      <c r="Q106" s="223"/>
      <c r="R106" s="223"/>
      <c r="S106" s="223"/>
      <c r="T106" s="223"/>
      <c r="U106" s="223"/>
      <c r="V106" s="223"/>
      <c r="W106" s="92"/>
      <c r="X106" s="199" t="s">
        <v>5130</v>
      </c>
      <c r="Y106" s="199" t="s">
        <v>3929</v>
      </c>
      <c r="Z106" s="199" t="s">
        <v>5131</v>
      </c>
      <c r="AA106" s="199" t="s">
        <v>5132</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5133</v>
      </c>
      <c r="BB106" s="174" t="s">
        <v>4454</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4904</v>
      </c>
      <c r="CB106" s="175" t="s">
        <v>4786</v>
      </c>
      <c r="CC106" s="175" t="s">
        <v>1662</v>
      </c>
      <c r="CD106" s="280"/>
      <c r="CE106" s="281"/>
      <c r="CF106" s="177" t="s">
        <v>5140</v>
      </c>
      <c r="CG106" s="177" t="s">
        <v>3204</v>
      </c>
      <c r="CH106" s="177" t="s">
        <v>3341</v>
      </c>
      <c r="CI106" s="177" t="s">
        <v>5141</v>
      </c>
      <c r="CJ106" s="177"/>
      <c r="CK106" s="177" t="s">
        <v>5142</v>
      </c>
      <c r="CL106" s="177" t="s">
        <v>3676</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4421</v>
      </c>
      <c r="L107" s="301" t="s">
        <v>561</v>
      </c>
      <c r="M107" s="98"/>
      <c r="N107" s="93" t="s">
        <v>5154</v>
      </c>
      <c r="O107" s="93" t="s">
        <v>1024</v>
      </c>
      <c r="P107" s="93" t="s">
        <v>3486</v>
      </c>
      <c r="Q107" s="98"/>
      <c r="R107" s="98"/>
      <c r="S107" s="98"/>
      <c r="T107" s="98"/>
      <c r="U107" s="98"/>
      <c r="V107" s="98"/>
      <c r="W107" s="92"/>
      <c r="X107" s="93" t="s">
        <v>2630</v>
      </c>
      <c r="Y107" s="93" t="s">
        <v>1009</v>
      </c>
      <c r="Z107" s="93" t="s">
        <v>3687</v>
      </c>
      <c r="AA107" s="93" t="s">
        <v>5155</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4654</v>
      </c>
      <c r="BD107" s="93" t="s">
        <v>4788</v>
      </c>
      <c r="BE107" s="93" t="s">
        <v>1739</v>
      </c>
      <c r="BF107" s="98"/>
      <c r="BG107" s="98"/>
      <c r="BH107" s="93" t="s">
        <v>1970</v>
      </c>
      <c r="BI107" s="93" t="s">
        <v>5157</v>
      </c>
      <c r="BJ107" s="93" t="s">
        <v>687</v>
      </c>
      <c r="BK107" s="93" t="s">
        <v>4519</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3663</v>
      </c>
      <c r="AC111" s="93" t="s">
        <v>5207</v>
      </c>
      <c r="AD111" s="93"/>
      <c r="AE111" s="93" t="s">
        <v>3884</v>
      </c>
      <c r="AF111" s="88" t="s">
        <v>1989</v>
      </c>
      <c r="AG111" s="93" t="s">
        <v>167</v>
      </c>
      <c r="AH111" s="100"/>
      <c r="AI111" s="88" t="s">
        <v>2979</v>
      </c>
      <c r="AJ111" s="93" t="s">
        <v>5208</v>
      </c>
      <c r="AK111" s="92"/>
      <c r="AL111" s="93" t="s">
        <v>3550</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3279</v>
      </c>
      <c r="BI111" s="93" t="s">
        <v>1147</v>
      </c>
      <c r="BJ111" s="98"/>
      <c r="BK111" s="161" t="s">
        <v>5216</v>
      </c>
      <c r="BL111" s="93" t="s">
        <v>5217</v>
      </c>
      <c r="BM111" s="93" t="s">
        <v>4012</v>
      </c>
      <c r="BN111" s="98"/>
      <c r="BO111" s="93" t="s">
        <v>5218</v>
      </c>
      <c r="BP111" s="93"/>
      <c r="BQ111" s="98"/>
      <c r="BR111" s="93" t="s">
        <v>5219</v>
      </c>
      <c r="BS111" s="93" t="s">
        <v>230</v>
      </c>
      <c r="BT111" s="93" t="s">
        <v>575</v>
      </c>
      <c r="BU111" s="93" t="s">
        <v>5220</v>
      </c>
      <c r="BV111" s="93" t="s">
        <v>5221</v>
      </c>
      <c r="BW111" s="98"/>
      <c r="BX111" s="88" t="s">
        <v>2891</v>
      </c>
      <c r="BY111" s="98"/>
      <c r="BZ111" s="88" t="s">
        <v>3667</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4119</v>
      </c>
      <c r="DH111" s="93"/>
      <c r="DI111" s="93" t="s">
        <v>5234</v>
      </c>
      <c r="DJ111" s="93"/>
      <c r="DK111" s="93" t="s">
        <v>5235</v>
      </c>
      <c r="DL111" s="93" t="s">
        <v>2744</v>
      </c>
      <c r="DM111" s="161" t="s">
        <v>3643</v>
      </c>
      <c r="DN111" s="93" t="s">
        <v>3689</v>
      </c>
      <c r="DO111" s="98"/>
      <c r="DP111" s="93" t="s">
        <v>3633</v>
      </c>
      <c r="DQ111" s="93" t="s">
        <v>5236</v>
      </c>
      <c r="DR111" s="93" t="s">
        <v>3736</v>
      </c>
      <c r="DS111" s="93" t="s">
        <v>3446</v>
      </c>
      <c r="DT111" s="93" t="s">
        <v>1083</v>
      </c>
      <c r="DU111" s="93" t="s">
        <v>1409</v>
      </c>
      <c r="DV111" s="93" t="s">
        <v>4151</v>
      </c>
      <c r="DW111" s="93" t="s">
        <v>1018</v>
      </c>
      <c r="DX111" s="93" t="s">
        <v>2859</v>
      </c>
      <c r="DY111" s="93" t="s">
        <v>3866</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3626</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4931</v>
      </c>
      <c r="AB112" s="199" t="s">
        <v>5246</v>
      </c>
      <c r="AC112" s="199" t="s">
        <v>5247</v>
      </c>
      <c r="AD112" s="199" t="s">
        <v>5248</v>
      </c>
      <c r="AE112" s="199" t="s">
        <v>1618</v>
      </c>
      <c r="AF112" s="199" t="s">
        <v>4295</v>
      </c>
      <c r="AG112" s="199" t="s">
        <v>1900</v>
      </c>
      <c r="AH112" s="199"/>
      <c r="AI112" s="199" t="s">
        <v>1270</v>
      </c>
      <c r="AJ112" s="199" t="s">
        <v>5249</v>
      </c>
      <c r="AK112" s="92"/>
      <c r="AL112" s="168" t="s">
        <v>2037</v>
      </c>
      <c r="AM112" s="168" t="s">
        <v>4249</v>
      </c>
      <c r="AN112" s="274"/>
      <c r="AO112" s="274"/>
      <c r="AP112" s="274"/>
      <c r="AQ112" s="274"/>
      <c r="AR112" s="168" t="s">
        <v>3845</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4221</v>
      </c>
      <c r="BG112" s="174" t="s">
        <v>4515</v>
      </c>
      <c r="BH112" s="174" t="s">
        <v>3637</v>
      </c>
      <c r="BI112" s="174" t="s">
        <v>896</v>
      </c>
      <c r="BJ112" s="174"/>
      <c r="BK112" s="174" t="s">
        <v>5255</v>
      </c>
      <c r="BL112" s="173"/>
      <c r="BM112" s="174" t="s">
        <v>1914</v>
      </c>
      <c r="BN112" s="174" t="s">
        <v>2813</v>
      </c>
      <c r="BO112" s="173"/>
      <c r="BP112" s="277"/>
      <c r="BQ112" s="175"/>
      <c r="BR112" s="175" t="s">
        <v>3612</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4759</v>
      </c>
      <c r="CG112" s="177" t="s">
        <v>1817</v>
      </c>
      <c r="CH112" s="177" t="s">
        <v>4819</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3568</v>
      </c>
      <c r="CX112" s="206" t="s">
        <v>5268</v>
      </c>
      <c r="CY112" s="206" t="s">
        <v>3914</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4811</v>
      </c>
      <c r="H113" s="93" t="s">
        <v>659</v>
      </c>
      <c r="I113" s="93" t="s">
        <v>2494</v>
      </c>
      <c r="J113" s="93" t="s">
        <v>1662</v>
      </c>
      <c r="K113" s="93" t="s">
        <v>3990</v>
      </c>
      <c r="L113" s="93" t="s">
        <v>4619</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4886</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4529</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4384</v>
      </c>
      <c r="H114" s="112" t="s">
        <v>5300</v>
      </c>
      <c r="I114" s="295" t="s">
        <v>5301</v>
      </c>
      <c r="J114" s="295" t="s">
        <v>466</v>
      </c>
      <c r="K114" s="295" t="s">
        <v>2266</v>
      </c>
      <c r="L114" s="112" t="s">
        <v>4047</v>
      </c>
      <c r="M114" s="167" t="s">
        <v>953</v>
      </c>
      <c r="N114" s="167" t="s">
        <v>5302</v>
      </c>
      <c r="O114" s="295" t="s">
        <v>153</v>
      </c>
      <c r="P114" s="112" t="s">
        <v>2806</v>
      </c>
      <c r="Q114" s="223"/>
      <c r="R114" s="223"/>
      <c r="S114" s="167" t="s">
        <v>3712</v>
      </c>
      <c r="T114" s="223"/>
      <c r="U114" s="167" t="s">
        <v>1453</v>
      </c>
      <c r="V114" s="223"/>
      <c r="W114" s="92"/>
      <c r="X114" s="376" t="s">
        <v>4712</v>
      </c>
      <c r="Y114" s="376" t="s">
        <v>3660</v>
      </c>
      <c r="Z114" s="116" t="s">
        <v>5303</v>
      </c>
      <c r="AA114" s="199" t="s">
        <v>5304</v>
      </c>
      <c r="AB114" s="116" t="s">
        <v>2618</v>
      </c>
      <c r="AC114" s="376" t="s">
        <v>5305</v>
      </c>
      <c r="AD114" s="273"/>
      <c r="AE114" s="199" t="s">
        <v>5306</v>
      </c>
      <c r="AF114" s="376" t="s">
        <v>5021</v>
      </c>
      <c r="AG114" s="199" t="s">
        <v>5307</v>
      </c>
      <c r="AH114" s="273"/>
      <c r="AI114" s="273"/>
      <c r="AJ114" s="273"/>
      <c r="AK114" s="92"/>
      <c r="AL114" s="168" t="s">
        <v>4454</v>
      </c>
      <c r="AM114" s="168" t="s">
        <v>1053</v>
      </c>
      <c r="AN114" s="274"/>
      <c r="AO114" s="168" t="s">
        <v>5308</v>
      </c>
      <c r="AP114" s="168" t="s">
        <v>5309</v>
      </c>
      <c r="AQ114" s="168" t="s">
        <v>5310</v>
      </c>
      <c r="AR114" s="121" t="s">
        <v>1658</v>
      </c>
      <c r="AS114" s="274"/>
      <c r="AT114" s="499" t="s">
        <v>3557</v>
      </c>
      <c r="AU114" s="310" t="s">
        <v>2304</v>
      </c>
      <c r="AV114" s="121" t="s">
        <v>3267</v>
      </c>
      <c r="AW114" s="274"/>
      <c r="AX114" s="168" t="s">
        <v>5311</v>
      </c>
      <c r="AY114" s="274"/>
      <c r="AZ114" s="275"/>
      <c r="BA114" s="174" t="s">
        <v>4284</v>
      </c>
      <c r="BB114" s="174" t="s">
        <v>1189</v>
      </c>
      <c r="BC114" s="127" t="s">
        <v>4654</v>
      </c>
      <c r="BD114" s="174" t="s">
        <v>2882</v>
      </c>
      <c r="BE114" s="174" t="s">
        <v>4235</v>
      </c>
      <c r="BF114" s="174" t="s">
        <v>2530</v>
      </c>
      <c r="BG114" s="174" t="s">
        <v>5312</v>
      </c>
      <c r="BH114" s="174" t="s">
        <v>3369</v>
      </c>
      <c r="BI114" s="174" t="s">
        <v>5313</v>
      </c>
      <c r="BJ114" s="173"/>
      <c r="BK114" s="174" t="s">
        <v>3128</v>
      </c>
      <c r="BL114" s="173"/>
      <c r="BM114" s="174" t="s">
        <v>4427</v>
      </c>
      <c r="BN114" s="173"/>
      <c r="BO114" s="174" t="s">
        <v>5314</v>
      </c>
      <c r="BP114" s="277"/>
      <c r="BQ114" s="280"/>
      <c r="BR114" s="280"/>
      <c r="BS114" s="175" t="s">
        <v>5085</v>
      </c>
      <c r="BT114" s="175" t="s">
        <v>5315</v>
      </c>
      <c r="BU114" s="175" t="s">
        <v>3280</v>
      </c>
      <c r="BV114" s="175" t="s">
        <v>5316</v>
      </c>
      <c r="BW114" s="280"/>
      <c r="BX114" s="175" t="s">
        <v>4928</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3961</v>
      </c>
      <c r="DL114" s="287"/>
      <c r="DM114" s="287"/>
      <c r="DN114" s="146" t="s">
        <v>5327</v>
      </c>
      <c r="DO114" s="287"/>
      <c r="DP114" s="287"/>
      <c r="DQ114" s="207" t="s">
        <v>5319</v>
      </c>
      <c r="DR114" s="207" t="s">
        <v>5328</v>
      </c>
      <c r="DS114" s="287"/>
      <c r="DT114" s="207" t="s">
        <v>3692</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4438</v>
      </c>
      <c r="AM115" s="93" t="s">
        <v>3596</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4570</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4463</v>
      </c>
      <c r="BT115" s="93" t="s">
        <v>5354</v>
      </c>
      <c r="BU115" s="93" t="s">
        <v>5355</v>
      </c>
      <c r="BV115" s="93" t="s">
        <v>5356</v>
      </c>
      <c r="BW115" s="98"/>
      <c r="BX115" s="93" t="s">
        <v>3805</v>
      </c>
      <c r="BY115" s="93" t="s">
        <v>5357</v>
      </c>
      <c r="BZ115" s="93" t="s">
        <v>5358</v>
      </c>
      <c r="CA115" s="98"/>
      <c r="CB115" s="98"/>
      <c r="CC115" s="98"/>
      <c r="CD115" s="98"/>
      <c r="CE115" s="264"/>
      <c r="CF115" s="93" t="s">
        <v>5359</v>
      </c>
      <c r="CG115" s="93" t="s">
        <v>5078</v>
      </c>
      <c r="CH115" s="93" t="s">
        <v>990</v>
      </c>
      <c r="CI115" s="93" t="s">
        <v>5360</v>
      </c>
      <c r="CJ115" s="93" t="s">
        <v>4161</v>
      </c>
      <c r="CK115" s="93" t="s">
        <v>5361</v>
      </c>
      <c r="CL115" s="93" t="s">
        <v>5362</v>
      </c>
      <c r="CM115" s="93" t="s">
        <v>4140</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4769</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3785</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3784</v>
      </c>
      <c r="H117" s="98"/>
      <c r="I117" s="652" t="s">
        <v>5385</v>
      </c>
      <c r="J117" s="93" t="s">
        <v>5386</v>
      </c>
      <c r="K117" s="653" t="s">
        <v>5387</v>
      </c>
      <c r="L117" s="652" t="s">
        <v>5388</v>
      </c>
      <c r="M117" s="93" t="s">
        <v>5389</v>
      </c>
      <c r="N117" s="93" t="s">
        <v>5390</v>
      </c>
      <c r="O117" s="96" t="s">
        <v>2883</v>
      </c>
      <c r="P117" s="96" t="s">
        <v>4806</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4654</v>
      </c>
      <c r="BD117" s="654" t="s">
        <v>2132</v>
      </c>
      <c r="BE117" s="93" t="s">
        <v>4332</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4515</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4378</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4437</v>
      </c>
      <c r="L118" s="295" t="s">
        <v>4456</v>
      </c>
      <c r="M118" s="295" t="s">
        <v>5414</v>
      </c>
      <c r="N118" s="295" t="s">
        <v>1823</v>
      </c>
      <c r="O118" s="295" t="s">
        <v>1453</v>
      </c>
      <c r="P118" s="112" t="s">
        <v>1009</v>
      </c>
      <c r="Q118" s="112" t="s">
        <v>5415</v>
      </c>
      <c r="R118" s="223"/>
      <c r="S118" s="223"/>
      <c r="T118" s="223"/>
      <c r="U118" s="223"/>
      <c r="V118" s="223"/>
      <c r="W118" s="92"/>
      <c r="X118" s="376" t="s">
        <v>5416</v>
      </c>
      <c r="Y118" s="376" t="s">
        <v>3978</v>
      </c>
      <c r="Z118" s="376" t="s">
        <v>5417</v>
      </c>
      <c r="AA118" s="376" t="s">
        <v>3353</v>
      </c>
      <c r="AB118" s="376" t="s">
        <v>5418</v>
      </c>
      <c r="AC118" s="376" t="s">
        <v>5419</v>
      </c>
      <c r="AD118" s="199"/>
      <c r="AE118" s="199" t="s">
        <v>725</v>
      </c>
      <c r="AF118" s="116" t="s">
        <v>5420</v>
      </c>
      <c r="AG118" s="199" t="s">
        <v>5421</v>
      </c>
      <c r="AH118" s="199"/>
      <c r="AI118" s="199" t="s">
        <v>5422</v>
      </c>
      <c r="AJ118" s="273"/>
      <c r="AK118" s="92"/>
      <c r="AL118" s="274"/>
      <c r="AM118" s="168" t="s">
        <v>5423</v>
      </c>
      <c r="AN118" s="274"/>
      <c r="AO118" s="274"/>
      <c r="AP118" s="274"/>
      <c r="AQ118" s="274"/>
      <c r="AR118" s="168" t="s">
        <v>5424</v>
      </c>
      <c r="AS118" s="274"/>
      <c r="AT118" s="168" t="s">
        <v>5425</v>
      </c>
      <c r="AU118" s="168" t="s">
        <v>5118</v>
      </c>
      <c r="AV118" s="274"/>
      <c r="AW118" s="274"/>
      <c r="AX118" s="274"/>
      <c r="AY118" s="274"/>
      <c r="AZ118" s="275"/>
      <c r="BA118" s="174" t="s">
        <v>5426</v>
      </c>
      <c r="BB118" s="334" t="s">
        <v>850</v>
      </c>
      <c r="BC118" s="334" t="s">
        <v>613</v>
      </c>
      <c r="BD118" s="174" t="s">
        <v>654</v>
      </c>
      <c r="BE118" s="174" t="s">
        <v>2920</v>
      </c>
      <c r="BF118" s="174" t="s">
        <v>5427</v>
      </c>
      <c r="BG118" s="174" t="s">
        <v>5428</v>
      </c>
      <c r="BH118" s="174" t="s">
        <v>5429</v>
      </c>
      <c r="BI118" s="173"/>
      <c r="BJ118" s="174" t="s">
        <v>5430</v>
      </c>
      <c r="BK118" s="174" t="s">
        <v>3961</v>
      </c>
      <c r="BL118" s="173"/>
      <c r="BM118" s="174" t="s">
        <v>5366</v>
      </c>
      <c r="BN118" s="174" t="s">
        <v>4440</v>
      </c>
      <c r="BO118" s="174" t="s">
        <v>5431</v>
      </c>
      <c r="BP118" s="174"/>
      <c r="BQ118" s="175"/>
      <c r="BR118" s="175" t="s">
        <v>3836</v>
      </c>
      <c r="BS118" s="175" t="s">
        <v>3779</v>
      </c>
      <c r="BT118" s="175" t="s">
        <v>5432</v>
      </c>
      <c r="BU118" s="175" t="s">
        <v>4764</v>
      </c>
      <c r="BV118" s="175" t="s">
        <v>4403</v>
      </c>
      <c r="BW118" s="280"/>
      <c r="BX118" s="175" t="s">
        <v>5433</v>
      </c>
      <c r="BY118" s="175" t="s">
        <v>5434</v>
      </c>
      <c r="BZ118" s="175" t="s">
        <v>5435</v>
      </c>
      <c r="CA118" s="280"/>
      <c r="CB118" s="280"/>
      <c r="CC118" s="280"/>
      <c r="CD118" s="280"/>
      <c r="CE118" s="281"/>
      <c r="CF118" s="177" t="s">
        <v>5436</v>
      </c>
      <c r="CG118" s="177" t="s">
        <v>5437</v>
      </c>
      <c r="CH118" s="177" t="s">
        <v>4078</v>
      </c>
      <c r="CI118" s="177" t="s">
        <v>5438</v>
      </c>
      <c r="CJ118" s="177" t="s">
        <v>4161</v>
      </c>
      <c r="CK118" s="177" t="s">
        <v>5439</v>
      </c>
      <c r="CL118" s="177" t="s">
        <v>5440</v>
      </c>
      <c r="CM118" s="177" t="s">
        <v>5441</v>
      </c>
      <c r="CN118" s="284"/>
      <c r="CO118" s="284"/>
      <c r="CP118" s="284"/>
      <c r="CQ118" s="284"/>
      <c r="CR118" s="284"/>
      <c r="CS118" s="101"/>
      <c r="CT118" s="206" t="s">
        <v>5442</v>
      </c>
      <c r="CU118" s="206" t="s">
        <v>3056</v>
      </c>
      <c r="CV118" s="206" t="s">
        <v>5443</v>
      </c>
      <c r="CW118" s="206" t="s">
        <v>5444</v>
      </c>
      <c r="CX118" s="206" t="s">
        <v>5445</v>
      </c>
      <c r="CY118" s="206" t="s">
        <v>1817</v>
      </c>
      <c r="CZ118" s="206" t="s">
        <v>5446</v>
      </c>
      <c r="DA118" s="206" t="s">
        <v>4056</v>
      </c>
      <c r="DB118" s="285"/>
      <c r="DC118" s="285"/>
      <c r="DD118" s="285"/>
      <c r="DE118" s="206" t="s">
        <v>5447</v>
      </c>
      <c r="DF118" s="329"/>
      <c r="DG118" s="207" t="s">
        <v>2440</v>
      </c>
      <c r="DH118" s="287"/>
      <c r="DI118" s="287"/>
      <c r="DJ118" s="207"/>
      <c r="DK118" s="287"/>
      <c r="DL118" s="207" t="s">
        <v>5448</v>
      </c>
      <c r="DM118" s="207" t="s">
        <v>3772</v>
      </c>
      <c r="DN118" s="207" t="s">
        <v>1186</v>
      </c>
      <c r="DO118" s="287"/>
      <c r="DP118" s="207" t="s">
        <v>5449</v>
      </c>
      <c r="DQ118" s="207"/>
      <c r="DR118" s="287"/>
      <c r="DS118" s="287"/>
      <c r="DT118" s="207" t="s">
        <v>3000</v>
      </c>
      <c r="DU118" s="287"/>
      <c r="DV118" s="287"/>
      <c r="DW118" s="287"/>
      <c r="DX118" s="207" t="s">
        <v>1751</v>
      </c>
      <c r="DY118" s="287"/>
      <c r="DZ118" s="287"/>
      <c r="EA118" s="287"/>
      <c r="EB118" s="320" t="s">
        <v>5450</v>
      </c>
    </row>
    <row r="119">
      <c r="A119" s="380" t="s">
        <v>5451</v>
      </c>
      <c r="B119" s="82" t="s">
        <v>5452</v>
      </c>
      <c r="C119" s="83" t="s">
        <v>1415</v>
      </c>
      <c r="D119" s="84" t="s">
        <v>1415</v>
      </c>
      <c r="E119" s="85" t="s">
        <v>1415</v>
      </c>
      <c r="F119" s="86" t="s">
        <v>543</v>
      </c>
      <c r="G119" s="82" t="s">
        <v>2095</v>
      </c>
      <c r="H119" s="93"/>
      <c r="I119" s="93" t="s">
        <v>5453</v>
      </c>
      <c r="J119" s="88" t="s">
        <v>648</v>
      </c>
      <c r="K119" s="88" t="s">
        <v>5262</v>
      </c>
      <c r="L119" s="93" t="s">
        <v>5454</v>
      </c>
      <c r="M119" s="98"/>
      <c r="N119" s="93" t="s">
        <v>5455</v>
      </c>
      <c r="O119" s="93" t="s">
        <v>146</v>
      </c>
      <c r="P119" s="88" t="s">
        <v>4161</v>
      </c>
      <c r="Q119" s="98"/>
      <c r="R119" s="98"/>
      <c r="S119" s="98"/>
      <c r="T119" s="98"/>
      <c r="U119" s="98"/>
      <c r="V119" s="98"/>
      <c r="W119" s="92"/>
      <c r="X119" s="93" t="s">
        <v>2917</v>
      </c>
      <c r="Y119" s="93" t="s">
        <v>5456</v>
      </c>
      <c r="Z119" s="93" t="s">
        <v>4666</v>
      </c>
      <c r="AA119" s="93" t="s">
        <v>998</v>
      </c>
      <c r="AB119" s="93" t="s">
        <v>4120</v>
      </c>
      <c r="AC119" s="93" t="s">
        <v>5457</v>
      </c>
      <c r="AD119" s="93"/>
      <c r="AE119" s="383" t="s">
        <v>5458</v>
      </c>
      <c r="AF119" s="93" t="s">
        <v>5459</v>
      </c>
      <c r="AG119" s="98"/>
      <c r="AH119" s="98"/>
      <c r="AI119" s="98"/>
      <c r="AJ119" s="98"/>
      <c r="AK119" s="92"/>
      <c r="AL119" s="98"/>
      <c r="AM119" s="98"/>
      <c r="AN119" s="98"/>
      <c r="AO119" s="98"/>
      <c r="AP119" s="98"/>
      <c r="AQ119" s="98"/>
      <c r="AR119" s="98"/>
      <c r="AS119" s="98"/>
      <c r="AT119" s="93" t="s">
        <v>5460</v>
      </c>
      <c r="AU119" s="93" t="s">
        <v>1018</v>
      </c>
      <c r="AV119" s="98"/>
      <c r="AW119" s="98"/>
      <c r="AX119" s="98"/>
      <c r="AY119" s="98"/>
      <c r="AZ119" s="264"/>
      <c r="BA119" s="93" t="s">
        <v>5461</v>
      </c>
      <c r="BB119" s="93" t="s">
        <v>5462</v>
      </c>
      <c r="BC119" s="93" t="s">
        <v>2051</v>
      </c>
      <c r="BD119" s="93" t="s">
        <v>5463</v>
      </c>
      <c r="BE119" s="93" t="s">
        <v>4105</v>
      </c>
      <c r="BF119" s="93" t="s">
        <v>4128</v>
      </c>
      <c r="BG119" s="98"/>
      <c r="BH119" s="301" t="s">
        <v>607</v>
      </c>
      <c r="BI119" s="93" t="s">
        <v>5464</v>
      </c>
      <c r="BJ119" s="93" t="s">
        <v>5465</v>
      </c>
      <c r="BK119" s="93" t="s">
        <v>5466</v>
      </c>
      <c r="BL119" s="98"/>
      <c r="BM119" s="98"/>
      <c r="BN119" s="98"/>
      <c r="BO119" s="98"/>
      <c r="BP119" s="264"/>
      <c r="BQ119" s="93" t="s">
        <v>5467</v>
      </c>
      <c r="BR119" s="93" t="s">
        <v>2878</v>
      </c>
      <c r="BS119" s="93" t="s">
        <v>4791</v>
      </c>
      <c r="BT119" s="93" t="s">
        <v>5315</v>
      </c>
      <c r="BU119" s="93" t="s">
        <v>5468</v>
      </c>
      <c r="BV119" s="93" t="s">
        <v>4645</v>
      </c>
      <c r="BW119" s="98"/>
      <c r="BX119" s="93" t="s">
        <v>718</v>
      </c>
      <c r="BY119" s="93" t="s">
        <v>5469</v>
      </c>
      <c r="BZ119" s="98"/>
      <c r="CA119" s="98"/>
      <c r="CB119" s="98"/>
      <c r="CC119" s="98"/>
      <c r="CD119" s="98"/>
      <c r="CE119" s="264"/>
      <c r="CF119" s="93" t="s">
        <v>5470</v>
      </c>
      <c r="CG119" s="93" t="s">
        <v>5471</v>
      </c>
      <c r="CH119" s="93" t="s">
        <v>4054</v>
      </c>
      <c r="CI119" s="93" t="s">
        <v>5472</v>
      </c>
      <c r="CJ119" s="93"/>
      <c r="CK119" s="93" t="s">
        <v>5473</v>
      </c>
      <c r="CL119" s="93" t="s">
        <v>1625</v>
      </c>
      <c r="CM119" s="93" t="s">
        <v>5474</v>
      </c>
      <c r="CN119" s="98"/>
      <c r="CO119" s="98"/>
      <c r="CP119" s="98"/>
      <c r="CQ119" s="98"/>
      <c r="CR119" s="98"/>
      <c r="CS119" s="101"/>
      <c r="CT119" s="93" t="s">
        <v>3709</v>
      </c>
      <c r="CU119" s="93" t="s">
        <v>4029</v>
      </c>
      <c r="CV119" s="93" t="s">
        <v>3701</v>
      </c>
      <c r="CW119" s="93" t="s">
        <v>5475</v>
      </c>
      <c r="CX119" s="93" t="s">
        <v>5476</v>
      </c>
      <c r="CY119" s="93" t="s">
        <v>5477</v>
      </c>
      <c r="CZ119" s="93" t="s">
        <v>4693</v>
      </c>
      <c r="DA119" s="93" t="s">
        <v>5147</v>
      </c>
      <c r="DB119" s="98"/>
      <c r="DC119" s="98"/>
      <c r="DD119" s="98"/>
      <c r="DE119" s="98"/>
      <c r="DF119" s="264"/>
      <c r="DG119" s="98"/>
      <c r="DH119" s="98"/>
      <c r="DI119" s="98"/>
      <c r="DJ119" s="98"/>
      <c r="DK119" s="98"/>
      <c r="DL119" s="98"/>
      <c r="DM119" s="98"/>
      <c r="DN119" s="98"/>
      <c r="DO119" s="98"/>
      <c r="DP119" s="93" t="s">
        <v>5478</v>
      </c>
      <c r="DQ119" s="98"/>
      <c r="DR119" s="98"/>
      <c r="DS119" s="98"/>
      <c r="DT119" s="98"/>
      <c r="DU119" s="98"/>
      <c r="DV119" s="98"/>
      <c r="DW119" s="98"/>
      <c r="DX119" s="98"/>
      <c r="DY119" s="98"/>
      <c r="DZ119" s="98"/>
      <c r="EA119" s="98"/>
      <c r="EB119" s="290"/>
    </row>
    <row r="120">
      <c r="A120" s="657" t="s">
        <v>5479</v>
      </c>
      <c r="B120" s="103" t="s">
        <v>5480</v>
      </c>
      <c r="C120" s="104" t="s">
        <v>1415</v>
      </c>
      <c r="D120" s="105" t="s">
        <v>1415</v>
      </c>
      <c r="E120" s="106" t="s">
        <v>1415</v>
      </c>
      <c r="F120" s="107" t="s">
        <v>1415</v>
      </c>
      <c r="G120" s="103" t="s">
        <v>4595</v>
      </c>
      <c r="H120" s="167" t="s">
        <v>4657</v>
      </c>
      <c r="I120" s="167" t="s">
        <v>5481</v>
      </c>
      <c r="J120" s="167" t="s">
        <v>5167</v>
      </c>
      <c r="K120" s="167" t="s">
        <v>352</v>
      </c>
      <c r="L120" s="167" t="s">
        <v>4879</v>
      </c>
      <c r="M120" s="167" t="s">
        <v>5482</v>
      </c>
      <c r="N120" s="167" t="s">
        <v>5483</v>
      </c>
      <c r="O120" s="167" t="s">
        <v>2988</v>
      </c>
      <c r="P120" s="167" t="s">
        <v>5484</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5485</v>
      </c>
      <c r="AF120" s="199" t="s">
        <v>5486</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5487</v>
      </c>
      <c r="BB120" s="174" t="s">
        <v>5462</v>
      </c>
      <c r="BC120" s="174" t="s">
        <v>1046</v>
      </c>
      <c r="BD120" s="174" t="s">
        <v>5488</v>
      </c>
      <c r="BE120" s="174" t="s">
        <v>5489</v>
      </c>
      <c r="BF120" s="174" t="s">
        <v>5490</v>
      </c>
      <c r="BG120" s="174" t="s">
        <v>5491</v>
      </c>
      <c r="BH120" s="174" t="s">
        <v>3012</v>
      </c>
      <c r="BI120" s="173"/>
      <c r="BJ120" s="174" t="s">
        <v>5492</v>
      </c>
      <c r="BK120" s="174" t="s">
        <v>5493</v>
      </c>
      <c r="BL120" s="173"/>
      <c r="BM120" s="173"/>
      <c r="BN120" s="173"/>
      <c r="BO120" s="173"/>
      <c r="BP120" s="277"/>
      <c r="BQ120" s="175" t="s">
        <v>5494</v>
      </c>
      <c r="BR120" s="175" t="s">
        <v>5002</v>
      </c>
      <c r="BS120" s="175" t="s">
        <v>2403</v>
      </c>
      <c r="BT120" s="175" t="s">
        <v>5495</v>
      </c>
      <c r="BU120" s="175" t="s">
        <v>5496</v>
      </c>
      <c r="BV120" s="175" t="s">
        <v>1354</v>
      </c>
      <c r="BW120" s="175" t="s">
        <v>5497</v>
      </c>
      <c r="BX120" s="280"/>
      <c r="BY120" s="175" t="s">
        <v>5498</v>
      </c>
      <c r="BZ120" s="175" t="s">
        <v>5499</v>
      </c>
      <c r="CA120" s="280"/>
      <c r="CB120" s="280"/>
      <c r="CC120" s="280"/>
      <c r="CD120" s="280"/>
      <c r="CE120" s="281"/>
      <c r="CF120" s="177" t="s">
        <v>5500</v>
      </c>
      <c r="CG120" s="177" t="s">
        <v>5212</v>
      </c>
      <c r="CH120" s="177" t="s">
        <v>2248</v>
      </c>
      <c r="CI120" s="177" t="s">
        <v>5501</v>
      </c>
      <c r="CJ120" s="177" t="s">
        <v>5502</v>
      </c>
      <c r="CK120" s="177" t="s">
        <v>5503</v>
      </c>
      <c r="CL120" s="177" t="s">
        <v>4791</v>
      </c>
      <c r="CM120" s="177" t="s">
        <v>5486</v>
      </c>
      <c r="CN120" s="284"/>
      <c r="CO120" s="284"/>
      <c r="CP120" s="284"/>
      <c r="CQ120" s="284"/>
      <c r="CR120" s="284"/>
      <c r="CS120" s="101"/>
      <c r="CT120" s="206" t="s">
        <v>1012</v>
      </c>
      <c r="CU120" s="206" t="s">
        <v>4955</v>
      </c>
      <c r="CV120" s="206" t="s">
        <v>5504</v>
      </c>
      <c r="CW120" s="206" t="s">
        <v>4501</v>
      </c>
      <c r="CX120" s="206" t="s">
        <v>5157</v>
      </c>
      <c r="CY120" s="206" t="s">
        <v>4933</v>
      </c>
      <c r="CZ120" s="206" t="s">
        <v>5505</v>
      </c>
      <c r="DA120" s="206" t="s">
        <v>3816</v>
      </c>
      <c r="DB120" s="285"/>
      <c r="DC120" s="285"/>
      <c r="DD120" s="285"/>
      <c r="DE120" s="285"/>
      <c r="DF120" s="286"/>
      <c r="DG120" s="207" t="s">
        <v>5506</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5507</v>
      </c>
      <c r="B121" s="82" t="s">
        <v>5508</v>
      </c>
      <c r="C121" s="83" t="s">
        <v>1415</v>
      </c>
      <c r="D121" s="84" t="s">
        <v>1415</v>
      </c>
      <c r="E121" s="85" t="s">
        <v>1415</v>
      </c>
      <c r="F121" s="86" t="s">
        <v>828</v>
      </c>
      <c r="G121" s="82" t="s">
        <v>3841</v>
      </c>
      <c r="H121" s="93"/>
      <c r="I121" s="93" t="s">
        <v>5509</v>
      </c>
      <c r="J121" s="93" t="s">
        <v>5158</v>
      </c>
      <c r="K121" s="93" t="s">
        <v>5510</v>
      </c>
      <c r="L121" s="88" t="s">
        <v>5511</v>
      </c>
      <c r="M121" s="98"/>
      <c r="N121" s="98"/>
      <c r="O121" s="98"/>
      <c r="P121" s="93" t="s">
        <v>5512</v>
      </c>
      <c r="Q121" s="98"/>
      <c r="R121" s="98"/>
      <c r="S121" s="93" t="s">
        <v>4166</v>
      </c>
      <c r="T121" s="98"/>
      <c r="U121" s="93" t="s">
        <v>3260</v>
      </c>
      <c r="V121" s="98"/>
      <c r="W121" s="92"/>
      <c r="X121" s="93" t="s">
        <v>5050</v>
      </c>
      <c r="Y121" s="98"/>
      <c r="Z121" s="93" t="s">
        <v>5513</v>
      </c>
      <c r="AA121" s="98"/>
      <c r="AB121" s="93" t="s">
        <v>123</v>
      </c>
      <c r="AC121" s="98"/>
      <c r="AD121" s="98"/>
      <c r="AE121" s="98"/>
      <c r="AF121" s="93" t="s">
        <v>5514</v>
      </c>
      <c r="AG121" s="93" t="s">
        <v>5515</v>
      </c>
      <c r="AH121" s="98"/>
      <c r="AI121" s="93" t="s">
        <v>4316</v>
      </c>
      <c r="AJ121" s="93" t="s">
        <v>5516</v>
      </c>
      <c r="AK121" s="92"/>
      <c r="AL121" s="93" t="s">
        <v>3467</v>
      </c>
      <c r="AM121" s="93" t="s">
        <v>5517</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5518</v>
      </c>
      <c r="BL121" s="98"/>
      <c r="BM121" s="98"/>
      <c r="BN121" s="98"/>
      <c r="BO121" s="98"/>
      <c r="BP121" s="264"/>
      <c r="BQ121" s="98"/>
      <c r="BR121" s="98"/>
      <c r="BS121" s="93" t="s">
        <v>5519</v>
      </c>
      <c r="BT121" s="93" t="s">
        <v>5520</v>
      </c>
      <c r="BU121" s="98"/>
      <c r="BV121" s="93" t="s">
        <v>5521</v>
      </c>
      <c r="BW121" s="98"/>
      <c r="BX121" s="98"/>
      <c r="BY121" s="98"/>
      <c r="BZ121" s="93" t="s">
        <v>2758</v>
      </c>
      <c r="CA121" s="98"/>
      <c r="CB121" s="98"/>
      <c r="CC121" s="98"/>
      <c r="CD121" s="98"/>
      <c r="CE121" s="264"/>
      <c r="CF121" s="93" t="s">
        <v>2262</v>
      </c>
      <c r="CG121" s="88" t="s">
        <v>3221</v>
      </c>
      <c r="CH121" s="93" t="s">
        <v>5522</v>
      </c>
      <c r="CI121" s="93" t="s">
        <v>5523</v>
      </c>
      <c r="CJ121" s="93" t="s">
        <v>1262</v>
      </c>
      <c r="CK121" s="93" t="s">
        <v>5524</v>
      </c>
      <c r="CL121" s="93" t="s">
        <v>2403</v>
      </c>
      <c r="CM121" s="93" t="s">
        <v>5525</v>
      </c>
      <c r="CN121" s="98"/>
      <c r="CO121" s="98"/>
      <c r="CP121" s="98"/>
      <c r="CQ121" s="98"/>
      <c r="CR121" s="98"/>
      <c r="CS121" s="101"/>
      <c r="CT121" s="93" t="s">
        <v>5526</v>
      </c>
      <c r="CU121" s="98"/>
      <c r="CV121" s="93" t="s">
        <v>5527</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5528</v>
      </c>
      <c r="DU121" s="98"/>
      <c r="DV121" s="93" t="s">
        <v>5529</v>
      </c>
      <c r="DW121" s="98"/>
      <c r="DX121" s="93" t="s">
        <v>5530</v>
      </c>
      <c r="DY121" s="88" t="s">
        <v>136</v>
      </c>
      <c r="DZ121" s="98"/>
      <c r="EA121" s="98"/>
      <c r="EB121" s="290" t="s">
        <v>5531</v>
      </c>
    </row>
    <row r="122">
      <c r="A122" s="658" t="s">
        <v>5532</v>
      </c>
      <c r="B122" s="103" t="s">
        <v>5533</v>
      </c>
      <c r="C122" s="104" t="s">
        <v>1415</v>
      </c>
      <c r="D122" s="105" t="s">
        <v>1415</v>
      </c>
      <c r="E122" s="106" t="s">
        <v>1415</v>
      </c>
      <c r="F122" s="107" t="s">
        <v>1415</v>
      </c>
      <c r="G122" s="103" t="s">
        <v>4811</v>
      </c>
      <c r="H122" s="167" t="s">
        <v>5534</v>
      </c>
      <c r="I122" s="167" t="s">
        <v>5535</v>
      </c>
      <c r="J122" s="167" t="s">
        <v>5536</v>
      </c>
      <c r="K122" s="167" t="s">
        <v>5334</v>
      </c>
      <c r="L122" s="167" t="s">
        <v>2545</v>
      </c>
      <c r="M122" s="223"/>
      <c r="N122" s="167" t="s">
        <v>2249</v>
      </c>
      <c r="O122" s="167" t="s">
        <v>686</v>
      </c>
      <c r="P122" s="167" t="s">
        <v>1338</v>
      </c>
      <c r="Q122" s="223"/>
      <c r="R122" s="223"/>
      <c r="S122" s="223"/>
      <c r="T122" s="223"/>
      <c r="U122" s="223"/>
      <c r="V122" s="223"/>
      <c r="W122" s="92"/>
      <c r="X122" s="199" t="s">
        <v>2478</v>
      </c>
      <c r="Y122" s="199" t="s">
        <v>3671</v>
      </c>
      <c r="Z122" s="199" t="s">
        <v>5514</v>
      </c>
      <c r="AA122" s="199" t="s">
        <v>5537</v>
      </c>
      <c r="AB122" s="199" t="s">
        <v>4206</v>
      </c>
      <c r="AC122" s="199" t="s">
        <v>1395</v>
      </c>
      <c r="AD122" s="273"/>
      <c r="AE122" s="199" t="s">
        <v>5538</v>
      </c>
      <c r="AF122" s="199" t="s">
        <v>5539</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5540</v>
      </c>
      <c r="BE122" s="174" t="s">
        <v>5541</v>
      </c>
      <c r="BF122" s="173"/>
      <c r="BG122" s="659"/>
      <c r="BH122" s="174" t="s">
        <v>754</v>
      </c>
      <c r="BI122" s="174" t="s">
        <v>5542</v>
      </c>
      <c r="BJ122" s="173"/>
      <c r="BK122" s="174" t="s">
        <v>4567</v>
      </c>
      <c r="BL122" s="173"/>
      <c r="BM122" s="173"/>
      <c r="BN122" s="173"/>
      <c r="BO122" s="173"/>
      <c r="BP122" s="277"/>
      <c r="BQ122" s="175" t="s">
        <v>5349</v>
      </c>
      <c r="BR122" s="175" t="s">
        <v>4441</v>
      </c>
      <c r="BS122" s="175" t="s">
        <v>4775</v>
      </c>
      <c r="BT122" s="175" t="s">
        <v>1921</v>
      </c>
      <c r="BU122" s="175" t="s">
        <v>1006</v>
      </c>
      <c r="BV122" s="175" t="s">
        <v>5543</v>
      </c>
      <c r="BW122" s="175"/>
      <c r="BX122" s="175" t="s">
        <v>5544</v>
      </c>
      <c r="BY122" s="280"/>
      <c r="BZ122" s="175" t="s">
        <v>2214</v>
      </c>
      <c r="CA122" s="280"/>
      <c r="CB122" s="280"/>
      <c r="CC122" s="280"/>
      <c r="CD122" s="280"/>
      <c r="CE122" s="281"/>
      <c r="CF122" s="177" t="s">
        <v>5545</v>
      </c>
      <c r="CG122" s="177" t="s">
        <v>2328</v>
      </c>
      <c r="CH122" s="284"/>
      <c r="CI122" s="284"/>
      <c r="CJ122" s="284"/>
      <c r="CK122" s="177" t="s">
        <v>5546</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5547</v>
      </c>
      <c r="DA122" s="206" t="s">
        <v>4238</v>
      </c>
      <c r="DB122" s="285"/>
      <c r="DC122" s="285"/>
      <c r="DD122" s="285"/>
      <c r="DE122" s="285"/>
      <c r="DF122" s="286"/>
      <c r="DG122" s="287"/>
      <c r="DH122" s="287"/>
      <c r="DI122" s="287"/>
      <c r="DJ122" s="287"/>
      <c r="DK122" s="287"/>
      <c r="DL122" s="287"/>
      <c r="DM122" s="287"/>
      <c r="DN122" s="287"/>
      <c r="DO122" s="287"/>
      <c r="DP122" s="207" t="s">
        <v>5548</v>
      </c>
      <c r="DQ122" s="207" t="s">
        <v>2371</v>
      </c>
      <c r="DR122" s="287"/>
      <c r="DS122" s="287"/>
      <c r="DT122" s="287"/>
      <c r="DU122" s="287"/>
      <c r="DV122" s="287"/>
      <c r="DW122" s="287"/>
      <c r="DX122" s="287"/>
      <c r="DY122" s="287"/>
      <c r="DZ122" s="287"/>
      <c r="EA122" s="287"/>
      <c r="EB122" s="320"/>
    </row>
    <row r="123">
      <c r="A123" s="660" t="s">
        <v>5549</v>
      </c>
      <c r="B123" s="82" t="s">
        <v>5533</v>
      </c>
      <c r="C123" s="83" t="s">
        <v>1415</v>
      </c>
      <c r="D123" s="84" t="s">
        <v>738</v>
      </c>
      <c r="E123" s="85" t="s">
        <v>1415</v>
      </c>
      <c r="F123" s="86" t="s">
        <v>5550</v>
      </c>
      <c r="G123" s="82" t="s">
        <v>2218</v>
      </c>
      <c r="H123" s="98"/>
      <c r="I123" s="88" t="s">
        <v>5551</v>
      </c>
      <c r="J123" s="88" t="s">
        <v>5552</v>
      </c>
      <c r="K123" s="88" t="s">
        <v>5553</v>
      </c>
      <c r="L123" s="88" t="s">
        <v>2464</v>
      </c>
      <c r="M123" s="88" t="s">
        <v>1462</v>
      </c>
      <c r="N123" s="88" t="s">
        <v>5554</v>
      </c>
      <c r="O123" s="88" t="s">
        <v>1366</v>
      </c>
      <c r="P123" s="93" t="s">
        <v>5279</v>
      </c>
      <c r="Q123" s="98"/>
      <c r="R123" s="98"/>
      <c r="S123" s="98"/>
      <c r="T123" s="98"/>
      <c r="U123" s="98"/>
      <c r="V123" s="98"/>
      <c r="W123" s="92"/>
      <c r="X123" s="88" t="s">
        <v>3066</v>
      </c>
      <c r="Y123" s="88" t="s">
        <v>2476</v>
      </c>
      <c r="Z123" s="301" t="s">
        <v>5555</v>
      </c>
      <c r="AA123" s="93" t="s">
        <v>5556</v>
      </c>
      <c r="AB123" s="88" t="s">
        <v>3821</v>
      </c>
      <c r="AC123" s="301" t="s">
        <v>3432</v>
      </c>
      <c r="AD123" s="98"/>
      <c r="AE123" s="301" t="s">
        <v>5557</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5558</v>
      </c>
      <c r="BB123" s="301" t="s">
        <v>5559</v>
      </c>
      <c r="BC123" s="301" t="s">
        <v>5471</v>
      </c>
      <c r="BD123" s="88" t="s">
        <v>3133</v>
      </c>
      <c r="BE123" s="88" t="s">
        <v>5560</v>
      </c>
      <c r="BF123" s="98"/>
      <c r="BG123" s="98"/>
      <c r="BH123" s="88" t="s">
        <v>3901</v>
      </c>
      <c r="BI123" s="98"/>
      <c r="BJ123" s="93" t="s">
        <v>5561</v>
      </c>
      <c r="BK123" s="301" t="s">
        <v>5562</v>
      </c>
      <c r="BL123" s="98"/>
      <c r="BM123" s="98"/>
      <c r="BN123" s="98"/>
      <c r="BO123" s="98"/>
      <c r="BP123" s="264"/>
      <c r="BQ123" s="88" t="s">
        <v>5563</v>
      </c>
      <c r="BR123" s="93" t="s">
        <v>5564</v>
      </c>
      <c r="BS123" s="93" t="s">
        <v>5565</v>
      </c>
      <c r="BT123" s="93" t="s">
        <v>1795</v>
      </c>
      <c r="BU123" s="93" t="s">
        <v>4729</v>
      </c>
      <c r="BV123" s="93" t="s">
        <v>717</v>
      </c>
      <c r="BW123" s="93" t="s">
        <v>5566</v>
      </c>
      <c r="BX123" s="98"/>
      <c r="BY123" s="88" t="s">
        <v>5567</v>
      </c>
      <c r="BZ123" s="93" t="s">
        <v>5568</v>
      </c>
      <c r="CA123" s="98"/>
      <c r="CB123" s="98"/>
      <c r="CC123" s="98"/>
      <c r="CD123" s="98"/>
      <c r="CE123" s="264"/>
      <c r="CF123" s="93" t="s">
        <v>5569</v>
      </c>
      <c r="CG123" s="88" t="s">
        <v>3903</v>
      </c>
      <c r="CH123" s="88" t="s">
        <v>4106</v>
      </c>
      <c r="CI123" s="88" t="s">
        <v>5570</v>
      </c>
      <c r="CJ123" s="88" t="s">
        <v>4070</v>
      </c>
      <c r="CK123" s="93" t="s">
        <v>5571</v>
      </c>
      <c r="CL123" s="88" t="s">
        <v>1964</v>
      </c>
      <c r="CM123" s="93" t="s">
        <v>1842</v>
      </c>
      <c r="CN123" s="98"/>
      <c r="CO123" s="98"/>
      <c r="CP123" s="98"/>
      <c r="CQ123" s="98"/>
      <c r="CR123" s="98"/>
      <c r="CS123" s="101"/>
      <c r="CT123" s="88" t="s">
        <v>5572</v>
      </c>
      <c r="CU123" s="88" t="s">
        <v>5573</v>
      </c>
      <c r="CV123" s="88" t="s">
        <v>5574</v>
      </c>
      <c r="CW123" s="88" t="s">
        <v>5575</v>
      </c>
      <c r="CX123" s="88" t="s">
        <v>5576</v>
      </c>
      <c r="CY123" s="88" t="s">
        <v>5577</v>
      </c>
      <c r="CZ123" s="88" t="s">
        <v>5578</v>
      </c>
      <c r="DA123" s="88" t="s">
        <v>4953</v>
      </c>
      <c r="DB123" s="98"/>
      <c r="DC123" s="98"/>
      <c r="DD123" s="98"/>
      <c r="DE123" s="98"/>
      <c r="DF123" s="264"/>
      <c r="DG123" s="88" t="s">
        <v>3601</v>
      </c>
      <c r="DH123" s="98"/>
      <c r="DI123" s="98"/>
      <c r="DJ123" s="98"/>
      <c r="DK123" s="90" t="s">
        <v>199</v>
      </c>
      <c r="DL123" s="98"/>
      <c r="DM123" s="98"/>
      <c r="DN123" s="98"/>
      <c r="DO123" s="98"/>
      <c r="DP123" s="93" t="s">
        <v>5579</v>
      </c>
      <c r="DQ123" s="93" t="s">
        <v>5580</v>
      </c>
      <c r="DR123" s="98"/>
      <c r="DS123" s="98"/>
      <c r="DT123" s="98"/>
      <c r="DU123" s="98"/>
      <c r="DV123" s="98"/>
      <c r="DW123" s="98"/>
      <c r="DX123" s="98"/>
      <c r="DY123" s="98"/>
      <c r="DZ123" s="98"/>
      <c r="EA123" s="98"/>
      <c r="EB123" s="401"/>
    </row>
    <row r="124">
      <c r="A124" s="661" t="s">
        <v>5581</v>
      </c>
      <c r="B124" s="103" t="s">
        <v>5582</v>
      </c>
      <c r="C124" s="104" t="s">
        <v>1415</v>
      </c>
      <c r="D124" s="105" t="s">
        <v>1415</v>
      </c>
      <c r="E124" s="106" t="s">
        <v>1415</v>
      </c>
      <c r="F124" s="107" t="s">
        <v>738</v>
      </c>
      <c r="G124" s="103" t="s">
        <v>218</v>
      </c>
      <c r="H124" s="223"/>
      <c r="I124" s="223"/>
      <c r="J124" s="167" t="s">
        <v>5583</v>
      </c>
      <c r="K124" s="167" t="s">
        <v>4598</v>
      </c>
      <c r="L124" s="167" t="s">
        <v>5215</v>
      </c>
      <c r="M124" s="223"/>
      <c r="N124" s="167" t="s">
        <v>4875</v>
      </c>
      <c r="O124" s="167" t="s">
        <v>5584</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5585</v>
      </c>
      <c r="BF124" s="173"/>
      <c r="BG124" s="173"/>
      <c r="BH124" s="174" t="s">
        <v>3218</v>
      </c>
      <c r="BI124" s="173"/>
      <c r="BJ124" s="174" t="s">
        <v>5586</v>
      </c>
      <c r="BK124" s="173"/>
      <c r="BL124" s="173"/>
      <c r="BM124" s="173"/>
      <c r="BN124" s="173"/>
      <c r="BO124" s="173"/>
      <c r="BP124" s="277"/>
      <c r="BQ124" s="175" t="s">
        <v>5587</v>
      </c>
      <c r="BR124" s="280"/>
      <c r="BS124" s="280"/>
      <c r="BT124" s="175" t="s">
        <v>5520</v>
      </c>
      <c r="BU124" s="280"/>
      <c r="BV124" s="280"/>
      <c r="BW124" s="280"/>
      <c r="BX124" s="280"/>
      <c r="BY124" s="280"/>
      <c r="BZ124" s="280"/>
      <c r="CA124" s="280"/>
      <c r="CB124" s="280"/>
      <c r="CC124" s="280"/>
      <c r="CD124" s="280"/>
      <c r="CE124" s="281"/>
      <c r="CF124" s="177" t="s">
        <v>5588</v>
      </c>
      <c r="CG124" s="177" t="s">
        <v>1442</v>
      </c>
      <c r="CH124" s="284"/>
      <c r="CI124" s="177" t="s">
        <v>5589</v>
      </c>
      <c r="CJ124" s="177"/>
      <c r="CK124" s="284"/>
      <c r="CL124" s="284"/>
      <c r="CM124" s="136" t="s">
        <v>1246</v>
      </c>
      <c r="CN124" s="284"/>
      <c r="CO124" s="284"/>
      <c r="CP124" s="284"/>
      <c r="CQ124" s="284"/>
      <c r="CR124" s="284"/>
      <c r="CS124" s="101"/>
      <c r="CT124" s="206" t="s">
        <v>5488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5590</v>
      </c>
      <c r="B125" s="82" t="s">
        <v>5591</v>
      </c>
      <c r="C125" s="83" t="s">
        <v>1415</v>
      </c>
      <c r="D125" s="84" t="s">
        <v>1415</v>
      </c>
      <c r="E125" s="85" t="s">
        <v>1415</v>
      </c>
      <c r="F125" s="86" t="s">
        <v>2253</v>
      </c>
      <c r="G125" s="82" t="s">
        <v>2692</v>
      </c>
      <c r="H125" s="100"/>
      <c r="I125" s="94"/>
      <c r="J125" s="100"/>
      <c r="K125" s="88" t="s">
        <v>2765</v>
      </c>
      <c r="L125" s="100" t="s">
        <v>557</v>
      </c>
      <c r="M125" s="100"/>
      <c r="N125" s="100"/>
      <c r="O125" s="88" t="s">
        <v>5592</v>
      </c>
      <c r="P125" s="88" t="s">
        <v>107</v>
      </c>
      <c r="Q125" s="98"/>
      <c r="R125" s="98"/>
      <c r="S125" s="98"/>
      <c r="T125" s="98"/>
      <c r="U125" s="98"/>
      <c r="V125" s="98"/>
      <c r="W125" s="92"/>
      <c r="X125" s="100" t="s">
        <v>5593</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5594</v>
      </c>
      <c r="BW125" s="98"/>
      <c r="BX125" s="100"/>
      <c r="BY125" s="100"/>
      <c r="BZ125" s="100"/>
      <c r="CA125" s="98"/>
      <c r="CB125" s="98"/>
      <c r="CC125" s="98"/>
      <c r="CD125" s="98"/>
      <c r="CE125" s="264"/>
      <c r="CF125" s="100"/>
      <c r="CG125" s="100" t="s">
        <v>5595</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5597</v>
      </c>
      <c r="B126" s="103" t="s">
        <v>5598</v>
      </c>
      <c r="C126" s="104" t="s">
        <v>1415</v>
      </c>
      <c r="D126" s="105" t="s">
        <v>1415</v>
      </c>
      <c r="E126" s="106" t="s">
        <v>1415</v>
      </c>
      <c r="F126" s="107" t="s">
        <v>1415</v>
      </c>
      <c r="G126" s="103" t="s">
        <v>3988</v>
      </c>
      <c r="H126" s="223"/>
      <c r="I126" s="167" t="s">
        <v>5599</v>
      </c>
      <c r="J126" s="223"/>
      <c r="K126" s="223"/>
      <c r="L126" s="167" t="s">
        <v>3373</v>
      </c>
      <c r="M126" s="223"/>
      <c r="N126" s="167" t="s">
        <v>5274</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5600</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5601</v>
      </c>
      <c r="BF126" s="173"/>
      <c r="BG126" s="173"/>
      <c r="BH126" s="174" t="s">
        <v>5345</v>
      </c>
      <c r="BI126" s="173"/>
      <c r="BJ126" s="173"/>
      <c r="BK126" s="173"/>
      <c r="BL126" s="173"/>
      <c r="BM126" s="173"/>
      <c r="BN126" s="173"/>
      <c r="BO126" s="173"/>
      <c r="BP126" s="277"/>
      <c r="BQ126" s="280"/>
      <c r="BR126" s="175" t="s">
        <v>5602</v>
      </c>
      <c r="BS126" s="175" t="s">
        <v>1636</v>
      </c>
      <c r="BT126" s="280"/>
      <c r="BU126" s="280"/>
      <c r="BV126" s="175" t="s">
        <v>1721</v>
      </c>
      <c r="BW126" s="280"/>
      <c r="BX126" s="175" t="s">
        <v>5603</v>
      </c>
      <c r="BY126" s="280"/>
      <c r="BZ126" s="280"/>
      <c r="CA126" s="280"/>
      <c r="CB126" s="280"/>
      <c r="CC126" s="280"/>
      <c r="CD126" s="280"/>
      <c r="CE126" s="281"/>
      <c r="CF126" s="284"/>
      <c r="CG126" s="284"/>
      <c r="CH126" s="284"/>
      <c r="CI126" s="177" t="s">
        <v>5604</v>
      </c>
      <c r="CJ126" s="177"/>
      <c r="CK126" s="284"/>
      <c r="CL126" s="284"/>
      <c r="CM126" s="284"/>
      <c r="CN126" s="284"/>
      <c r="CO126" s="284"/>
      <c r="CP126" s="284"/>
      <c r="CQ126" s="284"/>
      <c r="CR126" s="284"/>
      <c r="CS126" s="101"/>
      <c r="CT126" s="206" t="s">
        <v>4943</v>
      </c>
      <c r="CU126" s="285"/>
      <c r="CV126" s="206" t="s">
        <v>3383</v>
      </c>
      <c r="CW126" s="285"/>
      <c r="CX126" s="285"/>
      <c r="CY126" s="285"/>
      <c r="CZ126" s="206" t="s">
        <v>5605</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5606</v>
      </c>
      <c r="B127" s="82" t="s">
        <v>5607</v>
      </c>
      <c r="C127" s="83" t="s">
        <v>1415</v>
      </c>
      <c r="D127" s="84" t="s">
        <v>1415</v>
      </c>
      <c r="E127" s="85" t="s">
        <v>1415</v>
      </c>
      <c r="F127" s="86" t="s">
        <v>3680</v>
      </c>
      <c r="G127" s="82" t="s">
        <v>3680</v>
      </c>
      <c r="H127" s="88" t="s">
        <v>5608</v>
      </c>
      <c r="I127" s="88" t="s">
        <v>5609</v>
      </c>
      <c r="J127" s="88" t="s">
        <v>4641</v>
      </c>
      <c r="K127" s="98"/>
      <c r="L127" s="88" t="s">
        <v>5610</v>
      </c>
      <c r="M127" s="88" t="s">
        <v>5611</v>
      </c>
      <c r="N127" s="98"/>
      <c r="O127" s="98"/>
      <c r="P127" s="88" t="s">
        <v>3486</v>
      </c>
      <c r="Q127" s="98"/>
      <c r="R127" s="98"/>
      <c r="S127" s="98"/>
      <c r="T127" s="98"/>
      <c r="U127" s="98"/>
      <c r="V127" s="98"/>
      <c r="W127" s="92"/>
      <c r="X127" s="88" t="s">
        <v>2289</v>
      </c>
      <c r="Y127" s="88" t="s">
        <v>5612</v>
      </c>
      <c r="Z127" s="88" t="s">
        <v>656</v>
      </c>
      <c r="AA127" s="98"/>
      <c r="AB127" s="98"/>
      <c r="AC127" s="98"/>
      <c r="AD127" s="98"/>
      <c r="AE127" s="88" t="s">
        <v>5613</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5614</v>
      </c>
      <c r="BR127" s="98"/>
      <c r="BS127" s="88" t="s">
        <v>3267</v>
      </c>
      <c r="BT127" s="98"/>
      <c r="BU127" s="98"/>
      <c r="BV127" s="98"/>
      <c r="BW127" s="98"/>
      <c r="BX127" s="98"/>
      <c r="BY127" s="98"/>
      <c r="BZ127" s="88" t="s">
        <v>2234</v>
      </c>
      <c r="CA127" s="98"/>
      <c r="CB127" s="98"/>
      <c r="CC127" s="98"/>
      <c r="CD127" s="98"/>
      <c r="CE127" s="264"/>
      <c r="CF127" s="88" t="s">
        <v>5615</v>
      </c>
      <c r="CG127" s="88" t="s">
        <v>2362</v>
      </c>
      <c r="CH127" s="98"/>
      <c r="CI127" s="88" t="s">
        <v>4647</v>
      </c>
      <c r="CJ127" s="210"/>
      <c r="CK127" s="88" t="s">
        <v>5616</v>
      </c>
      <c r="CL127" s="88" t="s">
        <v>1622</v>
      </c>
      <c r="CM127" s="98"/>
      <c r="CN127" s="98"/>
      <c r="CO127" s="98"/>
      <c r="CP127" s="98"/>
      <c r="CQ127" s="98"/>
      <c r="CR127" s="98"/>
      <c r="CS127" s="101"/>
      <c r="CT127" s="98"/>
      <c r="CU127" s="98"/>
      <c r="CV127" s="98"/>
      <c r="CW127" s="98"/>
      <c r="CX127" s="98"/>
      <c r="CY127" s="98"/>
      <c r="CZ127" s="88" t="s">
        <v>5617</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5618</v>
      </c>
      <c r="B128" s="103" t="s">
        <v>5619</v>
      </c>
      <c r="C128" s="104" t="s">
        <v>1415</v>
      </c>
      <c r="D128" s="105" t="s">
        <v>1415</v>
      </c>
      <c r="E128" s="106" t="s">
        <v>1415</v>
      </c>
      <c r="F128" s="107" t="s">
        <v>1415</v>
      </c>
      <c r="G128" s="103" t="s">
        <v>219</v>
      </c>
      <c r="H128" s="305" t="s">
        <v>5620</v>
      </c>
      <c r="I128" s="403" t="s">
        <v>5621</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5622</v>
      </c>
      <c r="BF128" s="173"/>
      <c r="BG128" s="173"/>
      <c r="BH128" s="464"/>
      <c r="BI128" s="464"/>
      <c r="BJ128" s="464"/>
      <c r="BK128" s="464"/>
      <c r="BL128" s="173"/>
      <c r="BM128" s="173"/>
      <c r="BN128" s="173"/>
      <c r="BO128" s="173"/>
      <c r="BP128" s="277"/>
      <c r="BQ128" s="176"/>
      <c r="BR128" s="176"/>
      <c r="BS128" s="176"/>
      <c r="BT128" s="665" t="s">
        <v>5623</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5624</v>
      </c>
      <c r="B129" s="82" t="s">
        <v>5625</v>
      </c>
      <c r="C129" s="83" t="s">
        <v>1415</v>
      </c>
      <c r="D129" s="84" t="s">
        <v>1415</v>
      </c>
      <c r="E129" s="85" t="s">
        <v>1415</v>
      </c>
      <c r="F129" s="86" t="s">
        <v>738</v>
      </c>
      <c r="G129" s="82" t="s">
        <v>2868</v>
      </c>
      <c r="H129" s="93" t="s">
        <v>4188</v>
      </c>
      <c r="I129" s="93" t="s">
        <v>5626</v>
      </c>
      <c r="J129" s="93" t="s">
        <v>3139</v>
      </c>
      <c r="K129" s="93" t="s">
        <v>2266</v>
      </c>
      <c r="L129" s="93" t="s">
        <v>5627</v>
      </c>
      <c r="M129" s="93" t="s">
        <v>5628</v>
      </c>
      <c r="N129" s="93" t="s">
        <v>5629</v>
      </c>
      <c r="O129" s="93" t="s">
        <v>925</v>
      </c>
      <c r="P129" s="93" t="s">
        <v>1207</v>
      </c>
      <c r="Q129" s="93"/>
      <c r="R129" s="98"/>
      <c r="S129" s="98"/>
      <c r="T129" s="98"/>
      <c r="U129" s="98"/>
      <c r="V129" s="98"/>
      <c r="W129" s="92"/>
      <c r="X129" s="93" t="s">
        <v>5630</v>
      </c>
      <c r="Y129" s="93" t="s">
        <v>5631</v>
      </c>
      <c r="Z129" s="93" t="s">
        <v>1989</v>
      </c>
      <c r="AA129" s="93" t="s">
        <v>5632</v>
      </c>
      <c r="AB129" s="93" t="s">
        <v>3821</v>
      </c>
      <c r="AC129" s="93" t="s">
        <v>5633</v>
      </c>
      <c r="AD129" s="98"/>
      <c r="AE129" s="93" t="s">
        <v>5634</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5635</v>
      </c>
      <c r="BW129" s="98"/>
      <c r="BX129" s="98"/>
      <c r="BY129" s="98"/>
      <c r="BZ129" s="93" t="s">
        <v>823</v>
      </c>
      <c r="CA129" s="98"/>
      <c r="CB129" s="98"/>
      <c r="CC129" s="98"/>
      <c r="CD129" s="98"/>
      <c r="CE129" s="264"/>
      <c r="CF129" s="93" t="s">
        <v>5636</v>
      </c>
      <c r="CG129" s="93" t="s">
        <v>193</v>
      </c>
      <c r="CH129" s="93" t="s">
        <v>2598</v>
      </c>
      <c r="CI129" s="98"/>
      <c r="CJ129" s="98"/>
      <c r="CK129" s="98"/>
      <c r="CL129" s="98"/>
      <c r="CM129" s="93" t="s">
        <v>5637</v>
      </c>
      <c r="CN129" s="98"/>
      <c r="CO129" s="98"/>
      <c r="CP129" s="98"/>
      <c r="CQ129" s="98"/>
      <c r="CR129" s="98"/>
      <c r="CS129" s="101"/>
      <c r="CT129" s="93" t="s">
        <v>5638</v>
      </c>
      <c r="CU129" s="93" t="s">
        <v>5639</v>
      </c>
      <c r="CV129" s="93" t="s">
        <v>1906</v>
      </c>
      <c r="CW129" s="93" t="s">
        <v>4970</v>
      </c>
      <c r="CX129" s="98"/>
      <c r="CY129" s="98"/>
      <c r="CZ129" s="98"/>
      <c r="DA129" s="93"/>
      <c r="DB129" s="98"/>
      <c r="DC129" s="98"/>
      <c r="DD129" s="98"/>
      <c r="DE129" s="98"/>
      <c r="DF129" s="264"/>
      <c r="DG129" s="93" t="s">
        <v>5640</v>
      </c>
      <c r="DH129" s="98"/>
      <c r="DI129" s="98"/>
      <c r="DJ129" s="98"/>
      <c r="DK129" s="98"/>
      <c r="DL129" s="98"/>
      <c r="DM129" s="98"/>
      <c r="DN129" s="98"/>
      <c r="DO129" s="98"/>
      <c r="DP129" s="98"/>
      <c r="DQ129" s="98"/>
      <c r="DR129" s="93" t="s">
        <v>5074</v>
      </c>
      <c r="DS129" s="98"/>
      <c r="DT129" s="98"/>
      <c r="DU129" s="98"/>
      <c r="DV129" s="98"/>
      <c r="DW129" s="98"/>
      <c r="DX129" s="98"/>
      <c r="DY129" s="98"/>
      <c r="DZ129" s="93" t="s">
        <v>4616</v>
      </c>
      <c r="EA129" s="93" t="s">
        <v>2559</v>
      </c>
      <c r="EB129" s="290" t="s">
        <v>5641</v>
      </c>
    </row>
    <row r="130">
      <c r="A130" s="166" t="s">
        <v>5642</v>
      </c>
      <c r="B130" s="103" t="s">
        <v>5643</v>
      </c>
      <c r="C130" s="104" t="s">
        <v>1415</v>
      </c>
      <c r="D130" s="105" t="s">
        <v>1415</v>
      </c>
      <c r="E130" s="106" t="s">
        <v>1415</v>
      </c>
      <c r="F130" s="107" t="s">
        <v>438</v>
      </c>
      <c r="G130" s="103" t="s">
        <v>220</v>
      </c>
      <c r="H130" s="167" t="s">
        <v>3670</v>
      </c>
      <c r="I130" s="167" t="s">
        <v>2117</v>
      </c>
      <c r="J130" s="167" t="s">
        <v>5644</v>
      </c>
      <c r="K130" s="167" t="s">
        <v>3444</v>
      </c>
      <c r="L130" s="305" t="s">
        <v>5645</v>
      </c>
      <c r="M130" s="223"/>
      <c r="N130" s="223"/>
      <c r="O130" s="305" t="s">
        <v>1282</v>
      </c>
      <c r="P130" s="223"/>
      <c r="Q130" s="223"/>
      <c r="R130" s="167"/>
      <c r="S130" s="167"/>
      <c r="T130" s="223"/>
      <c r="U130" s="223"/>
      <c r="V130" s="223"/>
      <c r="W130" s="92"/>
      <c r="X130" s="199" t="s">
        <v>3038</v>
      </c>
      <c r="Y130" s="273"/>
      <c r="Z130" s="199" t="s">
        <v>5646</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5647</v>
      </c>
      <c r="BJ130" s="174"/>
      <c r="BK130" s="173"/>
      <c r="BL130" s="173"/>
      <c r="BM130" s="173"/>
      <c r="BN130" s="173"/>
      <c r="BO130" s="173"/>
      <c r="BP130" s="277"/>
      <c r="BQ130" s="280"/>
      <c r="BR130" s="176" t="s">
        <v>3933</v>
      </c>
      <c r="BS130" s="175" t="s">
        <v>5648</v>
      </c>
      <c r="BT130" s="280"/>
      <c r="BU130" s="280"/>
      <c r="BV130" s="175" t="s">
        <v>5649</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5650</v>
      </c>
      <c r="B131" s="82" t="s">
        <v>5651</v>
      </c>
      <c r="C131" s="83" t="s">
        <v>1415</v>
      </c>
      <c r="D131" s="84" t="s">
        <v>1415</v>
      </c>
      <c r="E131" s="85" t="s">
        <v>1415</v>
      </c>
      <c r="F131" s="86" t="s">
        <v>1415</v>
      </c>
      <c r="G131" s="82" t="s">
        <v>2904</v>
      </c>
      <c r="H131" s="93" t="s">
        <v>5652</v>
      </c>
      <c r="I131" s="93" t="s">
        <v>5653</v>
      </c>
      <c r="J131" s="93" t="s">
        <v>845</v>
      </c>
      <c r="K131" s="93" t="s">
        <v>3921</v>
      </c>
      <c r="L131" s="93" t="s">
        <v>5654</v>
      </c>
      <c r="M131" s="93" t="s">
        <v>5655</v>
      </c>
      <c r="N131" s="93" t="s">
        <v>5656</v>
      </c>
      <c r="O131" s="93" t="s">
        <v>5657</v>
      </c>
      <c r="P131" s="98"/>
      <c r="Q131" s="98"/>
      <c r="R131" s="98"/>
      <c r="S131" s="98"/>
      <c r="T131" s="98"/>
      <c r="U131" s="98"/>
      <c r="V131" s="98"/>
      <c r="W131" s="92"/>
      <c r="X131" s="93" t="s">
        <v>5658</v>
      </c>
      <c r="Y131" s="93" t="s">
        <v>5659</v>
      </c>
      <c r="Z131" s="93" t="s">
        <v>5459</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5660</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5528</v>
      </c>
      <c r="BV131" s="93" t="s">
        <v>5521</v>
      </c>
      <c r="BW131" s="98"/>
      <c r="BX131" s="98"/>
      <c r="BY131" s="98"/>
      <c r="BZ131" s="98"/>
      <c r="CA131" s="98"/>
      <c r="CB131" s="98"/>
      <c r="CC131" s="98"/>
      <c r="CD131" s="98"/>
      <c r="CE131" s="264"/>
      <c r="CF131" s="93" t="s">
        <v>5661</v>
      </c>
      <c r="CG131" s="93" t="s">
        <v>3932</v>
      </c>
      <c r="CH131" s="98"/>
      <c r="CI131" s="98"/>
      <c r="CJ131" s="98"/>
      <c r="CK131" s="98"/>
      <c r="CL131" s="98"/>
      <c r="CM131" s="98"/>
      <c r="CN131" s="98"/>
      <c r="CO131" s="98"/>
      <c r="CP131" s="98"/>
      <c r="CQ131" s="98"/>
      <c r="CR131" s="98"/>
      <c r="CS131" s="101"/>
      <c r="CT131" s="93" t="s">
        <v>4648</v>
      </c>
      <c r="CU131" s="93" t="s">
        <v>5662</v>
      </c>
      <c r="CV131" s="93" t="s">
        <v>2636</v>
      </c>
      <c r="CW131" s="98"/>
      <c r="CX131" s="98"/>
      <c r="CY131" s="98"/>
      <c r="CZ131" s="93" t="s">
        <v>5663</v>
      </c>
      <c r="DA131" s="98"/>
      <c r="DB131" s="98"/>
      <c r="DC131" s="98"/>
      <c r="DD131" s="98"/>
      <c r="DE131" s="98"/>
      <c r="DF131" s="264"/>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90"/>
    </row>
    <row r="132">
      <c r="A132" s="668" t="s">
        <v>5665</v>
      </c>
      <c r="B132" s="214" t="s">
        <v>5666</v>
      </c>
      <c r="C132" s="215" t="s">
        <v>1415</v>
      </c>
      <c r="D132" s="216" t="s">
        <v>1415</v>
      </c>
      <c r="E132" s="217" t="s">
        <v>1415</v>
      </c>
      <c r="F132" s="218" t="s">
        <v>2253</v>
      </c>
      <c r="G132" s="214" t="s">
        <v>1881</v>
      </c>
      <c r="H132" s="669"/>
      <c r="I132" s="669" t="s">
        <v>5667</v>
      </c>
      <c r="J132" s="669"/>
      <c r="K132" s="669" t="s">
        <v>2224</v>
      </c>
      <c r="L132" s="219" t="s">
        <v>5117</v>
      </c>
      <c r="M132" s="669"/>
      <c r="N132" s="459" t="s">
        <v>5668</v>
      </c>
      <c r="O132" s="459" t="s">
        <v>5592</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5669</v>
      </c>
      <c r="AY132" s="672"/>
      <c r="AZ132" s="674"/>
      <c r="BA132" s="675" t="s">
        <v>5670</v>
      </c>
      <c r="BB132" s="675"/>
      <c r="BC132" s="675"/>
      <c r="BD132" s="675" t="s">
        <v>5671</v>
      </c>
      <c r="BE132" s="675" t="s">
        <v>5672</v>
      </c>
      <c r="BF132" s="675"/>
      <c r="BG132" s="675"/>
      <c r="BH132" s="127" t="s">
        <v>5673</v>
      </c>
      <c r="BI132" s="675"/>
      <c r="BJ132" s="233" t="s">
        <v>5674</v>
      </c>
      <c r="BK132" s="675"/>
      <c r="BL132" s="675"/>
      <c r="BM132" s="675"/>
      <c r="BN132" s="675"/>
      <c r="BO132" s="675"/>
      <c r="BP132" s="676"/>
      <c r="BQ132" s="677"/>
      <c r="BR132" s="677"/>
      <c r="BS132" s="677" t="s">
        <v>5675</v>
      </c>
      <c r="BT132" s="677"/>
      <c r="BU132" s="131" t="s">
        <v>2590</v>
      </c>
      <c r="BV132" s="131" t="s">
        <v>5356</v>
      </c>
      <c r="BW132" s="677"/>
      <c r="BX132" s="677"/>
      <c r="BY132" s="677"/>
      <c r="BZ132" s="131" t="s">
        <v>3589</v>
      </c>
      <c r="CA132" s="677" t="s">
        <v>5676</v>
      </c>
      <c r="CB132" s="677"/>
      <c r="CC132" s="677"/>
      <c r="CD132" s="677"/>
      <c r="CE132" s="678"/>
      <c r="CF132" s="679" t="s">
        <v>766</v>
      </c>
      <c r="CG132" s="679"/>
      <c r="CH132" s="679"/>
      <c r="CI132" s="679" t="s">
        <v>5677</v>
      </c>
      <c r="CJ132" s="679"/>
      <c r="CK132" s="680" t="s">
        <v>5678</v>
      </c>
      <c r="CL132" s="177" t="s">
        <v>5679</v>
      </c>
      <c r="CM132" s="679"/>
      <c r="CN132" s="679"/>
      <c r="CO132" s="679"/>
      <c r="CP132" s="679"/>
      <c r="CQ132" s="679"/>
      <c r="CR132" s="679" t="s">
        <v>5680</v>
      </c>
      <c r="CS132" s="552"/>
      <c r="CT132" s="681"/>
      <c r="CU132" s="681"/>
      <c r="CV132" s="249" t="s">
        <v>3319</v>
      </c>
      <c r="CW132" s="681" t="s">
        <v>5681</v>
      </c>
      <c r="CX132" s="249" t="s">
        <v>5682</v>
      </c>
      <c r="CY132" s="247" t="s">
        <v>2999</v>
      </c>
      <c r="CZ132" s="247" t="s">
        <v>5683</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5684</v>
      </c>
      <c r="DZ132" s="683"/>
      <c r="EA132" s="683"/>
      <c r="EB132" s="683"/>
    </row>
    <row r="133">
      <c r="A133" s="684" t="s">
        <v>5685</v>
      </c>
      <c r="B133" s="82" t="s">
        <v>5686</v>
      </c>
      <c r="C133" s="83" t="s">
        <v>1415</v>
      </c>
      <c r="D133" s="84" t="s">
        <v>1415</v>
      </c>
      <c r="E133" s="85" t="s">
        <v>1415</v>
      </c>
      <c r="F133" s="86" t="s">
        <v>738</v>
      </c>
      <c r="G133" s="82" t="s">
        <v>5687</v>
      </c>
      <c r="H133" s="93"/>
      <c r="I133" s="93" t="s">
        <v>5688</v>
      </c>
      <c r="J133" s="93"/>
      <c r="K133" s="93"/>
      <c r="L133" s="93" t="s">
        <v>1900</v>
      </c>
      <c r="M133" s="93"/>
      <c r="N133" s="93" t="s">
        <v>5689</v>
      </c>
      <c r="O133" s="93" t="s">
        <v>5690</v>
      </c>
      <c r="P133" s="98"/>
      <c r="Q133" s="98"/>
      <c r="R133" s="98"/>
      <c r="S133" s="98"/>
      <c r="T133" s="98"/>
      <c r="U133" s="98"/>
      <c r="V133" s="98"/>
      <c r="W133" s="92"/>
      <c r="X133" s="210"/>
      <c r="Y133" s="93"/>
      <c r="Z133" s="93" t="s">
        <v>2751</v>
      </c>
      <c r="AA133" s="93"/>
      <c r="AB133" s="93" t="s">
        <v>5691</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5692</v>
      </c>
      <c r="BS133" s="93" t="s">
        <v>5693</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5694</v>
      </c>
      <c r="CW133" s="98"/>
      <c r="CX133" s="93" t="s">
        <v>5695</v>
      </c>
      <c r="CY133" s="98"/>
      <c r="CZ133" s="98"/>
      <c r="DA133" s="98"/>
      <c r="DB133" s="98"/>
      <c r="DC133" s="98"/>
      <c r="DD133" s="98"/>
      <c r="DE133" s="98"/>
      <c r="DF133" s="264"/>
      <c r="DG133" s="98"/>
      <c r="DH133" s="98"/>
      <c r="DI133" s="98"/>
      <c r="DJ133" s="93"/>
      <c r="DK133" s="98"/>
      <c r="DL133" s="93" t="s">
        <v>2110</v>
      </c>
      <c r="DM133" s="98"/>
      <c r="DN133" s="98"/>
      <c r="DO133" s="98"/>
      <c r="DP133" s="93" t="s">
        <v>5696</v>
      </c>
      <c r="DQ133" s="93"/>
      <c r="DR133" s="98"/>
      <c r="DS133" s="98"/>
      <c r="DT133" s="98"/>
      <c r="DU133" s="98"/>
      <c r="DV133" s="98"/>
      <c r="DW133" s="98"/>
      <c r="DX133" s="98"/>
      <c r="DY133" s="98"/>
      <c r="DZ133" s="98"/>
      <c r="EA133" s="98"/>
      <c r="EB133" s="290"/>
    </row>
    <row r="134">
      <c r="A134" s="685" t="s">
        <v>5697</v>
      </c>
      <c r="B134" s="103" t="s">
        <v>5698</v>
      </c>
      <c r="C134" s="104" t="s">
        <v>1415</v>
      </c>
      <c r="D134" s="105" t="s">
        <v>1415</v>
      </c>
      <c r="E134" s="106" t="s">
        <v>1415</v>
      </c>
      <c r="F134" s="107" t="s">
        <v>543</v>
      </c>
      <c r="G134" s="103" t="s">
        <v>5699</v>
      </c>
      <c r="H134" s="389" t="s">
        <v>3750</v>
      </c>
      <c r="I134" s="295" t="s">
        <v>5700</v>
      </c>
      <c r="J134" s="295" t="s">
        <v>1640</v>
      </c>
      <c r="K134" s="389" t="s">
        <v>352</v>
      </c>
      <c r="L134" s="389" t="s">
        <v>606</v>
      </c>
      <c r="M134" s="389" t="s">
        <v>5701</v>
      </c>
      <c r="N134" s="389" t="s">
        <v>5702</v>
      </c>
      <c r="O134" s="305" t="s">
        <v>241</v>
      </c>
      <c r="P134" s="389" t="s">
        <v>4806</v>
      </c>
      <c r="Q134" s="167" t="s">
        <v>5703</v>
      </c>
      <c r="R134" s="223"/>
      <c r="S134" s="167" t="s">
        <v>4032</v>
      </c>
      <c r="T134" s="223"/>
      <c r="U134" s="167" t="s">
        <v>142</v>
      </c>
      <c r="V134" s="167" t="s">
        <v>5704</v>
      </c>
      <c r="W134" s="92"/>
      <c r="X134" s="686" t="s">
        <v>4924</v>
      </c>
      <c r="Y134" s="198" t="s">
        <v>5369</v>
      </c>
      <c r="Z134" s="116" t="s">
        <v>415</v>
      </c>
      <c r="AA134" s="376" t="s">
        <v>4143</v>
      </c>
      <c r="AB134" s="376" t="s">
        <v>3817</v>
      </c>
      <c r="AC134" s="398" t="s">
        <v>1573</v>
      </c>
      <c r="AD134" s="273"/>
      <c r="AE134" s="307" t="s">
        <v>5705</v>
      </c>
      <c r="AF134" s="398" t="s">
        <v>5706</v>
      </c>
      <c r="AG134" s="273"/>
      <c r="AH134" s="273"/>
      <c r="AI134" s="117"/>
      <c r="AJ134" s="273"/>
      <c r="AK134" s="92"/>
      <c r="AL134" s="499" t="s">
        <v>3375</v>
      </c>
      <c r="AM134" s="499" t="s">
        <v>5707</v>
      </c>
      <c r="AN134" s="168" t="s">
        <v>5708</v>
      </c>
      <c r="AO134" s="168" t="s">
        <v>100</v>
      </c>
      <c r="AP134" s="168" t="s">
        <v>5709</v>
      </c>
      <c r="AQ134" s="168" t="s">
        <v>4978</v>
      </c>
      <c r="AR134" s="168" t="s">
        <v>5710</v>
      </c>
      <c r="AS134" s="168" t="s">
        <v>5711</v>
      </c>
      <c r="AT134" s="499" t="s">
        <v>4340</v>
      </c>
      <c r="AU134" s="499" t="s">
        <v>3446</v>
      </c>
      <c r="AV134" s="499" t="s">
        <v>4172</v>
      </c>
      <c r="AW134" s="274"/>
      <c r="AX134" s="274"/>
      <c r="AY134" s="274"/>
      <c r="AZ134" s="275"/>
      <c r="BA134" s="202" t="s">
        <v>5712</v>
      </c>
      <c r="BB134" s="202" t="s">
        <v>1983</v>
      </c>
      <c r="BC134" s="202" t="s">
        <v>1080</v>
      </c>
      <c r="BD134" s="202" t="s">
        <v>5713</v>
      </c>
      <c r="BE134" s="409"/>
      <c r="BF134" s="202" t="s">
        <v>5714</v>
      </c>
      <c r="BG134" s="173"/>
      <c r="BH134" s="202" t="s">
        <v>1089</v>
      </c>
      <c r="BI134" s="173"/>
      <c r="BJ134" s="409"/>
      <c r="BK134" s="202" t="s">
        <v>5715</v>
      </c>
      <c r="BL134" s="173"/>
      <c r="BM134" s="173"/>
      <c r="BN134" s="409"/>
      <c r="BO134" s="173"/>
      <c r="BP134" s="277"/>
      <c r="BQ134" s="406" t="s">
        <v>5716</v>
      </c>
      <c r="BR134" s="406" t="s">
        <v>5717</v>
      </c>
      <c r="BS134" s="406" t="s">
        <v>3806</v>
      </c>
      <c r="BT134" s="406" t="s">
        <v>5718</v>
      </c>
      <c r="BU134" s="406" t="s">
        <v>5719</v>
      </c>
      <c r="BV134" s="406" t="s">
        <v>4542</v>
      </c>
      <c r="BW134" s="280"/>
      <c r="BX134" s="406" t="s">
        <v>5720</v>
      </c>
      <c r="BY134" s="133"/>
      <c r="BZ134" s="406" t="s">
        <v>907</v>
      </c>
      <c r="CA134" s="280"/>
      <c r="CB134" s="280"/>
      <c r="CC134" s="280"/>
      <c r="CD134" s="280"/>
      <c r="CE134" s="281"/>
      <c r="CF134" s="399" t="s">
        <v>5721</v>
      </c>
      <c r="CG134" s="399" t="s">
        <v>5722</v>
      </c>
      <c r="CH134" s="399" t="s">
        <v>4397</v>
      </c>
      <c r="CI134" s="137"/>
      <c r="CJ134" s="399" t="s">
        <v>2130</v>
      </c>
      <c r="CK134" s="137"/>
      <c r="CL134" s="137"/>
      <c r="CM134" s="137"/>
      <c r="CN134" s="495"/>
      <c r="CO134" s="284"/>
      <c r="CP134" s="284"/>
      <c r="CQ134" s="284"/>
      <c r="CR134" s="284"/>
      <c r="CS134" s="101"/>
      <c r="CT134" s="317" t="s">
        <v>5723</v>
      </c>
      <c r="CU134" s="317" t="s">
        <v>5724</v>
      </c>
      <c r="CV134" s="687" t="s">
        <v>4075</v>
      </c>
      <c r="CW134" s="141" t="s">
        <v>4428</v>
      </c>
      <c r="CX134" s="317" t="s">
        <v>3233</v>
      </c>
      <c r="CY134" s="317" t="s">
        <v>3916</v>
      </c>
      <c r="CZ134" s="317" t="s">
        <v>5725</v>
      </c>
      <c r="DA134" s="141" t="s">
        <v>5726</v>
      </c>
      <c r="DB134" s="285"/>
      <c r="DC134" s="285"/>
      <c r="DD134" s="285"/>
      <c r="DE134" s="285"/>
      <c r="DF134" s="286"/>
      <c r="DG134" s="320" t="s">
        <v>5727</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5728</v>
      </c>
      <c r="B135" s="82" t="s">
        <v>5729</v>
      </c>
      <c r="C135" s="83" t="s">
        <v>1415</v>
      </c>
      <c r="D135" s="84" t="s">
        <v>1415</v>
      </c>
      <c r="E135" s="85" t="s">
        <v>1415</v>
      </c>
      <c r="F135" s="86" t="s">
        <v>1415</v>
      </c>
      <c r="G135" s="82" t="s">
        <v>5730</v>
      </c>
      <c r="H135" s="290" t="s">
        <v>5731</v>
      </c>
      <c r="I135" s="290" t="s">
        <v>5732</v>
      </c>
      <c r="J135" s="290" t="s">
        <v>5733</v>
      </c>
      <c r="K135" s="290" t="s">
        <v>1806</v>
      </c>
      <c r="L135" s="688" t="s">
        <v>3536</v>
      </c>
      <c r="M135" s="290" t="s">
        <v>5734</v>
      </c>
      <c r="N135" s="290" t="s">
        <v>5735</v>
      </c>
      <c r="O135" s="290" t="s">
        <v>1742</v>
      </c>
      <c r="P135" s="290" t="s">
        <v>249</v>
      </c>
      <c r="Q135" s="689"/>
      <c r="R135" s="689"/>
      <c r="S135" s="690">
        <v>37.85</v>
      </c>
      <c r="T135" s="689"/>
      <c r="U135" s="93" t="s">
        <v>1906</v>
      </c>
      <c r="V135" s="690" t="s">
        <v>5736</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5659</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5737</v>
      </c>
      <c r="BK135" s="290" t="s">
        <v>3746</v>
      </c>
      <c r="BL135" s="689"/>
      <c r="BM135" s="690">
        <v>35.32</v>
      </c>
      <c r="BN135" s="692"/>
      <c r="BO135" s="689"/>
      <c r="BP135" s="694"/>
      <c r="BQ135" s="692"/>
      <c r="BR135" s="692"/>
      <c r="BS135" s="290" t="s">
        <v>2643</v>
      </c>
      <c r="BT135" s="290" t="s">
        <v>5738</v>
      </c>
      <c r="BU135" s="692"/>
      <c r="BV135" s="290" t="s">
        <v>2885</v>
      </c>
      <c r="BW135" s="689"/>
      <c r="BX135" s="692"/>
      <c r="BY135" s="692"/>
      <c r="BZ135" s="100" t="s">
        <v>5448</v>
      </c>
      <c r="CA135" s="690" t="s">
        <v>5739</v>
      </c>
      <c r="CB135" s="689"/>
      <c r="CC135" s="690">
        <v>37.19</v>
      </c>
      <c r="CD135" s="690" t="s">
        <v>5740</v>
      </c>
      <c r="CE135" s="694"/>
      <c r="CF135" s="692"/>
      <c r="CG135" s="692"/>
      <c r="CH135" s="692"/>
      <c r="CI135" s="692"/>
      <c r="CJ135" s="692"/>
      <c r="CK135" s="290" t="s">
        <v>5741</v>
      </c>
      <c r="CL135" s="290" t="s">
        <v>841</v>
      </c>
      <c r="CM135" s="692"/>
      <c r="CN135" s="695"/>
      <c r="CO135" s="689"/>
      <c r="CP135" s="689"/>
      <c r="CQ135" s="690">
        <v>52.7</v>
      </c>
      <c r="CR135" s="689"/>
      <c r="CS135" s="696"/>
      <c r="CT135" s="692"/>
      <c r="CU135" s="290" t="s">
        <v>3174</v>
      </c>
      <c r="CV135" s="100" t="s">
        <v>2816</v>
      </c>
      <c r="CW135" s="692"/>
      <c r="CX135" s="692"/>
      <c r="CY135" s="290" t="s">
        <v>2358</v>
      </c>
      <c r="CZ135" s="697" t="s">
        <v>5742</v>
      </c>
      <c r="DA135" s="692"/>
      <c r="DB135" s="689"/>
      <c r="DC135" s="689"/>
      <c r="DD135" s="689"/>
      <c r="DE135" s="689"/>
      <c r="DF135" s="694"/>
      <c r="DG135" s="692"/>
      <c r="DH135" s="689"/>
      <c r="DI135" s="689"/>
      <c r="DJ135" s="692"/>
      <c r="DK135" s="692"/>
      <c r="DL135" s="290" t="s">
        <v>3932</v>
      </c>
      <c r="DM135" s="689"/>
      <c r="DN135" s="689"/>
      <c r="DO135" s="689"/>
      <c r="DP135" s="290" t="s">
        <v>5743</v>
      </c>
      <c r="DQ135" s="290" t="s">
        <v>4573</v>
      </c>
      <c r="DR135" s="689"/>
      <c r="DS135" s="692"/>
      <c r="DT135" s="689"/>
      <c r="DU135" s="689"/>
      <c r="DV135" s="689"/>
      <c r="DW135" s="689"/>
      <c r="DX135" s="689"/>
      <c r="DY135" s="692"/>
      <c r="DZ135" s="689"/>
      <c r="EA135" s="689"/>
      <c r="EB135" s="697"/>
    </row>
    <row r="136">
      <c r="A136" s="503" t="s">
        <v>5744</v>
      </c>
      <c r="B136" s="103" t="s">
        <v>5745</v>
      </c>
      <c r="C136" s="104" t="s">
        <v>1415</v>
      </c>
      <c r="D136" s="105" t="s">
        <v>1415</v>
      </c>
      <c r="E136" s="106" t="s">
        <v>1415</v>
      </c>
      <c r="F136" s="107" t="s">
        <v>438</v>
      </c>
      <c r="G136" s="103" t="s">
        <v>2538</v>
      </c>
      <c r="H136" s="167" t="s">
        <v>5746</v>
      </c>
      <c r="I136" s="295" t="s">
        <v>1591</v>
      </c>
      <c r="J136" s="167" t="s">
        <v>5747</v>
      </c>
      <c r="K136" s="167" t="s">
        <v>5748</v>
      </c>
      <c r="L136" s="167" t="s">
        <v>5749</v>
      </c>
      <c r="M136" s="223"/>
      <c r="N136" s="167" t="s">
        <v>5750</v>
      </c>
      <c r="O136" s="167" t="s">
        <v>4078</v>
      </c>
      <c r="P136" s="167" t="s">
        <v>1082</v>
      </c>
      <c r="Q136" s="223"/>
      <c r="R136" s="167" t="s">
        <v>324</v>
      </c>
      <c r="S136" s="167" t="s">
        <v>2168</v>
      </c>
      <c r="T136" s="223"/>
      <c r="U136" s="167" t="s">
        <v>3273</v>
      </c>
      <c r="V136" s="223"/>
      <c r="W136" s="92"/>
      <c r="X136" s="199" t="s">
        <v>5751</v>
      </c>
      <c r="Y136" s="116" t="s">
        <v>2418</v>
      </c>
      <c r="Z136" s="199" t="s">
        <v>4555</v>
      </c>
      <c r="AA136" s="199" t="s">
        <v>1761</v>
      </c>
      <c r="AB136" s="199" t="s">
        <v>3818</v>
      </c>
      <c r="AC136" s="199" t="s">
        <v>2416</v>
      </c>
      <c r="AD136" s="273"/>
      <c r="AE136" s="199" t="s">
        <v>5752</v>
      </c>
      <c r="AF136" s="199" t="s">
        <v>767</v>
      </c>
      <c r="AG136" s="273"/>
      <c r="AH136" s="273"/>
      <c r="AI136" s="273"/>
      <c r="AJ136" s="273"/>
      <c r="AK136" s="92"/>
      <c r="AL136" s="274"/>
      <c r="AM136" s="168" t="s">
        <v>322</v>
      </c>
      <c r="AN136" s="274"/>
      <c r="AO136" s="274"/>
      <c r="AP136" s="168" t="s">
        <v>5753</v>
      </c>
      <c r="AQ136" s="168"/>
      <c r="AR136" s="274"/>
      <c r="AS136" s="274"/>
      <c r="AT136" s="168" t="s">
        <v>698</v>
      </c>
      <c r="AU136" s="274"/>
      <c r="AV136" s="274"/>
      <c r="AW136" s="274"/>
      <c r="AX136" s="274"/>
      <c r="AY136" s="274"/>
      <c r="AZ136" s="275"/>
      <c r="BA136" s="173"/>
      <c r="BB136" s="174" t="s">
        <v>1813</v>
      </c>
      <c r="BC136" s="174" t="s">
        <v>5754</v>
      </c>
      <c r="BD136" s="174" t="s">
        <v>3550</v>
      </c>
      <c r="BE136" s="174" t="s">
        <v>5602</v>
      </c>
      <c r="BF136" s="173"/>
      <c r="BG136" s="173"/>
      <c r="BH136" s="174" t="s">
        <v>3906</v>
      </c>
      <c r="BI136" s="174" t="s">
        <v>5755</v>
      </c>
      <c r="BJ136" s="174"/>
      <c r="BK136" s="174" t="s">
        <v>2617</v>
      </c>
      <c r="BL136" s="173"/>
      <c r="BM136" s="174" t="s">
        <v>4207</v>
      </c>
      <c r="BN136" s="173"/>
      <c r="BO136" s="173"/>
      <c r="BP136" s="277"/>
      <c r="BQ136" s="175" t="s">
        <v>5756</v>
      </c>
      <c r="BR136" s="175" t="s">
        <v>4213</v>
      </c>
      <c r="BS136" s="175" t="s">
        <v>3306</v>
      </c>
      <c r="BT136" s="175" t="s">
        <v>5757</v>
      </c>
      <c r="BU136" s="175" t="s">
        <v>5758</v>
      </c>
      <c r="BV136" s="175" t="s">
        <v>5110</v>
      </c>
      <c r="BW136" s="280"/>
      <c r="BX136" s="175" t="s">
        <v>2699</v>
      </c>
      <c r="BY136" s="280"/>
      <c r="BZ136" s="175" t="s">
        <v>5759</v>
      </c>
      <c r="CA136" s="280"/>
      <c r="CB136" s="280"/>
      <c r="CC136" s="280"/>
      <c r="CD136" s="280"/>
      <c r="CE136" s="281"/>
      <c r="CF136" s="177" t="s">
        <v>5760</v>
      </c>
      <c r="CG136" s="177" t="s">
        <v>4427</v>
      </c>
      <c r="CH136" s="177" t="s">
        <v>2170</v>
      </c>
      <c r="CI136" s="177" t="s">
        <v>5761</v>
      </c>
      <c r="CJ136" s="177" t="s">
        <v>5762</v>
      </c>
      <c r="CK136" s="177" t="s">
        <v>5763</v>
      </c>
      <c r="CL136" s="177" t="s">
        <v>1640</v>
      </c>
      <c r="CM136" s="177" t="s">
        <v>4340</v>
      </c>
      <c r="CN136" s="284"/>
      <c r="CO136" s="284"/>
      <c r="CP136" s="284"/>
      <c r="CQ136" s="284"/>
      <c r="CR136" s="284"/>
      <c r="CS136" s="101"/>
      <c r="CT136" s="206" t="s">
        <v>5764</v>
      </c>
      <c r="CU136" s="206" t="s">
        <v>2833</v>
      </c>
      <c r="CV136" s="206" t="s">
        <v>3721</v>
      </c>
      <c r="CW136" s="206" t="s">
        <v>5765</v>
      </c>
      <c r="CX136" s="285"/>
      <c r="CY136" s="206" t="s">
        <v>5766</v>
      </c>
      <c r="CZ136" s="141" t="s">
        <v>5767</v>
      </c>
      <c r="DA136" s="206" t="s">
        <v>4473</v>
      </c>
      <c r="DB136" s="285"/>
      <c r="DC136" s="285"/>
      <c r="DD136" s="285"/>
      <c r="DE136" s="285"/>
      <c r="DF136" s="286"/>
      <c r="DG136" s="207" t="s">
        <v>5768</v>
      </c>
      <c r="DH136" s="287"/>
      <c r="DI136" s="287"/>
      <c r="DJ136" s="287"/>
      <c r="DK136" s="287"/>
      <c r="DL136" s="287"/>
      <c r="DM136" s="287"/>
      <c r="DN136" s="287"/>
      <c r="DO136" s="287"/>
      <c r="DP136" s="287"/>
      <c r="DQ136" s="287"/>
      <c r="DR136" s="287"/>
      <c r="DS136" s="287"/>
      <c r="DT136" s="207" t="s">
        <v>5769</v>
      </c>
      <c r="DU136" s="207" t="s">
        <v>4032</v>
      </c>
      <c r="DV136" s="207" t="s">
        <v>5770</v>
      </c>
      <c r="DW136" s="207" t="s">
        <v>3150</v>
      </c>
      <c r="DX136" s="207" t="s">
        <v>5771</v>
      </c>
      <c r="DY136" s="207" t="s">
        <v>3391</v>
      </c>
      <c r="DZ136" s="287"/>
      <c r="EA136" s="287"/>
      <c r="EB136" s="320" t="s">
        <v>5772</v>
      </c>
    </row>
    <row r="137">
      <c r="A137" s="81" t="s">
        <v>5773</v>
      </c>
      <c r="B137" s="82" t="s">
        <v>5774</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3566</v>
      </c>
      <c r="J138" s="167" t="s">
        <v>568</v>
      </c>
      <c r="K138" s="167" t="s">
        <v>3077</v>
      </c>
      <c r="L138" s="167" t="s">
        <v>4047</v>
      </c>
      <c r="M138" s="167" t="s">
        <v>5783</v>
      </c>
      <c r="N138" s="167" t="s">
        <v>5784</v>
      </c>
      <c r="O138" s="167" t="s">
        <v>444</v>
      </c>
      <c r="P138" s="167" t="s">
        <v>3971</v>
      </c>
      <c r="Q138" s="223"/>
      <c r="R138" s="223"/>
      <c r="S138" s="223"/>
      <c r="T138" s="223"/>
      <c r="U138" s="223"/>
      <c r="V138" s="223"/>
      <c r="W138" s="92"/>
      <c r="X138" s="199" t="s">
        <v>4927</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3282</v>
      </c>
      <c r="CU139" s="88" t="s">
        <v>5573</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3650</v>
      </c>
      <c r="G140" s="103" t="s">
        <v>4915</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5173</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3011</v>
      </c>
      <c r="P141" s="93" t="s">
        <v>4140</v>
      </c>
      <c r="Q141" s="93" t="s">
        <v>5814</v>
      </c>
      <c r="R141" s="98"/>
      <c r="S141" s="93" t="s">
        <v>904</v>
      </c>
      <c r="T141" s="98"/>
      <c r="U141" s="93" t="s">
        <v>5815</v>
      </c>
      <c r="V141" s="93" t="s">
        <v>5816</v>
      </c>
      <c r="W141" s="92"/>
      <c r="X141" s="93" t="s">
        <v>5817</v>
      </c>
      <c r="Y141" s="93" t="s">
        <v>2007</v>
      </c>
      <c r="Z141" s="93" t="s">
        <v>3490</v>
      </c>
      <c r="AA141" s="93" t="s">
        <v>3536</v>
      </c>
      <c r="AB141" s="93" t="s">
        <v>3114</v>
      </c>
      <c r="AC141" s="93" t="s">
        <v>5818</v>
      </c>
      <c r="AD141" s="93"/>
      <c r="AE141" s="93" t="s">
        <v>5819</v>
      </c>
      <c r="AF141" s="93" t="s">
        <v>5820</v>
      </c>
      <c r="AG141" s="93" t="s">
        <v>5821</v>
      </c>
      <c r="AH141" s="98"/>
      <c r="AI141" s="93" t="s">
        <v>5134</v>
      </c>
      <c r="AJ141" s="93" t="s">
        <v>5822</v>
      </c>
      <c r="AK141" s="92"/>
      <c r="AL141" s="93" t="s">
        <v>5823</v>
      </c>
      <c r="AM141" s="93" t="s">
        <v>5474</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4197</v>
      </c>
      <c r="CZ141" s="93" t="s">
        <v>5855</v>
      </c>
      <c r="DA141" s="93" t="s">
        <v>5856</v>
      </c>
      <c r="DB141" s="93" t="s">
        <v>5857</v>
      </c>
      <c r="DC141" s="93" t="s">
        <v>4160</v>
      </c>
      <c r="DD141" s="93" t="s">
        <v>2172</v>
      </c>
      <c r="DE141" s="93" t="s">
        <v>5858</v>
      </c>
      <c r="DF141" s="264"/>
      <c r="DG141" s="93" t="s">
        <v>3851</v>
      </c>
      <c r="DH141" s="98"/>
      <c r="DI141" s="93" t="s">
        <v>2664</v>
      </c>
      <c r="DJ141" s="93" t="s">
        <v>2101</v>
      </c>
      <c r="DK141" s="93" t="s">
        <v>3296</v>
      </c>
      <c r="DL141" s="93" t="s">
        <v>2441</v>
      </c>
      <c r="DM141" s="93" t="s">
        <v>4061</v>
      </c>
      <c r="DN141" s="93" t="s">
        <v>5859</v>
      </c>
      <c r="DO141" s="93" t="s">
        <v>199</v>
      </c>
      <c r="DP141" s="93" t="s">
        <v>5860</v>
      </c>
      <c r="DQ141" s="93" t="s">
        <v>3012</v>
      </c>
      <c r="DR141" s="93" t="s">
        <v>4733</v>
      </c>
      <c r="DS141" s="93" t="s">
        <v>5861</v>
      </c>
      <c r="DT141" s="93" t="s">
        <v>5862</v>
      </c>
      <c r="DU141" s="93" t="s">
        <v>1125</v>
      </c>
      <c r="DV141" s="93" t="s">
        <v>3818</v>
      </c>
      <c r="DW141" s="93" t="s">
        <v>5863</v>
      </c>
      <c r="DX141" s="93" t="s">
        <v>4454</v>
      </c>
      <c r="DY141" s="93" t="s">
        <v>2575</v>
      </c>
      <c r="DZ141" s="93" t="s">
        <v>5195</v>
      </c>
      <c r="EA141" s="93" t="s">
        <v>2307</v>
      </c>
      <c r="EB141" s="700" t="s">
        <v>4417</v>
      </c>
    </row>
    <row r="142">
      <c r="A142" s="701" t="s">
        <v>5864</v>
      </c>
      <c r="B142" s="103" t="s">
        <v>5865</v>
      </c>
      <c r="C142" s="104" t="s">
        <v>1415</v>
      </c>
      <c r="D142" s="105" t="s">
        <v>1415</v>
      </c>
      <c r="E142" s="106" t="s">
        <v>1415</v>
      </c>
      <c r="F142" s="107" t="s">
        <v>5687</v>
      </c>
      <c r="G142" s="103" t="s">
        <v>1881</v>
      </c>
      <c r="H142" s="305"/>
      <c r="I142" s="110" t="s">
        <v>5866</v>
      </c>
      <c r="J142" s="112" t="s">
        <v>4659</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4080</v>
      </c>
      <c r="CH142" s="137" t="s">
        <v>3349</v>
      </c>
      <c r="CI142" s="137" t="s">
        <v>5880</v>
      </c>
      <c r="CJ142" s="137"/>
      <c r="CK142" s="137" t="s">
        <v>5881</v>
      </c>
      <c r="CL142" s="136" t="s">
        <v>3075</v>
      </c>
      <c r="CM142" s="137"/>
      <c r="CN142" s="495"/>
      <c r="CO142" s="284"/>
      <c r="CP142" s="284"/>
      <c r="CQ142" s="284"/>
      <c r="CR142" s="284"/>
      <c r="CS142" s="101"/>
      <c r="CT142" s="141" t="s">
        <v>5304</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3592</v>
      </c>
      <c r="O145" s="93" t="s">
        <v>5679</v>
      </c>
      <c r="P145" s="93" t="s">
        <v>3971</v>
      </c>
      <c r="Q145" s="98"/>
      <c r="R145" s="98"/>
      <c r="S145" s="98"/>
      <c r="T145" s="98"/>
      <c r="U145" s="98"/>
      <c r="V145" s="98"/>
      <c r="W145" s="92"/>
      <c r="X145" s="93" t="s">
        <v>5900</v>
      </c>
      <c r="Y145" s="98"/>
      <c r="Z145" s="93" t="s">
        <v>671</v>
      </c>
      <c r="AA145" s="93" t="s">
        <v>5901</v>
      </c>
      <c r="AB145" s="88" t="s">
        <v>5418</v>
      </c>
      <c r="AC145" s="98"/>
      <c r="AD145" s="98"/>
      <c r="AE145" s="93" t="s">
        <v>5902</v>
      </c>
      <c r="AF145" s="93" t="s">
        <v>305</v>
      </c>
      <c r="AG145" s="98"/>
      <c r="AH145" s="98"/>
      <c r="AI145" s="98"/>
      <c r="AJ145" s="98"/>
      <c r="AK145" s="92"/>
      <c r="AL145" s="93"/>
      <c r="AM145" s="93" t="s">
        <v>5441</v>
      </c>
      <c r="AN145" s="98"/>
      <c r="AO145" s="98"/>
      <c r="AP145" s="98"/>
      <c r="AQ145" s="98"/>
      <c r="AR145" s="98"/>
      <c r="AS145" s="98"/>
      <c r="AT145" s="93" t="s">
        <v>3615</v>
      </c>
      <c r="AU145" s="98"/>
      <c r="AV145" s="93" t="s">
        <v>195</v>
      </c>
      <c r="AW145" s="98"/>
      <c r="AX145" s="98"/>
      <c r="AY145" s="98"/>
      <c r="AZ145" s="264"/>
      <c r="BA145" s="98"/>
      <c r="BB145" s="93" t="s">
        <v>5640</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5662</v>
      </c>
      <c r="CK145" s="98"/>
      <c r="CL145" s="98"/>
      <c r="CM145" s="98"/>
      <c r="CN145" s="98"/>
      <c r="CO145" s="98"/>
      <c r="CP145" s="98"/>
      <c r="CQ145" s="98"/>
      <c r="CR145" s="98"/>
      <c r="CS145" s="101"/>
      <c r="CT145" s="98"/>
      <c r="CU145" s="93" t="s">
        <v>5573</v>
      </c>
      <c r="CV145" s="93" t="s">
        <v>5910</v>
      </c>
      <c r="CW145" s="98"/>
      <c r="CX145" s="98"/>
      <c r="CY145" s="93" t="s">
        <v>5354</v>
      </c>
      <c r="CZ145" s="210" t="s">
        <v>5498</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4745</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5553</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3303</v>
      </c>
      <c r="H148" s="389"/>
      <c r="I148" s="389" t="s">
        <v>2683</v>
      </c>
      <c r="J148" s="389" t="s">
        <v>3117</v>
      </c>
      <c r="K148" s="389" t="s">
        <v>5262</v>
      </c>
      <c r="L148" s="494" t="s">
        <v>4127</v>
      </c>
      <c r="M148" s="494" t="s">
        <v>5932</v>
      </c>
      <c r="N148" s="494" t="s">
        <v>5613</v>
      </c>
      <c r="O148" s="494"/>
      <c r="P148" s="494" t="s">
        <v>2874</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5286</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5550</v>
      </c>
      <c r="H150" s="223"/>
      <c r="I150" s="167" t="s">
        <v>1834</v>
      </c>
      <c r="J150" s="167" t="s">
        <v>2587</v>
      </c>
      <c r="K150" s="167" t="s">
        <v>2224</v>
      </c>
      <c r="L150" s="167" t="s">
        <v>145</v>
      </c>
      <c r="M150" s="167" t="s">
        <v>5945</v>
      </c>
      <c r="N150" s="167" t="s">
        <v>5946</v>
      </c>
      <c r="O150" s="167" t="s">
        <v>5947</v>
      </c>
      <c r="P150" s="167" t="s">
        <v>4140</v>
      </c>
      <c r="Q150" s="223"/>
      <c r="R150" s="223"/>
      <c r="S150" s="223"/>
      <c r="T150" s="223"/>
      <c r="U150" s="223"/>
      <c r="V150" s="223"/>
      <c r="W150" s="92"/>
      <c r="X150" s="199" t="s">
        <v>5243</v>
      </c>
      <c r="Y150" s="199" t="s">
        <v>2122</v>
      </c>
      <c r="Z150" s="199" t="s">
        <v>2202</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4840</v>
      </c>
      <c r="J151" s="93" t="s">
        <v>2417</v>
      </c>
      <c r="K151" s="93" t="s">
        <v>1427</v>
      </c>
      <c r="L151" s="93" t="s">
        <v>3973</v>
      </c>
      <c r="M151" s="93" t="s">
        <v>3955</v>
      </c>
      <c r="N151" s="93" t="s">
        <v>5062</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3353</v>
      </c>
      <c r="I152" s="305" t="s">
        <v>5965</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5320</v>
      </c>
      <c r="K153" s="93" t="s">
        <v>3990</v>
      </c>
      <c r="L153" s="93" t="s">
        <v>5050</v>
      </c>
      <c r="M153" s="98"/>
      <c r="N153" s="98"/>
      <c r="O153" s="93" t="s">
        <v>1930</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5528</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3448</v>
      </c>
      <c r="Y154" s="273"/>
      <c r="Z154" s="199" t="s">
        <v>4652</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5334</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5765</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6008</v>
      </c>
      <c r="CN159" s="263"/>
      <c r="CO159" s="98"/>
      <c r="CP159" s="98"/>
      <c r="CQ159" s="98"/>
      <c r="CR159" s="98"/>
      <c r="CS159" s="101"/>
      <c r="CT159" s="100"/>
      <c r="CU159" s="100"/>
      <c r="CV159" s="100" t="s">
        <v>5102</v>
      </c>
      <c r="CW159" s="100" t="s">
        <v>3348</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5286</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3988</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3817</v>
      </c>
      <c r="AC162" s="398"/>
      <c r="AD162" s="719"/>
      <c r="AE162" s="398"/>
      <c r="AF162" s="398" t="s">
        <v>4669</v>
      </c>
      <c r="AG162" s="719"/>
      <c r="AH162" s="719"/>
      <c r="AI162" s="398"/>
      <c r="AJ162" s="719"/>
      <c r="AK162" s="718"/>
      <c r="AL162" s="499"/>
      <c r="AM162" s="499"/>
      <c r="AN162" s="720"/>
      <c r="AO162" s="720"/>
      <c r="AP162" s="721"/>
      <c r="AQ162" s="721"/>
      <c r="AR162" s="720"/>
      <c r="AS162" s="720"/>
      <c r="AT162" s="499" t="s">
        <v>4250</v>
      </c>
      <c r="AU162" s="499" t="s">
        <v>770</v>
      </c>
      <c r="AV162" s="499"/>
      <c r="AW162" s="720"/>
      <c r="AX162" s="720"/>
      <c r="AY162" s="720"/>
      <c r="AZ162" s="722"/>
      <c r="BA162" s="202"/>
      <c r="BB162" s="202"/>
      <c r="BC162" s="202"/>
      <c r="BD162" s="202" t="s">
        <v>6027</v>
      </c>
      <c r="BE162" s="202"/>
      <c r="BF162" s="202"/>
      <c r="BG162" s="723"/>
      <c r="BH162" s="202" t="s">
        <v>3581</v>
      </c>
      <c r="BI162" s="723"/>
      <c r="BJ162" s="202" t="s">
        <v>6028</v>
      </c>
      <c r="BK162" s="202" t="s">
        <v>4195</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4470</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4589</v>
      </c>
      <c r="CM166" s="177" t="s">
        <v>1495</v>
      </c>
      <c r="CN166" s="284"/>
      <c r="CO166" s="284"/>
      <c r="CP166" s="284"/>
      <c r="CQ166" s="284"/>
      <c r="CR166" s="284"/>
      <c r="CS166" s="101"/>
      <c r="CT166" s="206" t="s">
        <v>5107</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5" t="s">
        <v>2917</v>
      </c>
      <c r="I167" s="735" t="s">
        <v>6064</v>
      </c>
      <c r="J167" s="735" t="s">
        <v>6065</v>
      </c>
      <c r="K167" s="735" t="s">
        <v>752</v>
      </c>
      <c r="L167" s="735" t="s">
        <v>835</v>
      </c>
      <c r="M167" s="736"/>
      <c r="N167" s="735" t="s">
        <v>6066</v>
      </c>
      <c r="O167" s="735" t="s">
        <v>6067</v>
      </c>
      <c r="P167" s="735" t="s">
        <v>5341</v>
      </c>
      <c r="Q167" s="736"/>
      <c r="R167" s="736"/>
      <c r="S167" s="736"/>
      <c r="T167" s="736"/>
      <c r="U167" s="736"/>
      <c r="V167" s="736"/>
      <c r="W167" s="737"/>
      <c r="X167" s="735" t="s">
        <v>6068</v>
      </c>
      <c r="Y167" s="738" t="s">
        <v>380</v>
      </c>
      <c r="Z167" s="738" t="s">
        <v>955</v>
      </c>
      <c r="AA167" s="738" t="s">
        <v>3834</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4172</v>
      </c>
      <c r="BI167" s="736"/>
      <c r="BJ167" s="736"/>
      <c r="BK167" s="736"/>
      <c r="BL167" s="736"/>
      <c r="BM167" s="736"/>
      <c r="BN167" s="736"/>
      <c r="BO167" s="736"/>
      <c r="BP167" s="739"/>
      <c r="BQ167" s="736"/>
      <c r="BR167" s="736"/>
      <c r="BS167" s="735" t="s">
        <v>6071</v>
      </c>
      <c r="BT167" s="738" t="s">
        <v>2794</v>
      </c>
      <c r="BU167" s="736"/>
      <c r="BV167" s="736"/>
      <c r="BW167" s="736"/>
      <c r="BX167" s="736"/>
      <c r="BY167" s="736"/>
      <c r="BZ167" s="736"/>
      <c r="CA167" s="736"/>
      <c r="CB167" s="736"/>
      <c r="CC167" s="736"/>
      <c r="CD167" s="736"/>
      <c r="CE167" s="739"/>
      <c r="CF167" s="736"/>
      <c r="CG167" s="735" t="s">
        <v>6072</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6073</v>
      </c>
      <c r="DA167" s="738" t="s">
        <v>6074</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6075</v>
      </c>
      <c r="B168" s="103" t="s">
        <v>6076</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5558</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4915</v>
      </c>
      <c r="H169" s="93" t="s">
        <v>2624</v>
      </c>
      <c r="I169" s="98"/>
      <c r="J169" s="93" t="s">
        <v>6080</v>
      </c>
      <c r="K169" s="88" t="s">
        <v>4867</v>
      </c>
      <c r="L169" s="161" t="s">
        <v>3400</v>
      </c>
      <c r="M169" s="98"/>
      <c r="N169" s="98"/>
      <c r="O169" s="98"/>
      <c r="P169" s="93" t="s">
        <v>6081</v>
      </c>
      <c r="Q169" s="98"/>
      <c r="R169" s="98"/>
      <c r="S169" s="98"/>
      <c r="T169" s="98"/>
      <c r="U169" s="98"/>
      <c r="V169" s="98"/>
      <c r="W169" s="92"/>
      <c r="X169" s="88" t="s">
        <v>6082</v>
      </c>
      <c r="Y169" s="93" t="s">
        <v>1763</v>
      </c>
      <c r="Z169" s="88" t="s">
        <v>5176</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4795</v>
      </c>
      <c r="BG169" s="93" t="s">
        <v>6085</v>
      </c>
      <c r="BH169" s="93" t="s">
        <v>5137</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6086</v>
      </c>
      <c r="CG169" s="93" t="s">
        <v>6087</v>
      </c>
      <c r="CH169" s="98"/>
      <c r="CI169" s="98"/>
      <c r="CJ169" s="98"/>
      <c r="CK169" s="98"/>
      <c r="CL169" s="88" t="s">
        <v>4997</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5639</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4980</v>
      </c>
      <c r="K172" s="167" t="s">
        <v>2411</v>
      </c>
      <c r="L172" s="167" t="s">
        <v>4035</v>
      </c>
      <c r="M172" s="167" t="s">
        <v>6102</v>
      </c>
      <c r="N172" s="223"/>
      <c r="O172" s="167" t="s">
        <v>1929</v>
      </c>
      <c r="P172" s="167" t="s">
        <v>6103</v>
      </c>
      <c r="Q172" s="223"/>
      <c r="R172" s="223"/>
      <c r="S172" s="223"/>
      <c r="T172" s="223"/>
      <c r="U172" s="223"/>
      <c r="V172" s="223"/>
      <c r="W172" s="92"/>
      <c r="X172" s="199" t="s">
        <v>4441</v>
      </c>
      <c r="Y172" s="199" t="s">
        <v>6104</v>
      </c>
      <c r="Z172" s="199" t="s">
        <v>4473</v>
      </c>
      <c r="AA172" s="199" t="s">
        <v>6105</v>
      </c>
      <c r="AB172" s="199" t="s">
        <v>6106</v>
      </c>
      <c r="AC172" s="199" t="s">
        <v>6056</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4876</v>
      </c>
      <c r="CG172" s="177" t="s">
        <v>2517</v>
      </c>
      <c r="CH172" s="177" t="s">
        <v>2615</v>
      </c>
      <c r="CI172" s="177" t="s">
        <v>6115</v>
      </c>
      <c r="CJ172" s="177" t="s">
        <v>6116</v>
      </c>
      <c r="CK172" s="284"/>
      <c r="CL172" s="177" t="s">
        <v>3702</v>
      </c>
      <c r="CM172" s="177" t="s">
        <v>3194</v>
      </c>
      <c r="CN172" s="284"/>
      <c r="CO172" s="284"/>
      <c r="CP172" s="284"/>
      <c r="CQ172" s="284"/>
      <c r="CR172" s="284"/>
      <c r="CS172" s="101"/>
      <c r="CT172" s="206" t="s">
        <v>5751</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5014</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5160</v>
      </c>
      <c r="Z173" s="93" t="s">
        <v>6126</v>
      </c>
      <c r="AA173" s="93" t="s">
        <v>2550</v>
      </c>
      <c r="AB173" s="93" t="s">
        <v>5733</v>
      </c>
      <c r="AC173" s="93" t="s">
        <v>6127</v>
      </c>
      <c r="AD173" s="93" t="s">
        <v>4059</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4227</v>
      </c>
      <c r="BC173" s="93" t="s">
        <v>3737</v>
      </c>
      <c r="BD173" s="93" t="s">
        <v>6131</v>
      </c>
      <c r="BE173" s="93" t="s">
        <v>6132</v>
      </c>
      <c r="BF173" s="93" t="s">
        <v>6133</v>
      </c>
      <c r="BG173" s="93" t="s">
        <v>5020</v>
      </c>
      <c r="BH173" s="93" t="s">
        <v>5986</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6137</v>
      </c>
      <c r="CY173" s="98"/>
      <c r="CZ173" s="98"/>
      <c r="DA173" s="98"/>
      <c r="DB173" s="98"/>
      <c r="DC173" s="98"/>
      <c r="DD173" s="98"/>
      <c r="DE173" s="98"/>
      <c r="DF173" s="264"/>
      <c r="DG173" s="93" t="s">
        <v>3431</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5730</v>
      </c>
      <c r="H174" s="223"/>
      <c r="I174" s="167" t="s">
        <v>6141</v>
      </c>
      <c r="J174" s="167" t="s">
        <v>301</v>
      </c>
      <c r="K174" s="167" t="s">
        <v>122</v>
      </c>
      <c r="L174" s="167" t="s">
        <v>3911</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5576</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3801</v>
      </c>
      <c r="CA174" s="280"/>
      <c r="CB174" s="280"/>
      <c r="CC174" s="280"/>
      <c r="CD174" s="280"/>
      <c r="CE174" s="281"/>
      <c r="CF174" s="177" t="s">
        <v>6149</v>
      </c>
      <c r="CG174" s="177" t="s">
        <v>3347</v>
      </c>
      <c r="CH174" s="177" t="s">
        <v>753</v>
      </c>
      <c r="CI174" s="177" t="s">
        <v>6150</v>
      </c>
      <c r="CJ174" s="177"/>
      <c r="CK174" s="284"/>
      <c r="CL174" s="177" t="s">
        <v>3655</v>
      </c>
      <c r="CM174" s="177" t="s">
        <v>6019</v>
      </c>
      <c r="CN174" s="284"/>
      <c r="CO174" s="284"/>
      <c r="CP174" s="284"/>
      <c r="CQ174" s="284"/>
      <c r="CR174" s="284"/>
      <c r="CS174" s="101"/>
      <c r="CT174" s="206" t="s">
        <v>4982</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2"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4076</v>
      </c>
      <c r="N175" s="100"/>
      <c r="O175" s="100"/>
      <c r="P175" s="100"/>
      <c r="Q175" s="98"/>
      <c r="R175" s="98"/>
      <c r="S175" s="98"/>
      <c r="T175" s="98"/>
      <c r="U175" s="98"/>
      <c r="V175" s="98"/>
      <c r="W175" s="92"/>
      <c r="X175" s="290" t="s">
        <v>5804</v>
      </c>
      <c r="Y175" s="290" t="s">
        <v>6160</v>
      </c>
      <c r="Z175" s="290" t="s">
        <v>5010</v>
      </c>
      <c r="AA175" s="301" t="s">
        <v>4082</v>
      </c>
      <c r="AB175" s="290" t="s">
        <v>4316</v>
      </c>
      <c r="AC175" s="290" t="s">
        <v>6161</v>
      </c>
      <c r="AD175" s="98"/>
      <c r="AE175" s="290" t="s">
        <v>4540</v>
      </c>
      <c r="AF175" s="290" t="s">
        <v>5279</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3369</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3540</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5292</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6193</v>
      </c>
      <c r="B181" s="82" t="s">
        <v>6194</v>
      </c>
      <c r="C181" s="83" t="s">
        <v>1415</v>
      </c>
      <c r="D181" s="84" t="s">
        <v>738</v>
      </c>
      <c r="E181" s="85" t="s">
        <v>1415</v>
      </c>
      <c r="F181" s="86" t="s">
        <v>543</v>
      </c>
      <c r="G181" s="82" t="s">
        <v>219</v>
      </c>
      <c r="H181" s="100"/>
      <c r="I181" s="94"/>
      <c r="J181" s="100"/>
      <c r="K181" s="100" t="s">
        <v>1812</v>
      </c>
      <c r="L181" s="100" t="s">
        <v>5588</v>
      </c>
      <c r="M181" s="100"/>
      <c r="N181" s="100"/>
      <c r="O181" s="100" t="s">
        <v>2774</v>
      </c>
      <c r="P181" s="100"/>
      <c r="Q181" s="98"/>
      <c r="R181" s="98"/>
      <c r="S181" s="98"/>
      <c r="T181" s="98"/>
      <c r="U181" s="98"/>
      <c r="V181" s="98"/>
      <c r="W181" s="92"/>
      <c r="X181" s="88" t="s">
        <v>3493</v>
      </c>
      <c r="Y181" s="100" t="s">
        <v>6195</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6199</v>
      </c>
      <c r="B182" s="103" t="s">
        <v>6200</v>
      </c>
      <c r="C182" s="104" t="s">
        <v>1415</v>
      </c>
      <c r="D182" s="105" t="s">
        <v>1415</v>
      </c>
      <c r="E182" s="106" t="s">
        <v>1415</v>
      </c>
      <c r="F182" s="107" t="s">
        <v>1415</v>
      </c>
      <c r="G182" s="103" t="s">
        <v>6004</v>
      </c>
      <c r="H182" s="223"/>
      <c r="I182" s="167" t="s">
        <v>6201</v>
      </c>
      <c r="J182" s="167" t="s">
        <v>4216</v>
      </c>
      <c r="K182" s="167" t="s">
        <v>4297</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4653</v>
      </c>
      <c r="DS182" s="287"/>
      <c r="DT182" s="287"/>
      <c r="DU182" s="287"/>
      <c r="DV182" s="287"/>
      <c r="DW182" s="287"/>
      <c r="DX182" s="287"/>
      <c r="DY182" s="287"/>
      <c r="DZ182" s="287"/>
      <c r="EA182" s="287"/>
      <c r="EB182" s="320" t="s">
        <v>6208</v>
      </c>
    </row>
    <row r="183">
      <c r="A183" s="746"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3397</v>
      </c>
      <c r="CK184" s="284"/>
      <c r="CL184" s="177" t="s">
        <v>4719</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5539</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3716</v>
      </c>
      <c r="C187" s="83" t="s">
        <v>1415</v>
      </c>
      <c r="D187" s="84" t="s">
        <v>1415</v>
      </c>
      <c r="E187" s="85" t="s">
        <v>1415</v>
      </c>
      <c r="F187" s="86" t="s">
        <v>1415</v>
      </c>
      <c r="G187" s="82" t="s">
        <v>3442</v>
      </c>
      <c r="H187" s="98"/>
      <c r="I187" s="93" t="s">
        <v>6228</v>
      </c>
      <c r="J187" s="93" t="s">
        <v>1363</v>
      </c>
      <c r="K187" s="93" t="s">
        <v>1059</v>
      </c>
      <c r="L187" s="93" t="s">
        <v>6229</v>
      </c>
      <c r="M187" s="93" t="s">
        <v>6230</v>
      </c>
      <c r="N187" s="93" t="s">
        <v>6231</v>
      </c>
      <c r="O187" s="93" t="s">
        <v>6232</v>
      </c>
      <c r="P187" s="93" t="s">
        <v>4609</v>
      </c>
      <c r="Q187" s="98"/>
      <c r="R187" s="98"/>
      <c r="S187" s="98"/>
      <c r="T187" s="98"/>
      <c r="U187" s="98"/>
      <c r="V187" s="98"/>
      <c r="W187" s="92"/>
      <c r="X187" s="93" t="s">
        <v>336</v>
      </c>
      <c r="Y187" s="93" t="s">
        <v>2162</v>
      </c>
      <c r="Z187" s="93" t="s">
        <v>3292</v>
      </c>
      <c r="AA187" s="93" t="s">
        <v>6233</v>
      </c>
      <c r="AB187" s="93" t="s">
        <v>6234</v>
      </c>
      <c r="AC187" s="93" t="s">
        <v>3254</v>
      </c>
      <c r="AD187" s="98"/>
      <c r="AE187" s="93" t="s">
        <v>1911</v>
      </c>
      <c r="AF187" s="93" t="s">
        <v>1265</v>
      </c>
      <c r="AG187" s="98"/>
      <c r="AH187" s="98"/>
      <c r="AI187" s="98"/>
      <c r="AJ187" s="98"/>
      <c r="AK187" s="92"/>
      <c r="AL187" s="93" t="s">
        <v>4989</v>
      </c>
      <c r="AM187" s="93" t="s">
        <v>1281</v>
      </c>
      <c r="AN187" s="93" t="s">
        <v>6235</v>
      </c>
      <c r="AO187" s="93" t="s">
        <v>6236</v>
      </c>
      <c r="AP187" s="93" t="s">
        <v>6237</v>
      </c>
      <c r="AQ187" s="93"/>
      <c r="AR187" s="93" t="s">
        <v>4688</v>
      </c>
      <c r="AS187" s="93" t="s">
        <v>6238</v>
      </c>
      <c r="AT187" s="93" t="s">
        <v>3793</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5970</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4215</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6264</v>
      </c>
      <c r="B189" s="82" t="s">
        <v>6265</v>
      </c>
      <c r="C189" s="83" t="s">
        <v>1415</v>
      </c>
      <c r="D189" s="84" t="s">
        <v>1415</v>
      </c>
      <c r="E189" s="85" t="s">
        <v>1415</v>
      </c>
      <c r="F189" s="86" t="s">
        <v>1415</v>
      </c>
      <c r="G189" s="82" t="s">
        <v>3988</v>
      </c>
      <c r="H189" s="93" t="s">
        <v>6266</v>
      </c>
      <c r="I189" s="93" t="s">
        <v>6267</v>
      </c>
      <c r="J189" s="93" t="s">
        <v>6268</v>
      </c>
      <c r="K189" s="93" t="s">
        <v>1614</v>
      </c>
      <c r="L189" s="93" t="s">
        <v>4005</v>
      </c>
      <c r="M189" s="93" t="s">
        <v>6269</v>
      </c>
      <c r="N189" s="93" t="s">
        <v>6270</v>
      </c>
      <c r="O189" s="93" t="s">
        <v>4411</v>
      </c>
      <c r="P189" s="93" t="s">
        <v>4652</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5901</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4438</v>
      </c>
      <c r="BI190" s="173"/>
      <c r="BJ190" s="173"/>
      <c r="BK190" s="173"/>
      <c r="BL190" s="173"/>
      <c r="BM190" s="173"/>
      <c r="BN190" s="173"/>
      <c r="BO190" s="173"/>
      <c r="BP190" s="277"/>
      <c r="BQ190" s="280"/>
      <c r="BR190" s="175" t="s">
        <v>4798</v>
      </c>
      <c r="BS190" s="175" t="s">
        <v>6280</v>
      </c>
      <c r="BT190" s="175" t="s">
        <v>5396</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6285</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6286</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4333</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4700</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5785</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4996</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5768</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4867</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6306</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4105</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0" t="s">
        <v>6311</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5687</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2"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6323</v>
      </c>
      <c r="D1" s="767" t="s">
        <v>1551</v>
      </c>
      <c r="E1" s="768" t="s">
        <v>6324</v>
      </c>
      <c r="F1" s="767" t="s">
        <v>6325</v>
      </c>
      <c r="G1" s="767" t="s">
        <v>1060</v>
      </c>
      <c r="H1" s="769" t="s">
        <v>3096</v>
      </c>
      <c r="I1" s="767" t="s">
        <v>6326</v>
      </c>
      <c r="J1" s="767" t="s">
        <v>6327</v>
      </c>
      <c r="K1" s="767" t="s">
        <v>6328</v>
      </c>
      <c r="L1" s="768" t="s">
        <v>6329</v>
      </c>
      <c r="M1" s="767" t="s">
        <v>736</v>
      </c>
      <c r="N1" s="767" t="s">
        <v>6330</v>
      </c>
      <c r="O1" s="767" t="s">
        <v>985</v>
      </c>
      <c r="P1" s="770" t="s">
        <v>6331</v>
      </c>
      <c r="Q1" s="767" t="s">
        <v>1879</v>
      </c>
      <c r="R1" s="767" t="s">
        <v>6332</v>
      </c>
      <c r="S1" s="767" t="s">
        <v>6333</v>
      </c>
      <c r="T1" s="768" t="s">
        <v>6334</v>
      </c>
      <c r="U1" s="767" t="s">
        <v>6335</v>
      </c>
      <c r="V1" s="767" t="s">
        <v>6336</v>
      </c>
      <c r="W1" s="767" t="s">
        <v>3986</v>
      </c>
      <c r="X1" s="767" t="s">
        <v>6337</v>
      </c>
      <c r="Y1" s="767" t="s">
        <v>6338</v>
      </c>
      <c r="Z1" s="767" t="s">
        <v>4063</v>
      </c>
      <c r="AA1" s="767" t="s">
        <v>3598</v>
      </c>
      <c r="AB1" s="767" t="s">
        <v>6339</v>
      </c>
      <c r="AC1" s="767" t="s">
        <v>6340</v>
      </c>
      <c r="AD1" s="767" t="s">
        <v>6341</v>
      </c>
      <c r="AE1" s="767" t="s">
        <v>1198</v>
      </c>
      <c r="AF1" s="767" t="s">
        <v>216</v>
      </c>
      <c r="AG1" s="767" t="s">
        <v>1722</v>
      </c>
      <c r="AH1" s="767" t="s">
        <v>2008</v>
      </c>
      <c r="AI1" s="767" t="s">
        <v>6342</v>
      </c>
      <c r="AJ1" s="767" t="s">
        <v>6343</v>
      </c>
      <c r="AK1" s="767" t="s">
        <v>1945</v>
      </c>
      <c r="AL1" s="767" t="s">
        <v>6344</v>
      </c>
      <c r="AM1" s="767" t="s">
        <v>6345</v>
      </c>
      <c r="AN1" s="767" t="s">
        <v>5981</v>
      </c>
      <c r="AO1" s="767" t="s">
        <v>6346</v>
      </c>
      <c r="AP1" s="767" t="s">
        <v>6347</v>
      </c>
      <c r="AQ1" s="767" t="s">
        <v>5697</v>
      </c>
      <c r="AR1" s="767" t="s">
        <v>3234</v>
      </c>
      <c r="AS1" s="767" t="s">
        <v>6348</v>
      </c>
      <c r="AT1" s="767" t="s">
        <v>3918</v>
      </c>
      <c r="AU1" s="767" t="s">
        <v>5383</v>
      </c>
      <c r="AV1" s="767" t="s">
        <v>6349</v>
      </c>
      <c r="AW1" s="767" t="s">
        <v>6350</v>
      </c>
      <c r="AX1" s="768" t="s">
        <v>6351</v>
      </c>
      <c r="AY1" s="767" t="s">
        <v>6352</v>
      </c>
      <c r="AZ1" s="767" t="s">
        <v>6353</v>
      </c>
      <c r="BA1" s="767" t="s">
        <v>1630</v>
      </c>
      <c r="BB1" s="767" t="s">
        <v>6354</v>
      </c>
      <c r="BC1" s="771" t="s">
        <v>6320</v>
      </c>
      <c r="BD1" s="771" t="s">
        <v>6355</v>
      </c>
      <c r="BE1" s="767" t="s">
        <v>912</v>
      </c>
      <c r="BF1" s="767"/>
      <c r="BG1" s="767"/>
      <c r="BH1" s="772"/>
      <c r="BI1" s="772"/>
      <c r="BJ1" s="772"/>
    </row>
    <row r="2" ht="15.75" customHeight="1">
      <c r="A2" s="773" t="s">
        <v>6356</v>
      </c>
      <c r="B2" s="774"/>
      <c r="C2" s="775"/>
      <c r="D2" s="776">
        <f t="shared" ref="D2:BJ2" si="1">COUNTIF(D4:D327,"*")</f>
        <v>173</v>
      </c>
      <c r="E2" s="776">
        <f t="shared" si="1"/>
        <v>149</v>
      </c>
      <c r="F2" s="776">
        <f t="shared" si="1"/>
        <v>125</v>
      </c>
      <c r="G2" s="776">
        <f t="shared" si="1"/>
        <v>115</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6357</v>
      </c>
      <c r="B4" s="783" t="s">
        <v>6358</v>
      </c>
      <c r="C4" s="784" t="s">
        <v>335</v>
      </c>
      <c r="D4" s="785" t="s">
        <v>837</v>
      </c>
      <c r="E4" s="786" t="s">
        <v>335</v>
      </c>
      <c r="F4" s="787" t="s">
        <v>1325</v>
      </c>
      <c r="G4" s="788" t="s">
        <v>6359</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6360</v>
      </c>
      <c r="B5" s="783" t="s">
        <v>6361</v>
      </c>
      <c r="C5" s="784" t="s">
        <v>6362</v>
      </c>
      <c r="D5" s="793" t="s">
        <v>6363</v>
      </c>
      <c r="E5" s="793" t="s">
        <v>6364</v>
      </c>
      <c r="F5" s="787" t="s">
        <v>6365</v>
      </c>
      <c r="G5" s="793"/>
      <c r="H5" s="794"/>
      <c r="I5" s="793" t="s">
        <v>6366</v>
      </c>
      <c r="J5" s="793"/>
      <c r="K5" s="793" t="s">
        <v>4873</v>
      </c>
      <c r="L5" s="793"/>
      <c r="M5" s="793"/>
      <c r="N5" s="793" t="s">
        <v>6367</v>
      </c>
      <c r="O5" s="793" t="str">
        <f>HYPERLINK("https://youtu.be/y9FQ4EcrohI", "1:21.52")</f>
        <v>1:21.52</v>
      </c>
      <c r="P5" s="791" t="s">
        <v>6368</v>
      </c>
      <c r="Q5" s="793"/>
      <c r="R5" s="793" t="s">
        <v>6362</v>
      </c>
      <c r="S5" s="793" t="s">
        <v>2575</v>
      </c>
      <c r="T5" s="793"/>
      <c r="U5" s="793"/>
      <c r="V5" s="793"/>
      <c r="W5" s="793"/>
      <c r="X5" s="793"/>
      <c r="Y5" s="793"/>
      <c r="Z5" s="793" t="s">
        <v>6369</v>
      </c>
      <c r="AA5" s="793"/>
      <c r="AB5" s="793"/>
      <c r="AC5" s="793"/>
      <c r="AD5" s="793" t="s">
        <v>6370</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6371</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4596</v>
      </c>
      <c r="O6" s="788" t="s">
        <v>989</v>
      </c>
      <c r="P6" s="791" t="s">
        <v>6372</v>
      </c>
      <c r="Q6" s="790" t="s">
        <v>100</v>
      </c>
      <c r="R6" s="790"/>
      <c r="S6" s="790"/>
      <c r="T6" s="790"/>
      <c r="U6" s="790"/>
      <c r="V6" s="790"/>
      <c r="W6" s="790"/>
      <c r="X6" s="790"/>
      <c r="Y6" s="790"/>
      <c r="Z6" s="790"/>
      <c r="AA6" s="788" t="s">
        <v>6373</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6374</v>
      </c>
      <c r="B7" s="801" t="s">
        <v>6358</v>
      </c>
      <c r="C7" s="784" t="s">
        <v>6375</v>
      </c>
      <c r="D7" s="793" t="s">
        <v>3080</v>
      </c>
      <c r="E7" s="793" t="s">
        <v>6375</v>
      </c>
      <c r="F7" s="802"/>
      <c r="G7" s="793"/>
      <c r="H7" s="803" t="s">
        <v>1155</v>
      </c>
      <c r="I7" s="793" t="s">
        <v>1283</v>
      </c>
      <c r="J7" s="793"/>
      <c r="K7" s="793"/>
      <c r="L7" s="793" t="s">
        <v>1141</v>
      </c>
      <c r="M7" s="793" t="s">
        <v>1141</v>
      </c>
      <c r="N7" s="793" t="s">
        <v>6376</v>
      </c>
      <c r="O7" s="793"/>
      <c r="P7" s="791"/>
      <c r="Q7" s="793" t="s">
        <v>925</v>
      </c>
      <c r="R7" s="793" t="s">
        <v>3792</v>
      </c>
      <c r="S7" s="793" t="s">
        <v>6377</v>
      </c>
      <c r="T7" s="793" t="s">
        <v>6378</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6379</v>
      </c>
      <c r="B8" s="801" t="s">
        <v>6361</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6380</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6371</v>
      </c>
      <c r="C9" s="784" t="s">
        <v>6381</v>
      </c>
      <c r="D9" s="790"/>
      <c r="E9" s="788" t="s">
        <v>1241</v>
      </c>
      <c r="F9" s="787" t="s">
        <v>2072</v>
      </c>
      <c r="G9" s="790"/>
      <c r="H9" s="805" t="s">
        <v>964</v>
      </c>
      <c r="I9" s="790"/>
      <c r="J9" s="790"/>
      <c r="K9" s="790"/>
      <c r="L9" s="790"/>
      <c r="M9" s="790"/>
      <c r="N9" s="790"/>
      <c r="O9" s="788" t="s">
        <v>6381</v>
      </c>
      <c r="P9" s="791"/>
      <c r="Q9" s="790"/>
      <c r="R9" s="790"/>
      <c r="S9" s="790"/>
      <c r="T9" s="790"/>
      <c r="U9" s="790"/>
      <c r="V9" s="790"/>
      <c r="W9" s="790"/>
      <c r="X9" s="788" t="s">
        <v>6382</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6383</v>
      </c>
      <c r="B10" s="783" t="s">
        <v>6384</v>
      </c>
      <c r="C10" s="784" t="s">
        <v>2823</v>
      </c>
      <c r="D10" s="793" t="s">
        <v>1704</v>
      </c>
      <c r="E10" s="793" t="s">
        <v>2823</v>
      </c>
      <c r="F10" s="787" t="s">
        <v>6385</v>
      </c>
      <c r="G10" s="793"/>
      <c r="H10" s="789"/>
      <c r="I10" s="793" t="s">
        <v>6386</v>
      </c>
      <c r="J10" s="793"/>
      <c r="K10" s="793" t="s">
        <v>4080</v>
      </c>
      <c r="L10" s="793"/>
      <c r="M10" s="793" t="s">
        <v>3099</v>
      </c>
      <c r="N10" s="793" t="s">
        <v>6387</v>
      </c>
      <c r="O10" s="793"/>
      <c r="P10" s="791" t="s">
        <v>3306</v>
      </c>
      <c r="Q10" s="793" t="s">
        <v>3099</v>
      </c>
      <c r="R10" s="793"/>
      <c r="S10" s="793" t="s">
        <v>4292</v>
      </c>
      <c r="T10" s="793"/>
      <c r="U10" s="793" t="s">
        <v>2717</v>
      </c>
      <c r="V10" s="793"/>
      <c r="W10" s="793"/>
      <c r="X10" s="793"/>
      <c r="Y10" s="793"/>
      <c r="Z10" s="793" t="s">
        <v>6388</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6389</v>
      </c>
      <c r="C11" s="784" t="s">
        <v>4241</v>
      </c>
      <c r="D11" s="798" t="s">
        <v>1557</v>
      </c>
      <c r="E11" s="788" t="s">
        <v>337</v>
      </c>
      <c r="F11" s="787" t="s">
        <v>1327</v>
      </c>
      <c r="G11" s="788" t="s">
        <v>4241</v>
      </c>
      <c r="H11" s="803" t="s">
        <v>3099</v>
      </c>
      <c r="I11" s="790" t="s">
        <v>6390</v>
      </c>
      <c r="J11" s="788" t="s">
        <v>722</v>
      </c>
      <c r="K11" s="790"/>
      <c r="L11" s="790" t="s">
        <v>2336</v>
      </c>
      <c r="M11" s="788" t="s">
        <v>2098</v>
      </c>
      <c r="N11" s="790" t="s">
        <v>6391</v>
      </c>
      <c r="O11" s="788" t="s">
        <v>6392</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6374</v>
      </c>
      <c r="B12" s="807" t="s">
        <v>6384</v>
      </c>
      <c r="C12" s="784" t="s">
        <v>5991</v>
      </c>
      <c r="D12" s="793" t="s">
        <v>1268</v>
      </c>
      <c r="E12" s="793" t="s">
        <v>5991</v>
      </c>
      <c r="F12" s="787" t="str">
        <f>HYPERLINK("https://www.twitch.tv/videos/569558488","14.31")</f>
        <v>14.31</v>
      </c>
      <c r="G12" s="793" t="s">
        <v>4437</v>
      </c>
      <c r="H12" s="789"/>
      <c r="I12" s="793" t="str">
        <f>HYPERLINK("https://youtu.be/F4XtupQ5d4o","14.33")</f>
        <v>14.33</v>
      </c>
      <c r="J12" s="793" t="s">
        <v>4437</v>
      </c>
      <c r="K12" s="793" t="s">
        <v>3077</v>
      </c>
      <c r="L12" s="793"/>
      <c r="M12" s="793" t="str">
        <f>HYPERLINK("https://www.youtube.com/watch?v=h3GaauXfeR4","14.16")</f>
        <v>14.16</v>
      </c>
      <c r="N12" s="793" t="str">
        <f>HYPERLINK("https://youtu.be/rZW3Nzg9CsM","14.20")</f>
        <v>14.20</v>
      </c>
      <c r="O12" s="793"/>
      <c r="P12" s="791" t="s">
        <v>4314</v>
      </c>
      <c r="Q12" s="793" t="s">
        <v>2266</v>
      </c>
      <c r="R12" s="793" t="s">
        <v>3921</v>
      </c>
      <c r="S12" s="793"/>
      <c r="T12" s="793"/>
      <c r="U12" s="793" t="s">
        <v>5510</v>
      </c>
      <c r="V12" s="793"/>
      <c r="W12" s="793" t="s">
        <v>4552</v>
      </c>
      <c r="X12" s="793"/>
      <c r="Y12" s="793"/>
      <c r="Z12" s="793" t="s">
        <v>6180</v>
      </c>
      <c r="AA12" s="793"/>
      <c r="AB12" s="793"/>
      <c r="AC12" s="793"/>
      <c r="AD12" s="793" t="s">
        <v>657</v>
      </c>
      <c r="AE12" s="793" t="s">
        <v>6393</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6389</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6379</v>
      </c>
      <c r="B14" s="809" t="s">
        <v>6394</v>
      </c>
      <c r="C14" s="784" t="s">
        <v>6395</v>
      </c>
      <c r="D14" s="793" t="s">
        <v>5423</v>
      </c>
      <c r="E14" s="793"/>
      <c r="F14" s="802"/>
      <c r="G14" s="793"/>
      <c r="H14" s="810" t="s">
        <v>4850</v>
      </c>
      <c r="I14" s="793"/>
      <c r="J14" s="793"/>
      <c r="K14" s="793"/>
      <c r="L14" s="793"/>
      <c r="M14" s="793" t="s">
        <v>6395</v>
      </c>
      <c r="N14" s="793"/>
      <c r="O14" s="793"/>
      <c r="P14" s="791"/>
      <c r="Q14" s="793"/>
      <c r="R14" s="793"/>
      <c r="S14" s="793" t="s">
        <v>6396</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6397</v>
      </c>
      <c r="C15" s="784" t="s">
        <v>6398</v>
      </c>
      <c r="D15" s="790" t="s">
        <v>6399</v>
      </c>
      <c r="E15" s="788" t="s">
        <v>1098</v>
      </c>
      <c r="F15" s="787" t="s">
        <v>2209</v>
      </c>
      <c r="G15" s="790" t="s">
        <v>6400</v>
      </c>
      <c r="H15" s="794"/>
      <c r="I15" s="790"/>
      <c r="J15" s="788" t="s">
        <v>6401</v>
      </c>
      <c r="K15" s="790"/>
      <c r="L15" s="790" t="s">
        <v>6401</v>
      </c>
      <c r="M15" s="790"/>
      <c r="N15" s="790"/>
      <c r="O15" s="788" t="s">
        <v>1842</v>
      </c>
      <c r="P15" s="791" t="s">
        <v>6402</v>
      </c>
      <c r="Q15" s="790" t="s">
        <v>6403</v>
      </c>
      <c r="R15" s="790"/>
      <c r="S15" s="790"/>
      <c r="T15" s="790" t="s">
        <v>6395</v>
      </c>
      <c r="U15" s="790"/>
      <c r="V15" s="790" t="s">
        <v>6401</v>
      </c>
      <c r="W15" s="790"/>
      <c r="X15" s="788" t="s">
        <v>1842</v>
      </c>
      <c r="Y15" s="790"/>
      <c r="Z15" s="790"/>
      <c r="AA15" s="790"/>
      <c r="AB15" s="790"/>
      <c r="AC15" s="790"/>
      <c r="AD15" s="790"/>
      <c r="AE15" s="790"/>
      <c r="AF15" s="788" t="s">
        <v>6398</v>
      </c>
      <c r="AG15" s="790" t="s">
        <v>3823</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6404</v>
      </c>
      <c r="B16" s="801" t="s">
        <v>6405</v>
      </c>
      <c r="C16" s="784" t="s">
        <v>2428</v>
      </c>
      <c r="D16" s="811" t="s">
        <v>1265</v>
      </c>
      <c r="E16" s="793" t="s">
        <v>2428</v>
      </c>
      <c r="F16" s="802"/>
      <c r="G16" s="793"/>
      <c r="H16" s="789"/>
      <c r="I16" s="793" t="str">
        <f>HYPERLINK("https://youtu.be/t-1yqXLdZMA","38.05")</f>
        <v>38.05</v>
      </c>
      <c r="J16" s="793" t="s">
        <v>6406</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6407</v>
      </c>
      <c r="B17" s="801" t="s">
        <v>6405</v>
      </c>
      <c r="C17" s="812"/>
      <c r="D17" s="813" t="s">
        <v>6408</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6409</v>
      </c>
      <c r="B18" s="783" t="s">
        <v>6410</v>
      </c>
      <c r="C18" s="784" t="s">
        <v>1779</v>
      </c>
      <c r="D18" s="793" t="s">
        <v>4639</v>
      </c>
      <c r="E18" s="793" t="s">
        <v>1174</v>
      </c>
      <c r="F18" s="787" t="s">
        <v>4438</v>
      </c>
      <c r="G18" s="793"/>
      <c r="H18" s="794"/>
      <c r="I18" s="793" t="s">
        <v>4194</v>
      </c>
      <c r="J18" s="793"/>
      <c r="K18" s="793" t="s">
        <v>6411</v>
      </c>
      <c r="L18" s="793"/>
      <c r="M18" s="793" t="s">
        <v>6412</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4073</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6413</v>
      </c>
      <c r="C19" s="784" t="s">
        <v>2859</v>
      </c>
      <c r="D19" s="793"/>
      <c r="E19" s="793" t="s">
        <v>968</v>
      </c>
      <c r="F19" s="802"/>
      <c r="G19" s="793"/>
      <c r="H19" s="789"/>
      <c r="I19" s="793"/>
      <c r="J19" s="793"/>
      <c r="K19" s="793" t="s">
        <v>6414</v>
      </c>
      <c r="L19" s="793"/>
      <c r="M19" s="793"/>
      <c r="N19" s="793"/>
      <c r="O19" s="793"/>
      <c r="P19" s="791"/>
      <c r="Q19" s="793" t="s">
        <v>6415</v>
      </c>
      <c r="R19" s="793" t="s">
        <v>6416</v>
      </c>
      <c r="S19" s="793"/>
      <c r="T19" s="793"/>
      <c r="U19" s="793"/>
      <c r="V19" s="793"/>
      <c r="W19" s="793"/>
      <c r="X19" s="793"/>
      <c r="Y19" s="793"/>
      <c r="Z19" s="793"/>
      <c r="AA19" s="793"/>
      <c r="AB19" s="793"/>
      <c r="AC19" s="793"/>
      <c r="AD19" s="793"/>
      <c r="AE19" s="793"/>
      <c r="AF19" s="793"/>
      <c r="AG19" s="793"/>
      <c r="AH19" s="793"/>
      <c r="AI19" s="793" t="s">
        <v>3851</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6417</v>
      </c>
      <c r="C20" s="784" t="s">
        <v>6418</v>
      </c>
      <c r="D20" s="793" t="s">
        <v>1559</v>
      </c>
      <c r="E20" s="793" t="s">
        <v>6418</v>
      </c>
      <c r="F20" s="787" t="s">
        <v>1329</v>
      </c>
      <c r="G20" s="793" t="s">
        <v>4299</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3802</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6419</v>
      </c>
      <c r="B21" s="783" t="s">
        <v>6420</v>
      </c>
      <c r="C21" s="784" t="s">
        <v>6395</v>
      </c>
      <c r="D21" s="814"/>
      <c r="E21" s="814" t="s">
        <v>159</v>
      </c>
      <c r="F21" s="802" t="s">
        <v>4146</v>
      </c>
      <c r="G21" s="814"/>
      <c r="H21" s="789"/>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6422</v>
      </c>
      <c r="C22" s="784" t="s">
        <v>6423</v>
      </c>
      <c r="D22" s="793"/>
      <c r="E22" s="793" t="s">
        <v>3823</v>
      </c>
      <c r="F22" s="802"/>
      <c r="G22" s="793" t="s">
        <v>6424</v>
      </c>
      <c r="H22" s="805" t="s">
        <v>534</v>
      </c>
      <c r="I22" s="793"/>
      <c r="J22" s="793"/>
      <c r="K22" s="793"/>
      <c r="L22" s="793" t="s">
        <v>784</v>
      </c>
      <c r="M22" s="793"/>
      <c r="N22" s="793"/>
      <c r="O22" s="793"/>
      <c r="P22" s="791"/>
      <c r="Q22" s="793" t="s">
        <v>3111</v>
      </c>
      <c r="R22" s="793"/>
      <c r="S22" s="793"/>
      <c r="T22" s="793"/>
      <c r="U22" s="793"/>
      <c r="V22" s="793"/>
      <c r="W22" s="793"/>
      <c r="X22" s="793" t="s">
        <v>6425</v>
      </c>
      <c r="Y22" s="793"/>
      <c r="Z22" s="793"/>
      <c r="AA22" s="793"/>
      <c r="AB22" s="793"/>
      <c r="AC22" s="793"/>
      <c r="AD22" s="793"/>
      <c r="AE22" s="793"/>
      <c r="AF22" s="793" t="s">
        <v>6423</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6426</v>
      </c>
      <c r="B23" s="783" t="s">
        <v>6427</v>
      </c>
      <c r="C23" s="784" t="s">
        <v>251</v>
      </c>
      <c r="D23" s="793"/>
      <c r="E23" s="793" t="s">
        <v>251</v>
      </c>
      <c r="F23" s="802"/>
      <c r="G23" s="793"/>
      <c r="H23" s="789"/>
      <c r="I23" s="793"/>
      <c r="J23" s="793"/>
      <c r="K23" s="793"/>
      <c r="L23" s="793"/>
      <c r="M23" s="793"/>
      <c r="N23" s="793" t="s">
        <v>6428</v>
      </c>
      <c r="O23" s="793"/>
      <c r="P23" s="791"/>
      <c r="Q23" s="793" t="s">
        <v>6429</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6430</v>
      </c>
      <c r="C24" s="784" t="s">
        <v>6431</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6432</v>
      </c>
      <c r="C25" s="784" t="s">
        <v>2826</v>
      </c>
      <c r="D25" s="788" t="s">
        <v>1561</v>
      </c>
      <c r="E25" s="793" t="s">
        <v>6433</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4512</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6434</v>
      </c>
      <c r="C26" s="784" t="s">
        <v>6435</v>
      </c>
      <c r="D26" s="793"/>
      <c r="E26" s="793" t="s">
        <v>6435</v>
      </c>
      <c r="F26" s="787" t="s">
        <v>1331</v>
      </c>
      <c r="G26" s="793"/>
      <c r="H26" s="794"/>
      <c r="I26" s="793"/>
      <c r="J26" s="793" t="s">
        <v>6436</v>
      </c>
      <c r="K26" s="793" t="s">
        <v>6437</v>
      </c>
      <c r="L26" s="793"/>
      <c r="M26" s="793"/>
      <c r="N26" s="793"/>
      <c r="O26" s="793" t="s">
        <v>6438</v>
      </c>
      <c r="P26" s="791" t="s">
        <v>6439</v>
      </c>
      <c r="Q26" s="793" t="s">
        <v>6440</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6374</v>
      </c>
      <c r="B27" s="801" t="s">
        <v>6441</v>
      </c>
      <c r="C27" s="784" t="s">
        <v>5292</v>
      </c>
      <c r="D27" s="793" t="s">
        <v>478</v>
      </c>
      <c r="E27" s="793" t="s">
        <v>5292</v>
      </c>
      <c r="F27" s="787" t="s">
        <v>5463</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6442</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6443</v>
      </c>
      <c r="C28" s="784" t="s">
        <v>2784</v>
      </c>
      <c r="D28" s="793"/>
      <c r="E28" s="793" t="s">
        <v>2784</v>
      </c>
      <c r="F28" s="802"/>
      <c r="G28" s="793"/>
      <c r="H28" s="794"/>
      <c r="I28" s="793"/>
      <c r="J28" s="793"/>
      <c r="K28" s="793" t="s">
        <v>6444</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6445</v>
      </c>
      <c r="C29" s="784" t="s">
        <v>4232</v>
      </c>
      <c r="D29" s="793"/>
      <c r="E29" s="793" t="s">
        <v>1820</v>
      </c>
      <c r="F29" s="802"/>
      <c r="G29" s="793"/>
      <c r="H29" s="810" t="s">
        <v>6444</v>
      </c>
      <c r="I29" s="793" t="s">
        <v>4807</v>
      </c>
      <c r="J29" s="793" t="s">
        <v>770</v>
      </c>
      <c r="K29" s="793" t="s">
        <v>3394</v>
      </c>
      <c r="L29" s="793"/>
      <c r="M29" s="793" t="s">
        <v>1444</v>
      </c>
      <c r="N29" s="793" t="s">
        <v>6444</v>
      </c>
      <c r="O29" s="793"/>
      <c r="P29" s="791"/>
      <c r="Q29" s="793"/>
      <c r="R29" s="793"/>
      <c r="S29" s="793"/>
      <c r="T29" s="793"/>
      <c r="U29" s="793"/>
      <c r="V29" s="793"/>
      <c r="W29" s="793" t="s">
        <v>450</v>
      </c>
      <c r="X29" s="793"/>
      <c r="Y29" s="793"/>
      <c r="Z29" s="793" t="s">
        <v>6446</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6447</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6448</v>
      </c>
      <c r="C31" s="784" t="s">
        <v>3811</v>
      </c>
      <c r="D31" s="793"/>
      <c r="E31" s="793" t="s">
        <v>3811</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6449</v>
      </c>
      <c r="C32" s="784" t="s">
        <v>2701</v>
      </c>
      <c r="D32" s="793"/>
      <c r="E32" s="793" t="s">
        <v>3049</v>
      </c>
      <c r="F32" s="802"/>
      <c r="G32" s="793"/>
      <c r="H32" s="794"/>
      <c r="I32" s="793"/>
      <c r="J32" s="793"/>
      <c r="K32" s="793" t="s">
        <v>4232</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6450</v>
      </c>
      <c r="C33" s="784" t="s">
        <v>2827</v>
      </c>
      <c r="D33" s="793"/>
      <c r="E33" s="793" t="s">
        <v>3394</v>
      </c>
      <c r="F33" s="802"/>
      <c r="G33" s="793"/>
      <c r="H33" s="789"/>
      <c r="I33" s="793"/>
      <c r="J33" s="793" t="s">
        <v>2827</v>
      </c>
      <c r="K33" s="793" t="s">
        <v>3811</v>
      </c>
      <c r="L33" s="793"/>
      <c r="M33" s="793" t="s">
        <v>4819</v>
      </c>
      <c r="N33" s="793"/>
      <c r="O33" s="793"/>
      <c r="P33" s="791"/>
      <c r="Q33" s="793" t="s">
        <v>6451</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6452</v>
      </c>
      <c r="C34" s="784" t="s">
        <v>4126</v>
      </c>
      <c r="D34" s="793"/>
      <c r="E34" s="793" t="s">
        <v>3787</v>
      </c>
      <c r="F34" s="802"/>
      <c r="G34" s="793"/>
      <c r="H34" s="794"/>
      <c r="I34" s="793"/>
      <c r="J34" s="793" t="s">
        <v>4126</v>
      </c>
      <c r="K34" s="793" t="s">
        <v>6453</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6454</v>
      </c>
      <c r="C35" s="784" t="s">
        <v>2304</v>
      </c>
      <c r="D35" s="793" t="s">
        <v>1562</v>
      </c>
      <c r="E35" s="793" t="s">
        <v>2827</v>
      </c>
      <c r="F35" s="802"/>
      <c r="G35" s="793"/>
      <c r="H35" s="810" t="s">
        <v>2766</v>
      </c>
      <c r="I35" s="793" t="s">
        <v>6455</v>
      </c>
      <c r="J35" s="793" t="s">
        <v>2304</v>
      </c>
      <c r="K35" s="793" t="s">
        <v>2259</v>
      </c>
      <c r="L35" s="793"/>
      <c r="M35" s="793" t="s">
        <v>6453</v>
      </c>
      <c r="N35" s="793"/>
      <c r="O35" s="793"/>
      <c r="P35" s="791"/>
      <c r="Q35" s="793" t="s">
        <v>1742</v>
      </c>
      <c r="R35" s="793"/>
      <c r="S35" s="793"/>
      <c r="T35" s="793"/>
      <c r="U35" s="793" t="s">
        <v>5771</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6456</v>
      </c>
      <c r="C36" s="784" t="s">
        <v>760</v>
      </c>
      <c r="D36" s="793"/>
      <c r="E36" s="793" t="s">
        <v>3893</v>
      </c>
      <c r="F36" s="787" t="s">
        <v>3659</v>
      </c>
      <c r="G36" s="793" t="s">
        <v>760</v>
      </c>
      <c r="H36" s="803" t="s">
        <v>2701</v>
      </c>
      <c r="I36" s="793" t="s">
        <v>1954</v>
      </c>
      <c r="J36" s="793" t="s">
        <v>1138</v>
      </c>
      <c r="K36" s="793" t="s">
        <v>4775</v>
      </c>
      <c r="L36" s="793"/>
      <c r="M36" s="793"/>
      <c r="N36" s="793"/>
      <c r="O36" s="793" t="s">
        <v>1954</v>
      </c>
      <c r="P36" s="791" t="s">
        <v>2484</v>
      </c>
      <c r="Q36" s="793" t="str">
        <f>HYPERLINK("https://clips.twitch.tv/AggressiveBigTeaNononoCat","40.26")</f>
        <v>40.26</v>
      </c>
      <c r="R36" s="793"/>
      <c r="S36" s="793"/>
      <c r="T36" s="793" t="s">
        <v>3893</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6379</v>
      </c>
      <c r="B37" s="801" t="s">
        <v>6457</v>
      </c>
      <c r="C37" s="784" t="s">
        <v>4285</v>
      </c>
      <c r="D37" s="793" t="s">
        <v>6458</v>
      </c>
      <c r="E37" s="793" t="s">
        <v>4285</v>
      </c>
      <c r="F37" s="787" t="s">
        <v>2895</v>
      </c>
      <c r="G37" s="793"/>
      <c r="H37" s="810" t="s">
        <v>2516</v>
      </c>
      <c r="I37" s="793"/>
      <c r="J37" s="793"/>
      <c r="K37" s="793" t="s">
        <v>354</v>
      </c>
      <c r="L37" s="793"/>
      <c r="M37" s="793"/>
      <c r="N37" s="793"/>
      <c r="O37" s="793"/>
      <c r="P37" s="791"/>
      <c r="Q37" s="793" t="s">
        <v>3057</v>
      </c>
      <c r="R37" s="793"/>
      <c r="S37" s="793"/>
      <c r="T37" s="793"/>
      <c r="U37" s="793"/>
      <c r="V37" s="793"/>
      <c r="W37" s="793" t="s">
        <v>6459</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6460</v>
      </c>
      <c r="C38" s="784" t="s">
        <v>2532</v>
      </c>
      <c r="D38" s="793" t="s">
        <v>3259</v>
      </c>
      <c r="E38" s="793" t="s">
        <v>3518</v>
      </c>
      <c r="F38" s="787" t="s">
        <v>708</v>
      </c>
      <c r="G38" s="793" t="s">
        <v>6461</v>
      </c>
      <c r="H38" s="803" t="s">
        <v>4514</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6404</v>
      </c>
      <c r="B39" s="801" t="s">
        <v>6405</v>
      </c>
      <c r="C39" s="784" t="s">
        <v>4815</v>
      </c>
      <c r="D39" s="798" t="s">
        <v>644</v>
      </c>
      <c r="E39" s="793" t="s">
        <v>2839</v>
      </c>
      <c r="F39" s="802"/>
      <c r="G39" s="793"/>
      <c r="H39" s="789"/>
      <c r="I39" s="793" t="s">
        <v>1725</v>
      </c>
      <c r="J39" s="793"/>
      <c r="K39" s="793" t="s">
        <v>6462</v>
      </c>
      <c r="L39" s="793" t="s">
        <v>275</v>
      </c>
      <c r="M39" s="793" t="s">
        <v>783</v>
      </c>
      <c r="N39" s="793" t="str">
        <f>HYPERLINK("https://youtu.be/Z3lDpXDeu-A","48.50")</f>
        <v>48.50</v>
      </c>
      <c r="O39" s="793"/>
      <c r="P39" s="791"/>
      <c r="Q39" s="793"/>
      <c r="R39" s="793"/>
      <c r="S39" s="793" t="s">
        <v>4815</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6463</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6464</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6465</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6407</v>
      </c>
      <c r="B43" s="801" t="s">
        <v>6405</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6466</v>
      </c>
      <c r="C44" s="812"/>
      <c r="D44" s="813" t="s">
        <v>6467</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6468</v>
      </c>
      <c r="B45" s="783" t="s">
        <v>6469</v>
      </c>
      <c r="C45" s="784" t="s">
        <v>999</v>
      </c>
      <c r="D45" s="793" t="s">
        <v>5172</v>
      </c>
      <c r="E45" s="793" t="s">
        <v>6470</v>
      </c>
      <c r="F45" s="802"/>
      <c r="G45" s="793" t="s">
        <v>5186</v>
      </c>
      <c r="H45" s="789"/>
      <c r="I45" s="793" t="str">
        <f>HYPERLINK("https://youtu.be/WdBDZlWcLa8","16.95")</f>
        <v>16.95</v>
      </c>
      <c r="J45" s="793"/>
      <c r="K45" s="793"/>
      <c r="L45" s="793"/>
      <c r="M45" s="793"/>
      <c r="N45" s="793" t="str">
        <f>HYPERLINK("https://youtu.be/FwtG-kRM0SE","17.64")</f>
        <v>17.64</v>
      </c>
      <c r="O45" s="793"/>
      <c r="P45" s="791" t="s">
        <v>4777</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6471</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3604</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6472</v>
      </c>
      <c r="B47" s="783" t="s">
        <v>6473</v>
      </c>
      <c r="C47" s="784" t="s">
        <v>4881</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6358</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6474</v>
      </c>
      <c r="B50" s="832" t="s">
        <v>6475</v>
      </c>
      <c r="C50" s="833" t="s">
        <v>1913</v>
      </c>
      <c r="D50" s="793"/>
      <c r="E50" s="793" t="s">
        <v>1478</v>
      </c>
      <c r="F50" s="787" t="s">
        <v>1872</v>
      </c>
      <c r="G50" s="793"/>
      <c r="H50" s="789"/>
      <c r="I50" s="793" t="s">
        <v>6018</v>
      </c>
      <c r="J50" s="793" t="s">
        <v>1913</v>
      </c>
      <c r="K50" s="793" t="s">
        <v>4587</v>
      </c>
      <c r="L50" s="793" t="s">
        <v>837</v>
      </c>
      <c r="M50" s="793" t="s">
        <v>751</v>
      </c>
      <c r="N50" s="793" t="s">
        <v>2906</v>
      </c>
      <c r="O50" s="793"/>
      <c r="P50" s="791" t="s">
        <v>3326</v>
      </c>
      <c r="Q50" s="793" t="s">
        <v>119</v>
      </c>
      <c r="R50" s="793" t="s">
        <v>6476</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6477</v>
      </c>
      <c r="C51" s="833" t="s">
        <v>4396</v>
      </c>
      <c r="D51" s="793"/>
      <c r="E51" s="793" t="s">
        <v>4396</v>
      </c>
      <c r="F51" s="802"/>
      <c r="G51" s="793"/>
      <c r="H51" s="838"/>
      <c r="I51" s="793"/>
      <c r="J51" s="793"/>
      <c r="K51" s="793"/>
      <c r="L51" s="793"/>
      <c r="M51" s="793"/>
      <c r="N51" s="793"/>
      <c r="O51" s="793" t="s">
        <v>403</v>
      </c>
      <c r="P51" s="791" t="s">
        <v>1370</v>
      </c>
      <c r="Q51" s="793" t="s">
        <v>801</v>
      </c>
      <c r="R51" s="793"/>
      <c r="S51" s="793"/>
      <c r="T51" s="793" t="s">
        <v>5749</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6478</v>
      </c>
      <c r="C52" s="833">
        <v>52.89</v>
      </c>
      <c r="D52" s="839" t="s">
        <v>4601</v>
      </c>
      <c r="E52" s="840"/>
      <c r="F52" s="802"/>
      <c r="G52" s="840"/>
      <c r="H52" s="789"/>
      <c r="I52" s="840"/>
      <c r="J52" s="840"/>
      <c r="K52" s="840"/>
      <c r="L52" s="840"/>
      <c r="M52" s="840"/>
      <c r="N52" s="841" t="s">
        <v>6479</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6480</v>
      </c>
      <c r="C53" s="833" t="s">
        <v>238</v>
      </c>
      <c r="D53" s="793" t="s">
        <v>491</v>
      </c>
      <c r="E53" s="839" t="s">
        <v>350</v>
      </c>
      <c r="F53" s="787" t="s">
        <v>1337</v>
      </c>
      <c r="G53" s="787" t="s">
        <v>366</v>
      </c>
      <c r="H53" s="842" t="s">
        <v>3102</v>
      </c>
      <c r="I53" s="839"/>
      <c r="J53" s="839"/>
      <c r="K53" s="839"/>
      <c r="L53" s="839"/>
      <c r="M53" s="839"/>
      <c r="N53" s="839"/>
      <c r="O53" s="839" t="s">
        <v>6481</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6379</v>
      </c>
      <c r="B54" s="844" t="s">
        <v>6475</v>
      </c>
      <c r="C54" s="833" t="s">
        <v>3671</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6477</v>
      </c>
      <c r="C55" s="833" t="s">
        <v>128</v>
      </c>
      <c r="D55" s="839"/>
      <c r="E55" s="839" t="s">
        <v>6482</v>
      </c>
      <c r="F55" s="802"/>
      <c r="G55" s="839" t="s">
        <v>128</v>
      </c>
      <c r="H55" s="838"/>
      <c r="I55" s="839"/>
      <c r="J55" s="839"/>
      <c r="K55" s="839"/>
      <c r="L55" s="839"/>
      <c r="M55" s="839"/>
      <c r="N55" s="839"/>
      <c r="O55" s="839"/>
      <c r="P55" s="791" t="s">
        <v>6483</v>
      </c>
      <c r="Q55" s="839" t="s">
        <v>2136</v>
      </c>
      <c r="R55" s="839"/>
      <c r="S55" s="839"/>
      <c r="T55" s="839"/>
      <c r="U55" s="839"/>
      <c r="V55" s="839"/>
      <c r="W55" s="839"/>
      <c r="X55" s="839" t="s">
        <v>4140</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6478</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6480</v>
      </c>
      <c r="C57" s="833" t="s">
        <v>415</v>
      </c>
      <c r="D57" s="839"/>
      <c r="E57" s="839" t="s">
        <v>135</v>
      </c>
      <c r="F57" s="787" t="s">
        <v>6484</v>
      </c>
      <c r="G57" s="787" t="s">
        <v>618</v>
      </c>
      <c r="H57" s="842" t="s">
        <v>3257</v>
      </c>
      <c r="I57" s="839"/>
      <c r="J57" s="839"/>
      <c r="K57" s="839"/>
      <c r="L57" s="839"/>
      <c r="M57" s="839"/>
      <c r="N57" s="839"/>
      <c r="O57" s="787" t="s">
        <v>3868</v>
      </c>
      <c r="P57" s="791" t="s">
        <v>6485</v>
      </c>
      <c r="Q57" s="839" t="s">
        <v>6415</v>
      </c>
      <c r="R57" s="839" t="s">
        <v>767</v>
      </c>
      <c r="S57" s="839"/>
      <c r="T57" s="839"/>
      <c r="U57" s="839"/>
      <c r="V57" s="839"/>
      <c r="W57" s="839"/>
      <c r="X57" s="839"/>
      <c r="Y57" s="839" t="s">
        <v>3868</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6374</v>
      </c>
      <c r="B58" s="846" t="s">
        <v>6358</v>
      </c>
      <c r="C58" s="833" t="s">
        <v>4120</v>
      </c>
      <c r="D58" s="795"/>
      <c r="E58" s="795"/>
      <c r="F58" s="802"/>
      <c r="G58" s="847" t="s">
        <v>4120</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6360</v>
      </c>
      <c r="B59" s="832" t="s">
        <v>6358</v>
      </c>
      <c r="C59" s="833" t="s">
        <v>2016</v>
      </c>
      <c r="D59" s="823" t="s">
        <v>6486</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6374</v>
      </c>
      <c r="B60" s="844" t="s">
        <v>6487</v>
      </c>
      <c r="C60" s="833" t="s">
        <v>3593</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6488</v>
      </c>
      <c r="AB60" s="823"/>
      <c r="AC60" s="823"/>
      <c r="AD60" s="823"/>
      <c r="AE60" s="823"/>
      <c r="AF60" s="823"/>
      <c r="AG60" s="823"/>
      <c r="AH60" s="823"/>
      <c r="AI60" s="823"/>
      <c r="AJ60" s="823"/>
      <c r="AK60" s="823"/>
      <c r="AL60" s="823"/>
      <c r="AM60" s="823"/>
      <c r="AN60" s="823"/>
      <c r="AO60" s="823"/>
      <c r="AP60" s="786" t="s">
        <v>6489</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6490</v>
      </c>
      <c r="C61" s="833" t="s">
        <v>204</v>
      </c>
      <c r="D61" s="791" t="s">
        <v>6415</v>
      </c>
      <c r="E61" s="791"/>
      <c r="F61" s="802"/>
      <c r="G61" s="820" t="s">
        <v>204</v>
      </c>
      <c r="H61" s="842" t="s">
        <v>2362</v>
      </c>
      <c r="I61" s="791"/>
      <c r="J61" s="791"/>
      <c r="K61" s="791"/>
      <c r="L61" s="791"/>
      <c r="M61" s="791"/>
      <c r="N61" s="791"/>
      <c r="O61" s="791"/>
      <c r="P61" s="791"/>
      <c r="Q61" s="791"/>
      <c r="R61" s="788" t="s">
        <v>6491</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6379</v>
      </c>
      <c r="B62" s="844" t="s">
        <v>6487</v>
      </c>
      <c r="C62" s="833" t="s">
        <v>6103</v>
      </c>
      <c r="D62" s="791" t="s">
        <v>4202</v>
      </c>
      <c r="E62" s="791"/>
      <c r="F62" s="802"/>
      <c r="G62" s="791"/>
      <c r="H62" s="789"/>
      <c r="I62" s="791"/>
      <c r="J62" s="820" t="s">
        <v>6103</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6490</v>
      </c>
      <c r="C63" s="833" t="s">
        <v>2316</v>
      </c>
      <c r="D63" s="793" t="s">
        <v>2343</v>
      </c>
      <c r="E63" s="793" t="s">
        <v>3428</v>
      </c>
      <c r="F63" s="802"/>
      <c r="G63" s="793" t="s">
        <v>569</v>
      </c>
      <c r="H63" s="842" t="s">
        <v>2045</v>
      </c>
      <c r="I63" s="793"/>
      <c r="J63" s="793" t="s">
        <v>6492</v>
      </c>
      <c r="K63" s="793"/>
      <c r="L63" s="793"/>
      <c r="M63" s="793" t="s">
        <v>3428</v>
      </c>
      <c r="N63" s="793"/>
      <c r="O63" s="793"/>
      <c r="P63" s="791"/>
      <c r="Q63" s="793"/>
      <c r="R63" s="793"/>
      <c r="S63" s="793"/>
      <c r="T63" s="793" t="s">
        <v>2837</v>
      </c>
      <c r="U63" s="793"/>
      <c r="V63" s="793" t="s">
        <v>3155</v>
      </c>
      <c r="W63" s="793" t="s">
        <v>5047</v>
      </c>
      <c r="X63" s="793"/>
      <c r="Y63" s="793" t="s">
        <v>4733</v>
      </c>
      <c r="Z63" s="793"/>
      <c r="AA63" s="793"/>
      <c r="AB63" s="793"/>
      <c r="AC63" s="793"/>
      <c r="AD63" s="793"/>
      <c r="AE63" s="793" t="s">
        <v>3671</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6493</v>
      </c>
      <c r="B64" s="832" t="s">
        <v>6494</v>
      </c>
      <c r="C64" s="833" t="str">
        <f>HYPERLINK("https://youtu.be/4OqNmNgyDyw","16.24")</f>
        <v>16.24</v>
      </c>
      <c r="D64" s="851"/>
      <c r="E64" s="851" t="s">
        <v>1207</v>
      </c>
      <c r="F64" s="802"/>
      <c r="G64" s="851"/>
      <c r="H64" s="789"/>
      <c r="I64" s="851"/>
      <c r="J64" s="851"/>
      <c r="K64" s="851"/>
      <c r="L64" s="851"/>
      <c r="M64" s="851"/>
      <c r="N64" s="788" t="s">
        <v>3997</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6495</v>
      </c>
      <c r="C65" s="833" t="s">
        <v>4070</v>
      </c>
      <c r="D65" s="793" t="s">
        <v>526</v>
      </c>
      <c r="E65" s="793"/>
      <c r="F65" s="787" t="s">
        <v>2166</v>
      </c>
      <c r="G65" s="793" t="s">
        <v>3961</v>
      </c>
      <c r="H65" s="838"/>
      <c r="I65" s="793" t="s">
        <v>405</v>
      </c>
      <c r="J65" s="793" t="s">
        <v>3690</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6496</v>
      </c>
      <c r="C66" s="833" t="s">
        <v>657</v>
      </c>
      <c r="D66" s="793" t="s">
        <v>1339</v>
      </c>
      <c r="E66" s="823" t="s">
        <v>838</v>
      </c>
      <c r="F66" s="787" t="s">
        <v>1339</v>
      </c>
      <c r="G66" s="823" t="s">
        <v>1208</v>
      </c>
      <c r="H66" s="789"/>
      <c r="I66" s="823" t="s">
        <v>1427</v>
      </c>
      <c r="J66" s="823" t="s">
        <v>4297</v>
      </c>
      <c r="K66" s="823" t="s">
        <v>2876</v>
      </c>
      <c r="L66" s="823" t="s">
        <v>6497</v>
      </c>
      <c r="M66" s="823" t="s">
        <v>5748</v>
      </c>
      <c r="N66" s="823" t="s">
        <v>358</v>
      </c>
      <c r="O66" s="823" t="s">
        <v>6498</v>
      </c>
      <c r="P66" s="824"/>
      <c r="Q66" s="823" t="s">
        <v>1812</v>
      </c>
      <c r="R66" s="823"/>
      <c r="S66" s="823" t="s">
        <v>1606</v>
      </c>
      <c r="T66" s="823"/>
      <c r="U66" s="823"/>
      <c r="V66" s="823"/>
      <c r="W66" s="823"/>
      <c r="X66" s="823"/>
      <c r="Y66" s="823"/>
      <c r="Z66" s="823" t="s">
        <v>4070</v>
      </c>
      <c r="AA66" s="823"/>
      <c r="AB66" s="823"/>
      <c r="AC66" s="823"/>
      <c r="AD66" s="823"/>
      <c r="AE66" s="823"/>
      <c r="AF66" s="823"/>
      <c r="AG66" s="823"/>
      <c r="AH66" s="823" t="s">
        <v>657</v>
      </c>
      <c r="AI66" s="823"/>
      <c r="AJ66" s="823" t="s">
        <v>6499</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6500</v>
      </c>
      <c r="B67" s="832" t="s">
        <v>6501</v>
      </c>
      <c r="C67" s="833" t="s">
        <v>2151</v>
      </c>
      <c r="D67" s="793"/>
      <c r="E67" s="793" t="s">
        <v>2151</v>
      </c>
      <c r="F67" s="787" t="s">
        <v>6282</v>
      </c>
      <c r="G67" s="793"/>
      <c r="H67" s="838"/>
      <c r="I67" s="793" t="s">
        <v>6502</v>
      </c>
      <c r="J67" s="793"/>
      <c r="K67" s="793" t="s">
        <v>6503</v>
      </c>
      <c r="L67" s="793"/>
      <c r="M67" s="793"/>
      <c r="N67" s="793" t="s">
        <v>6504</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6505</v>
      </c>
      <c r="C68" s="833" t="s">
        <v>353</v>
      </c>
      <c r="D68" s="793" t="s">
        <v>1477</v>
      </c>
      <c r="E68" s="793" t="s">
        <v>353</v>
      </c>
      <c r="F68" s="787" t="s">
        <v>1340</v>
      </c>
      <c r="G68" s="793" t="s">
        <v>1537</v>
      </c>
      <c r="H68" s="810" t="s">
        <v>1340</v>
      </c>
      <c r="I68" s="793" t="s">
        <v>1428</v>
      </c>
      <c r="J68" s="793" t="s">
        <v>4868</v>
      </c>
      <c r="K68" s="793" t="s">
        <v>6506</v>
      </c>
      <c r="L68" s="793" t="s">
        <v>839</v>
      </c>
      <c r="M68" s="793" t="s">
        <v>753</v>
      </c>
      <c r="N68" s="793" t="s">
        <v>1269</v>
      </c>
      <c r="O68" s="793" t="s">
        <v>2313</v>
      </c>
      <c r="P68" s="791" t="s">
        <v>3815</v>
      </c>
      <c r="Q68" s="793" t="s">
        <v>6507</v>
      </c>
      <c r="R68" s="793"/>
      <c r="S68" s="793" t="s">
        <v>4582</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6374</v>
      </c>
      <c r="B69" s="844" t="s">
        <v>6508</v>
      </c>
      <c r="C69" s="852" t="s">
        <v>3998</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3998</v>
      </c>
      <c r="BE69" s="793"/>
      <c r="BF69" s="834"/>
      <c r="BG69" s="834"/>
      <c r="BH69" s="795"/>
      <c r="BI69" s="795"/>
      <c r="BJ69" s="795"/>
    </row>
    <row r="70" ht="15.75" customHeight="1">
      <c r="A70" s="836"/>
      <c r="B70" s="837" t="s">
        <v>6509</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6510</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6511</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6379</v>
      </c>
      <c r="B71" s="844" t="s">
        <v>6501</v>
      </c>
      <c r="C71" s="833" t="s">
        <v>3990</v>
      </c>
      <c r="D71" s="793"/>
      <c r="E71" s="793" t="s">
        <v>3990</v>
      </c>
      <c r="F71" s="787" t="s">
        <v>2470</v>
      </c>
      <c r="G71" s="793"/>
      <c r="H71" s="838"/>
      <c r="I71" s="793"/>
      <c r="J71" s="793"/>
      <c r="K71" s="793"/>
      <c r="L71" s="793"/>
      <c r="M71" s="793"/>
      <c r="N71" s="793"/>
      <c r="O71" s="793"/>
      <c r="P71" s="791"/>
      <c r="Q71" s="793"/>
      <c r="R71" s="793"/>
      <c r="S71" s="793"/>
      <c r="T71" s="793"/>
      <c r="U71" s="793"/>
      <c r="V71" s="793"/>
      <c r="W71" s="793" t="s">
        <v>3594</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6512</v>
      </c>
      <c r="C72" s="833" t="s">
        <v>2723</v>
      </c>
      <c r="D72" s="793" t="s">
        <v>2528</v>
      </c>
      <c r="E72" s="793" t="s">
        <v>2426</v>
      </c>
      <c r="F72" s="787" t="s">
        <v>6513</v>
      </c>
      <c r="G72" s="793"/>
      <c r="H72" s="810" t="s">
        <v>4083</v>
      </c>
      <c r="I72" s="793"/>
      <c r="J72" s="793"/>
      <c r="K72" s="793"/>
      <c r="L72" s="793"/>
      <c r="M72" s="793" t="s">
        <v>6514</v>
      </c>
      <c r="N72" s="793"/>
      <c r="O72" s="793"/>
      <c r="P72" s="791" t="s">
        <v>6515</v>
      </c>
      <c r="Q72" s="793"/>
      <c r="R72" s="793"/>
      <c r="S72" s="793" t="s">
        <v>3853</v>
      </c>
      <c r="T72" s="793"/>
      <c r="U72" s="793"/>
      <c r="V72" s="793" t="s">
        <v>6515</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6516</v>
      </c>
      <c r="C73" s="833" t="s">
        <v>2929</v>
      </c>
      <c r="D73" s="839"/>
      <c r="E73" s="839"/>
      <c r="F73" s="802"/>
      <c r="G73" s="851" t="s">
        <v>2929</v>
      </c>
      <c r="H73" s="838"/>
      <c r="I73" s="839"/>
      <c r="J73" s="839"/>
      <c r="K73" s="839"/>
      <c r="L73" s="839"/>
      <c r="M73" s="839"/>
      <c r="N73" s="839"/>
      <c r="O73" s="839" t="s">
        <v>2929</v>
      </c>
      <c r="P73" s="791" t="s">
        <v>4894</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6404</v>
      </c>
      <c r="B74" s="844" t="s">
        <v>6405</v>
      </c>
      <c r="C74" s="833" t="s">
        <v>6517</v>
      </c>
      <c r="D74" s="813" t="s">
        <v>1703</v>
      </c>
      <c r="E74" s="793" t="s">
        <v>360</v>
      </c>
      <c r="F74" s="802"/>
      <c r="G74" s="793"/>
      <c r="H74" s="789"/>
      <c r="I74" s="793"/>
      <c r="J74" s="793"/>
      <c r="K74" s="793"/>
      <c r="L74" s="793" t="s">
        <v>4235</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6407</v>
      </c>
      <c r="B75" s="844" t="s">
        <v>6405</v>
      </c>
      <c r="C75" s="854"/>
      <c r="D75" s="813" t="s">
        <v>6518</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6419</v>
      </c>
      <c r="B76" s="832" t="s">
        <v>6519</v>
      </c>
      <c r="C76" s="833" t="s">
        <v>2208</v>
      </c>
      <c r="D76" s="793"/>
      <c r="E76" s="793" t="s">
        <v>2208</v>
      </c>
      <c r="F76" s="787" t="s">
        <v>6520</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6521</v>
      </c>
      <c r="C77" s="833" t="s">
        <v>2547</v>
      </c>
      <c r="D77" s="793" t="s">
        <v>3504</v>
      </c>
      <c r="E77" s="793" t="s">
        <v>2547</v>
      </c>
      <c r="F77" s="802"/>
      <c r="G77" s="793"/>
      <c r="H77" s="789"/>
      <c r="I77" s="793"/>
      <c r="J77" s="793"/>
      <c r="K77" s="793" t="s">
        <v>6522</v>
      </c>
      <c r="L77" s="793" t="s">
        <v>5111</v>
      </c>
      <c r="M77" s="793"/>
      <c r="N77" s="793" t="str">
        <f>HYPERLINK("https://youtu.be/HUwmtKe7cOY","56.54")</f>
        <v>56.54</v>
      </c>
      <c r="O77" s="793"/>
      <c r="P77" s="791" t="s">
        <v>3658</v>
      </c>
      <c r="Q77" s="793"/>
      <c r="R77" s="793"/>
      <c r="S77" s="793"/>
      <c r="T77" s="793"/>
      <c r="U77" s="793" t="s">
        <v>2267</v>
      </c>
      <c r="V77" s="793"/>
      <c r="W77" s="793"/>
      <c r="X77" s="793"/>
      <c r="Y77" s="793"/>
      <c r="Z77" s="793"/>
      <c r="AA77" s="793" t="s">
        <v>6523</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6524</v>
      </c>
      <c r="C78" s="833" t="s">
        <v>879</v>
      </c>
      <c r="D78" s="793" t="s">
        <v>1569</v>
      </c>
      <c r="E78" s="793" t="s">
        <v>5461</v>
      </c>
      <c r="F78" s="787" t="s">
        <v>1342</v>
      </c>
      <c r="G78" s="793" t="s">
        <v>879</v>
      </c>
      <c r="H78" s="838"/>
      <c r="I78" s="793" t="s">
        <v>2774</v>
      </c>
      <c r="J78" s="793" t="s">
        <v>4406</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6525</v>
      </c>
      <c r="B79" s="832" t="s">
        <v>6526</v>
      </c>
      <c r="C79" s="833" t="s">
        <v>3358</v>
      </c>
      <c r="D79" s="793"/>
      <c r="E79" s="793" t="s">
        <v>6527</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6528</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6529</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6530</v>
      </c>
      <c r="C81" s="833" t="s">
        <v>6259</v>
      </c>
      <c r="D81" s="839"/>
      <c r="E81" s="839" t="s">
        <v>6531</v>
      </c>
      <c r="F81" s="787" t="s">
        <v>1344</v>
      </c>
      <c r="G81" s="839" t="s">
        <v>1078</v>
      </c>
      <c r="H81" s="789"/>
      <c r="I81" s="839" t="s">
        <v>2879</v>
      </c>
      <c r="J81" s="839"/>
      <c r="K81" s="839" t="s">
        <v>6532</v>
      </c>
      <c r="L81" s="839" t="s">
        <v>757</v>
      </c>
      <c r="M81" s="839" t="s">
        <v>757</v>
      </c>
      <c r="N81" s="839" t="s">
        <v>6259</v>
      </c>
      <c r="O81" s="839" t="s">
        <v>661</v>
      </c>
      <c r="P81" s="791" t="s">
        <v>6533</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6534</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6535</v>
      </c>
      <c r="B82" s="846" t="s">
        <v>6358</v>
      </c>
      <c r="C82" s="856" t="s">
        <v>6536</v>
      </c>
      <c r="D82" s="788" t="s">
        <v>6536</v>
      </c>
      <c r="E82" s="839"/>
      <c r="F82" s="802"/>
      <c r="G82" s="839" t="s">
        <v>4816</v>
      </c>
      <c r="H82" s="842" t="s">
        <v>6537</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6538</v>
      </c>
      <c r="B83" s="846" t="s">
        <v>6358</v>
      </c>
      <c r="C83" s="856" t="s">
        <v>6539</v>
      </c>
      <c r="D83" s="788" t="s">
        <v>6539</v>
      </c>
      <c r="E83" s="839"/>
      <c r="F83" s="802"/>
      <c r="G83" s="839"/>
      <c r="H83" s="810" t="s">
        <v>6540</v>
      </c>
      <c r="I83" s="839"/>
      <c r="J83" s="839"/>
      <c r="K83" s="839"/>
      <c r="L83" s="839"/>
      <c r="M83" s="839"/>
      <c r="N83" s="839"/>
      <c r="O83" s="839"/>
      <c r="P83" s="791"/>
      <c r="Q83" s="839"/>
      <c r="R83" s="839"/>
      <c r="S83" s="839"/>
      <c r="T83" s="839"/>
      <c r="U83" s="839"/>
      <c r="V83" s="839"/>
      <c r="W83" s="839"/>
      <c r="X83" s="839"/>
      <c r="Y83" s="839"/>
      <c r="Z83" s="839"/>
      <c r="AA83" s="788" t="s">
        <v>6541</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6468</v>
      </c>
      <c r="B84" s="832" t="s">
        <v>6469</v>
      </c>
      <c r="C84" s="833" t="s">
        <v>5245</v>
      </c>
      <c r="D84" s="793" t="s">
        <v>6542</v>
      </c>
      <c r="E84" s="793" t="s">
        <v>5245</v>
      </c>
      <c r="F84" s="802"/>
      <c r="G84" s="793" t="s">
        <v>5245</v>
      </c>
      <c r="H84" s="838"/>
      <c r="I84" s="793" t="s">
        <v>5021</v>
      </c>
      <c r="J84" s="793"/>
      <c r="K84" s="793" t="s">
        <v>4669</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5486</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6543</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6544</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6545</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3899</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6546</v>
      </c>
      <c r="C87" s="833" t="s">
        <v>1079</v>
      </c>
      <c r="D87" s="793" t="s">
        <v>1571</v>
      </c>
      <c r="E87" s="788" t="s">
        <v>358</v>
      </c>
      <c r="F87" s="787" t="s">
        <v>1345</v>
      </c>
      <c r="G87" s="788" t="s">
        <v>1079</v>
      </c>
      <c r="H87" s="789"/>
      <c r="I87" s="790"/>
      <c r="J87" s="788" t="s">
        <v>6547</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6548</v>
      </c>
      <c r="C88" s="833" t="s">
        <v>2470</v>
      </c>
      <c r="D88" s="793" t="s">
        <v>2470</v>
      </c>
      <c r="E88" s="793"/>
      <c r="F88" s="802"/>
      <c r="G88" s="790" t="s">
        <v>6549</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6472</v>
      </c>
      <c r="B89" s="832" t="s">
        <v>6550</v>
      </c>
      <c r="C89" s="833" t="s">
        <v>359</v>
      </c>
      <c r="D89" s="798" t="s">
        <v>1572</v>
      </c>
      <c r="E89" s="793" t="s">
        <v>1667</v>
      </c>
      <c r="F89" s="787" t="s">
        <v>4926</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6358</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6357</v>
      </c>
      <c r="B92" s="864"/>
      <c r="C92" s="865" t="s">
        <v>4190</v>
      </c>
      <c r="D92" s="798" t="s">
        <v>1575</v>
      </c>
      <c r="E92" s="866" t="s">
        <v>2378</v>
      </c>
      <c r="F92" s="787" t="s">
        <v>5829</v>
      </c>
      <c r="G92" s="866"/>
      <c r="H92" s="789"/>
      <c r="I92" s="866" t="str">
        <f>HYPERLINK("https://youtu.be/ycBfir2aflI","41.70")</f>
        <v>41.70</v>
      </c>
      <c r="J92" s="866" t="s">
        <v>6390</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6374</v>
      </c>
      <c r="B93" s="871"/>
      <c r="C93" s="865" t="s">
        <v>1614</v>
      </c>
      <c r="D93" s="798" t="s">
        <v>1576</v>
      </c>
      <c r="E93" s="872"/>
      <c r="F93" s="787" t="s">
        <v>6482</v>
      </c>
      <c r="G93" s="872"/>
      <c r="H93" s="873"/>
      <c r="I93" s="872" t="s">
        <v>3210</v>
      </c>
      <c r="J93" s="872" t="s">
        <v>4140</v>
      </c>
      <c r="K93" s="872" t="s">
        <v>1234</v>
      </c>
      <c r="L93" s="872" t="s">
        <v>846</v>
      </c>
      <c r="M93" s="872" t="s">
        <v>761</v>
      </c>
      <c r="N93" s="872" t="s">
        <v>3575</v>
      </c>
      <c r="O93" s="872" t="s">
        <v>1614</v>
      </c>
      <c r="P93" s="874" t="s">
        <v>2739</v>
      </c>
      <c r="Q93" s="872"/>
      <c r="R93" s="872" t="s">
        <v>5637</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6379</v>
      </c>
      <c r="B94" s="875"/>
      <c r="C94" s="865" t="s">
        <v>3232</v>
      </c>
      <c r="D94" s="876" t="s">
        <v>4555</v>
      </c>
      <c r="E94" s="872"/>
      <c r="F94" s="787" t="s">
        <v>5871</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6407</v>
      </c>
      <c r="B96" s="871" t="s">
        <v>6405</v>
      </c>
      <c r="C96" s="865"/>
      <c r="D96" s="811" t="s">
        <v>6552</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6553</v>
      </c>
      <c r="B97" s="877" t="s">
        <v>6554</v>
      </c>
      <c r="C97" s="865" t="s">
        <v>1512</v>
      </c>
      <c r="D97" s="811" t="s">
        <v>6555</v>
      </c>
      <c r="E97" s="872"/>
      <c r="F97" s="787" t="s">
        <v>1350</v>
      </c>
      <c r="G97" s="872"/>
      <c r="H97" s="789"/>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8" t="s">
        <v>1577</v>
      </c>
      <c r="E98" s="872"/>
      <c r="F98" s="802"/>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6493</v>
      </c>
      <c r="B99" s="877" t="s">
        <v>6560</v>
      </c>
      <c r="C99" s="865" t="s">
        <v>5576</v>
      </c>
      <c r="D99" s="811" t="s">
        <v>6561</v>
      </c>
      <c r="E99" s="872"/>
      <c r="F99" s="787" t="s">
        <v>608</v>
      </c>
      <c r="G99" s="872"/>
      <c r="H99" s="789"/>
      <c r="I99" s="872"/>
      <c r="J99" s="872" t="s">
        <v>6562</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1" t="s">
        <v>3572</v>
      </c>
      <c r="E100" s="872"/>
      <c r="F100" s="787" t="s">
        <v>131</v>
      </c>
      <c r="G100" s="872"/>
      <c r="H100" s="873"/>
      <c r="I100" s="872" t="s">
        <v>6566</v>
      </c>
      <c r="J100" s="872" t="s">
        <v>6567</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6374</v>
      </c>
      <c r="B101" s="871" t="s">
        <v>6564</v>
      </c>
      <c r="C101" s="784" t="s">
        <v>2116</v>
      </c>
      <c r="D101" s="798" t="s">
        <v>6491</v>
      </c>
      <c r="E101" s="866" t="s">
        <v>367</v>
      </c>
      <c r="F101" s="787" t="s">
        <v>6568</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6379</v>
      </c>
      <c r="B102" s="881" t="s">
        <v>6554</v>
      </c>
      <c r="C102" s="865" t="s">
        <v>1701</v>
      </c>
      <c r="D102" s="872"/>
      <c r="E102" s="872"/>
      <c r="F102" s="787"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6570</v>
      </c>
      <c r="B103" s="882" t="s">
        <v>6358</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6405</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8" t="s">
        <v>1580</v>
      </c>
      <c r="E105" s="872"/>
      <c r="F105" s="787" t="s">
        <v>1353</v>
      </c>
      <c r="G105" s="872"/>
      <c r="H105" s="789"/>
      <c r="I105" s="872" t="s">
        <v>6572</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6468</v>
      </c>
      <c r="B106" s="877" t="s">
        <v>6469</v>
      </c>
      <c r="C106" s="865" t="s">
        <v>1059</v>
      </c>
      <c r="D106" s="866" t="s">
        <v>1549</v>
      </c>
      <c r="E106" s="866" t="s">
        <v>5871</v>
      </c>
      <c r="F106" s="802"/>
      <c r="G106" s="866" t="s">
        <v>5871</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6472</v>
      </c>
      <c r="B108" s="877" t="s">
        <v>6573</v>
      </c>
      <c r="C108" s="865" t="s">
        <v>2195</v>
      </c>
      <c r="D108" s="872"/>
      <c r="E108" s="872"/>
      <c r="F108" s="787" t="s">
        <v>4225</v>
      </c>
      <c r="G108" s="872"/>
      <c r="H108" s="873"/>
      <c r="I108" s="872"/>
      <c r="J108" s="872"/>
      <c r="K108" s="872" t="s">
        <v>3901</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6574</v>
      </c>
      <c r="C109" s="865" t="s">
        <v>963</v>
      </c>
      <c r="D109" s="872" t="s">
        <v>3877</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6575</v>
      </c>
      <c r="C110" s="865" t="s">
        <v>6576</v>
      </c>
      <c r="D110" s="793" t="s">
        <v>1581</v>
      </c>
      <c r="E110" s="866" t="s">
        <v>6576</v>
      </c>
      <c r="F110" s="802"/>
      <c r="G110" s="866"/>
      <c r="H110" s="799" t="s">
        <v>1974</v>
      </c>
      <c r="I110" s="866" t="s">
        <v>257</v>
      </c>
      <c r="J110" s="866" t="s">
        <v>4946</v>
      </c>
      <c r="K110" s="866" t="s">
        <v>934</v>
      </c>
      <c r="L110" s="866"/>
      <c r="M110" s="866" t="s">
        <v>768</v>
      </c>
      <c r="N110" s="866"/>
      <c r="O110" s="866" t="s">
        <v>2245</v>
      </c>
      <c r="P110" s="867" t="s">
        <v>5905</v>
      </c>
      <c r="Q110" s="866" t="s">
        <v>6577</v>
      </c>
      <c r="R110" s="866" t="s">
        <v>3151</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2"/>
      <c r="G111" s="872"/>
      <c r="H111" s="789"/>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6582</v>
      </c>
      <c r="B112" s="882" t="s">
        <v>6358</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2785</v>
      </c>
      <c r="D113" s="798" t="s">
        <v>6583</v>
      </c>
      <c r="E113" s="872"/>
      <c r="F113" s="802"/>
      <c r="G113" s="872"/>
      <c r="H113" s="789"/>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4044</v>
      </c>
      <c r="D115" s="866" t="s">
        <v>6586</v>
      </c>
      <c r="E115" s="866" t="s">
        <v>6587</v>
      </c>
      <c r="F115" s="802"/>
      <c r="G115" s="866" t="s">
        <v>4044</v>
      </c>
      <c r="H115" s="789"/>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6357</v>
      </c>
      <c r="B116" s="896" t="s">
        <v>6591</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6592</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2172</v>
      </c>
      <c r="D118" s="793" t="s">
        <v>655</v>
      </c>
      <c r="E118" s="872"/>
      <c r="F118" s="787" t="s">
        <v>1259</v>
      </c>
      <c r="G118" s="872"/>
      <c r="H118" s="900" t="s">
        <v>2172</v>
      </c>
      <c r="I118" s="872"/>
      <c r="J118" s="872" t="s">
        <v>2652</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6596</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6374</v>
      </c>
      <c r="B120" s="902" t="s">
        <v>6358</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6379</v>
      </c>
      <c r="B121" s="905" t="s">
        <v>6358</v>
      </c>
      <c r="C121" s="865" t="s">
        <v>6597</v>
      </c>
      <c r="D121" s="872"/>
      <c r="E121" s="872"/>
      <c r="F121" s="787" t="s">
        <v>6598</v>
      </c>
      <c r="G121" s="787" t="s">
        <v>6597</v>
      </c>
      <c r="H121" s="810"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6360</v>
      </c>
      <c r="B122" s="894"/>
      <c r="C122" s="865" t="s">
        <v>773</v>
      </c>
      <c r="D122" s="793" t="s">
        <v>863</v>
      </c>
      <c r="E122" s="872"/>
      <c r="F122" s="787" t="s">
        <v>1359</v>
      </c>
      <c r="G122" s="872"/>
      <c r="H122" s="900" t="s">
        <v>2984</v>
      </c>
      <c r="I122" s="880" t="str">
        <f>HYPERLINK("https://youtu.be/6f5dBhAmU1g","42.10")</f>
        <v>42.10</v>
      </c>
      <c r="J122" s="872" t="s">
        <v>6600</v>
      </c>
      <c r="K122" s="872" t="s">
        <v>2132</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6374</v>
      </c>
      <c r="B123" s="905" t="s">
        <v>6358</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6379</v>
      </c>
      <c r="B124" s="905" t="s">
        <v>6358</v>
      </c>
      <c r="C124" s="865" t="s">
        <v>6601</v>
      </c>
      <c r="D124" s="866"/>
      <c r="E124" s="866" t="s">
        <v>6601</v>
      </c>
      <c r="F124" s="787" t="s">
        <v>6602</v>
      </c>
      <c r="G124" s="866"/>
      <c r="H124" s="900" t="s">
        <v>6603</v>
      </c>
      <c r="I124" s="866"/>
      <c r="J124" s="866"/>
      <c r="K124" s="866"/>
      <c r="L124" s="866" t="s">
        <v>2929</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6404</v>
      </c>
      <c r="B125" s="902" t="s">
        <v>6605</v>
      </c>
      <c r="C125" s="865" t="s">
        <v>6606</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6407</v>
      </c>
      <c r="B127" s="905" t="s">
        <v>6605</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6493</v>
      </c>
      <c r="B129" s="896" t="s">
        <v>6609</v>
      </c>
      <c r="C129" s="865" t="s">
        <v>6610</v>
      </c>
      <c r="D129" s="872"/>
      <c r="E129" s="872"/>
      <c r="F129" s="787" t="s">
        <v>4720</v>
      </c>
      <c r="G129" s="872"/>
      <c r="H129" s="789"/>
      <c r="I129" s="872"/>
      <c r="J129" s="872"/>
      <c r="K129" s="872" t="s">
        <v>4438</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6612</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6206</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3" t="s">
        <v>774</v>
      </c>
      <c r="E132" s="787" t="s">
        <v>377</v>
      </c>
      <c r="F132" s="787" t="s">
        <v>1360</v>
      </c>
      <c r="G132" s="907" t="s">
        <v>3121</v>
      </c>
      <c r="H132" s="885" t="s">
        <v>3104</v>
      </c>
      <c r="I132" s="787" t="s">
        <v>5366</v>
      </c>
      <c r="J132" s="802"/>
      <c r="K132" s="802"/>
      <c r="L132" s="787" t="s">
        <v>855</v>
      </c>
      <c r="M132" s="787" t="s">
        <v>4826</v>
      </c>
      <c r="N132" s="802"/>
      <c r="O132" s="787" t="s">
        <v>6614</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6615</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6409</v>
      </c>
      <c r="B133" s="896" t="s">
        <v>6616</v>
      </c>
      <c r="C133" s="865" t="s">
        <v>562</v>
      </c>
      <c r="D133" s="872" t="s">
        <v>4332</v>
      </c>
      <c r="E133" s="872"/>
      <c r="F133" s="802"/>
      <c r="G133" s="872"/>
      <c r="H133" s="789"/>
      <c r="I133" s="872"/>
      <c r="J133" s="787" t="s">
        <v>5560</v>
      </c>
      <c r="K133" s="872" t="s">
        <v>1739</v>
      </c>
      <c r="L133" s="872"/>
      <c r="M133" s="872"/>
      <c r="N133" s="872" t="str">
        <f>HYPERLINK("https://youtu.be/wzsts4r5VHY","56.24")</f>
        <v>56.24</v>
      </c>
      <c r="O133" s="787"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4507</v>
      </c>
      <c r="D134" s="908"/>
      <c r="E134" s="908"/>
      <c r="F134" s="802"/>
      <c r="G134" s="908"/>
      <c r="H134" s="897"/>
      <c r="I134" s="908"/>
      <c r="J134" s="787" t="s">
        <v>6620</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6621</v>
      </c>
      <c r="C135" s="865" t="s">
        <v>6622</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6623</v>
      </c>
      <c r="C136" s="865" t="s">
        <v>4115</v>
      </c>
      <c r="D136" s="872"/>
      <c r="E136" s="872"/>
      <c r="F136" s="802"/>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6624</v>
      </c>
      <c r="C137" s="865" t="s">
        <v>6625</v>
      </c>
      <c r="D137" s="793" t="s">
        <v>576</v>
      </c>
      <c r="E137" s="872"/>
      <c r="F137" s="787" t="s">
        <v>1362</v>
      </c>
      <c r="G137" s="872"/>
      <c r="H137" s="789"/>
      <c r="I137" s="872"/>
      <c r="J137" s="787" t="s">
        <v>1431</v>
      </c>
      <c r="K137" s="872"/>
      <c r="L137" s="872" t="s">
        <v>857</v>
      </c>
      <c r="M137" s="872"/>
      <c r="N137" s="872"/>
      <c r="O137" s="787"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6626</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6627</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6374</v>
      </c>
      <c r="B140" s="902" t="s">
        <v>6626</v>
      </c>
      <c r="C140" s="865" t="s">
        <v>4079</v>
      </c>
      <c r="D140" s="866" t="s">
        <v>5282</v>
      </c>
      <c r="E140" s="866" t="s">
        <v>4079</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6627</v>
      </c>
      <c r="C141" s="865" t="s">
        <v>1441</v>
      </c>
      <c r="D141" s="798" t="s">
        <v>1587</v>
      </c>
      <c r="E141" s="866" t="s">
        <v>5370</v>
      </c>
      <c r="F141" s="787" t="s">
        <v>3151</v>
      </c>
      <c r="G141" s="866"/>
      <c r="H141" s="885" t="s">
        <v>148</v>
      </c>
      <c r="I141" s="866" t="str">
        <f>HYPERLINK("https://youtu.be/NPrbRwZDn1I","27.54")</f>
        <v>27.54</v>
      </c>
      <c r="J141" s="866" t="s">
        <v>503</v>
      </c>
      <c r="K141" s="866" t="s">
        <v>6577</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6379</v>
      </c>
      <c r="B142" s="902" t="s">
        <v>6358</v>
      </c>
      <c r="C142" s="865" t="s">
        <v>6629</v>
      </c>
      <c r="D142" s="908"/>
      <c r="E142" s="908"/>
      <c r="F142" s="787" t="s">
        <v>2685</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6630</v>
      </c>
      <c r="B143" s="905" t="s">
        <v>6631</v>
      </c>
      <c r="C143" s="865" t="s">
        <v>6632</v>
      </c>
      <c r="D143" s="866" t="s">
        <v>6633</v>
      </c>
      <c r="E143" s="866" t="s">
        <v>6632</v>
      </c>
      <c r="F143" s="802"/>
      <c r="G143" s="866"/>
      <c r="H143" s="789"/>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2"/>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6643</v>
      </c>
      <c r="C145" s="865" t="s">
        <v>6644</v>
      </c>
      <c r="D145" s="839" t="s">
        <v>1589</v>
      </c>
      <c r="E145" s="787" t="s">
        <v>382</v>
      </c>
      <c r="F145" s="802"/>
      <c r="G145" s="802" t="s">
        <v>6645</v>
      </c>
      <c r="H145" s="810" t="s">
        <v>3105</v>
      </c>
      <c r="I145" s="787" t="s">
        <v>583</v>
      </c>
      <c r="J145" s="787" t="s">
        <v>3681</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6646</v>
      </c>
      <c r="C146" s="784" t="s">
        <v>3445</v>
      </c>
      <c r="D146" s="798" t="s">
        <v>1588</v>
      </c>
      <c r="E146" s="872"/>
      <c r="F146" s="787" t="s">
        <v>1364</v>
      </c>
      <c r="G146" s="872"/>
      <c r="H146" s="897"/>
      <c r="I146" s="872"/>
      <c r="J146" s="872"/>
      <c r="K146" s="872"/>
      <c r="L146" s="872"/>
      <c r="M146" s="872" t="s">
        <v>6647</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6648</v>
      </c>
      <c r="B147" s="905" t="s">
        <v>6631</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6643</v>
      </c>
      <c r="C149" s="784" t="s">
        <v>2622</v>
      </c>
      <c r="D149" s="909" t="s">
        <v>6649</v>
      </c>
      <c r="E149" s="909"/>
      <c r="F149" s="802"/>
      <c r="G149" s="787" t="s">
        <v>2622</v>
      </c>
      <c r="H149" s="810"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4" t="s">
        <v>1428</v>
      </c>
      <c r="D150" s="909"/>
      <c r="E150" s="909"/>
      <c r="F150" s="787" t="s">
        <v>6650</v>
      </c>
      <c r="G150" s="909" t="s">
        <v>6651</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6652</v>
      </c>
      <c r="B151" s="905" t="s">
        <v>6653</v>
      </c>
      <c r="C151" s="865" t="s">
        <v>6654</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6656</v>
      </c>
      <c r="B153" s="905" t="s">
        <v>6657</v>
      </c>
      <c r="C153" s="784" t="s">
        <v>6658</v>
      </c>
      <c r="D153" s="909"/>
      <c r="E153" s="909"/>
      <c r="F153" s="787" t="s">
        <v>6659</v>
      </c>
      <c r="G153" s="866" t="s">
        <v>6660</v>
      </c>
      <c r="H153" s="810" t="s">
        <v>684</v>
      </c>
      <c r="I153" s="909" t="s">
        <v>6661</v>
      </c>
      <c r="J153" s="909"/>
      <c r="K153" s="909"/>
      <c r="L153" s="909"/>
      <c r="M153" s="866" t="s">
        <v>1390</v>
      </c>
      <c r="N153" s="909"/>
      <c r="O153" s="909"/>
      <c r="P153" s="867"/>
      <c r="Q153" s="909"/>
      <c r="R153" s="909"/>
      <c r="S153" s="787"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2"/>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6665</v>
      </c>
      <c r="C155" s="865" t="s">
        <v>6666</v>
      </c>
      <c r="D155" s="909"/>
      <c r="E155" s="909"/>
      <c r="F155" s="802"/>
      <c r="G155" s="866" t="s">
        <v>6666</v>
      </c>
      <c r="H155" s="789"/>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2"/>
      <c r="G156" s="866" t="s">
        <v>743</v>
      </c>
      <c r="H156" s="897"/>
      <c r="I156" s="909"/>
      <c r="J156" s="909"/>
      <c r="K156" s="909"/>
      <c r="L156" s="909"/>
      <c r="M156" s="866" t="s">
        <v>3635</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6404</v>
      </c>
      <c r="B157" s="902" t="s">
        <v>6358</v>
      </c>
      <c r="C157" s="865" t="s">
        <v>1520</v>
      </c>
      <c r="D157" s="811" t="s">
        <v>1591</v>
      </c>
      <c r="E157" s="866" t="s">
        <v>6669</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6358</v>
      </c>
      <c r="C158" s="865"/>
      <c r="D158" s="813" t="s">
        <v>6670</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6671</v>
      </c>
      <c r="C159" s="865" t="s">
        <v>2601</v>
      </c>
      <c r="D159" s="872" t="s">
        <v>2601</v>
      </c>
      <c r="E159" s="872"/>
      <c r="F159" s="787" t="s">
        <v>2855</v>
      </c>
      <c r="G159" s="866" t="s">
        <v>2601</v>
      </c>
      <c r="H159" s="900" t="s">
        <v>2804</v>
      </c>
      <c r="I159" s="872"/>
      <c r="J159" s="872"/>
      <c r="K159" s="872" t="s">
        <v>3746</v>
      </c>
      <c r="L159" s="872"/>
      <c r="M159" s="872"/>
      <c r="N159" s="872"/>
      <c r="O159" s="872" t="s">
        <v>2601</v>
      </c>
      <c r="P159" s="874" t="s">
        <v>2804</v>
      </c>
      <c r="Q159" s="872"/>
      <c r="R159" s="872" t="s">
        <v>2601</v>
      </c>
      <c r="S159" s="872" t="s">
        <v>2601</v>
      </c>
      <c r="T159" s="872"/>
      <c r="U159" s="872"/>
      <c r="V159" s="872"/>
      <c r="W159" s="872"/>
      <c r="X159" s="872"/>
      <c r="Y159" s="872"/>
      <c r="Z159" s="787" t="s">
        <v>4083</v>
      </c>
      <c r="AA159" s="872"/>
      <c r="AB159" s="872"/>
      <c r="AC159" s="872"/>
      <c r="AD159" s="872"/>
      <c r="AE159" s="872" t="s">
        <v>2601</v>
      </c>
      <c r="AF159" s="872"/>
      <c r="AG159" s="872"/>
      <c r="AH159" s="872"/>
      <c r="AI159" s="872"/>
      <c r="AJ159" s="872"/>
      <c r="AK159" s="872"/>
      <c r="AL159" s="872" t="s">
        <v>5493</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6672</v>
      </c>
      <c r="C160" s="865" t="s">
        <v>2382</v>
      </c>
      <c r="D160" s="793" t="s">
        <v>1590</v>
      </c>
      <c r="E160" s="866" t="s">
        <v>6673</v>
      </c>
      <c r="F160" s="802"/>
      <c r="G160" s="866" t="s">
        <v>6674</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6675</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6379</v>
      </c>
      <c r="B162" s="905" t="s">
        <v>6358</v>
      </c>
      <c r="C162" s="865" t="s">
        <v>6676</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6358</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3" t="s">
        <v>6680</v>
      </c>
      <c r="E165" s="793" t="s">
        <v>6681</v>
      </c>
      <c r="F165" s="787" t="s">
        <v>6682</v>
      </c>
      <c r="G165" s="793" t="s">
        <v>6681</v>
      </c>
      <c r="H165" s="799" t="s">
        <v>6683</v>
      </c>
      <c r="I165" s="793"/>
      <c r="J165" s="793" t="s">
        <v>6684</v>
      </c>
      <c r="K165" s="793" t="s">
        <v>6685</v>
      </c>
      <c r="L165" s="793" t="s">
        <v>6683</v>
      </c>
      <c r="M165" s="793" t="s">
        <v>6683</v>
      </c>
      <c r="N165" s="793"/>
      <c r="O165" s="793"/>
      <c r="P165" s="791" t="s">
        <v>6681</v>
      </c>
      <c r="Q165" s="793"/>
      <c r="R165" s="793" t="s">
        <v>2230</v>
      </c>
      <c r="S165" s="793" t="s">
        <v>6686</v>
      </c>
      <c r="T165" s="793"/>
      <c r="U165" s="793"/>
      <c r="V165" s="793"/>
      <c r="W165" s="793"/>
      <c r="X165" s="793"/>
      <c r="Y165" s="793"/>
      <c r="Z165" s="793"/>
      <c r="AA165" s="793"/>
      <c r="AB165" s="793" t="s">
        <v>6660</v>
      </c>
      <c r="AC165" s="793" t="s">
        <v>6682</v>
      </c>
      <c r="AD165" s="793"/>
      <c r="AE165" s="793"/>
      <c r="AF165" s="793" t="s">
        <v>6679</v>
      </c>
      <c r="AG165" s="793"/>
      <c r="AH165" s="793"/>
      <c r="AI165" s="793"/>
      <c r="AJ165" s="793"/>
      <c r="AK165" s="793" t="s">
        <v>6685</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6687</v>
      </c>
      <c r="C166" s="865" t="s">
        <v>6688</v>
      </c>
      <c r="D166" s="793"/>
      <c r="E166" s="793" t="s">
        <v>6684</v>
      </c>
      <c r="F166" s="802"/>
      <c r="G166" s="793" t="s">
        <v>6688</v>
      </c>
      <c r="H166" s="922"/>
      <c r="I166" s="793"/>
      <c r="J166" s="793"/>
      <c r="K166" s="793"/>
      <c r="L166" s="793"/>
      <c r="M166" s="793"/>
      <c r="N166" s="793"/>
      <c r="O166" s="793"/>
      <c r="P166" s="791" t="s">
        <v>6689</v>
      </c>
      <c r="Q166" s="793"/>
      <c r="R166" s="793"/>
      <c r="S166" s="793"/>
      <c r="T166" s="793" t="s">
        <v>6684</v>
      </c>
      <c r="U166" s="793"/>
      <c r="V166" s="793"/>
      <c r="W166" s="793"/>
      <c r="X166" s="793"/>
      <c r="Y166" s="793" t="s">
        <v>6681</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6690</v>
      </c>
      <c r="B167" s="918" t="s">
        <v>6358</v>
      </c>
      <c r="C167" s="865" t="s">
        <v>1924</v>
      </c>
      <c r="D167" s="793" t="s">
        <v>5341</v>
      </c>
      <c r="E167" s="793" t="s">
        <v>6691</v>
      </c>
      <c r="F167" s="787" t="s">
        <v>6692</v>
      </c>
      <c r="G167" s="793" t="s">
        <v>2912</v>
      </c>
      <c r="H167" s="810" t="s">
        <v>6692</v>
      </c>
      <c r="I167" s="793"/>
      <c r="J167" s="793"/>
      <c r="K167" s="793"/>
      <c r="L167" s="793" t="s">
        <v>4486</v>
      </c>
      <c r="M167" s="793"/>
      <c r="N167" s="793"/>
      <c r="O167" s="793"/>
      <c r="P167" s="791"/>
      <c r="Q167" s="793"/>
      <c r="R167" s="793"/>
      <c r="S167" s="793" t="s">
        <v>4167</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6374</v>
      </c>
      <c r="B168" s="924" t="s">
        <v>6358</v>
      </c>
      <c r="C168" s="865" t="s">
        <v>6693</v>
      </c>
      <c r="D168" s="851"/>
      <c r="E168" s="851" t="s">
        <v>6694</v>
      </c>
      <c r="F168" s="802"/>
      <c r="G168" s="851" t="s">
        <v>6693</v>
      </c>
      <c r="H168" s="925" t="s">
        <v>6695</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6360</v>
      </c>
      <c r="B169" s="926" t="s">
        <v>6696</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6697</v>
      </c>
      <c r="C170" s="865" t="s">
        <v>6698</v>
      </c>
      <c r="D170" s="793" t="s">
        <v>6699</v>
      </c>
      <c r="E170" s="793" t="s">
        <v>6698</v>
      </c>
      <c r="F170" s="787" t="s">
        <v>1370</v>
      </c>
      <c r="G170" s="793" t="s">
        <v>6018</v>
      </c>
      <c r="H170" s="799" t="s">
        <v>157</v>
      </c>
      <c r="I170" s="793"/>
      <c r="J170" s="793" t="s">
        <v>606</v>
      </c>
      <c r="K170" s="793" t="s">
        <v>355</v>
      </c>
      <c r="L170" s="793"/>
      <c r="M170" s="793"/>
      <c r="N170" s="793" t="s">
        <v>2497</v>
      </c>
      <c r="O170" s="793" t="s">
        <v>6700</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6374</v>
      </c>
      <c r="B171" s="928" t="s">
        <v>6701</v>
      </c>
      <c r="C171" s="865" t="s">
        <v>6702</v>
      </c>
      <c r="D171" s="839"/>
      <c r="E171" s="839"/>
      <c r="F171" s="802"/>
      <c r="G171" s="839"/>
      <c r="H171" s="789"/>
      <c r="I171" s="839"/>
      <c r="J171" s="839" t="s">
        <v>4109</v>
      </c>
      <c r="K171" s="839"/>
      <c r="L171" s="839"/>
      <c r="M171" s="839"/>
      <c r="N171" s="839"/>
      <c r="O171" s="839"/>
      <c r="P171" s="791"/>
      <c r="Q171" s="839"/>
      <c r="R171" s="839"/>
      <c r="S171" s="839"/>
      <c r="T171" s="839"/>
      <c r="U171" s="839"/>
      <c r="V171" s="839"/>
      <c r="W171" s="839" t="s">
        <v>6703</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6704</v>
      </c>
      <c r="C172" s="865" t="s">
        <v>6705</v>
      </c>
      <c r="D172" s="793" t="s">
        <v>1593</v>
      </c>
      <c r="E172" s="793" t="s">
        <v>6705</v>
      </c>
      <c r="F172" s="787" t="s">
        <v>1371</v>
      </c>
      <c r="G172" s="793" t="s">
        <v>2996</v>
      </c>
      <c r="H172" s="885" t="s">
        <v>3107</v>
      </c>
      <c r="I172" s="793" t="s">
        <v>1458</v>
      </c>
      <c r="J172" s="793" t="s">
        <v>2059</v>
      </c>
      <c r="K172" s="793" t="s">
        <v>5286</v>
      </c>
      <c r="L172" s="793" t="s">
        <v>868</v>
      </c>
      <c r="M172" s="793" t="s">
        <v>2816</v>
      </c>
      <c r="N172" s="793" t="s">
        <v>1840</v>
      </c>
      <c r="O172" s="793" t="s">
        <v>4731</v>
      </c>
      <c r="P172" s="791" t="s">
        <v>1840</v>
      </c>
      <c r="Q172" s="793"/>
      <c r="R172" s="793"/>
      <c r="S172" s="793"/>
      <c r="T172" s="793"/>
      <c r="U172" s="793" t="s">
        <v>6706</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6707</v>
      </c>
      <c r="C173" s="865" t="s">
        <v>3903</v>
      </c>
      <c r="D173" s="793"/>
      <c r="E173" s="793" t="s">
        <v>3903</v>
      </c>
      <c r="F173" s="802"/>
      <c r="G173" s="793"/>
      <c r="H173" s="789"/>
      <c r="I173" s="793" t="s">
        <v>5228</v>
      </c>
      <c r="J173" s="793"/>
      <c r="K173" s="793"/>
      <c r="L173" s="793"/>
      <c r="M173" s="793" t="s">
        <v>1028</v>
      </c>
      <c r="N173" s="793" t="s">
        <v>4427</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6708</v>
      </c>
      <c r="B174" s="928" t="s">
        <v>6494</v>
      </c>
      <c r="C174" s="865" t="s">
        <v>3930</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6709</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6710</v>
      </c>
      <c r="B176" s="928" t="s">
        <v>6494</v>
      </c>
      <c r="C176" s="865" t="s">
        <v>6711</v>
      </c>
      <c r="D176" s="927"/>
      <c r="E176" s="927"/>
      <c r="F176" s="802"/>
      <c r="G176" s="927" t="s">
        <v>6711</v>
      </c>
      <c r="H176" s="925" t="s">
        <v>6712</v>
      </c>
      <c r="I176" s="927"/>
      <c r="J176" s="927" t="s">
        <v>6713</v>
      </c>
      <c r="K176" s="927"/>
      <c r="L176" s="927"/>
      <c r="M176" s="927"/>
      <c r="N176" s="927"/>
      <c r="O176" s="927"/>
      <c r="P176" s="808"/>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6709</v>
      </c>
      <c r="C177" s="865" t="s">
        <v>6714</v>
      </c>
      <c r="D177" s="790" t="s">
        <v>6715</v>
      </c>
      <c r="E177" s="788" t="s">
        <v>6714</v>
      </c>
      <c r="F177" s="802"/>
      <c r="G177" s="790" t="s">
        <v>6714</v>
      </c>
      <c r="H177" s="789"/>
      <c r="I177" s="790"/>
      <c r="J177" s="790"/>
      <c r="K177" s="790"/>
      <c r="L177" s="790"/>
      <c r="M177" s="790"/>
      <c r="N177" s="790"/>
      <c r="O177" s="790"/>
      <c r="P177" s="791"/>
      <c r="Q177" s="790"/>
      <c r="R177" s="790"/>
      <c r="S177" s="790"/>
      <c r="T177" s="790"/>
      <c r="U177" s="790"/>
      <c r="V177" s="790"/>
      <c r="W177" s="790"/>
      <c r="X177" s="788" t="s">
        <v>6714</v>
      </c>
      <c r="Y177" s="790"/>
      <c r="Z177" s="790"/>
      <c r="AA177" s="790"/>
      <c r="AB177" s="790"/>
      <c r="AC177" s="790"/>
      <c r="AD177" s="790"/>
      <c r="AE177" s="790"/>
      <c r="AF177" s="790"/>
      <c r="AG177" s="790" t="s">
        <v>6716</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6404</v>
      </c>
      <c r="B178" s="928" t="s">
        <v>6358</v>
      </c>
      <c r="C178" s="865" t="str">
        <f>HYPERLINK("https://www.youtube.com/watch?v=_HQgQjbTLjM","1:11.32")</f>
        <v>1:11.32</v>
      </c>
      <c r="D178" s="798" t="s">
        <v>1598</v>
      </c>
      <c r="E178" s="927"/>
      <c r="F178" s="787" t="s">
        <v>1377</v>
      </c>
      <c r="G178" s="927"/>
      <c r="H178" s="922"/>
      <c r="I178" s="927" t="s">
        <v>1474</v>
      </c>
      <c r="J178" s="927" t="s">
        <v>6717</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6407</v>
      </c>
      <c r="B179" s="928" t="s">
        <v>6358</v>
      </c>
      <c r="C179" s="865" t="s">
        <v>321</v>
      </c>
      <c r="D179" s="823" t="s">
        <v>6718</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6719</v>
      </c>
      <c r="B180" s="928" t="s">
        <v>6720</v>
      </c>
      <c r="C180" s="865" t="s">
        <v>6721</v>
      </c>
      <c r="D180" s="927"/>
      <c r="E180" s="927"/>
      <c r="F180" s="802"/>
      <c r="G180" s="927"/>
      <c r="H180" s="922"/>
      <c r="I180" s="927"/>
      <c r="J180" s="927" t="s">
        <v>6721</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6722</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6383</v>
      </c>
      <c r="B182" s="926" t="s">
        <v>6723</v>
      </c>
      <c r="C182" s="865" t="s">
        <v>2608</v>
      </c>
      <c r="D182" s="927"/>
      <c r="E182" s="927"/>
      <c r="F182" s="787" t="s">
        <v>6724</v>
      </c>
      <c r="G182" s="927"/>
      <c r="H182" s="922"/>
      <c r="I182" s="927"/>
      <c r="J182" s="927"/>
      <c r="K182" s="927"/>
      <c r="L182" s="927"/>
      <c r="M182" s="927"/>
      <c r="N182" s="927" t="s">
        <v>4526</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6725</v>
      </c>
      <c r="C183" s="865" t="s">
        <v>820</v>
      </c>
      <c r="D183" s="927" t="s">
        <v>3416</v>
      </c>
      <c r="E183" s="927"/>
      <c r="F183" s="802"/>
      <c r="G183" s="927"/>
      <c r="H183" s="810" t="s">
        <v>6726</v>
      </c>
      <c r="I183" s="927" t="s">
        <v>6160</v>
      </c>
      <c r="J183" s="927"/>
      <c r="K183" s="927" t="s">
        <v>3144</v>
      </c>
      <c r="L183" s="927"/>
      <c r="M183" s="927"/>
      <c r="N183" s="927" t="s">
        <v>6727</v>
      </c>
      <c r="O183" s="927"/>
      <c r="P183" s="808"/>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6728</v>
      </c>
      <c r="C184" s="865" t="s">
        <v>493</v>
      </c>
      <c r="D184" s="793" t="s">
        <v>2752</v>
      </c>
      <c r="E184" s="927"/>
      <c r="F184" s="787" t="s">
        <v>627</v>
      </c>
      <c r="G184" s="927" t="s">
        <v>784</v>
      </c>
      <c r="H184" s="925" t="s">
        <v>1709</v>
      </c>
      <c r="I184" s="927"/>
      <c r="J184" s="927" t="s">
        <v>5517</v>
      </c>
      <c r="K184" s="927"/>
      <c r="L184" s="927" t="s">
        <v>869</v>
      </c>
      <c r="M184" s="927"/>
      <c r="N184" s="927"/>
      <c r="O184" s="927" t="s">
        <v>1029</v>
      </c>
      <c r="P184" s="808"/>
      <c r="Q184" s="927" t="s">
        <v>6286</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6374</v>
      </c>
      <c r="B185" s="928" t="s">
        <v>6729</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6730</v>
      </c>
      <c r="C186" s="865" t="s">
        <v>6731</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6732</v>
      </c>
      <c r="C187" s="865" t="s">
        <v>6733</v>
      </c>
      <c r="D187" s="927" t="s">
        <v>1546</v>
      </c>
      <c r="E187" s="927"/>
      <c r="F187" s="802"/>
      <c r="G187" s="927"/>
      <c r="H187" s="810" t="s">
        <v>6734</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6735</v>
      </c>
      <c r="C188" s="865" t="s">
        <v>2230</v>
      </c>
      <c r="D188" s="823" t="s">
        <v>6736</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6500</v>
      </c>
      <c r="B189" s="933" t="s">
        <v>6737</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6738</v>
      </c>
      <c r="C190" s="865" t="s">
        <v>5304</v>
      </c>
      <c r="D190" s="927" t="s">
        <v>6071</v>
      </c>
      <c r="E190" s="927"/>
      <c r="F190" s="787" t="s">
        <v>6302</v>
      </c>
      <c r="G190" s="927"/>
      <c r="H190" s="925" t="s">
        <v>654</v>
      </c>
      <c r="I190" s="927"/>
      <c r="J190" s="927"/>
      <c r="K190" s="927" t="s">
        <v>5534</v>
      </c>
      <c r="L190" s="927" t="s">
        <v>1675</v>
      </c>
      <c r="M190" s="927"/>
      <c r="N190" s="927" t="s">
        <v>4642</v>
      </c>
      <c r="O190" s="927"/>
      <c r="P190" s="808"/>
      <c r="Q190" s="927"/>
      <c r="R190" s="927"/>
      <c r="S190" s="927"/>
      <c r="T190" s="927" t="s">
        <v>3353</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6740</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6741</v>
      </c>
      <c r="C192" s="865" t="s">
        <v>366</v>
      </c>
      <c r="D192" s="790" t="s">
        <v>5670</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6742</v>
      </c>
      <c r="C193" s="865" t="s">
        <v>870</v>
      </c>
      <c r="D193" s="793" t="s">
        <v>160</v>
      </c>
      <c r="E193" s="823"/>
      <c r="F193" s="787" t="s">
        <v>1372</v>
      </c>
      <c r="G193" s="866" t="s">
        <v>6743</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6374</v>
      </c>
      <c r="B194" s="928" t="s">
        <v>6737</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6744</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6745</v>
      </c>
      <c r="BA194" s="823"/>
      <c r="BB194" s="823"/>
      <c r="BC194" s="919"/>
      <c r="BD194" s="919"/>
      <c r="BE194" s="823"/>
      <c r="BF194" s="834"/>
      <c r="BG194" s="834"/>
      <c r="BH194" s="919"/>
      <c r="BI194" s="919"/>
      <c r="BJ194" s="919"/>
    </row>
    <row r="195" ht="15.75" customHeight="1">
      <c r="A195" s="920"/>
      <c r="B195" s="921" t="s">
        <v>6738</v>
      </c>
      <c r="C195" s="865" t="s">
        <v>6746</v>
      </c>
      <c r="D195" s="823" t="s">
        <v>328</v>
      </c>
      <c r="E195" s="823" t="s">
        <v>3666</v>
      </c>
      <c r="F195" s="787" t="s">
        <v>6747</v>
      </c>
      <c r="G195" s="823"/>
      <c r="H195" s="789"/>
      <c r="I195" s="823" t="s">
        <v>6748</v>
      </c>
      <c r="J195" s="823"/>
      <c r="K195" s="823"/>
      <c r="L195" s="823" t="s">
        <v>3666</v>
      </c>
      <c r="M195" s="823"/>
      <c r="N195" s="823" t="s">
        <v>6749</v>
      </c>
      <c r="O195" s="823"/>
      <c r="P195" s="824" t="s">
        <v>3796</v>
      </c>
      <c r="Q195" s="823"/>
      <c r="R195" s="839" t="s">
        <v>6750</v>
      </c>
      <c r="S195" s="823"/>
      <c r="T195" s="823"/>
      <c r="U195" s="823" t="s">
        <v>3044</v>
      </c>
      <c r="V195" s="823"/>
      <c r="W195" s="823" t="s">
        <v>3953</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6740</v>
      </c>
      <c r="C196" s="865" t="s">
        <v>4808</v>
      </c>
      <c r="D196" s="927"/>
      <c r="E196" s="927"/>
      <c r="F196" s="802"/>
      <c r="G196" s="927"/>
      <c r="H196" s="925" t="s">
        <v>4901</v>
      </c>
      <c r="I196" s="927" t="str">
        <f>HYPERLINK("https://youtu.be/hsc9lXHQpts","23.75")</f>
        <v>23.75</v>
      </c>
      <c r="J196" s="927"/>
      <c r="K196" s="927"/>
      <c r="L196" s="927"/>
      <c r="M196" s="927"/>
      <c r="N196" s="927"/>
      <c r="O196" s="927"/>
      <c r="P196" s="808"/>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6741</v>
      </c>
      <c r="C197" s="865" t="s">
        <v>2755</v>
      </c>
      <c r="D197" s="793" t="s">
        <v>540</v>
      </c>
      <c r="E197" s="793" t="s">
        <v>2755</v>
      </c>
      <c r="F197" s="802"/>
      <c r="G197" s="793"/>
      <c r="H197" s="810" t="s">
        <v>6750</v>
      </c>
      <c r="I197" s="793" t="s">
        <v>1459</v>
      </c>
      <c r="J197" s="793" t="s">
        <v>6751</v>
      </c>
      <c r="K197" s="793" t="s">
        <v>4222</v>
      </c>
      <c r="L197" s="793"/>
      <c r="M197" s="793" t="s">
        <v>6752</v>
      </c>
      <c r="N197" s="793" t="s">
        <v>4491</v>
      </c>
      <c r="O197" s="793" t="s">
        <v>4740</v>
      </c>
      <c r="P197" s="788" t="s">
        <v>6753</v>
      </c>
      <c r="Q197" s="793"/>
      <c r="R197" s="788" t="s">
        <v>5707</v>
      </c>
      <c r="S197" s="793"/>
      <c r="T197" s="793"/>
      <c r="U197" s="793"/>
      <c r="V197" s="793" t="s">
        <v>2525</v>
      </c>
      <c r="W197" s="793" t="s">
        <v>6754</v>
      </c>
      <c r="X197" s="793"/>
      <c r="Y197" s="793"/>
      <c r="Z197" s="793"/>
      <c r="AA197" s="793"/>
      <c r="AB197" s="793"/>
      <c r="AC197" s="793"/>
      <c r="AD197" s="793"/>
      <c r="AE197" s="793"/>
      <c r="AF197" s="793"/>
      <c r="AG197" s="793"/>
      <c r="AH197" s="793"/>
      <c r="AI197" s="793"/>
      <c r="AJ197" s="793" t="s">
        <v>4740</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6742</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6379</v>
      </c>
      <c r="B199" s="928" t="s">
        <v>6358</v>
      </c>
      <c r="C199" s="865" t="s">
        <v>980</v>
      </c>
      <c r="D199" s="790" t="s">
        <v>5796</v>
      </c>
      <c r="E199" s="788" t="s">
        <v>380</v>
      </c>
      <c r="F199" s="787" t="s">
        <v>6755</v>
      </c>
      <c r="G199" s="790" t="s">
        <v>2228</v>
      </c>
      <c r="H199" s="810" t="s">
        <v>6755</v>
      </c>
      <c r="I199" s="790"/>
      <c r="J199" s="790"/>
      <c r="K199" s="790"/>
      <c r="L199" s="790" t="s">
        <v>6756</v>
      </c>
      <c r="M199" s="790"/>
      <c r="N199" s="790"/>
      <c r="O199" s="790"/>
      <c r="P199" s="791"/>
      <c r="Q199" s="790"/>
      <c r="R199" s="790"/>
      <c r="S199" s="790"/>
      <c r="T199" s="790"/>
      <c r="U199" s="790"/>
      <c r="V199" s="790" t="s">
        <v>4413</v>
      </c>
      <c r="W199" s="790"/>
      <c r="X199" s="790"/>
      <c r="Y199" s="788" t="s">
        <v>4413</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6757</v>
      </c>
      <c r="B200" s="928" t="s">
        <v>6358</v>
      </c>
      <c r="C200" s="865" t="s">
        <v>6758</v>
      </c>
      <c r="D200" s="790"/>
      <c r="E200" s="788" t="s">
        <v>6758</v>
      </c>
      <c r="F200" s="802"/>
      <c r="G200" s="790" t="s">
        <v>6759</v>
      </c>
      <c r="H200" s="925" t="s">
        <v>6760</v>
      </c>
      <c r="I200" s="790"/>
      <c r="J200" s="790" t="s">
        <v>6761</v>
      </c>
      <c r="K200" s="790"/>
      <c r="L200" s="790"/>
      <c r="M200" s="790"/>
      <c r="N200" s="790"/>
      <c r="O200" s="788" t="s">
        <v>6758</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6404</v>
      </c>
      <c r="B201" s="928" t="s">
        <v>6358</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6407</v>
      </c>
      <c r="B202" s="928" t="s">
        <v>6358</v>
      </c>
      <c r="C202" s="865"/>
      <c r="D202" s="788" t="s">
        <v>6762</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6570</v>
      </c>
      <c r="B203" s="926" t="s">
        <v>6763</v>
      </c>
      <c r="C203" s="865" t="s">
        <v>6764</v>
      </c>
      <c r="D203" s="793" t="s">
        <v>1595</v>
      </c>
      <c r="E203" s="793" t="s">
        <v>6764</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6379</v>
      </c>
      <c r="B204" s="928" t="s">
        <v>6358</v>
      </c>
      <c r="C204" s="865" t="s">
        <v>4447</v>
      </c>
      <c r="D204" s="793" t="s">
        <v>3228</v>
      </c>
      <c r="E204" s="793" t="s">
        <v>4447</v>
      </c>
      <c r="F204" s="787" t="s">
        <v>897</v>
      </c>
      <c r="G204" s="793" t="s">
        <v>1053</v>
      </c>
      <c r="H204" s="810" t="s">
        <v>1787</v>
      </c>
      <c r="I204" s="793"/>
      <c r="J204" s="793"/>
      <c r="K204" s="793"/>
      <c r="L204" s="793" t="s">
        <v>313</v>
      </c>
      <c r="M204" s="793"/>
      <c r="N204" s="793"/>
      <c r="O204" s="793"/>
      <c r="P204" s="791"/>
      <c r="Q204" s="793"/>
      <c r="R204" s="793"/>
      <c r="S204" s="793" t="s">
        <v>6765</v>
      </c>
      <c r="T204" s="793"/>
      <c r="U204" s="793"/>
      <c r="V204" s="793" t="s">
        <v>6766</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6426</v>
      </c>
      <c r="B205" s="926" t="s">
        <v>6767</v>
      </c>
      <c r="C205" s="865"/>
      <c r="D205" s="927"/>
      <c r="E205" s="927"/>
      <c r="F205" s="802"/>
      <c r="G205" s="927"/>
      <c r="H205" s="925" t="s">
        <v>6486</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6768</v>
      </c>
      <c r="C206" s="865"/>
      <c r="D206" s="927"/>
      <c r="E206" s="927"/>
      <c r="F206" s="802"/>
      <c r="G206" s="927" t="s">
        <v>6600</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6468</v>
      </c>
      <c r="B207" s="926" t="s">
        <v>6769</v>
      </c>
      <c r="C207" s="865" t="s">
        <v>1940</v>
      </c>
      <c r="D207" s="927" t="s">
        <v>4146</v>
      </c>
      <c r="E207" s="927"/>
      <c r="F207" s="787" t="s">
        <v>2892</v>
      </c>
      <c r="G207" s="927"/>
      <c r="H207" s="925" t="s">
        <v>6770</v>
      </c>
      <c r="I207" s="927"/>
      <c r="J207" s="927"/>
      <c r="K207" s="927" t="s">
        <v>1127</v>
      </c>
      <c r="L207" s="927"/>
      <c r="M207" s="927"/>
      <c r="N207" s="927" t="s">
        <v>6771</v>
      </c>
      <c r="O207" s="866" t="s">
        <v>6772</v>
      </c>
      <c r="P207" s="808"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6774</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6472</v>
      </c>
      <c r="B209" s="926" t="s">
        <v>6775</v>
      </c>
      <c r="C209" s="865" t="s">
        <v>1464</v>
      </c>
      <c r="D209" s="798" t="s">
        <v>1597</v>
      </c>
      <c r="E209" s="927"/>
      <c r="F209" s="802"/>
      <c r="G209" s="927"/>
      <c r="H209" s="922"/>
      <c r="I209" s="927" t="s">
        <v>1464</v>
      </c>
      <c r="J209" s="927" t="s">
        <v>6776</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6777</v>
      </c>
      <c r="BB209" s="927"/>
      <c r="BC209" s="919"/>
      <c r="BD209" s="919"/>
      <c r="BE209" s="927"/>
      <c r="BF209" s="834"/>
      <c r="BG209" s="834"/>
      <c r="BH209" s="919"/>
      <c r="BI209" s="919"/>
      <c r="BJ209" s="919"/>
    </row>
    <row r="210" ht="15.75" customHeight="1">
      <c r="A210" s="917" t="s">
        <v>57</v>
      </c>
      <c r="B210" s="926" t="s">
        <v>6778</v>
      </c>
      <c r="C210" s="865" t="s">
        <v>1466</v>
      </c>
      <c r="D210" s="798" t="s">
        <v>6779</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6357</v>
      </c>
      <c r="B212" s="944" t="s">
        <v>6358</v>
      </c>
      <c r="C212" s="865" t="s">
        <v>958</v>
      </c>
      <c r="D212" s="793" t="s">
        <v>1600</v>
      </c>
      <c r="E212" s="872"/>
      <c r="F212" s="787" t="s">
        <v>1379</v>
      </c>
      <c r="G212" s="866" t="s">
        <v>1104</v>
      </c>
      <c r="H212" s="810" t="s">
        <v>3112</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3" t="s">
        <v>1601</v>
      </c>
      <c r="E213" s="866" t="s">
        <v>148</v>
      </c>
      <c r="F213" s="787" t="s">
        <v>3647</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6383</v>
      </c>
      <c r="B214" s="944" t="s">
        <v>6358</v>
      </c>
      <c r="C214" s="865" t="str">
        <f>HYPERLINK("https://www.youtube.com/watch?v=aWzlUqH0LaM","41.87")</f>
        <v>41.87</v>
      </c>
      <c r="D214" s="876"/>
      <c r="E214" s="872"/>
      <c r="F214" s="787" t="s">
        <v>6783</v>
      </c>
      <c r="G214" s="866" t="s">
        <v>309</v>
      </c>
      <c r="H214" s="789"/>
      <c r="I214" s="866" t="s">
        <v>1637</v>
      </c>
      <c r="J214" s="872"/>
      <c r="K214" s="866" t="s">
        <v>6272</v>
      </c>
      <c r="L214" s="866" t="s">
        <v>4422</v>
      </c>
      <c r="M214" s="866" t="str">
        <f>HYPERLINK("https://www.youtube.com/watch?v=aWzlUqH0LaM","41.87")</f>
        <v>41.87</v>
      </c>
      <c r="N214" s="872" t="s">
        <v>2148</v>
      </c>
      <c r="O214" s="866" t="s">
        <v>1534</v>
      </c>
      <c r="P214" s="874" t="s">
        <v>3163</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7"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6788</v>
      </c>
      <c r="C216" s="865" t="s">
        <v>505</v>
      </c>
      <c r="D216" s="793" t="s">
        <v>6789</v>
      </c>
      <c r="E216" s="872"/>
      <c r="F216" s="787" t="s">
        <v>1382</v>
      </c>
      <c r="G216" s="872" t="s">
        <v>6790</v>
      </c>
      <c r="H216" s="810" t="s">
        <v>3115</v>
      </c>
      <c r="I216" s="872"/>
      <c r="J216" s="866" t="s">
        <v>6791</v>
      </c>
      <c r="K216" s="872"/>
      <c r="L216" s="872" t="s">
        <v>882</v>
      </c>
      <c r="M216" s="866" t="s">
        <v>792</v>
      </c>
      <c r="N216" s="872"/>
      <c r="O216" s="872"/>
      <c r="P216" s="874" t="s">
        <v>4181</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6796</v>
      </c>
      <c r="C218" s="865" t="s">
        <v>2894</v>
      </c>
      <c r="D218" s="872"/>
      <c r="E218" s="872"/>
      <c r="F218" s="802"/>
      <c r="G218" s="866" t="s">
        <v>6797</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6374</v>
      </c>
      <c r="B219" s="952" t="s">
        <v>6785</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6788</v>
      </c>
      <c r="C220" s="956" t="s">
        <v>6799</v>
      </c>
      <c r="D220" s="957" t="s">
        <v>6799</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6794</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6796</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6379</v>
      </c>
      <c r="B223" s="952" t="s">
        <v>6800</v>
      </c>
      <c r="C223" s="865" t="s">
        <v>6801</v>
      </c>
      <c r="D223" s="958">
        <v>13.23</v>
      </c>
      <c r="E223" s="953"/>
      <c r="F223" s="787" t="s">
        <v>6802</v>
      </c>
      <c r="G223" s="953"/>
      <c r="H223" s="946" t="s">
        <v>6803</v>
      </c>
      <c r="I223" s="953"/>
      <c r="J223" s="959" t="s">
        <v>4083</v>
      </c>
      <c r="K223" s="953"/>
      <c r="L223" s="953"/>
      <c r="M223" s="953"/>
      <c r="N223" s="953"/>
      <c r="O223" s="953"/>
      <c r="P223" s="954"/>
      <c r="Q223" s="953"/>
      <c r="R223" s="959" t="s">
        <v>6659</v>
      </c>
      <c r="S223" s="953"/>
      <c r="T223" s="953"/>
      <c r="U223" s="953"/>
      <c r="V223" s="959" t="s">
        <v>2601</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7" t="s">
        <v>6805</v>
      </c>
      <c r="G224" s="866" t="s">
        <v>485</v>
      </c>
      <c r="H224" s="789"/>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6570</v>
      </c>
      <c r="B225" s="944" t="s">
        <v>6358</v>
      </c>
      <c r="C225" s="865"/>
      <c r="D225" s="872"/>
      <c r="E225" s="872"/>
      <c r="F225" s="802"/>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6358</v>
      </c>
      <c r="C226" s="784" t="s">
        <v>6809</v>
      </c>
      <c r="D226" s="787" t="s">
        <v>6810</v>
      </c>
      <c r="E226" s="872"/>
      <c r="F226" s="802"/>
      <c r="G226" s="876" t="s">
        <v>428</v>
      </c>
      <c r="H226" s="810"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6426</v>
      </c>
      <c r="B227" s="944" t="s">
        <v>6812</v>
      </c>
      <c r="C227" s="865" t="s">
        <v>6813</v>
      </c>
      <c r="D227" s="872" t="s">
        <v>4176</v>
      </c>
      <c r="E227" s="872"/>
      <c r="F227" s="802"/>
      <c r="G227" s="872"/>
      <c r="H227" s="947"/>
      <c r="I227" s="872"/>
      <c r="J227" s="872"/>
      <c r="K227" s="866" t="s">
        <v>5355</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6814</v>
      </c>
      <c r="C228" s="865" t="s">
        <v>1689</v>
      </c>
      <c r="D228" s="793" t="s">
        <v>1854</v>
      </c>
      <c r="E228" s="872"/>
      <c r="F228" s="787" t="s">
        <v>1383</v>
      </c>
      <c r="G228" s="872"/>
      <c r="H228" s="810" t="s">
        <v>801</v>
      </c>
      <c r="I228" s="872" t="s">
        <v>4302</v>
      </c>
      <c r="J228" s="866" t="s">
        <v>6815</v>
      </c>
      <c r="K228" s="866" t="s">
        <v>3362</v>
      </c>
      <c r="L228" s="872"/>
      <c r="M228" s="872"/>
      <c r="N228" s="872" t="s">
        <v>4284</v>
      </c>
      <c r="O228" s="866" t="s">
        <v>1383</v>
      </c>
      <c r="P228" s="874" t="s">
        <v>2133</v>
      </c>
      <c r="Q228" s="872" t="s">
        <v>1854</v>
      </c>
      <c r="R228" s="787" t="s">
        <v>5608</v>
      </c>
      <c r="S228" s="787" t="s">
        <v>119</v>
      </c>
      <c r="T228" s="866" t="s">
        <v>3854</v>
      </c>
      <c r="U228" s="872" t="s">
        <v>4411</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6374</v>
      </c>
      <c r="B230" s="963" t="s">
        <v>6817</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2"/>
      <c r="G231" s="866"/>
      <c r="H231" s="946" t="s">
        <v>1018</v>
      </c>
      <c r="I231" s="866"/>
      <c r="J231" s="866"/>
      <c r="K231" s="866"/>
      <c r="L231" s="866"/>
      <c r="M231" s="866"/>
      <c r="N231" s="866"/>
      <c r="O231" s="866"/>
      <c r="P231" s="867"/>
      <c r="Q231" s="866"/>
      <c r="R231" s="866" t="s">
        <v>2233</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6819</v>
      </c>
      <c r="C232" s="865" t="s">
        <v>3637</v>
      </c>
      <c r="D232" s="872" t="s">
        <v>1622</v>
      </c>
      <c r="E232" s="872"/>
      <c r="F232" s="787" t="s">
        <v>1693</v>
      </c>
      <c r="G232" s="872"/>
      <c r="H232" s="810" t="s">
        <v>1605</v>
      </c>
      <c r="I232" s="872" t="s">
        <v>2439</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2467</v>
      </c>
      <c r="AH232" s="872"/>
      <c r="AI232" s="872"/>
      <c r="AJ232" s="872"/>
      <c r="AK232" s="866" t="s">
        <v>4753</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3" t="s">
        <v>1605</v>
      </c>
      <c r="E233" s="872"/>
      <c r="F233" s="802"/>
      <c r="G233" s="866" t="s">
        <v>2516</v>
      </c>
      <c r="H233" s="947"/>
      <c r="I233" s="872"/>
      <c r="J233" s="866" t="s">
        <v>1080</v>
      </c>
      <c r="K233" s="872"/>
      <c r="L233" s="866" t="s">
        <v>884</v>
      </c>
      <c r="M233" s="866" t="s">
        <v>242</v>
      </c>
      <c r="N233" s="872"/>
      <c r="O233" s="866" t="s">
        <v>2895</v>
      </c>
      <c r="P233" s="874"/>
      <c r="Q233" s="872" t="s">
        <v>6824</v>
      </c>
      <c r="R233" s="787" t="s">
        <v>2134</v>
      </c>
      <c r="S233" s="872"/>
      <c r="T233" s="872"/>
      <c r="U233" s="872"/>
      <c r="V233" s="872"/>
      <c r="W233" s="872"/>
      <c r="X233" s="872"/>
      <c r="Y233" s="872"/>
      <c r="Z233" s="872"/>
      <c r="AA233" s="872"/>
      <c r="AB233" s="872"/>
      <c r="AC233" s="872"/>
      <c r="AD233" s="872"/>
      <c r="AE233" s="872"/>
      <c r="AF233" s="872"/>
      <c r="AG233" s="872"/>
      <c r="AH233" s="787"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6379</v>
      </c>
      <c r="B234" s="963" t="s">
        <v>6825</v>
      </c>
      <c r="C234" s="865" t="s">
        <v>5623</v>
      </c>
      <c r="D234" s="964"/>
      <c r="E234" s="866" t="s">
        <v>5631</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7" t="s">
        <v>3292</v>
      </c>
      <c r="G235" s="787" t="s">
        <v>5425</v>
      </c>
      <c r="H235" s="947"/>
      <c r="I235" s="866"/>
      <c r="J235" s="866" t="s">
        <v>1787</v>
      </c>
      <c r="K235" s="866" t="s">
        <v>1034</v>
      </c>
      <c r="L235" s="866" t="s">
        <v>527</v>
      </c>
      <c r="M235" s="866"/>
      <c r="N235" s="866"/>
      <c r="O235" s="866"/>
      <c r="P235" s="867"/>
      <c r="Q235" s="866"/>
      <c r="R235" s="787"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6829</v>
      </c>
      <c r="C236" s="865"/>
      <c r="D236" s="965" t="s">
        <v>4606</v>
      </c>
      <c r="E236" s="866"/>
      <c r="F236" s="802"/>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7" t="s">
        <v>6405</v>
      </c>
      <c r="C237" s="865" t="s">
        <v>6830</v>
      </c>
      <c r="D237" s="798" t="s">
        <v>1609</v>
      </c>
      <c r="E237" s="872"/>
      <c r="F237" s="802"/>
      <c r="G237" s="872"/>
      <c r="H237" s="947"/>
      <c r="I237" s="872" t="s">
        <v>1925</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6407</v>
      </c>
      <c r="B238" s="967" t="s">
        <v>6405</v>
      </c>
      <c r="C238" s="865"/>
      <c r="D238" s="968" t="s">
        <v>6832</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6468</v>
      </c>
      <c r="B239" s="944" t="s">
        <v>6769</v>
      </c>
      <c r="C239" s="865" t="s">
        <v>5417</v>
      </c>
      <c r="D239" s="866" t="s">
        <v>1321</v>
      </c>
      <c r="E239" s="866" t="s">
        <v>2592</v>
      </c>
      <c r="F239" s="802"/>
      <c r="G239" s="866" t="s">
        <v>5417</v>
      </c>
      <c r="H239" s="810" t="s">
        <v>4100</v>
      </c>
      <c r="I239" s="866"/>
      <c r="J239" s="866"/>
      <c r="K239" s="866" t="s">
        <v>5525</v>
      </c>
      <c r="L239" s="866"/>
      <c r="M239" s="866"/>
      <c r="N239" s="866" t="s">
        <v>5173</v>
      </c>
      <c r="O239" s="866" t="s">
        <v>4100</v>
      </c>
      <c r="P239" s="867" t="s">
        <v>5456</v>
      </c>
      <c r="Q239" s="866"/>
      <c r="R239" s="866" t="s">
        <v>5417</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2982</v>
      </c>
      <c r="D240" s="866"/>
      <c r="E240" s="866" t="s">
        <v>4238</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6833</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6835</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6358</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6838</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6358</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6357</v>
      </c>
      <c r="B249" s="976" t="s">
        <v>6840</v>
      </c>
      <c r="C249" s="865" t="s">
        <v>1753</v>
      </c>
      <c r="D249" s="872" t="s">
        <v>3870</v>
      </c>
      <c r="E249" s="872"/>
      <c r="F249" s="802"/>
      <c r="G249" s="872"/>
      <c r="H249" s="789"/>
      <c r="I249" s="872"/>
      <c r="J249" s="866" t="s">
        <v>3011</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2"/>
      <c r="G250" s="872"/>
      <c r="H250" s="980" t="s">
        <v>3742</v>
      </c>
      <c r="I250" s="866" t="str">
        <f>HYPERLINK("https://youtu.be/K8Egs0-qumI","48.41")</f>
        <v>48.41</v>
      </c>
      <c r="J250" s="872"/>
      <c r="K250" s="872"/>
      <c r="L250" s="872"/>
      <c r="M250" s="872"/>
      <c r="N250" s="872"/>
      <c r="O250" s="872"/>
      <c r="P250" s="874"/>
      <c r="Q250" s="872"/>
      <c r="R250" s="787"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6844</v>
      </c>
      <c r="C251" s="865" t="s">
        <v>430</v>
      </c>
      <c r="D251" s="872" t="s">
        <v>4503</v>
      </c>
      <c r="E251" s="872"/>
      <c r="F251" s="802"/>
      <c r="G251" s="872"/>
      <c r="H251" s="789"/>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7" t="s">
        <v>6207</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6848</v>
      </c>
      <c r="C253" s="865" t="s">
        <v>1991</v>
      </c>
      <c r="D253" s="866"/>
      <c r="E253" s="866" t="s">
        <v>1534</v>
      </c>
      <c r="F253" s="802"/>
      <c r="G253" s="866" t="s">
        <v>1991</v>
      </c>
      <c r="H253" s="799" t="s">
        <v>857</v>
      </c>
      <c r="I253" s="866"/>
      <c r="J253" s="866" t="s">
        <v>2155</v>
      </c>
      <c r="K253" s="866"/>
      <c r="L253" s="867" t="s">
        <v>6849</v>
      </c>
      <c r="M253" s="866"/>
      <c r="N253" s="866"/>
      <c r="O253" s="866" t="s">
        <v>1306</v>
      </c>
      <c r="P253" s="867" t="s">
        <v>6850</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2155</v>
      </c>
      <c r="D254" s="866"/>
      <c r="E254" s="866" t="s">
        <v>2155</v>
      </c>
      <c r="F254" s="802"/>
      <c r="G254" s="867" t="s">
        <v>2897</v>
      </c>
      <c r="H254" s="980" t="s">
        <v>6852</v>
      </c>
      <c r="I254" s="866"/>
      <c r="J254" s="866"/>
      <c r="K254" s="866"/>
      <c r="L254" s="866"/>
      <c r="M254" s="866"/>
      <c r="N254" s="866"/>
      <c r="O254" s="866"/>
      <c r="P254" s="867"/>
      <c r="Q254" s="787" t="s">
        <v>3163</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6853</v>
      </c>
      <c r="C255" s="865" t="s">
        <v>359</v>
      </c>
      <c r="D255" s="866"/>
      <c r="E255" s="866" t="s">
        <v>800</v>
      </c>
      <c r="F255" s="802"/>
      <c r="G255" s="867" t="s">
        <v>5475</v>
      </c>
      <c r="H255" s="799" t="s">
        <v>1306</v>
      </c>
      <c r="I255" s="866"/>
      <c r="J255" s="866"/>
      <c r="K255" s="866"/>
      <c r="L255" s="866"/>
      <c r="M255" s="866"/>
      <c r="N255" s="866"/>
      <c r="O255" s="866" t="s">
        <v>6164</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7" t="s">
        <v>2546</v>
      </c>
      <c r="G256" s="866"/>
      <c r="H256" s="799"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6360</v>
      </c>
      <c r="B257" s="976" t="s">
        <v>6358</v>
      </c>
      <c r="C257" s="865"/>
      <c r="D257" s="872"/>
      <c r="E257" s="872"/>
      <c r="F257" s="802"/>
      <c r="G257" s="872"/>
      <c r="H257" s="799"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7"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6862</v>
      </c>
      <c r="C260" s="865" t="s">
        <v>6510</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5673</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6409</v>
      </c>
      <c r="B262" s="976" t="s">
        <v>6865</v>
      </c>
      <c r="C262" s="865" t="s">
        <v>6866</v>
      </c>
      <c r="D262" s="866" t="s">
        <v>6507</v>
      </c>
      <c r="E262" s="866" t="s">
        <v>4142</v>
      </c>
      <c r="F262" s="787"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6176</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5103</v>
      </c>
      <c r="E263" s="866" t="s">
        <v>3335</v>
      </c>
      <c r="F263" s="787" t="s">
        <v>6875</v>
      </c>
      <c r="G263" s="866"/>
      <c r="H263" s="810" t="s">
        <v>3248</v>
      </c>
      <c r="I263" s="866" t="str">
        <f>HYPERLINK(" https://youtu.be/dsDcBzsPA5s","45.74")</f>
        <v>45.74</v>
      </c>
      <c r="J263" s="866" t="s">
        <v>3866</v>
      </c>
      <c r="K263" s="866" t="s">
        <v>6876</v>
      </c>
      <c r="L263" s="866" t="s">
        <v>3922</v>
      </c>
      <c r="M263" s="866" t="s">
        <v>1699</v>
      </c>
      <c r="N263" s="866" t="s">
        <v>1992</v>
      </c>
      <c r="O263" s="866" t="s">
        <v>3851</v>
      </c>
      <c r="P263" s="867" t="s">
        <v>3373</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6880</v>
      </c>
      <c r="C264" s="865" t="s">
        <v>1047</v>
      </c>
      <c r="D264" s="866" t="s">
        <v>4588</v>
      </c>
      <c r="E264" s="866" t="s">
        <v>411</v>
      </c>
      <c r="F264" s="787" t="s">
        <v>186</v>
      </c>
      <c r="G264" s="866" t="s">
        <v>2055</v>
      </c>
      <c r="H264" s="982" t="s">
        <v>2077</v>
      </c>
      <c r="I264" s="866" t="str">
        <f>HYPERLINK("https://youtu.be/9O9oqhlyCxY","45.20")</f>
        <v>45.20</v>
      </c>
      <c r="J264" s="866" t="s">
        <v>6881</v>
      </c>
      <c r="K264" s="787" t="s">
        <v>3523</v>
      </c>
      <c r="L264" s="866" t="s">
        <v>321</v>
      </c>
      <c r="M264" s="866" t="s">
        <v>1307</v>
      </c>
      <c r="N264" s="866" t="s">
        <v>6847</v>
      </c>
      <c r="O264" s="866" t="s">
        <v>1047</v>
      </c>
      <c r="P264" s="867"/>
      <c r="Q264" s="866" t="s">
        <v>1929</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8" t="s">
        <v>1613</v>
      </c>
      <c r="E265" s="985" t="s">
        <v>412</v>
      </c>
      <c r="F265" s="787" t="s">
        <v>198</v>
      </c>
      <c r="G265" s="985" t="s">
        <v>4501</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6374</v>
      </c>
      <c r="B266" s="988" t="s">
        <v>6882</v>
      </c>
      <c r="C266" s="865" t="s">
        <v>6883</v>
      </c>
      <c r="D266" s="985" t="s">
        <v>148</v>
      </c>
      <c r="E266" s="985" t="s">
        <v>413</v>
      </c>
      <c r="F266" s="802"/>
      <c r="G266" s="985" t="s">
        <v>6883</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6379</v>
      </c>
      <c r="B267" s="990" t="s">
        <v>6358</v>
      </c>
      <c r="C267" s="865" t="s">
        <v>5637</v>
      </c>
      <c r="D267" s="866" t="s">
        <v>5659</v>
      </c>
      <c r="E267" s="866" t="s">
        <v>2778</v>
      </c>
      <c r="F267" s="787" t="s">
        <v>5600</v>
      </c>
      <c r="G267" s="866" t="s">
        <v>5637</v>
      </c>
      <c r="H267" s="799" t="s">
        <v>6884</v>
      </c>
      <c r="I267" s="866"/>
      <c r="J267" s="866" t="s">
        <v>5173</v>
      </c>
      <c r="K267" s="866"/>
      <c r="L267" s="866" t="s">
        <v>6885</v>
      </c>
      <c r="M267" s="866"/>
      <c r="N267" s="866"/>
      <c r="O267" s="866" t="s">
        <v>5637</v>
      </c>
      <c r="P267" s="867"/>
      <c r="Q267" s="866"/>
      <c r="R267" s="787" t="s">
        <v>6886</v>
      </c>
      <c r="S267" s="866"/>
      <c r="T267" s="866" t="s">
        <v>5637</v>
      </c>
      <c r="U267" s="866"/>
      <c r="V267" s="866" t="s">
        <v>4100</v>
      </c>
      <c r="W267" s="866" t="s">
        <v>6160</v>
      </c>
      <c r="X267" s="866" t="s">
        <v>6887</v>
      </c>
      <c r="Y267" s="866" t="s">
        <v>6049</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6407</v>
      </c>
      <c r="B268" s="990" t="s">
        <v>6358</v>
      </c>
      <c r="C268" s="865"/>
      <c r="D268" s="867" t="s">
        <v>6888</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6525</v>
      </c>
      <c r="B269" s="992" t="s">
        <v>6889</v>
      </c>
      <c r="C269" s="865" t="s">
        <v>6890</v>
      </c>
      <c r="D269" s="793" t="s">
        <v>1479</v>
      </c>
      <c r="E269" s="866" t="s">
        <v>4404</v>
      </c>
      <c r="F269" s="787" t="s">
        <v>1393</v>
      </c>
      <c r="G269" s="866" t="s">
        <v>6890</v>
      </c>
      <c r="H269" s="885" t="s">
        <v>1886</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2"/>
      <c r="G270" s="867" t="s">
        <v>6895</v>
      </c>
      <c r="H270" s="799"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6468</v>
      </c>
      <c r="B271" s="976" t="s">
        <v>6897</v>
      </c>
      <c r="C271" s="865" t="s">
        <v>4200</v>
      </c>
      <c r="D271" s="802"/>
      <c r="E271" s="787" t="s">
        <v>4273</v>
      </c>
      <c r="F271" s="787" t="s">
        <v>3293</v>
      </c>
      <c r="G271" s="787" t="s">
        <v>4200</v>
      </c>
      <c r="H271" s="981"/>
      <c r="I271" s="802"/>
      <c r="J271" s="802"/>
      <c r="K271" s="802"/>
      <c r="L271" s="802"/>
      <c r="M271" s="802"/>
      <c r="N271" s="802" t="s">
        <v>4372</v>
      </c>
      <c r="O271" s="802"/>
      <c r="P271" s="867" t="s">
        <v>6898</v>
      </c>
      <c r="Q271" s="802"/>
      <c r="R271" s="802"/>
      <c r="S271" s="802"/>
      <c r="T271" s="802"/>
      <c r="U271" s="802"/>
      <c r="V271" s="802"/>
      <c r="W271" s="802"/>
      <c r="X271" s="802"/>
      <c r="Y271" s="802"/>
      <c r="Z271" s="802"/>
      <c r="AA271" s="787" t="s">
        <v>6899</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6900</v>
      </c>
      <c r="C272" s="865" t="s">
        <v>4426</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7" t="s">
        <v>3662</v>
      </c>
      <c r="G273" s="867" t="s">
        <v>6126</v>
      </c>
      <c r="H273" s="982" t="s">
        <v>3119</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6472</v>
      </c>
      <c r="B274" s="976" t="s">
        <v>6358</v>
      </c>
      <c r="C274" s="865" t="s">
        <v>6902</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4158</v>
      </c>
      <c r="D275" s="811" t="s">
        <v>1616</v>
      </c>
      <c r="E275" s="872"/>
      <c r="F275" s="787"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6558</v>
      </c>
      <c r="C276" s="865" t="s">
        <v>4738</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6358</v>
      </c>
      <c r="C277" s="865" t="s">
        <v>6903</v>
      </c>
      <c r="D277" s="872" t="s">
        <v>6904</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7" t="s">
        <v>4755</v>
      </c>
      <c r="G279" s="866"/>
      <c r="H279" s="789"/>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3" t="s">
        <v>1621</v>
      </c>
      <c r="E280" s="787" t="s">
        <v>426</v>
      </c>
      <c r="F280" s="787" t="s">
        <v>1405</v>
      </c>
      <c r="G280" s="787" t="s">
        <v>6912</v>
      </c>
      <c r="H280" s="842" t="s">
        <v>2886</v>
      </c>
      <c r="I280" s="787" t="str">
        <f>HYPERLINK("https://youtu.be/ZpzmhXUsVhA","1:19.38")</f>
        <v>1:19.38</v>
      </c>
      <c r="J280" s="802"/>
      <c r="K280" s="787" t="s">
        <v>3529</v>
      </c>
      <c r="L280" s="802" t="s">
        <v>899</v>
      </c>
      <c r="M280" s="802" t="s">
        <v>5881</v>
      </c>
      <c r="N280" s="802" t="s">
        <v>6913</v>
      </c>
      <c r="O280" s="787" t="s">
        <v>6914</v>
      </c>
      <c r="P280" s="867" t="s">
        <v>6915</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6916</v>
      </c>
      <c r="B281" s="1007" t="s">
        <v>6906</v>
      </c>
      <c r="C281" s="865" t="s">
        <v>5444</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2173</v>
      </c>
      <c r="D282" s="1008" t="s">
        <v>6917</v>
      </c>
      <c r="E282" s="866" t="s">
        <v>4078</v>
      </c>
      <c r="F282" s="787" t="s">
        <v>2834</v>
      </c>
      <c r="G282" s="907" t="s">
        <v>4686</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6918</v>
      </c>
      <c r="B283" s="1009" t="s">
        <v>6919</v>
      </c>
      <c r="C283" s="865" t="s">
        <v>4245</v>
      </c>
      <c r="D283" s="965" t="s">
        <v>1791</v>
      </c>
      <c r="E283" s="866" t="s">
        <v>4245</v>
      </c>
      <c r="F283" s="802"/>
      <c r="G283" s="866"/>
      <c r="H283" s="789"/>
      <c r="I283" s="866"/>
      <c r="J283" s="866"/>
      <c r="K283" s="866" t="s">
        <v>2328</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3" t="s">
        <v>1622</v>
      </c>
      <c r="E284" s="787" t="s">
        <v>427</v>
      </c>
      <c r="F284" s="787" t="s">
        <v>1406</v>
      </c>
      <c r="G284" s="787" t="s">
        <v>2086</v>
      </c>
      <c r="H284" s="842" t="s">
        <v>3121</v>
      </c>
      <c r="I284" s="802"/>
      <c r="J284" s="802"/>
      <c r="K284" s="802"/>
      <c r="L284" s="787" t="s">
        <v>900</v>
      </c>
      <c r="M284" s="802" t="s">
        <v>816</v>
      </c>
      <c r="N284" s="802"/>
      <c r="O284" s="787" t="s">
        <v>6864</v>
      </c>
      <c r="P284" s="867" t="s">
        <v>1442</v>
      </c>
      <c r="Q284" s="802"/>
      <c r="R284" s="802"/>
      <c r="S284" s="802"/>
      <c r="T284" s="802" t="s">
        <v>1605</v>
      </c>
      <c r="U284" s="802"/>
      <c r="V284" s="802"/>
      <c r="W284" s="802"/>
      <c r="X284" s="802"/>
      <c r="Y284" s="787" t="s">
        <v>3637</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6923</v>
      </c>
      <c r="B285" s="1010" t="s">
        <v>6924</v>
      </c>
      <c r="C285" s="865" t="s">
        <v>5997</v>
      </c>
      <c r="D285" s="866"/>
      <c r="E285" s="866" t="s">
        <v>5997</v>
      </c>
      <c r="F285" s="802"/>
      <c r="G285" s="866"/>
      <c r="H285" s="789"/>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2"/>
      <c r="G286" s="866"/>
      <c r="H286" s="838"/>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6926</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6928</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6374</v>
      </c>
      <c r="B291" s="1009" t="s">
        <v>6405</v>
      </c>
      <c r="C291" s="865" t="s">
        <v>3079</v>
      </c>
      <c r="D291" s="866"/>
      <c r="E291" s="866" t="s">
        <v>3735</v>
      </c>
      <c r="F291" s="802"/>
      <c r="G291" s="866" t="s">
        <v>3079</v>
      </c>
      <c r="H291" s="789"/>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4" t="s">
        <v>6932</v>
      </c>
      <c r="D292" s="872"/>
      <c r="E292" s="872"/>
      <c r="F292" s="802"/>
      <c r="G292" s="787" t="s">
        <v>6932</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6933</v>
      </c>
      <c r="B293" s="1009" t="s">
        <v>6934</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2"/>
      <c r="G294" s="1014"/>
      <c r="H294" s="838"/>
      <c r="I294" s="787" t="s">
        <v>3961</v>
      </c>
      <c r="J294" s="1014"/>
      <c r="K294" s="1014"/>
      <c r="L294" s="1014"/>
      <c r="M294" s="1014" t="s">
        <v>6415</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6936</v>
      </c>
      <c r="B295" s="1002" t="s">
        <v>6937</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6939</v>
      </c>
      <c r="B297" s="1002" t="s">
        <v>6940</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6941</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6942</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6943</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2"/>
      <c r="G301" s="872"/>
      <c r="H301" s="789"/>
      <c r="I301" s="787" t="s">
        <v>6944</v>
      </c>
      <c r="J301" s="872"/>
      <c r="K301" s="872"/>
      <c r="L301" s="872"/>
      <c r="M301" s="872"/>
      <c r="N301" s="872" t="s">
        <v>5726</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6361</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6947</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6948</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6949</v>
      </c>
      <c r="B306" s="1010" t="s">
        <v>6469</v>
      </c>
      <c r="C306" s="865" t="s">
        <v>6950</v>
      </c>
      <c r="D306" s="802"/>
      <c r="E306" s="787" t="s">
        <v>6950</v>
      </c>
      <c r="F306" s="802"/>
      <c r="G306" s="802"/>
      <c r="H306" s="842" t="s">
        <v>6951</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6471</v>
      </c>
      <c r="C307" s="865" t="s">
        <v>6212</v>
      </c>
      <c r="D307" s="802" t="s">
        <v>5078</v>
      </c>
      <c r="E307" s="787" t="s">
        <v>4472</v>
      </c>
      <c r="F307" s="802"/>
      <c r="G307" s="787" t="s">
        <v>6212</v>
      </c>
      <c r="H307" s="810" t="s">
        <v>5366</v>
      </c>
      <c r="I307" s="802"/>
      <c r="J307" s="802"/>
      <c r="K307" s="802"/>
      <c r="L307" s="802"/>
      <c r="M307" s="802"/>
      <c r="N307" s="802"/>
      <c r="O307" s="802"/>
      <c r="P307" s="867"/>
      <c r="Q307" s="802"/>
      <c r="R307" s="787" t="s">
        <v>6614</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6614</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6952</v>
      </c>
      <c r="B308" s="1010" t="s">
        <v>6358</v>
      </c>
      <c r="C308" s="865" t="s">
        <v>2412</v>
      </c>
      <c r="D308" s="816"/>
      <c r="E308" s="1017" t="s">
        <v>1779</v>
      </c>
      <c r="F308" s="802"/>
      <c r="G308" s="1017" t="s">
        <v>2412</v>
      </c>
      <c r="H308" s="1018" t="s">
        <v>2981</v>
      </c>
      <c r="I308" s="816"/>
      <c r="J308" s="1017" t="s">
        <v>1779</v>
      </c>
      <c r="K308" s="816"/>
      <c r="L308" s="1017" t="s">
        <v>6953</v>
      </c>
      <c r="M308" s="1017" t="s">
        <v>4814</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6954</v>
      </c>
      <c r="B309" s="1010" t="s">
        <v>6955</v>
      </c>
      <c r="C309" s="865" t="s">
        <v>6956</v>
      </c>
      <c r="D309" s="802"/>
      <c r="E309" s="787" t="s">
        <v>6956</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6957</v>
      </c>
      <c r="C310" s="865" t="s">
        <v>6958</v>
      </c>
      <c r="D310" s="802"/>
      <c r="E310" s="787" t="s">
        <v>6959</v>
      </c>
      <c r="F310" s="802"/>
      <c r="G310" s="802" t="s">
        <v>1423</v>
      </c>
      <c r="H310" s="842" t="s">
        <v>6960</v>
      </c>
      <c r="I310" s="802"/>
      <c r="J310" s="802"/>
      <c r="K310" s="802"/>
      <c r="L310" s="802"/>
      <c r="M310" s="802"/>
      <c r="N310" s="802"/>
      <c r="O310" s="802"/>
      <c r="P310" s="867"/>
      <c r="Q310" s="802"/>
      <c r="R310" s="802"/>
      <c r="S310" s="802"/>
      <c r="T310" s="802"/>
      <c r="U310" s="802"/>
      <c r="V310" s="802"/>
      <c r="W310" s="802"/>
      <c r="X310" s="787" t="s">
        <v>6958</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6961</v>
      </c>
      <c r="B311" s="1010" t="s">
        <v>6962</v>
      </c>
      <c r="C311" s="865" t="s">
        <v>4367</v>
      </c>
      <c r="D311" s="802"/>
      <c r="E311" s="787" t="s">
        <v>4367</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6963</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6964</v>
      </c>
      <c r="C313" s="865" t="s">
        <v>6965</v>
      </c>
      <c r="D313" s="802"/>
      <c r="E313" s="787" t="s">
        <v>6965</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6966</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6967</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6968</v>
      </c>
      <c r="C316" s="865" t="s">
        <v>6969</v>
      </c>
      <c r="D316" s="802"/>
      <c r="E316" s="787" t="s">
        <v>3939</v>
      </c>
      <c r="F316" s="802"/>
      <c r="G316" s="787" t="s">
        <v>6969</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6970</v>
      </c>
      <c r="C317" s="865" t="s">
        <v>6971</v>
      </c>
      <c r="D317" s="872" t="s">
        <v>6972</v>
      </c>
      <c r="E317" s="872"/>
      <c r="F317" s="802"/>
      <c r="G317" s="787" t="s">
        <v>6973</v>
      </c>
      <c r="H317" s="1020" t="str">
        <f>HYPERLINK("https://youtu.be/wR4-nYMM6Xk","10.74")</f>
        <v>10.74</v>
      </c>
      <c r="I317" s="872"/>
      <c r="J317" s="872"/>
      <c r="K317" s="872"/>
      <c r="L317" s="872"/>
      <c r="M317" s="872"/>
      <c r="N317" s="872"/>
      <c r="O317" s="872"/>
      <c r="P317" s="874"/>
      <c r="Q317" s="872"/>
      <c r="R317" s="787" t="s">
        <v>6974</v>
      </c>
      <c r="S317" s="872"/>
      <c r="T317" s="787" t="s">
        <v>6975</v>
      </c>
      <c r="U317" s="872"/>
      <c r="V317" s="872"/>
      <c r="W317" s="872"/>
      <c r="X317" s="787"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6976</v>
      </c>
      <c r="B318" s="1010" t="s">
        <v>6358</v>
      </c>
      <c r="C318" s="865" t="s">
        <v>527</v>
      </c>
      <c r="D318" s="876" t="s">
        <v>5441</v>
      </c>
      <c r="E318" s="872"/>
      <c r="F318" s="802"/>
      <c r="G318" s="787" t="s">
        <v>527</v>
      </c>
      <c r="H318" s="1018" t="s">
        <v>6977</v>
      </c>
      <c r="I318" s="872"/>
      <c r="J318" s="787" t="s">
        <v>3977</v>
      </c>
      <c r="K318" s="872"/>
      <c r="L318" s="872"/>
      <c r="M318" s="872"/>
      <c r="N318" s="872"/>
      <c r="O318" s="872"/>
      <c r="P318" s="874"/>
      <c r="Q318" s="872"/>
      <c r="R318" s="872" t="s">
        <v>6978</v>
      </c>
      <c r="S318" s="872"/>
      <c r="T318" s="872"/>
      <c r="U318" s="872"/>
      <c r="V318" s="872" t="s">
        <v>6286</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6979</v>
      </c>
      <c r="B319" s="1010" t="s">
        <v>6980</v>
      </c>
      <c r="C319" s="865" t="s">
        <v>4673</v>
      </c>
      <c r="D319" s="802"/>
      <c r="E319" s="787" t="s">
        <v>4673</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6981</v>
      </c>
      <c r="C320" s="784" t="s">
        <v>6982</v>
      </c>
      <c r="D320" s="802" t="s">
        <v>1011</v>
      </c>
      <c r="E320" s="787" t="s">
        <v>6983</v>
      </c>
      <c r="F320" s="802"/>
      <c r="G320" s="802"/>
      <c r="H320" s="842" t="s">
        <v>6984</v>
      </c>
      <c r="I320" s="802"/>
      <c r="J320" s="787" t="s">
        <v>6985</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6986</v>
      </c>
      <c r="C321" s="784" t="s">
        <v>6987</v>
      </c>
      <c r="D321" s="802"/>
      <c r="E321" s="802"/>
      <c r="F321" s="802"/>
      <c r="G321" s="802" t="s">
        <v>6988</v>
      </c>
      <c r="H321" s="810" t="s">
        <v>6989</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6987</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6990</v>
      </c>
      <c r="B322" s="1002" t="s">
        <v>6991</v>
      </c>
      <c r="C322" s="865" t="s">
        <v>5659</v>
      </c>
      <c r="D322" s="1021"/>
      <c r="E322" s="1021"/>
      <c r="F322" s="802"/>
      <c r="G322" s="787" t="s">
        <v>1297</v>
      </c>
      <c r="H322" s="842" t="s">
        <v>315</v>
      </c>
      <c r="I322" s="1021"/>
      <c r="J322" s="787" t="s">
        <v>5659</v>
      </c>
      <c r="K322" s="1021"/>
      <c r="L322" s="1021"/>
      <c r="M322" s="1021"/>
      <c r="N322" s="1021"/>
      <c r="O322" s="1021"/>
      <c r="P322" s="867"/>
      <c r="Q322" s="1021"/>
      <c r="R322" s="1021"/>
      <c r="S322" s="1021"/>
      <c r="T322" s="1021"/>
      <c r="U322" s="1021"/>
      <c r="V322" s="1021"/>
      <c r="W322" s="1021"/>
      <c r="X322" s="787"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6992</v>
      </c>
      <c r="C323" s="865" t="s">
        <v>4606</v>
      </c>
      <c r="D323" s="802"/>
      <c r="E323" s="787" t="s">
        <v>6074</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4606</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6993</v>
      </c>
      <c r="B324" s="1010" t="s">
        <v>6358</v>
      </c>
      <c r="C324" s="865" t="s">
        <v>6994</v>
      </c>
      <c r="D324" s="908"/>
      <c r="E324" s="908"/>
      <c r="F324" s="802"/>
      <c r="G324" s="787" t="s">
        <v>6994</v>
      </c>
      <c r="H324" s="838"/>
      <c r="I324" s="908"/>
      <c r="J324" s="908"/>
      <c r="K324" s="908"/>
      <c r="L324" s="908"/>
      <c r="M324" s="787"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6996</v>
      </c>
      <c r="B325" s="1010" t="s">
        <v>6997</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6998</v>
      </c>
      <c r="C326" s="865" t="s">
        <v>754</v>
      </c>
      <c r="D326" s="867"/>
      <c r="E326" s="867"/>
      <c r="F326" s="802"/>
      <c r="G326" s="787" t="s">
        <v>754</v>
      </c>
      <c r="H326" s="842" t="s">
        <v>6951</v>
      </c>
      <c r="I326" s="867"/>
      <c r="J326" s="867"/>
      <c r="K326" s="867"/>
      <c r="L326" s="867"/>
      <c r="M326" s="867"/>
      <c r="N326" s="867"/>
      <c r="O326" s="787"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7000</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H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6338</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4440</v>
      </c>
      <c r="AA4" s="1071" t="s">
        <v>2249</v>
      </c>
      <c r="AB4" s="1071" t="s">
        <v>791</v>
      </c>
      <c r="AC4" s="1072" t="s">
        <v>2807</v>
      </c>
      <c r="AD4" s="1072" t="s">
        <v>1214</v>
      </c>
      <c r="AE4" s="1071" t="s">
        <v>5584</v>
      </c>
      <c r="AF4" s="1073"/>
      <c r="AG4" s="1072" t="s">
        <v>7045</v>
      </c>
      <c r="AH4" s="1074"/>
      <c r="AI4" s="1063"/>
      <c r="AJ4" s="1075"/>
      <c r="AK4" s="1075" t="s">
        <v>4009</v>
      </c>
      <c r="AL4" s="1076"/>
      <c r="AM4" s="1075" t="s">
        <v>2071</v>
      </c>
      <c r="AN4" s="1075"/>
      <c r="AO4" s="1077" t="s">
        <v>2412</v>
      </c>
      <c r="AP4" s="1076"/>
      <c r="AQ4" s="1078" t="s">
        <v>7046</v>
      </c>
      <c r="AR4" s="1075" t="s">
        <v>7047</v>
      </c>
      <c r="AS4" s="1075" t="s">
        <v>7048</v>
      </c>
      <c r="AT4" s="1076"/>
      <c r="AU4" s="1076"/>
      <c r="AV4" s="1076"/>
      <c r="AW4" s="1079" t="s">
        <v>5988</v>
      </c>
      <c r="AX4" s="1080" t="s">
        <v>3728</v>
      </c>
      <c r="AY4" s="1075" t="s">
        <v>7049</v>
      </c>
      <c r="AZ4" s="1063"/>
      <c r="BA4" s="1081"/>
      <c r="BB4" s="1082" t="s">
        <v>7050</v>
      </c>
      <c r="BC4" s="1083" t="s">
        <v>7051</v>
      </c>
      <c r="BD4" s="1081"/>
      <c r="BE4" s="1084" t="s">
        <v>7052</v>
      </c>
      <c r="BF4" s="1063"/>
      <c r="BG4" s="1085" t="s">
        <v>7053</v>
      </c>
      <c r="BH4" s="1086" t="s">
        <v>3352</v>
      </c>
      <c r="BI4" s="1086"/>
      <c r="BJ4" s="1086"/>
      <c r="BK4" s="1087" t="s">
        <v>1969</v>
      </c>
      <c r="BL4" s="1088"/>
      <c r="BM4" s="1086" t="s">
        <v>7054</v>
      </c>
      <c r="BN4" s="1063"/>
      <c r="BO4" s="1089" t="s">
        <v>7055</v>
      </c>
      <c r="BP4" s="1090"/>
      <c r="BQ4" s="1090"/>
      <c r="BR4" s="1091" t="s">
        <v>7056</v>
      </c>
      <c r="BS4" s="1090"/>
      <c r="BT4" s="1092" t="s">
        <v>148</v>
      </c>
      <c r="BU4" s="1090"/>
      <c r="BV4" s="1093" t="s">
        <v>3799</v>
      </c>
      <c r="BW4" s="1092" t="s">
        <v>5940</v>
      </c>
      <c r="BX4" s="1063"/>
      <c r="BY4" s="1094" t="s">
        <v>2677</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2887</v>
      </c>
      <c r="J5" s="1062" t="s">
        <v>7059</v>
      </c>
      <c r="K5" s="1101" t="s">
        <v>5769</v>
      </c>
      <c r="L5" s="1099" t="s">
        <v>5421</v>
      </c>
      <c r="M5" s="1059"/>
      <c r="N5" s="1059"/>
      <c r="O5" s="1061" t="s">
        <v>7060</v>
      </c>
      <c r="P5" s="1102"/>
      <c r="Q5" s="1103" t="s">
        <v>7061</v>
      </c>
      <c r="R5" s="1103" t="s">
        <v>2678</v>
      </c>
      <c r="S5" s="1065"/>
      <c r="T5" s="1104" t="s">
        <v>231</v>
      </c>
      <c r="U5" s="1105"/>
      <c r="V5" s="1066" t="s">
        <v>7062</v>
      </c>
      <c r="W5" s="1102"/>
      <c r="X5" s="1106" t="s">
        <v>3697</v>
      </c>
      <c r="Y5" s="1106" t="s">
        <v>7063</v>
      </c>
      <c r="Z5" s="1106" t="s">
        <v>2589</v>
      </c>
      <c r="AA5" s="1107" t="s">
        <v>7064</v>
      </c>
      <c r="AB5" s="1069" t="s">
        <v>1342</v>
      </c>
      <c r="AC5" s="1107" t="s">
        <v>1385</v>
      </c>
      <c r="AD5" s="1072" t="s">
        <v>1214</v>
      </c>
      <c r="AE5" s="1072" t="s">
        <v>6446</v>
      </c>
      <c r="AF5" s="1108"/>
      <c r="AG5" s="1109" t="s">
        <v>7065</v>
      </c>
      <c r="AH5" s="1074"/>
      <c r="AI5" s="1110"/>
      <c r="AJ5" s="1075"/>
      <c r="AK5" s="1075" t="s">
        <v>7066</v>
      </c>
      <c r="AL5" s="1076"/>
      <c r="AM5" s="1111" t="s">
        <v>3702</v>
      </c>
      <c r="AN5" s="1112" t="s">
        <v>3359</v>
      </c>
      <c r="AO5" s="1075" t="s">
        <v>7067</v>
      </c>
      <c r="AP5" s="1111" t="s">
        <v>2461</v>
      </c>
      <c r="AQ5" s="1113" t="s">
        <v>7068</v>
      </c>
      <c r="AR5" s="1075" t="s">
        <v>7069</v>
      </c>
      <c r="AS5" s="1076"/>
      <c r="AT5" s="1077" t="s">
        <v>4790</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4094</v>
      </c>
      <c r="BP5" s="1091"/>
      <c r="BQ5" s="1120" t="s">
        <v>1763</v>
      </c>
      <c r="BR5" s="1091" t="s">
        <v>7075</v>
      </c>
      <c r="BS5" s="1090"/>
      <c r="BT5" s="1120" t="s">
        <v>2048</v>
      </c>
      <c r="BU5" s="1090"/>
      <c r="BV5" s="1091" t="s">
        <v>7076</v>
      </c>
      <c r="BW5" s="1091" t="s">
        <v>2123</v>
      </c>
      <c r="BX5" s="1102"/>
      <c r="BY5" s="1121" t="s">
        <v>301</v>
      </c>
      <c r="BZ5" s="1095" t="s">
        <v>3354</v>
      </c>
      <c r="CA5" s="1122"/>
      <c r="CB5" s="1122"/>
      <c r="CC5" s="1122"/>
      <c r="CD5" s="1096"/>
      <c r="CE5" s="1096"/>
      <c r="CF5" s="1096"/>
      <c r="CG5" s="1096"/>
      <c r="CH5" s="1096"/>
      <c r="CI5" s="1096"/>
      <c r="CJ5" s="1122"/>
      <c r="CK5" s="1122"/>
    </row>
    <row r="6">
      <c r="A6" s="1053" t="s">
        <v>7077</v>
      </c>
      <c r="B6" s="1054" t="s">
        <v>7078</v>
      </c>
      <c r="C6" s="1055" t="s">
        <v>2692</v>
      </c>
      <c r="D6" s="1056" t="s">
        <v>3389</v>
      </c>
      <c r="E6" s="1057" t="s">
        <v>738</v>
      </c>
      <c r="F6" s="1058" t="s">
        <v>2868</v>
      </c>
      <c r="G6" s="1054" t="s">
        <v>2010</v>
      </c>
      <c r="H6" s="1061" t="s">
        <v>2906</v>
      </c>
      <c r="I6" s="1059"/>
      <c r="J6" s="1100" t="s">
        <v>1949</v>
      </c>
      <c r="K6" s="1123" t="s">
        <v>7079</v>
      </c>
      <c r="L6" s="1100" t="s">
        <v>7080</v>
      </c>
      <c r="M6" s="1124" t="s">
        <v>4786</v>
      </c>
      <c r="N6" s="1059"/>
      <c r="O6" s="1125" t="s">
        <v>7081</v>
      </c>
      <c r="P6" s="1102"/>
      <c r="Q6" s="1104" t="s">
        <v>7082</v>
      </c>
      <c r="R6" s="1068" t="s">
        <v>1646</v>
      </c>
      <c r="S6" s="1064" t="s">
        <v>5040</v>
      </c>
      <c r="T6" s="1064" t="s">
        <v>5539</v>
      </c>
      <c r="U6" s="1064"/>
      <c r="V6" s="1072" t="s">
        <v>7083</v>
      </c>
      <c r="W6" s="1102"/>
      <c r="X6" s="1068" t="s">
        <v>2405</v>
      </c>
      <c r="Y6" s="1072" t="s">
        <v>7084</v>
      </c>
      <c r="Z6" s="1072" t="s">
        <v>7085</v>
      </c>
      <c r="AA6" s="1070" t="s">
        <v>4952</v>
      </c>
      <c r="AB6" s="1070" t="s">
        <v>7086</v>
      </c>
      <c r="AC6" s="1069" t="s">
        <v>2686</v>
      </c>
      <c r="AD6" s="1106" t="s">
        <v>4238</v>
      </c>
      <c r="AE6" s="1106" t="s">
        <v>2522</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2157</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2682</v>
      </c>
      <c r="BS6" s="1090"/>
      <c r="BT6" s="1092" t="s">
        <v>5345</v>
      </c>
      <c r="BU6" s="1093" t="s">
        <v>2791</v>
      </c>
      <c r="BV6" s="1091"/>
      <c r="BW6" s="1092" t="s">
        <v>7096</v>
      </c>
      <c r="BX6" s="1102"/>
      <c r="BY6" s="1132" t="s">
        <v>3222</v>
      </c>
      <c r="BZ6" s="1133" t="s">
        <v>7097</v>
      </c>
      <c r="CA6" s="1134" t="s">
        <v>7098</v>
      </c>
      <c r="CB6" s="1122"/>
      <c r="CC6" s="1135"/>
      <c r="CD6" s="1134" t="s">
        <v>7099</v>
      </c>
      <c r="CE6" s="1136" t="s">
        <v>7100</v>
      </c>
      <c r="CF6" s="1134" t="s">
        <v>7101</v>
      </c>
      <c r="CG6" s="1121" t="s">
        <v>5077</v>
      </c>
      <c r="CH6" s="1094" t="s">
        <v>7102</v>
      </c>
      <c r="CI6" s="1096"/>
      <c r="CJ6" s="1134" t="s">
        <v>2167</v>
      </c>
      <c r="CK6" s="1134" t="s">
        <v>3809</v>
      </c>
    </row>
    <row r="7">
      <c r="A7" s="1137" t="s">
        <v>1551</v>
      </c>
      <c r="B7" s="1054" t="s">
        <v>7103</v>
      </c>
      <c r="C7" s="1055" t="s">
        <v>828</v>
      </c>
      <c r="D7" s="1056" t="s">
        <v>334</v>
      </c>
      <c r="E7" s="1057" t="s">
        <v>1064</v>
      </c>
      <c r="F7" s="1058" t="s">
        <v>2762</v>
      </c>
      <c r="G7" s="1054" t="s">
        <v>5699</v>
      </c>
      <c r="H7" s="1099" t="s">
        <v>1361</v>
      </c>
      <c r="I7" s="1124" t="s">
        <v>7104</v>
      </c>
      <c r="J7" s="1059"/>
      <c r="K7" s="1060" t="s">
        <v>7105</v>
      </c>
      <c r="L7" s="1124" t="s">
        <v>7106</v>
      </c>
      <c r="M7" s="1059"/>
      <c r="N7" s="1061" t="s">
        <v>7107</v>
      </c>
      <c r="O7" s="1059"/>
      <c r="P7" s="1102"/>
      <c r="Q7" s="1064" t="s">
        <v>4148</v>
      </c>
      <c r="R7" s="1104" t="s">
        <v>3057</v>
      </c>
      <c r="S7" s="1105" t="s">
        <v>5752</v>
      </c>
      <c r="T7" s="1138" t="s">
        <v>5279</v>
      </c>
      <c r="U7" s="1138" t="s">
        <v>7108</v>
      </c>
      <c r="V7" s="1103" t="s">
        <v>7109</v>
      </c>
      <c r="W7" s="1102"/>
      <c r="X7" s="1107" t="s">
        <v>839</v>
      </c>
      <c r="Y7" s="1107" t="s">
        <v>7110</v>
      </c>
      <c r="Z7" s="1106" t="s">
        <v>6561</v>
      </c>
      <c r="AA7" s="1139" t="s">
        <v>4828</v>
      </c>
      <c r="AB7" s="1069" t="s">
        <v>4881</v>
      </c>
      <c r="AC7" s="1069" t="s">
        <v>5000</v>
      </c>
      <c r="AD7" s="1107" t="s">
        <v>4886</v>
      </c>
      <c r="AE7" s="1069" t="s">
        <v>6414</v>
      </c>
      <c r="AF7" s="1069"/>
      <c r="AG7" s="1140"/>
      <c r="AH7" s="1141" t="s">
        <v>7111</v>
      </c>
      <c r="AI7" s="1102"/>
      <c r="AJ7" s="1075"/>
      <c r="AK7" s="1075" t="s">
        <v>7112</v>
      </c>
      <c r="AL7" s="1075" t="s">
        <v>5464</v>
      </c>
      <c r="AM7" s="1075" t="s">
        <v>557</v>
      </c>
      <c r="AN7" s="1080" t="s">
        <v>7113</v>
      </c>
      <c r="AO7" s="1076"/>
      <c r="AP7" s="1080" t="s">
        <v>7114</v>
      </c>
      <c r="AQ7" s="1142" t="s">
        <v>5035</v>
      </c>
      <c r="AR7" s="1075" t="s">
        <v>7115</v>
      </c>
      <c r="AS7" s="1112" t="s">
        <v>7116</v>
      </c>
      <c r="AT7" s="1111"/>
      <c r="AU7" s="1075" t="s">
        <v>7117</v>
      </c>
      <c r="AV7" s="1076"/>
      <c r="AW7" s="1075" t="s">
        <v>471</v>
      </c>
      <c r="AX7" s="1080" t="s">
        <v>7118</v>
      </c>
      <c r="AY7" s="1112" t="s">
        <v>1926</v>
      </c>
      <c r="AZ7" s="1063"/>
      <c r="BA7" s="1127" t="s">
        <v>7119</v>
      </c>
      <c r="BB7" s="1083" t="s">
        <v>7120</v>
      </c>
      <c r="BC7" s="1143" t="s">
        <v>3370</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2540</v>
      </c>
      <c r="CA7" s="1122"/>
      <c r="CB7" s="1147" t="s">
        <v>2429</v>
      </c>
      <c r="CC7" s="1147"/>
      <c r="CD7" s="1095" t="s">
        <v>2780</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2821</v>
      </c>
      <c r="H8" s="1151" t="s">
        <v>6841</v>
      </c>
      <c r="I8" s="1099" t="s">
        <v>7139</v>
      </c>
      <c r="J8" s="1151" t="s">
        <v>3576</v>
      </c>
      <c r="K8" s="1099" t="s">
        <v>7140</v>
      </c>
      <c r="L8" s="1152" t="s">
        <v>1949</v>
      </c>
      <c r="M8" s="1100" t="s">
        <v>7141</v>
      </c>
      <c r="N8" s="1099" t="s">
        <v>7142</v>
      </c>
      <c r="O8" s="1099" t="s">
        <v>7143</v>
      </c>
      <c r="P8" s="1102"/>
      <c r="Q8" s="1068" t="s">
        <v>7144</v>
      </c>
      <c r="R8" s="1068" t="s">
        <v>2086</v>
      </c>
      <c r="S8" s="1066" t="s">
        <v>725</v>
      </c>
      <c r="T8" s="1068" t="s">
        <v>5106</v>
      </c>
      <c r="U8" s="1103" t="s">
        <v>7145</v>
      </c>
      <c r="V8" s="1066" t="s">
        <v>7146</v>
      </c>
      <c r="W8" s="1102"/>
      <c r="X8" s="1071" t="s">
        <v>920</v>
      </c>
      <c r="Y8" s="1070" t="s">
        <v>7147</v>
      </c>
      <c r="Z8" s="1106" t="s">
        <v>7148</v>
      </c>
      <c r="AA8" s="1106" t="s">
        <v>7149</v>
      </c>
      <c r="AB8" s="1139" t="s">
        <v>4302</v>
      </c>
      <c r="AC8" s="1106" t="s">
        <v>5621</v>
      </c>
      <c r="AD8" s="1106" t="s">
        <v>2379</v>
      </c>
      <c r="AE8" s="1106" t="s">
        <v>7150</v>
      </c>
      <c r="AF8" s="1073"/>
      <c r="AG8" s="1109" t="s">
        <v>7151</v>
      </c>
      <c r="AH8" s="1153" t="s">
        <v>7152</v>
      </c>
      <c r="AI8" s="1102"/>
      <c r="AJ8" s="1154"/>
      <c r="AK8" s="1112" t="s">
        <v>100</v>
      </c>
      <c r="AL8" s="1113" t="s">
        <v>7153</v>
      </c>
      <c r="AM8" s="1080" t="s">
        <v>2182</v>
      </c>
      <c r="AN8" s="1075" t="s">
        <v>4620</v>
      </c>
      <c r="AO8" s="1075" t="s">
        <v>7154</v>
      </c>
      <c r="AP8" s="1080" t="s">
        <v>7155</v>
      </c>
      <c r="AQ8" s="1075" t="s">
        <v>7156</v>
      </c>
      <c r="AR8" s="1112" t="s">
        <v>7157</v>
      </c>
      <c r="AS8" s="1080" t="s">
        <v>7158</v>
      </c>
      <c r="AT8" s="1113" t="s">
        <v>7159</v>
      </c>
      <c r="AU8" s="1077" t="s">
        <v>7160</v>
      </c>
      <c r="AV8" s="1113" t="s">
        <v>7161</v>
      </c>
      <c r="AW8" s="1080" t="s">
        <v>2828</v>
      </c>
      <c r="AX8" s="1113" t="s">
        <v>2231</v>
      </c>
      <c r="AY8" s="1113" t="s">
        <v>7162</v>
      </c>
      <c r="AZ8" s="1063"/>
      <c r="BA8" s="1084" t="s">
        <v>7163</v>
      </c>
      <c r="BB8" s="1115" t="s">
        <v>7164</v>
      </c>
      <c r="BC8" s="1155" t="s">
        <v>3711</v>
      </c>
      <c r="BD8" s="1156"/>
      <c r="BE8" s="1083" t="s">
        <v>7165</v>
      </c>
      <c r="BF8" s="1063"/>
      <c r="BG8" s="1128" t="s">
        <v>7166</v>
      </c>
      <c r="BH8" s="1157" t="s">
        <v>3371</v>
      </c>
      <c r="BI8" s="1085" t="s">
        <v>607</v>
      </c>
      <c r="BJ8" s="1086" t="s">
        <v>7167</v>
      </c>
      <c r="BK8" s="1085" t="s">
        <v>7168</v>
      </c>
      <c r="BL8" s="1085" t="s">
        <v>7169</v>
      </c>
      <c r="BM8" s="1085" t="s">
        <v>7170</v>
      </c>
      <c r="BN8" s="1102"/>
      <c r="BO8" s="1092" t="s">
        <v>2461</v>
      </c>
      <c r="BP8" s="1093" t="s">
        <v>5638</v>
      </c>
      <c r="BQ8" s="1092" t="s">
        <v>6160</v>
      </c>
      <c r="BR8" s="1092" t="s">
        <v>3972</v>
      </c>
      <c r="BS8" s="1092" t="s">
        <v>815</v>
      </c>
      <c r="BT8" s="1092" t="s">
        <v>1281</v>
      </c>
      <c r="BU8" s="1120" t="s">
        <v>3972</v>
      </c>
      <c r="BV8" s="1119" t="s">
        <v>7171</v>
      </c>
      <c r="BW8" s="1092" t="s">
        <v>7172</v>
      </c>
      <c r="BX8" s="1102"/>
      <c r="BY8" s="1121" t="s">
        <v>7173</v>
      </c>
      <c r="BZ8" s="1132" t="s">
        <v>5137</v>
      </c>
      <c r="CA8" s="1148" t="s">
        <v>2338</v>
      </c>
      <c r="CB8" s="1132" t="s">
        <v>3409</v>
      </c>
      <c r="CC8" s="1132"/>
      <c r="CD8" s="1158"/>
      <c r="CE8" s="1121" t="s">
        <v>2686</v>
      </c>
      <c r="CF8" s="1121" t="s">
        <v>6797</v>
      </c>
      <c r="CG8" s="1121" t="s">
        <v>7174</v>
      </c>
      <c r="CH8" s="1121" t="s">
        <v>2197</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2900</v>
      </c>
      <c r="M9" s="1059"/>
      <c r="N9" s="1059"/>
      <c r="O9" s="1124" t="s">
        <v>7180</v>
      </c>
      <c r="P9" s="1102"/>
      <c r="Q9" s="1068" t="s">
        <v>6638</v>
      </c>
      <c r="R9" s="1065"/>
      <c r="S9" s="1065"/>
      <c r="T9" s="1159" t="s">
        <v>5706</v>
      </c>
      <c r="U9" s="1064"/>
      <c r="V9" s="1138" t="s">
        <v>7181</v>
      </c>
      <c r="W9" s="1102"/>
      <c r="X9" s="1106" t="s">
        <v>586</v>
      </c>
      <c r="Y9" s="1160" t="s">
        <v>6556</v>
      </c>
      <c r="Z9" s="1107" t="s">
        <v>3095</v>
      </c>
      <c r="AA9" s="1107" t="s">
        <v>5455</v>
      </c>
      <c r="AB9" s="1106" t="s">
        <v>2342</v>
      </c>
      <c r="AC9" s="1107" t="s">
        <v>7182</v>
      </c>
      <c r="AD9" s="1161" t="s">
        <v>2443</v>
      </c>
      <c r="AE9" s="1106" t="s">
        <v>652</v>
      </c>
      <c r="AF9" s="1108"/>
      <c r="AG9" s="1071" t="s">
        <v>7183</v>
      </c>
      <c r="AH9" s="1162" t="s">
        <v>7184</v>
      </c>
      <c r="AI9" s="1110"/>
      <c r="AJ9" s="1076"/>
      <c r="AK9" s="1111" t="s">
        <v>7185</v>
      </c>
      <c r="AL9" s="1112" t="s">
        <v>5819</v>
      </c>
      <c r="AM9" s="1080" t="s">
        <v>654</v>
      </c>
      <c r="AN9" s="1163"/>
      <c r="AO9" s="1080" t="s">
        <v>5645</v>
      </c>
      <c r="AP9" s="1111" t="s">
        <v>7186</v>
      </c>
      <c r="AQ9" s="1164" t="s">
        <v>5719</v>
      </c>
      <c r="AR9" s="1076"/>
      <c r="AS9" s="1076"/>
      <c r="AT9" s="1111"/>
      <c r="AU9" s="1076"/>
      <c r="AV9" s="1111" t="s">
        <v>7187</v>
      </c>
      <c r="AW9" s="1111" t="s">
        <v>891</v>
      </c>
      <c r="AX9" s="1142" t="s">
        <v>7188</v>
      </c>
      <c r="AY9" s="1142" t="s">
        <v>7189</v>
      </c>
      <c r="AZ9" s="1063"/>
      <c r="BA9" s="1165"/>
      <c r="BB9" s="1166" t="s">
        <v>7190</v>
      </c>
      <c r="BC9" s="1083" t="s">
        <v>5303</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2632</v>
      </c>
      <c r="CH9" s="1096"/>
      <c r="CI9" s="1096"/>
      <c r="CJ9" s="1122"/>
      <c r="CK9" s="1122"/>
    </row>
    <row r="10">
      <c r="A10" s="1170" t="s">
        <v>912</v>
      </c>
      <c r="B10" s="1054" t="s">
        <v>7176</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3609</v>
      </c>
      <c r="AX10" s="1076"/>
      <c r="AY10" s="1076"/>
      <c r="AZ10" s="1063"/>
      <c r="BA10" s="1165"/>
      <c r="BB10" s="1165"/>
      <c r="BC10" s="1082" t="s">
        <v>6393</v>
      </c>
      <c r="BD10" s="1114"/>
      <c r="BE10" s="1115" t="s">
        <v>7213</v>
      </c>
      <c r="BF10" s="1063"/>
      <c r="BG10" s="1129" t="s">
        <v>7214</v>
      </c>
      <c r="BH10" s="1129" t="s">
        <v>6930</v>
      </c>
      <c r="BI10" s="1087" t="s">
        <v>325</v>
      </c>
      <c r="BJ10" s="1144"/>
      <c r="BK10" s="1088"/>
      <c r="BL10" s="1088"/>
      <c r="BM10" s="1086" t="s">
        <v>7215</v>
      </c>
      <c r="BN10" s="1102"/>
      <c r="BO10" s="1093" t="s">
        <v>7216</v>
      </c>
      <c r="BP10" s="1131"/>
      <c r="BQ10" s="1091" t="s">
        <v>7217</v>
      </c>
      <c r="BR10" s="1090"/>
      <c r="BS10" s="1090"/>
      <c r="BT10" s="1119" t="s">
        <v>959</v>
      </c>
      <c r="BU10" s="1090"/>
      <c r="BV10" s="1091" t="s">
        <v>3994</v>
      </c>
      <c r="BW10" s="1091" t="s">
        <v>7218</v>
      </c>
      <c r="BX10" s="1102"/>
      <c r="BY10" s="1095" t="s">
        <v>895</v>
      </c>
      <c r="BZ10" s="1134" t="s">
        <v>3627</v>
      </c>
      <c r="CA10" s="1122"/>
      <c r="CB10" s="1122"/>
      <c r="CC10" s="1122"/>
      <c r="CD10" s="1096"/>
      <c r="CE10" s="1096"/>
      <c r="CF10" s="1096"/>
      <c r="CG10" s="1096"/>
      <c r="CH10" s="1096"/>
      <c r="CI10" s="1096"/>
      <c r="CJ10" s="1122"/>
      <c r="CK10" s="1122"/>
    </row>
    <row r="11">
      <c r="A11" s="1098" t="s">
        <v>330</v>
      </c>
      <c r="B11" s="1054" t="s">
        <v>7219</v>
      </c>
      <c r="C11" s="1055" t="s">
        <v>828</v>
      </c>
      <c r="D11" s="1056" t="s">
        <v>3389</v>
      </c>
      <c r="E11" s="1057" t="s">
        <v>332</v>
      </c>
      <c r="F11" s="1058" t="s">
        <v>3680</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5245</v>
      </c>
      <c r="U11" s="1064"/>
      <c r="V11" s="1138" t="s">
        <v>7225</v>
      </c>
      <c r="W11" s="1102"/>
      <c r="X11" s="1140"/>
      <c r="Y11" s="1107" t="s">
        <v>7226</v>
      </c>
      <c r="Z11" s="1160" t="s">
        <v>7222</v>
      </c>
      <c r="AA11" s="1160" t="s">
        <v>7227</v>
      </c>
      <c r="AB11" s="1072" t="s">
        <v>6071</v>
      </c>
      <c r="AC11" s="1107" t="s">
        <v>2722</v>
      </c>
      <c r="AD11" s="1106" t="s">
        <v>2421</v>
      </c>
      <c r="AE11" s="1070" t="s">
        <v>1248</v>
      </c>
      <c r="AF11" s="1108"/>
      <c r="AG11" s="1160" t="s">
        <v>7228</v>
      </c>
      <c r="AH11" s="1074"/>
      <c r="AI11" s="1102"/>
      <c r="AJ11" s="1175"/>
      <c r="AK11" s="1080" t="s">
        <v>7229</v>
      </c>
      <c r="AL11" s="1076"/>
      <c r="AM11" s="1176"/>
      <c r="AN11" s="1176" t="s">
        <v>6029</v>
      </c>
      <c r="AO11" s="1177" t="s">
        <v>4751</v>
      </c>
      <c r="AP11" s="1178" t="s">
        <v>7230</v>
      </c>
      <c r="AQ11" s="1178" t="s">
        <v>7231</v>
      </c>
      <c r="AR11" s="1179"/>
      <c r="AS11" s="1077" t="s">
        <v>7048</v>
      </c>
      <c r="AT11" s="1180"/>
      <c r="AU11" s="1163"/>
      <c r="AV11" s="1077" t="s">
        <v>7232</v>
      </c>
      <c r="AW11" s="1112" t="s">
        <v>7233</v>
      </c>
      <c r="AX11" s="1142" t="s">
        <v>7234</v>
      </c>
      <c r="AY11" s="1142" t="s">
        <v>7235</v>
      </c>
      <c r="AZ11" s="1063"/>
      <c r="BA11" s="1081"/>
      <c r="BB11" s="1127" t="s">
        <v>7236</v>
      </c>
      <c r="BC11" s="1083" t="s">
        <v>3724</v>
      </c>
      <c r="BD11" s="1114"/>
      <c r="BE11" s="1166" t="s">
        <v>7237</v>
      </c>
      <c r="BF11" s="1063"/>
      <c r="BG11" s="1087" t="s">
        <v>7238</v>
      </c>
      <c r="BH11" s="1116" t="s">
        <v>5375</v>
      </c>
      <c r="BI11" s="1086"/>
      <c r="BJ11" s="1181"/>
      <c r="BK11" s="1181" t="s">
        <v>7239</v>
      </c>
      <c r="BL11" s="1088"/>
      <c r="BM11" s="1181" t="s">
        <v>7240</v>
      </c>
      <c r="BN11" s="1102"/>
      <c r="BO11" s="1120" t="s">
        <v>7241</v>
      </c>
      <c r="BP11" s="1131"/>
      <c r="BQ11" s="1119" t="s">
        <v>692</v>
      </c>
      <c r="BR11" s="1146" t="s">
        <v>7242</v>
      </c>
      <c r="BS11" s="1090"/>
      <c r="BT11" s="1092" t="s">
        <v>4672</v>
      </c>
      <c r="BU11" s="1090"/>
      <c r="BV11" s="1131" t="s">
        <v>7243</v>
      </c>
      <c r="BW11" s="1182" t="s">
        <v>7244</v>
      </c>
      <c r="BX11" s="1110"/>
      <c r="BY11" s="1147" t="s">
        <v>4424</v>
      </c>
      <c r="BZ11" s="1096"/>
      <c r="CA11" s="1183"/>
      <c r="CB11" s="1134" t="s">
        <v>155</v>
      </c>
      <c r="CC11" s="1184"/>
      <c r="CD11" s="1147" t="s">
        <v>1174</v>
      </c>
      <c r="CE11" s="1096"/>
      <c r="CF11" s="1147" t="s">
        <v>7245</v>
      </c>
      <c r="CG11" s="1096"/>
      <c r="CH11" s="1132" t="s">
        <v>4759</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3576</v>
      </c>
      <c r="K12" s="1099" t="s">
        <v>1951</v>
      </c>
      <c r="L12" s="1059"/>
      <c r="M12" s="1059"/>
      <c r="N12" s="1059"/>
      <c r="O12" s="1151" t="s">
        <v>7248</v>
      </c>
      <c r="P12" s="1102"/>
      <c r="Q12" s="1068" t="s">
        <v>7249</v>
      </c>
      <c r="R12" s="1065"/>
      <c r="S12" s="1103" t="s">
        <v>7250</v>
      </c>
      <c r="T12" s="1068" t="s">
        <v>5187</v>
      </c>
      <c r="U12" s="1068" t="s">
        <v>7251</v>
      </c>
      <c r="V12" s="1068" t="s">
        <v>7252</v>
      </c>
      <c r="W12" s="1102"/>
      <c r="X12" s="1106" t="s">
        <v>2645</v>
      </c>
      <c r="Y12" s="1071" t="s">
        <v>7253</v>
      </c>
      <c r="Z12" s="1106" t="s">
        <v>7254</v>
      </c>
      <c r="AA12" s="1106" t="s">
        <v>7149</v>
      </c>
      <c r="AB12" s="1106" t="s">
        <v>6121</v>
      </c>
      <c r="AC12" s="1106" t="s">
        <v>7255</v>
      </c>
      <c r="AD12" s="1106" t="s">
        <v>1059</v>
      </c>
      <c r="AE12" s="1106" t="s">
        <v>7256</v>
      </c>
      <c r="AF12" s="1108"/>
      <c r="AG12" s="1106" t="s">
        <v>7257</v>
      </c>
      <c r="AH12" s="1074"/>
      <c r="AI12" s="1102"/>
      <c r="AJ12" s="1175"/>
      <c r="AK12" s="1113" t="s">
        <v>2013</v>
      </c>
      <c r="AL12" s="1076"/>
      <c r="AM12" s="1080" t="s">
        <v>4221</v>
      </c>
      <c r="AN12" s="1076"/>
      <c r="AO12" s="1076"/>
      <c r="AP12" s="1080" t="s">
        <v>3372</v>
      </c>
      <c r="AQ12" s="1076"/>
      <c r="AR12" s="1077" t="s">
        <v>7258</v>
      </c>
      <c r="AS12" s="1080" t="s">
        <v>7259</v>
      </c>
      <c r="AT12" s="1111"/>
      <c r="AU12" s="1112" t="s">
        <v>7260</v>
      </c>
      <c r="AV12" s="1076"/>
      <c r="AW12" s="1080" t="s">
        <v>5338</v>
      </c>
      <c r="AX12" s="1080" t="s">
        <v>4721</v>
      </c>
      <c r="AY12" s="1080" t="s">
        <v>7261</v>
      </c>
      <c r="AZ12" s="1063"/>
      <c r="BA12" s="1083" t="s">
        <v>7262</v>
      </c>
      <c r="BB12" s="1083" t="s">
        <v>7263</v>
      </c>
      <c r="BC12" s="1083" t="s">
        <v>5235</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7067</v>
      </c>
      <c r="BZ12" s="1121" t="s">
        <v>2649</v>
      </c>
      <c r="CA12" s="1186" t="s">
        <v>7270</v>
      </c>
      <c r="CB12" s="1122"/>
      <c r="CC12" s="1122"/>
      <c r="CD12" s="1132" t="s">
        <v>4375</v>
      </c>
      <c r="CE12" s="1121" t="s">
        <v>7271</v>
      </c>
      <c r="CF12" s="1121" t="s">
        <v>3633</v>
      </c>
      <c r="CG12" s="1148" t="s">
        <v>7272</v>
      </c>
      <c r="CH12" s="1096"/>
      <c r="CI12" s="1132" t="s">
        <v>4715</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3574</v>
      </c>
      <c r="AC13" s="1106" t="s">
        <v>1969</v>
      </c>
      <c r="AD13" s="1069" t="s">
        <v>4125</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3296</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4608</v>
      </c>
      <c r="CG13" s="1096"/>
      <c r="CH13" s="1096"/>
      <c r="CI13" s="1096"/>
      <c r="CJ13" s="1122"/>
      <c r="CK13" s="1122"/>
    </row>
    <row r="14">
      <c r="A14" s="1053" t="s">
        <v>6327</v>
      </c>
      <c r="B14" s="1054" t="s">
        <v>7294</v>
      </c>
      <c r="C14" s="1055" t="s">
        <v>1415</v>
      </c>
      <c r="D14" s="1056" t="s">
        <v>438</v>
      </c>
      <c r="E14" s="1057" t="s">
        <v>438</v>
      </c>
      <c r="F14" s="1058" t="s">
        <v>5550</v>
      </c>
      <c r="G14" s="1054" t="s">
        <v>1724</v>
      </c>
      <c r="H14" s="1099" t="s">
        <v>2114</v>
      </c>
      <c r="I14" s="1099" t="s">
        <v>7295</v>
      </c>
      <c r="J14" s="1059"/>
      <c r="K14" s="1059"/>
      <c r="L14" s="1099" t="s">
        <v>3157</v>
      </c>
      <c r="M14" s="1059"/>
      <c r="N14" s="1099" t="s">
        <v>7296</v>
      </c>
      <c r="O14" s="1059"/>
      <c r="P14" s="1102"/>
      <c r="Q14" s="1068" t="s">
        <v>244</v>
      </c>
      <c r="R14" s="1065"/>
      <c r="S14" s="1068" t="s">
        <v>7185</v>
      </c>
      <c r="T14" s="1068" t="s">
        <v>3591</v>
      </c>
      <c r="U14" s="1065"/>
      <c r="V14" s="1068" t="s">
        <v>7297</v>
      </c>
      <c r="W14" s="1102"/>
      <c r="X14" s="1106" t="s">
        <v>271</v>
      </c>
      <c r="Y14" s="1106" t="s">
        <v>7298</v>
      </c>
      <c r="Z14" s="1106" t="s">
        <v>2361</v>
      </c>
      <c r="AA14" s="1139" t="s">
        <v>7299</v>
      </c>
      <c r="AB14" s="1106" t="s">
        <v>7300</v>
      </c>
      <c r="AC14" s="1106" t="s">
        <v>1668</v>
      </c>
      <c r="AD14" s="1106" t="s">
        <v>5460</v>
      </c>
      <c r="AE14" s="1106" t="s">
        <v>7301</v>
      </c>
      <c r="AF14" s="1073"/>
      <c r="AG14" s="1069" t="s">
        <v>7302</v>
      </c>
      <c r="AH14" s="1074"/>
      <c r="AI14" s="1102"/>
      <c r="AJ14" s="1154"/>
      <c r="AK14" s="1080" t="s">
        <v>7303</v>
      </c>
      <c r="AL14" s="1080" t="s">
        <v>7304</v>
      </c>
      <c r="AM14" s="1080" t="s">
        <v>1210</v>
      </c>
      <c r="AN14" s="1075"/>
      <c r="AO14" s="1076"/>
      <c r="AP14" s="1080" t="s">
        <v>4005</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4019</v>
      </c>
      <c r="BH14" s="1086" t="s">
        <v>4607</v>
      </c>
      <c r="BI14" s="1116" t="s">
        <v>1587</v>
      </c>
      <c r="BJ14" s="1144"/>
      <c r="BK14" s="1086" t="s">
        <v>4342</v>
      </c>
      <c r="BL14" s="1088"/>
      <c r="BM14" s="1086" t="s">
        <v>7314</v>
      </c>
      <c r="BN14" s="1102"/>
      <c r="BO14" s="1092" t="s">
        <v>3330</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5612</v>
      </c>
      <c r="U15" s="1064" t="s">
        <v>7325</v>
      </c>
      <c r="V15" s="1064" t="s">
        <v>7326</v>
      </c>
      <c r="W15" s="1102"/>
      <c r="X15" s="1069" t="s">
        <v>3866</v>
      </c>
      <c r="Y15" s="1069" t="s">
        <v>7327</v>
      </c>
      <c r="Z15" s="1107" t="s">
        <v>7328</v>
      </c>
      <c r="AA15" s="1189" t="s">
        <v>7329</v>
      </c>
      <c r="AB15" s="1069" t="s">
        <v>7330</v>
      </c>
      <c r="AC15" s="1069" t="s">
        <v>7331</v>
      </c>
      <c r="AD15" s="1139" t="s">
        <v>1701</v>
      </c>
      <c r="AE15" s="1106" t="s">
        <v>5388</v>
      </c>
      <c r="AF15" s="1069" t="s">
        <v>7332</v>
      </c>
      <c r="AG15" s="1069" t="s">
        <v>7333</v>
      </c>
      <c r="AH15" s="1190" t="s">
        <v>7334</v>
      </c>
      <c r="AI15" s="1102"/>
      <c r="AJ15" s="1154"/>
      <c r="AK15" s="1080" t="s">
        <v>7335</v>
      </c>
      <c r="AL15" s="1075"/>
      <c r="AM15" s="1075" t="s">
        <v>3324</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4823</v>
      </c>
      <c r="BI15" s="1085" t="s">
        <v>2086</v>
      </c>
      <c r="BJ15" s="1129" t="s">
        <v>7346</v>
      </c>
      <c r="BK15" s="1145" t="s">
        <v>7347</v>
      </c>
      <c r="BL15" s="1086"/>
      <c r="BM15" s="1086" t="s">
        <v>7348</v>
      </c>
      <c r="BN15" s="1102"/>
      <c r="BO15" s="1092" t="s">
        <v>7349</v>
      </c>
      <c r="BP15" s="1146"/>
      <c r="BQ15" s="1192" t="s">
        <v>4696</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6362</v>
      </c>
      <c r="AB16" s="1107" t="s">
        <v>1647</v>
      </c>
      <c r="AC16" s="1107" t="s">
        <v>3499</v>
      </c>
      <c r="AD16" s="1160" t="s">
        <v>200</v>
      </c>
      <c r="AE16" s="1107" t="s">
        <v>4619</v>
      </c>
      <c r="AF16" s="1069"/>
      <c r="AG16" s="1107" t="s">
        <v>7364</v>
      </c>
      <c r="AH16" s="1074"/>
      <c r="AI16" s="1102"/>
      <c r="AJ16" s="1076"/>
      <c r="AK16" s="1111" t="s">
        <v>5535</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3470</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5637</v>
      </c>
      <c r="AE17" s="1107" t="s">
        <v>6650</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4194</v>
      </c>
      <c r="BZ17" s="1121" t="s">
        <v>5861</v>
      </c>
      <c r="CA17" s="1122"/>
      <c r="CB17" s="1122"/>
      <c r="CC17" s="1122"/>
      <c r="CD17" s="1096"/>
      <c r="CE17" s="1095" t="s">
        <v>5750</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3566</v>
      </c>
      <c r="K18" s="1060" t="s">
        <v>7399</v>
      </c>
      <c r="L18" s="1124" t="s">
        <v>7400</v>
      </c>
      <c r="M18" s="1059"/>
      <c r="N18" s="1124" t="s">
        <v>7401</v>
      </c>
      <c r="O18" s="1060" t="s">
        <v>7402</v>
      </c>
      <c r="P18" s="1102"/>
      <c r="Q18" s="1138" t="s">
        <v>3265</v>
      </c>
      <c r="R18" s="1065"/>
      <c r="S18" s="1065"/>
      <c r="T18" s="1138" t="s">
        <v>4956</v>
      </c>
      <c r="U18" s="1064"/>
      <c r="V18" s="1138" t="s">
        <v>7403</v>
      </c>
      <c r="W18" s="1102"/>
      <c r="X18" s="1107" t="s">
        <v>4052</v>
      </c>
      <c r="Y18" s="1107" t="s">
        <v>7404</v>
      </c>
      <c r="Z18" s="1107" t="s">
        <v>7405</v>
      </c>
      <c r="AA18" s="1107" t="s">
        <v>2948</v>
      </c>
      <c r="AB18" s="1107" t="s">
        <v>4657</v>
      </c>
      <c r="AC18" s="1069" t="s">
        <v>1592</v>
      </c>
      <c r="AD18" s="1107" t="s">
        <v>4606</v>
      </c>
      <c r="AE18" s="1107" t="s">
        <v>4801</v>
      </c>
      <c r="AF18" s="1069"/>
      <c r="AG18" s="1069" t="s">
        <v>7406</v>
      </c>
      <c r="AH18" s="1195" t="s">
        <v>7407</v>
      </c>
      <c r="AI18" s="1102"/>
      <c r="AJ18" s="1076"/>
      <c r="AK18" s="1076"/>
      <c r="AL18" s="1076"/>
      <c r="AM18" s="1075" t="s">
        <v>170</v>
      </c>
      <c r="AN18" s="1076"/>
      <c r="AO18" s="1142" t="s">
        <v>4313</v>
      </c>
      <c r="AP18" s="1075" t="s">
        <v>3175</v>
      </c>
      <c r="AQ18" s="1142" t="s">
        <v>7408</v>
      </c>
      <c r="AR18" s="1076"/>
      <c r="AS18" s="1076"/>
      <c r="AT18" s="1111"/>
      <c r="AU18" s="1076"/>
      <c r="AV18" s="1076"/>
      <c r="AW18" s="1142" t="s">
        <v>1009</v>
      </c>
      <c r="AX18" s="1142" t="s">
        <v>4790</v>
      </c>
      <c r="AY18" s="1076"/>
      <c r="AZ18" s="1063"/>
      <c r="BA18" s="1165"/>
      <c r="BB18" s="1165"/>
      <c r="BC18" s="1191" t="s">
        <v>6542</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6336</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5752</v>
      </c>
      <c r="T19" s="1064" t="s">
        <v>5088</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3865</v>
      </c>
      <c r="AX19" s="1142" t="s">
        <v>7424</v>
      </c>
      <c r="AY19" s="1076"/>
      <c r="AZ19" s="1063"/>
      <c r="BA19" s="1165"/>
      <c r="BB19" s="1115" t="s">
        <v>7425</v>
      </c>
      <c r="BC19" s="1115" t="s">
        <v>3588</v>
      </c>
      <c r="BD19" s="1115"/>
      <c r="BE19" s="1191" t="s">
        <v>7426</v>
      </c>
      <c r="BF19" s="1063"/>
      <c r="BG19" s="1086" t="s">
        <v>710</v>
      </c>
      <c r="BH19" s="1181" t="s">
        <v>4345</v>
      </c>
      <c r="BI19" s="1086" t="s">
        <v>144</v>
      </c>
      <c r="BJ19" s="1086" t="s">
        <v>7427</v>
      </c>
      <c r="BK19" s="1086" t="s">
        <v>7428</v>
      </c>
      <c r="BL19" s="1088"/>
      <c r="BM19" s="1086" t="s">
        <v>7429</v>
      </c>
      <c r="BN19" s="1102"/>
      <c r="BO19" s="1091" t="s">
        <v>4689</v>
      </c>
      <c r="BP19" s="1131"/>
      <c r="BQ19" s="1090"/>
      <c r="BR19" s="1120" t="s">
        <v>7430</v>
      </c>
      <c r="BS19" s="1090"/>
      <c r="BT19" s="1091" t="s">
        <v>2359</v>
      </c>
      <c r="BU19" s="1090"/>
      <c r="BV19" s="1091" t="s">
        <v>7431</v>
      </c>
      <c r="BW19" s="1091" t="s">
        <v>2062</v>
      </c>
      <c r="BX19" s="1102"/>
      <c r="BY19" s="1095" t="s">
        <v>4537</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5687</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3167</v>
      </c>
      <c r="AA20" s="1194"/>
      <c r="AB20" s="1140"/>
      <c r="AC20" s="1140"/>
      <c r="AD20" s="1070" t="s">
        <v>1781</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7433</v>
      </c>
      <c r="BJ20" s="1144"/>
      <c r="BK20" s="1088"/>
      <c r="BL20" s="1088"/>
      <c r="BM20" s="1088"/>
      <c r="BN20" s="1102"/>
      <c r="BO20" s="1091"/>
      <c r="BP20" s="1131"/>
      <c r="BQ20" s="1093" t="s">
        <v>4957</v>
      </c>
      <c r="BR20" s="1090"/>
      <c r="BS20" s="1090"/>
      <c r="BT20" s="1093" t="s">
        <v>5391</v>
      </c>
      <c r="BU20" s="1090"/>
      <c r="BV20" s="1146" t="s">
        <v>7434</v>
      </c>
      <c r="BW20" s="1119" t="s">
        <v>7435</v>
      </c>
      <c r="BX20" s="1102"/>
      <c r="BY20" s="1134" t="s">
        <v>3407</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5083</v>
      </c>
      <c r="H21" s="1059"/>
      <c r="I21" s="1059"/>
      <c r="J21" s="1060" t="s">
        <v>310</v>
      </c>
      <c r="K21" s="1060" t="s">
        <v>7438</v>
      </c>
      <c r="L21" s="1060"/>
      <c r="M21" s="1059"/>
      <c r="N21" s="1059"/>
      <c r="O21" s="1060" t="s">
        <v>7439</v>
      </c>
      <c r="P21" s="1102"/>
      <c r="Q21" s="1064" t="s">
        <v>4846</v>
      </c>
      <c r="R21" s="1064" t="s">
        <v>3779</v>
      </c>
      <c r="S21" s="1064" t="s">
        <v>688</v>
      </c>
      <c r="T21" s="1064" t="s">
        <v>249</v>
      </c>
      <c r="U21" s="1065"/>
      <c r="V21" s="1064" t="s">
        <v>7440</v>
      </c>
      <c r="W21" s="1102"/>
      <c r="X21" s="1069" t="s">
        <v>6204</v>
      </c>
      <c r="Y21" s="1140"/>
      <c r="Z21" s="1069" t="s">
        <v>4859</v>
      </c>
      <c r="AA21" s="1069" t="s">
        <v>7441</v>
      </c>
      <c r="AB21" s="1069" t="s">
        <v>2921</v>
      </c>
      <c r="AC21" s="1069" t="s">
        <v>1668</v>
      </c>
      <c r="AD21" s="1069" t="s">
        <v>6395</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4168</v>
      </c>
      <c r="BQ21" s="1090"/>
      <c r="BR21" s="1091" t="s">
        <v>7457</v>
      </c>
      <c r="BS21" s="1090"/>
      <c r="BT21" s="1091" t="s">
        <v>2942</v>
      </c>
      <c r="BU21" s="1091" t="s">
        <v>5020</v>
      </c>
      <c r="BV21" s="1091" t="s">
        <v>7458</v>
      </c>
      <c r="BW21" s="1091" t="s">
        <v>7459</v>
      </c>
      <c r="BX21" s="1102"/>
      <c r="BY21" s="1198" t="s">
        <v>3373</v>
      </c>
      <c r="BZ21" s="1095" t="s">
        <v>940</v>
      </c>
      <c r="CA21" s="1122"/>
      <c r="CB21" s="1122"/>
      <c r="CC21" s="1122"/>
      <c r="CD21" s="1096"/>
      <c r="CE21" s="1095" t="s">
        <v>7460</v>
      </c>
      <c r="CF21" s="1095" t="s">
        <v>7461</v>
      </c>
      <c r="CG21" s="1096"/>
      <c r="CH21" s="1096"/>
      <c r="CI21" s="1096"/>
      <c r="CJ21" s="1122"/>
      <c r="CK21" s="1122"/>
    </row>
    <row r="22">
      <c r="A22" s="1053" t="s">
        <v>7462</v>
      </c>
      <c r="B22" s="1054" t="s">
        <v>7463</v>
      </c>
      <c r="C22" s="1055" t="s">
        <v>1415</v>
      </c>
      <c r="D22" s="1056" t="s">
        <v>1415</v>
      </c>
      <c r="E22" s="1057" t="s">
        <v>1415</v>
      </c>
      <c r="F22" s="1058" t="s">
        <v>1064</v>
      </c>
      <c r="G22" s="1054" t="s">
        <v>5687</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2606</v>
      </c>
      <c r="I23" s="1099" t="s">
        <v>7475</v>
      </c>
      <c r="J23" s="1204"/>
      <c r="K23" s="1099" t="s">
        <v>3180</v>
      </c>
      <c r="L23" s="1060"/>
      <c r="M23" s="1059"/>
      <c r="N23" s="1059"/>
      <c r="O23" s="1124" t="s">
        <v>7476</v>
      </c>
      <c r="P23" s="1102"/>
      <c r="Q23" s="1138" t="s">
        <v>7477</v>
      </c>
      <c r="R23" s="1065"/>
      <c r="S23" s="1065"/>
      <c r="T23" s="1138" t="s">
        <v>5106</v>
      </c>
      <c r="U23" s="1064"/>
      <c r="V23" s="1138" t="s">
        <v>7478</v>
      </c>
      <c r="W23" s="1102"/>
      <c r="X23" s="1107" t="s">
        <v>2132</v>
      </c>
      <c r="Y23" s="1140"/>
      <c r="Z23" s="1107" t="s">
        <v>1907</v>
      </c>
      <c r="AA23" s="1194"/>
      <c r="AB23" s="1107" t="s">
        <v>5220</v>
      </c>
      <c r="AC23" s="1140"/>
      <c r="AD23" s="1140"/>
      <c r="AE23" s="1107" t="s">
        <v>4410</v>
      </c>
      <c r="AF23" s="1069"/>
      <c r="AG23" s="1107" t="s">
        <v>7479</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7480</v>
      </c>
      <c r="BF23" s="1063"/>
      <c r="BG23" s="1181" t="s">
        <v>2621</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7486</v>
      </c>
      <c r="C24" s="1055" t="s">
        <v>1415</v>
      </c>
      <c r="D24" s="1056" t="s">
        <v>738</v>
      </c>
      <c r="E24" s="1057" t="s">
        <v>1415</v>
      </c>
      <c r="F24" s="1058" t="s">
        <v>543</v>
      </c>
      <c r="G24" s="1054" t="s">
        <v>1062</v>
      </c>
      <c r="H24" s="1059"/>
      <c r="I24" s="1059"/>
      <c r="J24" s="1059"/>
      <c r="K24" s="1059"/>
      <c r="L24" s="1059"/>
      <c r="M24" s="1059"/>
      <c r="N24" s="1060" t="s">
        <v>7487</v>
      </c>
      <c r="O24" s="1059"/>
      <c r="P24" s="1102"/>
      <c r="Q24" s="1065"/>
      <c r="R24" s="1065"/>
      <c r="S24" s="1065"/>
      <c r="T24" s="1065"/>
      <c r="U24" s="1064" t="s">
        <v>2894</v>
      </c>
      <c r="V24" s="1064" t="s">
        <v>7488</v>
      </c>
      <c r="W24" s="1102"/>
      <c r="X24" s="1069" t="s">
        <v>195</v>
      </c>
      <c r="Y24" s="1069" t="s">
        <v>7489</v>
      </c>
      <c r="Z24" s="1069" t="s">
        <v>7490</v>
      </c>
      <c r="AA24" s="1206" t="s">
        <v>2750</v>
      </c>
      <c r="AB24" s="1069" t="s">
        <v>653</v>
      </c>
      <c r="AC24" s="1069" t="s">
        <v>1883</v>
      </c>
      <c r="AD24" s="1069" t="s">
        <v>6978</v>
      </c>
      <c r="AE24" s="1069" t="s">
        <v>145</v>
      </c>
      <c r="AF24" s="1069"/>
      <c r="AG24" s="1069" t="s">
        <v>7491</v>
      </c>
      <c r="AH24" s="1207" t="s">
        <v>7492</v>
      </c>
      <c r="AI24" s="1102"/>
      <c r="AJ24" s="1075"/>
      <c r="AK24" s="1075" t="s">
        <v>5609</v>
      </c>
      <c r="AL24" s="1076"/>
      <c r="AM24" s="1075" t="s">
        <v>2584</v>
      </c>
      <c r="AN24" s="1076"/>
      <c r="AO24" s="1076"/>
      <c r="AP24" s="1075" t="s">
        <v>1982</v>
      </c>
      <c r="AQ24" s="1076"/>
      <c r="AR24" s="1075" t="s">
        <v>7493</v>
      </c>
      <c r="AS24" s="1075" t="s">
        <v>3464</v>
      </c>
      <c r="AT24" s="1111"/>
      <c r="AU24" s="1076"/>
      <c r="AV24" s="1142" t="s">
        <v>7494</v>
      </c>
      <c r="AW24" s="1075" t="s">
        <v>803</v>
      </c>
      <c r="AX24" s="1075" t="s">
        <v>7495</v>
      </c>
      <c r="AY24" s="1075" t="s">
        <v>7496</v>
      </c>
      <c r="AZ24" s="1063"/>
      <c r="BA24" s="1165"/>
      <c r="BB24" s="1083" t="s">
        <v>7497</v>
      </c>
      <c r="BC24" s="1115" t="s">
        <v>6126</v>
      </c>
      <c r="BD24" s="1115"/>
      <c r="BE24" s="1126" t="s">
        <v>7498</v>
      </c>
      <c r="BF24" s="1063"/>
      <c r="BG24" s="1088"/>
      <c r="BH24" s="1088"/>
      <c r="BI24" s="1088"/>
      <c r="BJ24" s="1144"/>
      <c r="BK24" s="1088"/>
      <c r="BL24" s="1117" t="s">
        <v>7499</v>
      </c>
      <c r="BM24" s="1086" t="s">
        <v>7500</v>
      </c>
      <c r="BN24" s="1102"/>
      <c r="BO24" s="1090"/>
      <c r="BP24" s="1131"/>
      <c r="BQ24" s="1090"/>
      <c r="BR24" s="1090"/>
      <c r="BS24" s="1120" t="s">
        <v>6907</v>
      </c>
      <c r="BT24" s="1090"/>
      <c r="BU24" s="1090"/>
      <c r="BV24" s="1090"/>
      <c r="BW24" s="1091" t="s">
        <v>7501</v>
      </c>
      <c r="BX24" s="1102"/>
      <c r="BY24" s="1096"/>
      <c r="BZ24" s="1096"/>
      <c r="CA24" s="1122"/>
      <c r="CB24" s="1122"/>
      <c r="CC24" s="1122"/>
      <c r="CD24" s="1096"/>
      <c r="CE24" s="1096"/>
      <c r="CF24" s="1096"/>
      <c r="CG24" s="1096"/>
      <c r="CH24" s="1096"/>
      <c r="CI24" s="1096"/>
      <c r="CJ24" s="1122"/>
      <c r="CK24" s="1122"/>
    </row>
    <row r="25">
      <c r="A25" s="1053" t="s">
        <v>6339</v>
      </c>
      <c r="B25" s="1054" t="s">
        <v>7502</v>
      </c>
      <c r="C25" s="1055" t="s">
        <v>1415</v>
      </c>
      <c r="D25" s="1056" t="s">
        <v>1415</v>
      </c>
      <c r="E25" s="1057" t="s">
        <v>738</v>
      </c>
      <c r="F25" s="1058" t="s">
        <v>438</v>
      </c>
      <c r="G25" s="1054" t="s">
        <v>3680</v>
      </c>
      <c r="H25" s="1059"/>
      <c r="I25" s="1059"/>
      <c r="J25" s="1059"/>
      <c r="K25" s="1059"/>
      <c r="L25" s="1060" t="s">
        <v>742</v>
      </c>
      <c r="M25" s="1059"/>
      <c r="N25" s="1060" t="s">
        <v>7503</v>
      </c>
      <c r="O25" s="1060"/>
      <c r="P25" s="1102"/>
      <c r="Q25" s="1065"/>
      <c r="R25" s="1065"/>
      <c r="S25" s="1065"/>
      <c r="T25" s="1065"/>
      <c r="U25" s="1065"/>
      <c r="V25" s="1138" t="s">
        <v>7504</v>
      </c>
      <c r="W25" s="1102"/>
      <c r="X25" s="1069" t="s">
        <v>7505</v>
      </c>
      <c r="Y25" s="1107" t="s">
        <v>7506</v>
      </c>
      <c r="Z25" s="1140"/>
      <c r="AA25" s="1208" t="s">
        <v>7507</v>
      </c>
      <c r="AB25" s="1140"/>
      <c r="AC25" s="1071" t="s">
        <v>4932</v>
      </c>
      <c r="AD25" s="1069" t="s">
        <v>1401</v>
      </c>
      <c r="AE25" s="1069" t="s">
        <v>7508</v>
      </c>
      <c r="AF25" s="1069"/>
      <c r="AG25" s="1107" t="s">
        <v>7509</v>
      </c>
      <c r="AH25" s="1074"/>
      <c r="AI25" s="1102"/>
      <c r="AJ25" s="1076"/>
      <c r="AK25" s="1076"/>
      <c r="AL25" s="1076"/>
      <c r="AM25" s="1075" t="s">
        <v>4881</v>
      </c>
      <c r="AN25" s="1076"/>
      <c r="AO25" s="1076"/>
      <c r="AP25" s="1076"/>
      <c r="AQ25" s="1076"/>
      <c r="AR25" s="1076"/>
      <c r="AS25" s="1076"/>
      <c r="AT25" s="1111"/>
      <c r="AU25" s="1076"/>
      <c r="AV25" s="1076"/>
      <c r="AW25" s="1076"/>
      <c r="AX25" s="1076"/>
      <c r="AY25" s="1142" t="s">
        <v>7510</v>
      </c>
      <c r="AZ25" s="1063"/>
      <c r="BA25" s="1165"/>
      <c r="BB25" s="1165"/>
      <c r="BC25" s="1165"/>
      <c r="BD25" s="1165"/>
      <c r="BE25" s="1115" t="s">
        <v>7511</v>
      </c>
      <c r="BF25" s="1063"/>
      <c r="BG25" s="1088"/>
      <c r="BH25" s="1088"/>
      <c r="BI25" s="1088"/>
      <c r="BJ25" s="1144"/>
      <c r="BK25" s="1088"/>
      <c r="BL25" s="1086" t="s">
        <v>7512</v>
      </c>
      <c r="BM25" s="1088"/>
      <c r="BN25" s="1102"/>
      <c r="BO25" s="1091" t="s">
        <v>4837</v>
      </c>
      <c r="BP25" s="1131"/>
      <c r="BQ25" s="1090"/>
      <c r="BR25" s="1091" t="s">
        <v>7513</v>
      </c>
      <c r="BS25" s="1092" t="s">
        <v>7280</v>
      </c>
      <c r="BT25" s="1091" t="s">
        <v>1386</v>
      </c>
      <c r="BU25" s="1090"/>
      <c r="BV25" s="1146" t="s">
        <v>7514</v>
      </c>
      <c r="BW25" s="1091" t="s">
        <v>7515</v>
      </c>
      <c r="BX25" s="1102"/>
      <c r="BY25" s="1096"/>
      <c r="BZ25" s="1096"/>
      <c r="CA25" s="1122"/>
      <c r="CB25" s="1122"/>
      <c r="CC25" s="1122"/>
      <c r="CD25" s="1096"/>
      <c r="CE25" s="1095" t="s">
        <v>3520</v>
      </c>
      <c r="CF25" s="1147" t="s">
        <v>7516</v>
      </c>
      <c r="CG25" s="1096"/>
      <c r="CH25" s="1096"/>
      <c r="CI25" s="1096"/>
      <c r="CJ25" s="1122"/>
      <c r="CK25" s="1122"/>
    </row>
    <row r="26">
      <c r="A26" s="1203" t="s">
        <v>6351</v>
      </c>
      <c r="B26" s="1054" t="s">
        <v>7517</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7519</v>
      </c>
      <c r="BF26" s="1063"/>
      <c r="BG26" s="1088"/>
      <c r="BH26" s="1088"/>
      <c r="BI26" s="1088"/>
      <c r="BJ26" s="1144"/>
      <c r="BK26" s="1088"/>
      <c r="BL26" s="1088"/>
      <c r="BM26" s="1129" t="s">
        <v>7520</v>
      </c>
      <c r="BN26" s="1110"/>
      <c r="BO26" s="1202" t="str">
        <f>HYPERLINK("https://youtu.be/oOY4TocVyJU","1:05.01")</f>
        <v>1:05.01</v>
      </c>
      <c r="BP26" s="1131"/>
      <c r="BQ26" s="1090"/>
      <c r="BR26" s="1091"/>
      <c r="BS26" s="1091"/>
      <c r="BT26" s="1090"/>
      <c r="BU26" s="1090"/>
      <c r="BV26" s="1090"/>
      <c r="BW26" s="1093" t="s">
        <v>7521</v>
      </c>
      <c r="BX26" s="1110"/>
      <c r="BY26" s="1096"/>
      <c r="BZ26" s="1096"/>
      <c r="CA26" s="1212"/>
      <c r="CB26" s="1212"/>
      <c r="CC26" s="1212"/>
      <c r="CD26" s="1096"/>
      <c r="CE26" s="1096"/>
      <c r="CF26" s="1096"/>
      <c r="CG26" s="1096"/>
      <c r="CH26" s="1096"/>
      <c r="CI26" s="1096"/>
      <c r="CJ26" s="1122"/>
      <c r="CK26" s="1122"/>
    </row>
    <row r="27">
      <c r="A27" s="1053" t="s">
        <v>7522</v>
      </c>
      <c r="B27" s="1054" t="s">
        <v>7523</v>
      </c>
      <c r="C27" s="1055" t="s">
        <v>738</v>
      </c>
      <c r="D27" s="1056" t="s">
        <v>1415</v>
      </c>
      <c r="E27" s="1057" t="s">
        <v>738</v>
      </c>
      <c r="F27" s="1058" t="s">
        <v>828</v>
      </c>
      <c r="G27" s="1054" t="s">
        <v>2762</v>
      </c>
      <c r="H27" s="1060" t="s">
        <v>3847</v>
      </c>
      <c r="I27" s="1060"/>
      <c r="J27" s="1060"/>
      <c r="K27" s="1059"/>
      <c r="L27" s="1060" t="s">
        <v>7524</v>
      </c>
      <c r="M27" s="1059"/>
      <c r="N27" s="1060" t="s">
        <v>7525</v>
      </c>
      <c r="O27" s="1059"/>
      <c r="P27" s="1102"/>
      <c r="Q27" s="1064" t="s">
        <v>7526</v>
      </c>
      <c r="R27" s="1065"/>
      <c r="S27" s="1065"/>
      <c r="T27" s="1065"/>
      <c r="U27" s="1138" t="s">
        <v>7527</v>
      </c>
      <c r="V27" s="1064" t="s">
        <v>7528</v>
      </c>
      <c r="W27" s="1102"/>
      <c r="X27" s="1069"/>
      <c r="Y27" s="1069"/>
      <c r="Z27" s="1069" t="s">
        <v>6373</v>
      </c>
      <c r="AA27" s="1206" t="s">
        <v>4608</v>
      </c>
      <c r="AB27" s="1069" t="s">
        <v>1187</v>
      </c>
      <c r="AC27" s="1140"/>
      <c r="AD27" s="1140"/>
      <c r="AE27" s="1069" t="s">
        <v>7529</v>
      </c>
      <c r="AF27" s="1069"/>
      <c r="AG27" s="1108" t="s">
        <v>7530</v>
      </c>
      <c r="AH27" s="1190" t="s">
        <v>7531</v>
      </c>
      <c r="AI27" s="1102"/>
      <c r="AJ27" s="1154"/>
      <c r="AK27" s="1077" t="s">
        <v>7532</v>
      </c>
      <c r="AL27" s="1076"/>
      <c r="AM27" s="1076"/>
      <c r="AN27" s="1076"/>
      <c r="AO27" s="1076"/>
      <c r="AP27" s="1076"/>
      <c r="AQ27" s="1076"/>
      <c r="AR27" s="1142" t="s">
        <v>7533</v>
      </c>
      <c r="AS27" s="1075" t="s">
        <v>7534</v>
      </c>
      <c r="AT27" s="1111"/>
      <c r="AU27" s="1076"/>
      <c r="AV27" s="1142" t="s">
        <v>7535</v>
      </c>
      <c r="AW27" s="1075" t="s">
        <v>2552</v>
      </c>
      <c r="AX27" s="1076"/>
      <c r="AY27" s="1075" t="s">
        <v>7536</v>
      </c>
      <c r="AZ27" s="1063"/>
      <c r="BA27" s="1165"/>
      <c r="BB27" s="1165"/>
      <c r="BC27" s="1165"/>
      <c r="BD27" s="1165"/>
      <c r="BE27" s="1115" t="s">
        <v>7537</v>
      </c>
      <c r="BF27" s="1063"/>
      <c r="BG27" s="1088"/>
      <c r="BH27" s="1088"/>
      <c r="BI27" s="1088"/>
      <c r="BJ27" s="1086"/>
      <c r="BK27" s="1088"/>
      <c r="BL27" s="1116" t="s">
        <v>7538</v>
      </c>
      <c r="BM27" s="1085" t="s">
        <v>7539</v>
      </c>
      <c r="BN27" s="1102"/>
      <c r="BO27" s="1091" t="s">
        <v>3992</v>
      </c>
      <c r="BP27" s="1131"/>
      <c r="BQ27" s="1090"/>
      <c r="BR27" s="1091" t="s">
        <v>7540</v>
      </c>
      <c r="BS27" s="1090"/>
      <c r="BT27" s="1146" t="s">
        <v>902</v>
      </c>
      <c r="BU27" s="1090"/>
      <c r="BV27" s="1091" t="s">
        <v>7541</v>
      </c>
      <c r="BW27" s="1091" t="s">
        <v>7542</v>
      </c>
      <c r="BX27" s="1102"/>
      <c r="BY27" s="1096"/>
      <c r="BZ27" s="1096"/>
      <c r="CA27" s="1122"/>
      <c r="CB27" s="1122"/>
      <c r="CC27" s="1122"/>
      <c r="CD27" s="1096"/>
      <c r="CE27" s="1121" t="s">
        <v>7543</v>
      </c>
      <c r="CF27" s="1096"/>
      <c r="CG27" s="1096"/>
      <c r="CH27" s="1096"/>
      <c r="CI27" s="1096"/>
      <c r="CJ27" s="1122"/>
      <c r="CK27" s="1122"/>
    </row>
    <row r="28">
      <c r="A28" s="1053" t="s">
        <v>4063</v>
      </c>
      <c r="B28" s="1054" t="s">
        <v>7544</v>
      </c>
      <c r="C28" s="1055" t="s">
        <v>1415</v>
      </c>
      <c r="D28" s="1056" t="s">
        <v>1415</v>
      </c>
      <c r="E28" s="1057" t="s">
        <v>543</v>
      </c>
      <c r="F28" s="1058" t="s">
        <v>3389</v>
      </c>
      <c r="G28" s="1054" t="s">
        <v>5165</v>
      </c>
      <c r="H28" s="1173" t="s">
        <v>1353</v>
      </c>
      <c r="I28" s="1059"/>
      <c r="J28" s="1059"/>
      <c r="K28" s="1059"/>
      <c r="L28" s="1060" t="s">
        <v>1485</v>
      </c>
      <c r="M28" s="1059"/>
      <c r="N28" s="1099" t="s">
        <v>7545</v>
      </c>
      <c r="O28" s="1059"/>
      <c r="P28" s="1102"/>
      <c r="Q28" s="1213" t="s">
        <v>7546</v>
      </c>
      <c r="R28" s="1065"/>
      <c r="S28" s="1064" t="s">
        <v>5813</v>
      </c>
      <c r="T28" s="1068" t="s">
        <v>618</v>
      </c>
      <c r="U28" s="1214" t="s">
        <v>7547</v>
      </c>
      <c r="V28" s="1064" t="s">
        <v>7548</v>
      </c>
      <c r="W28" s="1102"/>
      <c r="X28" s="1140"/>
      <c r="Y28" s="1069" t="s">
        <v>4074</v>
      </c>
      <c r="Z28" s="1069" t="s">
        <v>5217</v>
      </c>
      <c r="AA28" s="1215" t="s">
        <v>1760</v>
      </c>
      <c r="AB28" s="1069" t="s">
        <v>6108</v>
      </c>
      <c r="AC28" s="1069" t="s">
        <v>3425</v>
      </c>
      <c r="AD28" s="1069" t="s">
        <v>2991</v>
      </c>
      <c r="AE28" s="1106" t="s">
        <v>243</v>
      </c>
      <c r="AF28" s="1108"/>
      <c r="AG28" s="1140"/>
      <c r="AH28" s="1216" t="s">
        <v>4076</v>
      </c>
      <c r="AI28" s="1102"/>
      <c r="AJ28" s="1075"/>
      <c r="AK28" s="1075" t="s">
        <v>7549</v>
      </c>
      <c r="AL28" s="1075" t="s">
        <v>7550</v>
      </c>
      <c r="AM28" s="1075" t="s">
        <v>1641</v>
      </c>
      <c r="AN28" s="1075"/>
      <c r="AO28" s="1076"/>
      <c r="AP28" s="1080" t="s">
        <v>6717</v>
      </c>
      <c r="AQ28" s="1076"/>
      <c r="AR28" s="1075" t="s">
        <v>7551</v>
      </c>
      <c r="AS28" s="1075" t="s">
        <v>7552</v>
      </c>
      <c r="AT28" s="1111"/>
      <c r="AU28" s="1075" t="s">
        <v>7553</v>
      </c>
      <c r="AV28" s="1076"/>
      <c r="AW28" s="1080" t="s">
        <v>2706</v>
      </c>
      <c r="AX28" s="1075" t="s">
        <v>7554</v>
      </c>
      <c r="AY28" s="1075" t="s">
        <v>7555</v>
      </c>
      <c r="AZ28" s="1063"/>
      <c r="BA28" s="1165"/>
      <c r="BB28" s="1165"/>
      <c r="BC28" s="1115" t="s">
        <v>2202</v>
      </c>
      <c r="BD28" s="1115"/>
      <c r="BE28" s="1115" t="s">
        <v>7556</v>
      </c>
      <c r="BF28" s="1063"/>
      <c r="BG28" s="1088"/>
      <c r="BH28" s="1086" t="s">
        <v>7557</v>
      </c>
      <c r="BI28" s="1088"/>
      <c r="BJ28" s="1144"/>
      <c r="BK28" s="1088"/>
      <c r="BL28" s="1086" t="s">
        <v>7558</v>
      </c>
      <c r="BM28" s="1088"/>
      <c r="BN28" s="1102"/>
      <c r="BO28" s="1146" t="s">
        <v>7559</v>
      </c>
      <c r="BP28" s="1131"/>
      <c r="BQ28" s="1090"/>
      <c r="BR28" s="1090"/>
      <c r="BS28" s="1119" t="s">
        <v>7484</v>
      </c>
      <c r="BT28" s="1146" t="s">
        <v>318</v>
      </c>
      <c r="BU28" s="1119" t="s">
        <v>7560</v>
      </c>
      <c r="BV28" s="1090"/>
      <c r="BW28" s="1091" t="s">
        <v>3805</v>
      </c>
      <c r="BX28" s="1102"/>
      <c r="BY28" s="1096"/>
      <c r="BZ28" s="1096"/>
      <c r="CA28" s="1122"/>
      <c r="CB28" s="1122"/>
      <c r="CC28" s="1122"/>
      <c r="CD28" s="1096"/>
      <c r="CE28" s="1095" t="s">
        <v>7485</v>
      </c>
      <c r="CF28" s="1095" t="s">
        <v>7561</v>
      </c>
      <c r="CG28" s="1096"/>
      <c r="CH28" s="1096"/>
      <c r="CI28" s="1096"/>
      <c r="CJ28" s="1122"/>
      <c r="CK28" s="1122"/>
    </row>
    <row r="29">
      <c r="A29" s="1217" t="s">
        <v>6333</v>
      </c>
      <c r="B29" s="1054" t="s">
        <v>7562</v>
      </c>
      <c r="C29" s="1055" t="s">
        <v>1415</v>
      </c>
      <c r="D29" s="1056" t="s">
        <v>1415</v>
      </c>
      <c r="E29" s="1057" t="s">
        <v>1415</v>
      </c>
      <c r="F29" s="1058" t="s">
        <v>1064</v>
      </c>
      <c r="G29" s="1054" t="s">
        <v>1062</v>
      </c>
      <c r="H29" s="1173" t="s">
        <v>4214</v>
      </c>
      <c r="I29" s="1060" t="s">
        <v>7563</v>
      </c>
      <c r="J29" s="1060"/>
      <c r="K29" s="1060"/>
      <c r="L29" s="1124" t="s">
        <v>7564</v>
      </c>
      <c r="M29" s="1059"/>
      <c r="N29" s="1099" t="s">
        <v>7565</v>
      </c>
      <c r="O29" s="1059"/>
      <c r="P29" s="1102"/>
      <c r="Q29" s="1065"/>
      <c r="R29" s="1065"/>
      <c r="S29" s="1065"/>
      <c r="T29" s="1065"/>
      <c r="U29" s="1064" t="s">
        <v>416</v>
      </c>
      <c r="V29" s="1068" t="s">
        <v>7566</v>
      </c>
      <c r="W29" s="1102"/>
      <c r="X29" s="1107" t="s">
        <v>4834</v>
      </c>
      <c r="Y29" s="1069" t="s">
        <v>7567</v>
      </c>
      <c r="Z29" s="1107" t="s">
        <v>5866</v>
      </c>
      <c r="AA29" s="1189" t="s">
        <v>4608</v>
      </c>
      <c r="AB29" s="1107" t="s">
        <v>2503</v>
      </c>
      <c r="AC29" s="1106" t="s">
        <v>7568</v>
      </c>
      <c r="AD29" s="1140"/>
      <c r="AE29" s="1106" t="str">
        <f>HYPERLINK("https://twitter.com/Qbe_Root/status/1242884733232648192","56.04")</f>
        <v>56.04</v>
      </c>
      <c r="AF29" s="1108"/>
      <c r="AG29" s="1106" t="s">
        <v>7569</v>
      </c>
      <c r="AH29" s="1074"/>
      <c r="AI29" s="1102"/>
      <c r="AJ29" s="1075"/>
      <c r="AK29" s="1075" t="s">
        <v>7570</v>
      </c>
      <c r="AL29" s="1075" t="s">
        <v>7571</v>
      </c>
      <c r="AM29" s="1075" t="s">
        <v>7572</v>
      </c>
      <c r="AN29" s="1075"/>
      <c r="AO29" s="1076"/>
      <c r="AP29" s="114" t="s">
        <v>7573</v>
      </c>
      <c r="AQ29" s="1076"/>
      <c r="AR29" s="1076"/>
      <c r="AS29" s="1076"/>
      <c r="AT29" s="1111"/>
      <c r="AU29" s="1076"/>
      <c r="AV29" s="1076"/>
      <c r="AW29" s="1075" t="s">
        <v>1614</v>
      </c>
      <c r="AX29" s="1075" t="s">
        <v>7574</v>
      </c>
      <c r="AY29" s="1076"/>
      <c r="AZ29" s="1063"/>
      <c r="BA29" s="1165"/>
      <c r="BB29" s="1165"/>
      <c r="BC29" s="1165"/>
      <c r="BD29" s="1165"/>
      <c r="BE29" s="1191" t="s">
        <v>7575</v>
      </c>
      <c r="BF29" s="1063"/>
      <c r="BG29" s="1086" t="s">
        <v>1465</v>
      </c>
      <c r="BH29" s="1088"/>
      <c r="BI29" s="1088"/>
      <c r="BJ29" s="1144"/>
      <c r="BK29" s="1086" t="s">
        <v>7576</v>
      </c>
      <c r="BL29" s="1088"/>
      <c r="BM29" s="1086" t="s">
        <v>7577</v>
      </c>
      <c r="BN29" s="1102"/>
      <c r="BO29" s="1091" t="s">
        <v>7578</v>
      </c>
      <c r="BP29" s="1131"/>
      <c r="BQ29" s="1090"/>
      <c r="BR29" s="1090"/>
      <c r="BS29" s="1090"/>
      <c r="BT29" s="1146" t="s">
        <v>1472</v>
      </c>
      <c r="BU29" s="1090"/>
      <c r="BV29" s="1218" t="str">
        <f>HYPERLINK("https://twitter.com/Qbe_Root/status/1400138849058275330", "1:53.21")</f>
        <v>1:53.21</v>
      </c>
      <c r="BW29" s="1091" t="s">
        <v>7579</v>
      </c>
      <c r="BX29" s="1102"/>
      <c r="BY29" s="1096"/>
      <c r="BZ29" s="1096"/>
      <c r="CA29" s="1122"/>
      <c r="CB29" s="1122"/>
      <c r="CC29" s="1122"/>
      <c r="CD29" s="1147" t="s">
        <v>4910</v>
      </c>
      <c r="CE29" s="1096"/>
      <c r="CF29" s="1096"/>
      <c r="CG29" s="1096"/>
      <c r="CH29" s="1096"/>
      <c r="CI29" s="1096"/>
      <c r="CJ29" s="1122"/>
      <c r="CK29" s="1122"/>
    </row>
    <row r="30">
      <c r="A30" s="1053" t="s">
        <v>3986</v>
      </c>
      <c r="B30" s="1054" t="s">
        <v>7580</v>
      </c>
      <c r="C30" s="1055" t="s">
        <v>1415</v>
      </c>
      <c r="D30" s="1056" t="s">
        <v>1415</v>
      </c>
      <c r="E30" s="1057" t="s">
        <v>1415</v>
      </c>
      <c r="F30" s="1058" t="s">
        <v>438</v>
      </c>
      <c r="G30" s="1054" t="s">
        <v>2904</v>
      </c>
      <c r="H30" s="1060" t="s">
        <v>2297</v>
      </c>
      <c r="I30" s="1059"/>
      <c r="J30" s="1059"/>
      <c r="K30" s="1059"/>
      <c r="L30" s="1060" t="s">
        <v>7581</v>
      </c>
      <c r="M30" s="1059"/>
      <c r="N30" s="1060" t="s">
        <v>7582</v>
      </c>
      <c r="O30" s="1059"/>
      <c r="P30" s="1102"/>
      <c r="Q30" s="1064" t="s">
        <v>7583</v>
      </c>
      <c r="R30" s="1065"/>
      <c r="S30" s="1065"/>
      <c r="T30" s="1065"/>
      <c r="U30" s="1138" t="s">
        <v>7196</v>
      </c>
      <c r="V30" s="1064" t="s">
        <v>7584</v>
      </c>
      <c r="W30" s="1102"/>
      <c r="X30" s="1140"/>
      <c r="Y30" s="1140"/>
      <c r="Z30" s="1069" t="s">
        <v>7585</v>
      </c>
      <c r="AA30" s="1194"/>
      <c r="AB30" s="1069" t="s">
        <v>4759</v>
      </c>
      <c r="AC30" s="1069" t="s">
        <v>194</v>
      </c>
      <c r="AD30" s="1140"/>
      <c r="AE30" s="1069" t="s">
        <v>3702</v>
      </c>
      <c r="AF30" s="1069"/>
      <c r="AG30" s="1106" t="s">
        <v>7586</v>
      </c>
      <c r="AH30" s="1197" t="s">
        <v>7587</v>
      </c>
      <c r="AI30" s="1102"/>
      <c r="AJ30" s="1075"/>
      <c r="AK30" s="1075" t="s">
        <v>7588</v>
      </c>
      <c r="AL30" s="1075" t="s">
        <v>7589</v>
      </c>
      <c r="AM30" s="1075" t="s">
        <v>4184</v>
      </c>
      <c r="AN30" s="1075"/>
      <c r="AO30" s="1076"/>
      <c r="AP30" s="1076"/>
      <c r="AQ30" s="1076"/>
      <c r="AR30" s="1075" t="s">
        <v>7590</v>
      </c>
      <c r="AS30" s="1075" t="s">
        <v>7591</v>
      </c>
      <c r="AT30" s="1142"/>
      <c r="AU30" s="1075" t="s">
        <v>7592</v>
      </c>
      <c r="AV30" s="1075"/>
      <c r="AW30" s="1075" t="s">
        <v>767</v>
      </c>
      <c r="AX30" s="1076"/>
      <c r="AY30" s="1075" t="s">
        <v>7593</v>
      </c>
      <c r="AZ30" s="1063"/>
      <c r="BA30" s="1115"/>
      <c r="BB30" s="1115" t="s">
        <v>7594</v>
      </c>
      <c r="BC30" s="1191" t="s">
        <v>4426</v>
      </c>
      <c r="BD30" s="1115"/>
      <c r="BE30" s="1191" t="s">
        <v>7595</v>
      </c>
      <c r="BF30" s="1063"/>
      <c r="BG30" s="1086" t="s">
        <v>7596</v>
      </c>
      <c r="BH30" s="1088"/>
      <c r="BI30" s="1088"/>
      <c r="BJ30" s="1144"/>
      <c r="BK30" s="1088"/>
      <c r="BL30" s="1086" t="s">
        <v>7597</v>
      </c>
      <c r="BM30" s="1086" t="s">
        <v>7598</v>
      </c>
      <c r="BN30" s="1102"/>
      <c r="BO30" s="1091" t="s">
        <v>3233</v>
      </c>
      <c r="BP30" s="1131"/>
      <c r="BQ30" s="1090"/>
      <c r="BR30" s="1091" t="s">
        <v>7599</v>
      </c>
      <c r="BS30" s="1146" t="s">
        <v>7600</v>
      </c>
      <c r="BT30" s="1090"/>
      <c r="BU30" s="1090"/>
      <c r="BV30" s="1091" t="s">
        <v>5233</v>
      </c>
      <c r="BW30" s="1091" t="s">
        <v>7601</v>
      </c>
      <c r="BX30" s="1102"/>
      <c r="BY30" s="1096"/>
      <c r="BZ30" s="1096"/>
      <c r="CA30" s="1122"/>
      <c r="CB30" s="1122"/>
      <c r="CC30" s="1122"/>
      <c r="CD30" s="1096"/>
      <c r="CE30" s="1096"/>
      <c r="CF30" s="1095" t="s">
        <v>7602</v>
      </c>
      <c r="CG30" s="1096"/>
      <c r="CH30" s="1096"/>
      <c r="CI30" s="1121" t="s">
        <v>7603</v>
      </c>
      <c r="CJ30" s="1122"/>
      <c r="CK30" s="1122"/>
    </row>
    <row r="31">
      <c r="A31" s="1053" t="s">
        <v>2760</v>
      </c>
      <c r="B31" s="1054" t="s">
        <v>7604</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7605</v>
      </c>
      <c r="V31" s="1064" t="s">
        <v>7606</v>
      </c>
      <c r="W31" s="1102"/>
      <c r="X31" s="1140"/>
      <c r="Y31" s="1140"/>
      <c r="Z31" s="1140"/>
      <c r="AA31" s="1194"/>
      <c r="AB31" s="1069"/>
      <c r="AC31" s="1070" t="s">
        <v>7607</v>
      </c>
      <c r="AD31" s="1069" t="s">
        <v>7608</v>
      </c>
      <c r="AE31" s="1069" t="s">
        <v>4524</v>
      </c>
      <c r="AF31" s="1069"/>
      <c r="AG31" s="1140"/>
      <c r="AH31" s="1074"/>
      <c r="AI31" s="1102"/>
      <c r="AJ31" s="1076"/>
      <c r="AK31" s="1076"/>
      <c r="AL31" s="1076"/>
      <c r="AM31" s="1076"/>
      <c r="AN31" s="1076"/>
      <c r="AO31" s="1076"/>
      <c r="AP31" s="1112" t="s">
        <v>7609</v>
      </c>
      <c r="AQ31" s="1076"/>
      <c r="AR31" s="1076"/>
      <c r="AS31" s="1076"/>
      <c r="AT31" s="1111"/>
      <c r="AU31" s="1076"/>
      <c r="AV31" s="1076"/>
      <c r="AW31" s="1075" t="s">
        <v>1701</v>
      </c>
      <c r="AX31" s="1076"/>
      <c r="AY31" s="1076"/>
      <c r="AZ31" s="1063"/>
      <c r="BA31" s="1165"/>
      <c r="BB31" s="1165"/>
      <c r="BC31" s="1083" t="s">
        <v>5553</v>
      </c>
      <c r="BD31" s="1081"/>
      <c r="BE31" s="1115" t="s">
        <v>7610</v>
      </c>
      <c r="BF31" s="1063"/>
      <c r="BG31" s="1088"/>
      <c r="BH31" s="1088"/>
      <c r="BI31" s="1088"/>
      <c r="BJ31" s="1144"/>
      <c r="BK31" s="1088"/>
      <c r="BL31" s="1088"/>
      <c r="BM31" s="1088"/>
      <c r="BN31" s="1102"/>
      <c r="BO31" s="1091" t="s">
        <v>7611</v>
      </c>
      <c r="BP31" s="1131"/>
      <c r="BQ31" s="1090"/>
      <c r="BR31" s="1090"/>
      <c r="BS31" s="1090"/>
      <c r="BT31" s="1090"/>
      <c r="BU31" s="1090"/>
      <c r="BV31" s="1091" t="s">
        <v>7612</v>
      </c>
      <c r="BW31" s="1090"/>
      <c r="BX31" s="1102"/>
      <c r="BY31" s="1096"/>
      <c r="BZ31" s="1096"/>
      <c r="CA31" s="1122"/>
      <c r="CB31" s="1122"/>
      <c r="CC31" s="1122"/>
      <c r="CD31" s="1096"/>
      <c r="CE31" s="1096"/>
      <c r="CF31" s="1096"/>
      <c r="CG31" s="1096"/>
      <c r="CH31" s="1096"/>
      <c r="CI31" s="1096"/>
      <c r="CJ31" s="1122"/>
      <c r="CK31" s="1122"/>
    </row>
    <row r="32">
      <c r="A32" s="1053" t="s">
        <v>7613</v>
      </c>
      <c r="B32" s="1054" t="s">
        <v>2693</v>
      </c>
      <c r="C32" s="1055" t="s">
        <v>1415</v>
      </c>
      <c r="D32" s="1056" t="s">
        <v>1415</v>
      </c>
      <c r="E32" s="1057" t="s">
        <v>1415</v>
      </c>
      <c r="F32" s="1058" t="s">
        <v>1415</v>
      </c>
      <c r="G32" s="1054" t="s">
        <v>219</v>
      </c>
      <c r="H32" s="1059"/>
      <c r="I32" s="1059"/>
      <c r="J32" s="1060" t="s">
        <v>7614</v>
      </c>
      <c r="K32" s="1059"/>
      <c r="L32" s="1059"/>
      <c r="M32" s="1059"/>
      <c r="N32" s="1059"/>
      <c r="O32" s="1060" t="s">
        <v>7615</v>
      </c>
      <c r="P32" s="1102"/>
      <c r="Q32" s="1065"/>
      <c r="R32" s="1065"/>
      <c r="S32" s="1065"/>
      <c r="T32" s="1065"/>
      <c r="U32" s="1065"/>
      <c r="V32" s="1064" t="s">
        <v>7616</v>
      </c>
      <c r="W32" s="1102"/>
      <c r="X32" s="1140"/>
      <c r="Y32" s="1140"/>
      <c r="Z32" s="1140"/>
      <c r="AA32" s="1194"/>
      <c r="AB32" s="1140"/>
      <c r="AC32" s="1140"/>
      <c r="AD32" s="1140"/>
      <c r="AE32" s="1069" t="s">
        <v>2287</v>
      </c>
      <c r="AF32" s="1069"/>
      <c r="AG32" s="1069" t="s">
        <v>7617</v>
      </c>
      <c r="AH32" s="1074"/>
      <c r="AI32" s="1102"/>
      <c r="AJ32" s="1076"/>
      <c r="AK32" s="1076"/>
      <c r="AL32" s="1076"/>
      <c r="AM32" s="1076"/>
      <c r="AN32" s="1076"/>
      <c r="AO32" s="1076"/>
      <c r="AP32" s="1075" t="s">
        <v>7618</v>
      </c>
      <c r="AQ32" s="1076"/>
      <c r="AR32" s="1076"/>
      <c r="AS32" s="1076"/>
      <c r="AT32" s="1111"/>
      <c r="AU32" s="1076"/>
      <c r="AV32" s="1076"/>
      <c r="AW32" s="1076"/>
      <c r="AX32" s="1076"/>
      <c r="AY32" s="1076"/>
      <c r="AZ32" s="1063"/>
      <c r="BA32" s="1115" t="s">
        <v>7619</v>
      </c>
      <c r="BB32" s="1165"/>
      <c r="BC32" s="1115"/>
      <c r="BD32" s="1115"/>
      <c r="BE32" s="1115" t="s">
        <v>7620</v>
      </c>
      <c r="BF32" s="1063"/>
      <c r="BG32" s="1088"/>
      <c r="BH32" s="1088"/>
      <c r="BI32" s="1088"/>
      <c r="BJ32" s="1144"/>
      <c r="BK32" s="1088"/>
      <c r="BL32" s="1088"/>
      <c r="BM32" s="1086" t="s">
        <v>7621</v>
      </c>
      <c r="BN32" s="1102"/>
      <c r="BO32" s="1090"/>
      <c r="BP32" s="1131"/>
      <c r="BQ32" s="1090"/>
      <c r="BR32" s="1091" t="s">
        <v>2469</v>
      </c>
      <c r="BS32" s="1090"/>
      <c r="BT32" s="1090"/>
      <c r="BU32" s="1090"/>
      <c r="BV32" s="1146" t="s">
        <v>7622</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5687</v>
      </c>
      <c r="H33" s="1060"/>
      <c r="I33" s="1059"/>
      <c r="J33" s="1059"/>
      <c r="K33" s="1059"/>
      <c r="L33" s="1060" t="s">
        <v>7623</v>
      </c>
      <c r="M33" s="1059"/>
      <c r="N33" s="1060" t="s">
        <v>7624</v>
      </c>
      <c r="O33" s="1060"/>
      <c r="P33" s="1102"/>
      <c r="Q33" s="1064" t="s">
        <v>7625</v>
      </c>
      <c r="R33" s="1065"/>
      <c r="S33" s="1065"/>
      <c r="T33" s="1065"/>
      <c r="U33" s="1065"/>
      <c r="V33" s="1064" t="s">
        <v>7626</v>
      </c>
      <c r="W33" s="1102"/>
      <c r="X33" s="1140"/>
      <c r="Y33" s="1140"/>
      <c r="Z33" s="1069" t="s">
        <v>7627</v>
      </c>
      <c r="AA33" s="1069" t="s">
        <v>7628</v>
      </c>
      <c r="AB33" s="1069" t="s">
        <v>3980</v>
      </c>
      <c r="AC33" s="1069" t="s">
        <v>7629</v>
      </c>
      <c r="AD33" s="1140"/>
      <c r="AE33" s="1069" t="s">
        <v>2599</v>
      </c>
      <c r="AF33" s="1069"/>
      <c r="AG33" s="1140"/>
      <c r="AH33" s="1197" t="s">
        <v>7630</v>
      </c>
      <c r="AI33" s="1102"/>
      <c r="AJ33" s="1076"/>
      <c r="AK33" s="1076"/>
      <c r="AL33" s="1076"/>
      <c r="AM33" s="1076"/>
      <c r="AN33" s="1076"/>
      <c r="AO33" s="1076"/>
      <c r="AP33" s="1075" t="s">
        <v>7631</v>
      </c>
      <c r="AQ33" s="1076"/>
      <c r="AR33" s="1076"/>
      <c r="AS33" s="1076"/>
      <c r="AT33" s="1111"/>
      <c r="AU33" s="1076"/>
      <c r="AV33" s="1076"/>
      <c r="AW33" s="1075" t="s">
        <v>434</v>
      </c>
      <c r="AX33" s="1076"/>
      <c r="AY33" s="1075" t="s">
        <v>7632</v>
      </c>
      <c r="AZ33" s="1063"/>
      <c r="BA33" s="1115" t="s">
        <v>7633</v>
      </c>
      <c r="BB33" s="1115" t="s">
        <v>7634</v>
      </c>
      <c r="BC33" s="1165"/>
      <c r="BD33" s="1165"/>
      <c r="BE33" s="1115" t="s">
        <v>7635</v>
      </c>
      <c r="BF33" s="1063"/>
      <c r="BG33" s="1088"/>
      <c r="BH33" s="1088"/>
      <c r="BI33" s="1088"/>
      <c r="BJ33" s="1144"/>
      <c r="BK33" s="1088"/>
      <c r="BL33" s="1129" t="s">
        <v>7636</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6172</v>
      </c>
      <c r="I34" s="1059"/>
      <c r="J34" s="1059"/>
      <c r="K34" s="1059"/>
      <c r="L34" s="1059"/>
      <c r="M34" s="1059"/>
      <c r="N34" s="1059"/>
      <c r="O34" s="1059"/>
      <c r="P34" s="1102"/>
      <c r="Q34" s="1065"/>
      <c r="R34" s="1065"/>
      <c r="S34" s="1064" t="s">
        <v>1025</v>
      </c>
      <c r="T34" s="1064" t="s">
        <v>1965</v>
      </c>
      <c r="U34" s="1064" t="s">
        <v>4520</v>
      </c>
      <c r="V34" s="1064" t="s">
        <v>7637</v>
      </c>
      <c r="W34" s="1102"/>
      <c r="X34" s="1069" t="s">
        <v>1664</v>
      </c>
      <c r="Y34" s="1140"/>
      <c r="Z34" s="1140"/>
      <c r="AA34" s="1194"/>
      <c r="AB34" s="1140"/>
      <c r="AC34" s="1140"/>
      <c r="AD34" s="1140"/>
      <c r="AE34" s="1140"/>
      <c r="AF34" s="1069"/>
      <c r="AG34" s="1140"/>
      <c r="AH34" s="1074"/>
      <c r="AI34" s="1102"/>
      <c r="AJ34" s="1076"/>
      <c r="AK34" s="1076"/>
      <c r="AL34" s="1076"/>
      <c r="AM34" s="1075" t="s">
        <v>7638</v>
      </c>
      <c r="AN34" s="1076"/>
      <c r="AO34" s="1076"/>
      <c r="AP34" s="1075" t="s">
        <v>7639</v>
      </c>
      <c r="AQ34" s="1076"/>
      <c r="AR34" s="1080" t="s">
        <v>7640</v>
      </c>
      <c r="AS34" s="1076"/>
      <c r="AT34" s="1111"/>
      <c r="AU34" s="1076"/>
      <c r="AV34" s="1076"/>
      <c r="AW34" s="1075" t="s">
        <v>1435</v>
      </c>
      <c r="AX34" s="1076"/>
      <c r="AY34" s="1076"/>
      <c r="AZ34" s="1063"/>
      <c r="BA34" s="1165"/>
      <c r="BB34" s="1115" t="s">
        <v>7641</v>
      </c>
      <c r="BC34" s="1115" t="s">
        <v>422</v>
      </c>
      <c r="BD34" s="1115"/>
      <c r="BE34" s="1115" t="s">
        <v>7642</v>
      </c>
      <c r="BF34" s="1063"/>
      <c r="BG34" s="1088"/>
      <c r="BH34" s="1088"/>
      <c r="BI34" s="1088"/>
      <c r="BJ34" s="1144"/>
      <c r="BK34" s="1088"/>
      <c r="BL34" s="1088"/>
      <c r="BM34" s="1088"/>
      <c r="BN34" s="1102"/>
      <c r="BO34" s="1092" t="s">
        <v>7643</v>
      </c>
      <c r="BP34" s="1131"/>
      <c r="BQ34" s="1092" t="s">
        <v>1037</v>
      </c>
      <c r="BR34" s="1090"/>
      <c r="BS34" s="1090"/>
      <c r="BT34" s="1090"/>
      <c r="BU34" s="1090"/>
      <c r="BV34" s="1091" t="s">
        <v>7644</v>
      </c>
      <c r="BW34" s="1091" t="s">
        <v>7645</v>
      </c>
      <c r="BX34" s="1102"/>
      <c r="BY34" s="1096"/>
      <c r="BZ34" s="1121" t="s">
        <v>6386</v>
      </c>
      <c r="CA34" s="1122"/>
      <c r="CB34" s="1122"/>
      <c r="CC34" s="1122"/>
      <c r="CD34" s="1096"/>
      <c r="CE34" s="1096"/>
      <c r="CF34" s="1096"/>
      <c r="CG34" s="1096"/>
      <c r="CH34" s="1096"/>
      <c r="CI34" s="1096"/>
      <c r="CJ34" s="1122"/>
      <c r="CK34" s="1122"/>
    </row>
    <row r="35">
      <c r="A35" s="1053" t="s">
        <v>6091</v>
      </c>
      <c r="B35" s="1054" t="s">
        <v>1066</v>
      </c>
      <c r="C35" s="1055" t="s">
        <v>1415</v>
      </c>
      <c r="D35" s="1056" t="s">
        <v>1415</v>
      </c>
      <c r="E35" s="1057" t="s">
        <v>1415</v>
      </c>
      <c r="F35" s="1058" t="s">
        <v>1415</v>
      </c>
      <c r="G35" s="1054" t="s">
        <v>2692</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2913</v>
      </c>
      <c r="BI35" s="1088"/>
      <c r="BJ35" s="1144"/>
      <c r="BK35" s="1088"/>
      <c r="BL35" s="1086" t="s">
        <v>7653</v>
      </c>
      <c r="BM35" s="1088"/>
      <c r="BN35" s="1102"/>
      <c r="BO35" s="1091" t="s">
        <v>1899</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7661</v>
      </c>
      <c r="BX36" s="1102"/>
      <c r="BY36" s="1096"/>
      <c r="BZ36" s="1198" t="s">
        <v>2696</v>
      </c>
      <c r="CA36" s="1122"/>
      <c r="CB36" s="1122"/>
      <c r="CC36" s="1122"/>
      <c r="CD36" s="1096"/>
      <c r="CE36" s="1096"/>
      <c r="CF36" s="1095" t="s">
        <v>7662</v>
      </c>
      <c r="CG36" s="1096"/>
      <c r="CH36" s="1096"/>
      <c r="CI36" s="1121" t="s">
        <v>4917</v>
      </c>
      <c r="CJ36" s="1122"/>
      <c r="CK36" s="1122"/>
    </row>
    <row r="37">
      <c r="A37" s="1220" t="s">
        <v>3234</v>
      </c>
      <c r="B37" s="1054" t="s">
        <v>3304</v>
      </c>
      <c r="C37" s="1055" t="s">
        <v>738</v>
      </c>
      <c r="D37" s="1056" t="s">
        <v>1415</v>
      </c>
      <c r="E37" s="1057" t="s">
        <v>1415</v>
      </c>
      <c r="F37" s="1058" t="s">
        <v>438</v>
      </c>
      <c r="G37" s="1054" t="s">
        <v>1063</v>
      </c>
      <c r="H37" s="1060" t="s">
        <v>927</v>
      </c>
      <c r="I37" s="1059"/>
      <c r="J37" s="1059"/>
      <c r="K37" s="1059"/>
      <c r="L37" s="1059"/>
      <c r="M37" s="1059"/>
      <c r="N37" s="1099" t="s">
        <v>7663</v>
      </c>
      <c r="O37" s="1059"/>
      <c r="P37" s="1102"/>
      <c r="Q37" s="1065"/>
      <c r="R37" s="1065"/>
      <c r="S37" s="1171" t="s">
        <v>2842</v>
      </c>
      <c r="T37" s="1065"/>
      <c r="U37" s="1065"/>
      <c r="V37" s="1064" t="s">
        <v>7664</v>
      </c>
      <c r="W37" s="1102"/>
      <c r="X37" s="1140"/>
      <c r="Y37" s="1140"/>
      <c r="Z37" s="1069" t="s">
        <v>7415</v>
      </c>
      <c r="AA37" s="1194"/>
      <c r="AB37" s="1140"/>
      <c r="AC37" s="1140"/>
      <c r="AD37" s="1069" t="s">
        <v>4850</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6355</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6950</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7161</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5730</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5773</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6352</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6004</v>
      </c>
      <c r="C46" s="1055" t="s">
        <v>1415</v>
      </c>
      <c r="D46" s="1056" t="s">
        <v>1415</v>
      </c>
      <c r="E46" s="1057" t="s">
        <v>1415</v>
      </c>
      <c r="F46" s="1058" t="s">
        <v>1415</v>
      </c>
      <c r="G46" s="1054" t="s">
        <v>2253</v>
      </c>
      <c r="H46" s="1059"/>
      <c r="I46" s="1059"/>
      <c r="J46" s="1059"/>
      <c r="K46" s="1059"/>
      <c r="L46" s="1060" t="s">
        <v>4735</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6353</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3807</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6178</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5700</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4230</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7596</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6154</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5576</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3594</v>
      </c>
      <c r="R17" s="1259"/>
      <c r="S17" s="1259"/>
      <c r="T17" s="1272" t="s">
        <v>6470</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6287</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6327</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6097</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6348</v>
      </c>
      <c r="B3" s="1054" t="s">
        <v>7858</v>
      </c>
      <c r="C3" s="1055" t="s">
        <v>333</v>
      </c>
      <c r="D3" s="1056" t="s">
        <v>438</v>
      </c>
      <c r="E3" s="1057" t="s">
        <v>543</v>
      </c>
      <c r="F3" s="1058" t="s">
        <v>2692</v>
      </c>
      <c r="G3" s="1054" t="s">
        <v>3442</v>
      </c>
      <c r="H3" s="811" t="s">
        <v>7859</v>
      </c>
      <c r="I3" s="1264" t="s">
        <v>7860</v>
      </c>
      <c r="J3" s="811" t="s">
        <v>7535</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4450</v>
      </c>
      <c r="AB3" s="1267"/>
      <c r="AC3" s="811" t="s">
        <v>3401</v>
      </c>
      <c r="AD3" s="811" t="s">
        <v>3817</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3982</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6327</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3612</v>
      </c>
      <c r="AA4" s="1259"/>
      <c r="AB4" s="1306" t="s">
        <v>7917</v>
      </c>
      <c r="AC4" s="798" t="s">
        <v>3313</v>
      </c>
      <c r="AD4" s="798" t="s">
        <v>6212</v>
      </c>
      <c r="AE4" s="1259"/>
      <c r="AF4" s="1264" t="s">
        <v>7638</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6336</v>
      </c>
      <c r="B5" s="1054" t="s">
        <v>7929</v>
      </c>
      <c r="C5" s="1055" t="s">
        <v>828</v>
      </c>
      <c r="D5" s="1056" t="s">
        <v>332</v>
      </c>
      <c r="E5" s="1057" t="s">
        <v>1415</v>
      </c>
      <c r="F5" s="1058" t="s">
        <v>914</v>
      </c>
      <c r="G5" s="1054" t="s">
        <v>5550</v>
      </c>
      <c r="H5" s="811" t="s">
        <v>7930</v>
      </c>
      <c r="I5" s="811" t="s">
        <v>7592</v>
      </c>
      <c r="J5" s="811"/>
      <c r="K5" s="1265" t="s">
        <v>7931</v>
      </c>
      <c r="L5" s="1258" t="s">
        <v>7932</v>
      </c>
      <c r="M5" s="811"/>
      <c r="N5" s="811"/>
      <c r="O5" s="798" t="s">
        <v>7933</v>
      </c>
      <c r="P5" s="811" t="s">
        <v>7934</v>
      </c>
      <c r="Q5" s="811" t="s">
        <v>7935</v>
      </c>
      <c r="R5" s="1258" t="s">
        <v>7936</v>
      </c>
      <c r="S5" s="811"/>
      <c r="T5" s="1265" t="s">
        <v>7937</v>
      </c>
      <c r="U5" s="1265" t="s">
        <v>7938</v>
      </c>
      <c r="V5" s="811"/>
      <c r="W5" s="811" t="s">
        <v>6376</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6618</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6354</v>
      </c>
      <c r="B6" s="1054" t="s">
        <v>7956</v>
      </c>
      <c r="C6" s="1055" t="s">
        <v>987</v>
      </c>
      <c r="D6" s="1056" t="s">
        <v>333</v>
      </c>
      <c r="E6" s="1057" t="s">
        <v>828</v>
      </c>
      <c r="F6" s="1058" t="s">
        <v>7907</v>
      </c>
      <c r="G6" s="1054" t="s">
        <v>5730</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5974</v>
      </c>
      <c r="Y6" s="1265" t="s">
        <v>2534</v>
      </c>
      <c r="Z6" s="1224"/>
      <c r="AA6" s="1224"/>
      <c r="AB6" s="1224"/>
      <c r="AC6" s="1224"/>
      <c r="AD6" s="811" t="s">
        <v>7966</v>
      </c>
      <c r="AE6" s="1259"/>
      <c r="AF6" s="798" t="s">
        <v>464</v>
      </c>
      <c r="AG6" s="1259"/>
      <c r="AH6" s="1224"/>
      <c r="AI6" s="1224"/>
      <c r="AJ6" s="1258" t="s">
        <v>2207</v>
      </c>
      <c r="AK6" s="1265" t="s">
        <v>5962</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5550</v>
      </c>
      <c r="CM6" s="1314" t="s">
        <v>2218</v>
      </c>
      <c r="CN6" s="1314" t="s">
        <v>220</v>
      </c>
      <c r="CO6" s="1312"/>
      <c r="CP6" s="1312"/>
      <c r="CQ6" s="1312"/>
      <c r="CR6" s="1312"/>
      <c r="CS6" s="1314" t="s">
        <v>7982</v>
      </c>
      <c r="CT6" s="101"/>
    </row>
    <row r="7">
      <c r="A7" s="1315" t="s">
        <v>7136</v>
      </c>
      <c r="B7" s="1054" t="s">
        <v>7983</v>
      </c>
      <c r="C7" s="1055" t="s">
        <v>828</v>
      </c>
      <c r="D7" s="1056" t="s">
        <v>1064</v>
      </c>
      <c r="E7" s="1057" t="s">
        <v>1064</v>
      </c>
      <c r="F7" s="1058" t="s">
        <v>4915</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4472</v>
      </c>
      <c r="AE7" s="1259"/>
      <c r="AF7" s="798" t="s">
        <v>7992</v>
      </c>
      <c r="AG7" s="1253"/>
      <c r="AH7" s="1267" t="s">
        <v>1890</v>
      </c>
      <c r="AI7" s="1267" t="s">
        <v>1342</v>
      </c>
      <c r="AJ7" s="1267"/>
      <c r="AK7" s="811" t="s">
        <v>7993</v>
      </c>
      <c r="AL7" s="1267" t="s">
        <v>6132</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5687</v>
      </c>
      <c r="G8" s="1054" t="s">
        <v>7274</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3742</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3701</v>
      </c>
      <c r="BZ8" s="1259"/>
      <c r="CA8" s="1265" t="s">
        <v>1962</v>
      </c>
      <c r="CB8" s="1317" t="s">
        <v>2853</v>
      </c>
      <c r="CC8" s="1323" t="s">
        <v>3359</v>
      </c>
      <c r="CD8" s="1269"/>
      <c r="CE8" s="1324"/>
      <c r="CF8" s="1313"/>
      <c r="CG8" s="1324"/>
      <c r="CH8" s="1324"/>
      <c r="CI8" s="1324"/>
      <c r="CJ8" s="1324"/>
      <c r="CK8" s="1324"/>
      <c r="CL8" s="1324"/>
      <c r="CM8" s="1325" t="s">
        <v>3651</v>
      </c>
      <c r="CN8" s="1313"/>
      <c r="CO8" s="1324"/>
      <c r="CP8" s="1324"/>
      <c r="CQ8" s="1326" t="s">
        <v>8000</v>
      </c>
      <c r="CR8" s="1324"/>
      <c r="CS8" s="1324"/>
      <c r="CT8" s="1327"/>
    </row>
    <row r="9">
      <c r="A9" s="1328" t="s">
        <v>2902</v>
      </c>
      <c r="B9" s="1054" t="s">
        <v>6120</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3890</v>
      </c>
      <c r="V9" s="1257"/>
      <c r="W9" s="811" t="s">
        <v>4924</v>
      </c>
      <c r="X9" s="798" t="s">
        <v>3522</v>
      </c>
      <c r="Y9" s="798" t="s">
        <v>8034</v>
      </c>
      <c r="Z9" s="1224"/>
      <c r="AA9" s="1258" t="s">
        <v>5602</v>
      </c>
      <c r="AB9" s="1257"/>
      <c r="AC9" s="811" t="s">
        <v>5714</v>
      </c>
      <c r="AD9" s="811" t="s">
        <v>1978</v>
      </c>
      <c r="AE9" s="811"/>
      <c r="AF9" s="811" t="s">
        <v>5576</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4578</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3889</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5687</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4196</v>
      </c>
      <c r="Z11" s="1224"/>
      <c r="AA11" s="1265" t="s">
        <v>1565</v>
      </c>
      <c r="AB11" s="1257"/>
      <c r="AC11" s="798" t="s">
        <v>2208</v>
      </c>
      <c r="AD11" s="798" t="s">
        <v>2286</v>
      </c>
      <c r="AE11" s="798" t="s">
        <v>5947</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6352</v>
      </c>
      <c r="B12" s="1054" t="s">
        <v>8082</v>
      </c>
      <c r="C12" s="1055" t="s">
        <v>828</v>
      </c>
      <c r="D12" s="1056" t="s">
        <v>334</v>
      </c>
      <c r="E12" s="1057" t="s">
        <v>738</v>
      </c>
      <c r="F12" s="1058" t="s">
        <v>5687</v>
      </c>
      <c r="G12" s="1054" t="s">
        <v>4915</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5901</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4817</v>
      </c>
      <c r="Y13" s="811" t="s">
        <v>377</v>
      </c>
      <c r="Z13" s="1267" t="s">
        <v>4786</v>
      </c>
      <c r="AA13" s="811" t="s">
        <v>8103</v>
      </c>
      <c r="AB13" s="1267"/>
      <c r="AC13" s="1267" t="s">
        <v>2204</v>
      </c>
      <c r="AD13" s="1267" t="s">
        <v>8104</v>
      </c>
      <c r="AE13" s="811" t="s">
        <v>5111</v>
      </c>
      <c r="AF13" s="811" t="s">
        <v>8105</v>
      </c>
      <c r="AG13" s="1257"/>
      <c r="AH13" s="1257"/>
      <c r="AI13" s="1257"/>
      <c r="AJ13" s="1257"/>
      <c r="AK13" s="1257"/>
      <c r="AL13" s="811" t="s">
        <v>5485</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4575</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6004</v>
      </c>
      <c r="CO13" s="1312" t="s">
        <v>1881</v>
      </c>
      <c r="CP13" s="1312" t="s">
        <v>7999</v>
      </c>
      <c r="CQ13" s="1312" t="s">
        <v>7996</v>
      </c>
      <c r="CR13" s="1324"/>
      <c r="CS13" s="1324"/>
      <c r="CT13" s="92"/>
    </row>
    <row r="14">
      <c r="A14" s="1349" t="s">
        <v>4829</v>
      </c>
      <c r="B14" s="1054" t="s">
        <v>8120</v>
      </c>
      <c r="C14" s="1055" t="s">
        <v>543</v>
      </c>
      <c r="D14" s="1056" t="s">
        <v>543</v>
      </c>
      <c r="E14" s="1057" t="s">
        <v>1415</v>
      </c>
      <c r="F14" s="1058" t="s">
        <v>3650</v>
      </c>
      <c r="G14" s="1054" t="s">
        <v>3988</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4736</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7274</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6359</v>
      </c>
      <c r="X15" s="811"/>
      <c r="Y15" s="798" t="s">
        <v>1154</v>
      </c>
      <c r="Z15" s="1224"/>
      <c r="AA15" s="1224"/>
      <c r="AB15" s="1257"/>
      <c r="AC15" s="1267" t="s">
        <v>5461</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3551</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3606</v>
      </c>
      <c r="AE17" s="1259"/>
      <c r="AF17" s="1258" t="s">
        <v>8158</v>
      </c>
      <c r="AG17" s="1257"/>
      <c r="AH17" s="1258" t="s">
        <v>1699</v>
      </c>
      <c r="AI17" s="1258" t="s">
        <v>3025</v>
      </c>
      <c r="AJ17" s="1257"/>
      <c r="AK17" s="811" t="s">
        <v>4250</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4020</v>
      </c>
      <c r="T18" s="1267" t="s">
        <v>8166</v>
      </c>
      <c r="U18" s="811" t="s">
        <v>8167</v>
      </c>
      <c r="V18" s="1267"/>
      <c r="W18" s="1267" t="s">
        <v>4441</v>
      </c>
      <c r="X18" s="811" t="s">
        <v>3655</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4831</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4570</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4703</v>
      </c>
      <c r="B19" s="1054" t="s">
        <v>8182</v>
      </c>
      <c r="C19" s="1055" t="s">
        <v>1415</v>
      </c>
      <c r="D19" s="1056" t="s">
        <v>1415</v>
      </c>
      <c r="E19" s="1057" t="s">
        <v>1415</v>
      </c>
      <c r="F19" s="1058" t="s">
        <v>738</v>
      </c>
      <c r="G19" s="1054" t="s">
        <v>220</v>
      </c>
      <c r="H19" s="1329"/>
      <c r="I19" s="1329" t="s">
        <v>8183</v>
      </c>
      <c r="J19" s="811"/>
      <c r="K19" s="811" t="s">
        <v>7109</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3815</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4158</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6298</v>
      </c>
      <c r="B21" s="1054" t="s">
        <v>8211</v>
      </c>
      <c r="C21" s="1055" t="s">
        <v>1415</v>
      </c>
      <c r="D21" s="1056" t="s">
        <v>1415</v>
      </c>
      <c r="E21" s="1057" t="s">
        <v>1415</v>
      </c>
      <c r="F21" s="1058" t="s">
        <v>1415</v>
      </c>
      <c r="G21" s="1054" t="s">
        <v>5687</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4802</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6217</v>
      </c>
      <c r="C22" s="1055" t="s">
        <v>1415</v>
      </c>
      <c r="D22" s="1056" t="s">
        <v>1415</v>
      </c>
      <c r="E22" s="1057" t="s">
        <v>738</v>
      </c>
      <c r="F22" s="1058" t="s">
        <v>438</v>
      </c>
      <c r="G22" s="1054" t="s">
        <v>5687</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4823</v>
      </c>
      <c r="Z22" s="1224"/>
      <c r="AA22" s="1224"/>
      <c r="AB22" s="1257"/>
      <c r="AC22" s="1267" t="s">
        <v>8226</v>
      </c>
      <c r="AD22" s="1267" t="s">
        <v>4048</v>
      </c>
      <c r="AE22" s="1259"/>
      <c r="AF22" s="798" t="s">
        <v>721</v>
      </c>
      <c r="AG22" s="1253"/>
      <c r="AH22" s="1267" t="s">
        <v>4815</v>
      </c>
      <c r="AI22" s="1267" t="s">
        <v>5489</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5872</v>
      </c>
      <c r="X24" s="811"/>
      <c r="Y24" s="1224"/>
      <c r="Z24" s="1224"/>
      <c r="AA24" s="1224"/>
      <c r="AB24" s="1257"/>
      <c r="AC24" s="1267" t="s">
        <v>8253</v>
      </c>
      <c r="AD24" s="1267" t="s">
        <v>5722</v>
      </c>
      <c r="AE24" s="811"/>
      <c r="AF24" s="1267" t="s">
        <v>7337</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4889</v>
      </c>
      <c r="BZ24" s="1267" t="s">
        <v>2204</v>
      </c>
      <c r="CA24" s="1267" t="s">
        <v>5420</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4798</v>
      </c>
    </row>
    <row r="25">
      <c r="A25" s="1320" t="s">
        <v>6342</v>
      </c>
      <c r="B25" s="1054" t="s">
        <v>440</v>
      </c>
      <c r="C25" s="1055" t="s">
        <v>1415</v>
      </c>
      <c r="D25" s="1056" t="s">
        <v>738</v>
      </c>
      <c r="E25" s="1057" t="s">
        <v>1415</v>
      </c>
      <c r="F25" s="1058" t="s">
        <v>828</v>
      </c>
      <c r="G25" s="1054" t="s">
        <v>220</v>
      </c>
      <c r="H25" s="1329"/>
      <c r="I25" s="1329" t="s">
        <v>8265</v>
      </c>
      <c r="J25" s="811"/>
      <c r="K25" s="811" t="s">
        <v>8266</v>
      </c>
      <c r="L25" s="1265" t="s">
        <v>3731</v>
      </c>
      <c r="M25" s="1224"/>
      <c r="N25" s="1224"/>
      <c r="O25" s="1224"/>
      <c r="P25" s="811" t="s">
        <v>8267</v>
      </c>
      <c r="Q25" s="1257"/>
      <c r="R25" s="798" t="s">
        <v>8268</v>
      </c>
      <c r="S25" s="1224"/>
      <c r="T25" s="1224"/>
      <c r="U25" s="811" t="s">
        <v>750</v>
      </c>
      <c r="V25" s="1267"/>
      <c r="W25" s="1267" t="s">
        <v>4365</v>
      </c>
      <c r="X25" s="811" t="s">
        <v>3456</v>
      </c>
      <c r="Y25" s="798" t="s">
        <v>8269</v>
      </c>
      <c r="Z25" s="1224"/>
      <c r="AA25" s="1224"/>
      <c r="AB25" s="1257"/>
      <c r="AC25" s="1267" t="s">
        <v>8270</v>
      </c>
      <c r="AD25" s="1267" t="s">
        <v>8271</v>
      </c>
      <c r="AE25" s="811"/>
      <c r="AF25" s="1267" t="s">
        <v>8272</v>
      </c>
      <c r="AG25" s="1267"/>
      <c r="AH25" s="1267" t="s">
        <v>8273</v>
      </c>
      <c r="AI25" s="1257"/>
      <c r="AJ25" s="1257"/>
      <c r="AK25" s="1272" t="s">
        <v>3778</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6355</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6523</v>
      </c>
      <c r="Y27" s="798" t="s">
        <v>6614</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5787</v>
      </c>
      <c r="Q28" s="1257"/>
      <c r="R28" s="1224"/>
      <c r="S28" s="811" t="s">
        <v>3274</v>
      </c>
      <c r="T28" s="811"/>
      <c r="U28" s="1267" t="s">
        <v>3719</v>
      </c>
      <c r="V28" s="1257"/>
      <c r="W28" s="1224"/>
      <c r="X28" s="811" t="s">
        <v>8285</v>
      </c>
      <c r="Y28" s="811" t="s">
        <v>5051</v>
      </c>
      <c r="Z28" s="1224"/>
      <c r="AA28" s="811" t="s">
        <v>8286</v>
      </c>
      <c r="AB28" s="1257"/>
      <c r="AC28" s="811" t="s">
        <v>8287</v>
      </c>
      <c r="AD28" s="811" t="s">
        <v>5320</v>
      </c>
      <c r="AE28" s="811" t="s">
        <v>8288</v>
      </c>
      <c r="AF28" s="811" t="s">
        <v>7607</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3708</v>
      </c>
      <c r="Y29" s="1264" t="s">
        <v>5400</v>
      </c>
      <c r="Z29" s="1224"/>
      <c r="AA29" s="1224"/>
      <c r="AB29" s="1257"/>
      <c r="AC29" s="1224"/>
      <c r="AD29" s="1224"/>
      <c r="AE29" s="1259"/>
      <c r="AF29" s="1265" t="s">
        <v>5616</v>
      </c>
      <c r="AG29" s="1257"/>
      <c r="AH29" s="1257"/>
      <c r="AI29" s="1257"/>
      <c r="AJ29" s="1257"/>
      <c r="AK29" s="1257"/>
      <c r="AL29" s="1224"/>
      <c r="AM29" s="1224"/>
      <c r="AN29" s="1224"/>
      <c r="AO29" s="1224"/>
      <c r="AP29" s="1224"/>
      <c r="AQ29" s="1224"/>
      <c r="AR29" s="1224"/>
      <c r="AS29" s="1224"/>
      <c r="AT29" s="1224"/>
      <c r="AU29" s="1224"/>
      <c r="AV29" s="1224"/>
      <c r="AW29" s="1224"/>
      <c r="AX29" s="811" t="s">
        <v>6415</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4871</v>
      </c>
      <c r="B31" s="1054" t="s">
        <v>1498</v>
      </c>
      <c r="C31" s="1055" t="s">
        <v>1415</v>
      </c>
      <c r="D31" s="1056" t="s">
        <v>1415</v>
      </c>
      <c r="E31" s="1057" t="s">
        <v>1415</v>
      </c>
      <c r="F31" s="1058" t="s">
        <v>1415</v>
      </c>
      <c r="G31" s="1054" t="s">
        <v>219</v>
      </c>
      <c r="H31" s="1329"/>
      <c r="I31" s="1329" t="s">
        <v>6415</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8300</v>
      </c>
      <c r="AD32" s="811" t="s">
        <v>2115</v>
      </c>
      <c r="AE32" s="811"/>
      <c r="AF32" s="1267" t="s">
        <v>7532</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5730</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5440</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5550</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3721</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6347</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5490</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6339</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6243</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6337</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5744</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4365</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6292</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5728</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6022</v>
      </c>
      <c r="I2" s="1405" t="s">
        <v>3763</v>
      </c>
      <c r="J2" s="1406" t="s">
        <v>8379</v>
      </c>
      <c r="K2" s="1407" t="s">
        <v>4192</v>
      </c>
      <c r="L2" s="1407" t="s">
        <v>232</v>
      </c>
      <c r="M2" s="1408" t="s">
        <v>8380</v>
      </c>
      <c r="N2" s="1408" t="s">
        <v>8381</v>
      </c>
      <c r="O2" s="1408" t="s">
        <v>8382</v>
      </c>
      <c r="P2" s="1407" t="s">
        <v>1351</v>
      </c>
      <c r="Q2" s="1409" t="s">
        <v>8383</v>
      </c>
      <c r="R2" s="1410" t="s">
        <v>4449</v>
      </c>
      <c r="S2" s="1409" t="s">
        <v>815</v>
      </c>
      <c r="T2" s="1410" t="s">
        <v>8384</v>
      </c>
      <c r="U2" s="1409" t="s">
        <v>8385</v>
      </c>
      <c r="V2" s="1411">
        <v>58.55</v>
      </c>
      <c r="W2" s="1412" t="s">
        <v>8386</v>
      </c>
      <c r="X2" s="1413" t="s">
        <v>8387</v>
      </c>
      <c r="Y2" s="1413">
        <v>46.63</v>
      </c>
      <c r="Z2" s="1414" t="s">
        <v>8388</v>
      </c>
      <c r="AA2" s="1413" t="s">
        <v>3566</v>
      </c>
      <c r="AB2" s="1413" t="s">
        <v>8389</v>
      </c>
      <c r="AC2" s="1414" t="s">
        <v>4028</v>
      </c>
      <c r="AD2" s="1402" t="s">
        <v>762</v>
      </c>
      <c r="AE2" s="1403" t="s">
        <v>4706</v>
      </c>
      <c r="AF2" s="1415" t="s">
        <v>8390</v>
      </c>
      <c r="AG2" s="1415" t="s">
        <v>8391</v>
      </c>
      <c r="AH2" s="1415" t="s">
        <v>3790</v>
      </c>
      <c r="AI2" s="1416" t="s">
        <v>8392</v>
      </c>
      <c r="AJ2" s="1416" t="s">
        <v>8393</v>
      </c>
      <c r="AK2" s="1416" t="s">
        <v>8394</v>
      </c>
      <c r="AL2" s="1417" t="s">
        <v>6011</v>
      </c>
      <c r="AM2" s="1418" t="s">
        <v>3710</v>
      </c>
      <c r="AN2" s="1419" t="s">
        <v>8395</v>
      </c>
      <c r="AO2" s="1420" t="s">
        <v>6236</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5463</v>
      </c>
      <c r="Q3" s="1430" t="s">
        <v>8412</v>
      </c>
      <c r="R3" s="1430" t="s">
        <v>7141</v>
      </c>
      <c r="S3" s="1430" t="s">
        <v>8381</v>
      </c>
      <c r="T3" s="1430" t="s">
        <v>8413</v>
      </c>
      <c r="U3" s="1431" t="s">
        <v>7695</v>
      </c>
      <c r="V3" s="1430" t="s">
        <v>4103</v>
      </c>
      <c r="W3" s="1432" t="s">
        <v>4133</v>
      </c>
      <c r="X3" s="1433" t="s">
        <v>2602</v>
      </c>
      <c r="Y3" s="1433" t="s">
        <v>5540</v>
      </c>
      <c r="Z3" s="1433" t="s">
        <v>442</v>
      </c>
      <c r="AA3" s="1433" t="s">
        <v>8414</v>
      </c>
      <c r="AB3" s="1432" t="s">
        <v>2813</v>
      </c>
      <c r="AC3" s="1433" t="s">
        <v>5031</v>
      </c>
      <c r="AD3" s="1427" t="s">
        <v>8415</v>
      </c>
      <c r="AE3" s="1427" t="s">
        <v>8416</v>
      </c>
      <c r="AF3" s="1434" t="s">
        <v>8417</v>
      </c>
      <c r="AG3" s="1435" t="s">
        <v>3885</v>
      </c>
      <c r="AH3" s="1435" t="s">
        <v>2788</v>
      </c>
      <c r="AI3" s="1435" t="s">
        <v>4148</v>
      </c>
      <c r="AJ3" s="1434" t="s">
        <v>8418</v>
      </c>
      <c r="AK3" s="1435" t="s">
        <v>8419</v>
      </c>
      <c r="AL3" s="1435" t="s">
        <v>5968</v>
      </c>
      <c r="AM3" s="1436" t="s">
        <v>2425</v>
      </c>
      <c r="AN3" s="1436" t="s">
        <v>3266</v>
      </c>
      <c r="AO3" s="1437" t="s">
        <v>7585</v>
      </c>
      <c r="AP3" s="1437" t="s">
        <v>8420</v>
      </c>
      <c r="AQ3" s="1437" t="s">
        <v>8421</v>
      </c>
      <c r="AR3" s="1437" t="s">
        <v>7359</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6054</v>
      </c>
      <c r="L4" s="1445" t="s">
        <v>3777</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4603</v>
      </c>
      <c r="AH4" s="1449" t="s">
        <v>5170</v>
      </c>
      <c r="AI4" s="1449" t="s">
        <v>8448</v>
      </c>
      <c r="AJ4" s="1449" t="s">
        <v>8449</v>
      </c>
      <c r="AK4" s="1449" t="s">
        <v>8450</v>
      </c>
      <c r="AL4" s="1449" t="s">
        <v>8451</v>
      </c>
      <c r="AM4" s="1450" t="s">
        <v>8452</v>
      </c>
      <c r="AN4" s="1451" t="s">
        <v>8453</v>
      </c>
      <c r="AO4" s="1450" t="s">
        <v>8454</v>
      </c>
      <c r="AP4" s="1451" t="s">
        <v>8455</v>
      </c>
      <c r="AQ4" s="1450" t="s">
        <v>8456</v>
      </c>
      <c r="AR4" s="1450" t="s">
        <v>6365</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6022</v>
      </c>
      <c r="I5" s="1458" t="s">
        <v>3763</v>
      </c>
      <c r="J5" s="1459" t="s">
        <v>5491</v>
      </c>
      <c r="K5" s="1460" t="s">
        <v>2080</v>
      </c>
      <c r="L5" s="1459" t="s">
        <v>8461</v>
      </c>
      <c r="M5" s="1461" t="s">
        <v>8380</v>
      </c>
      <c r="N5" s="1461" t="s">
        <v>8381</v>
      </c>
      <c r="O5" s="1459" t="s">
        <v>8462</v>
      </c>
      <c r="P5" s="1460" t="s">
        <v>4174</v>
      </c>
      <c r="Q5" s="1461" t="s">
        <v>8383</v>
      </c>
      <c r="R5" s="1459" t="s">
        <v>5016</v>
      </c>
      <c r="S5" s="1461" t="s">
        <v>815</v>
      </c>
      <c r="T5" s="1459" t="s">
        <v>8463</v>
      </c>
      <c r="U5" s="1461" t="s">
        <v>8385</v>
      </c>
      <c r="V5" s="1460" t="s">
        <v>8464</v>
      </c>
      <c r="W5" s="1458" t="s">
        <v>8386</v>
      </c>
      <c r="X5" s="1459" t="s">
        <v>8465</v>
      </c>
      <c r="Y5" s="1459" t="s">
        <v>7362</v>
      </c>
      <c r="Z5" s="1459" t="s">
        <v>5033</v>
      </c>
      <c r="AA5" s="1462" t="s">
        <v>5481</v>
      </c>
      <c r="AB5" s="1459" t="s">
        <v>520</v>
      </c>
      <c r="AC5" s="1461" t="s">
        <v>4028</v>
      </c>
      <c r="AD5" s="1459" t="s">
        <v>8466</v>
      </c>
      <c r="AE5" s="1463" t="s">
        <v>8467</v>
      </c>
      <c r="AF5" s="1463" t="s">
        <v>8468</v>
      </c>
      <c r="AG5" s="1464" t="s">
        <v>2320</v>
      </c>
      <c r="AH5" s="1459" t="s">
        <v>8469</v>
      </c>
      <c r="AI5" s="1461" t="s">
        <v>8392</v>
      </c>
      <c r="AJ5" s="1459" t="s">
        <v>8470</v>
      </c>
      <c r="AK5" s="1461" t="s">
        <v>8394</v>
      </c>
      <c r="AL5" s="1459" t="s">
        <v>4524</v>
      </c>
      <c r="AM5" s="1459" t="s">
        <v>8157</v>
      </c>
      <c r="AN5" s="1459" t="s">
        <v>5243</v>
      </c>
      <c r="AO5" s="1465" t="s">
        <v>8471</v>
      </c>
      <c r="AP5" s="1462" t="s">
        <v>8472</v>
      </c>
      <c r="AQ5" s="1462" t="s">
        <v>7540</v>
      </c>
      <c r="AR5" s="1466" t="s">
        <v>8473</v>
      </c>
      <c r="AS5" s="1459" t="s">
        <v>4422</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4449</v>
      </c>
      <c r="S6" s="1471" t="s">
        <v>8379</v>
      </c>
      <c r="T6" s="1472" t="s">
        <v>8384</v>
      </c>
      <c r="U6" s="1460" t="s">
        <v>8396</v>
      </c>
      <c r="V6" s="1473" t="s">
        <v>8226</v>
      </c>
      <c r="W6" s="1471" t="s">
        <v>8487</v>
      </c>
      <c r="X6" s="1472" t="s">
        <v>8387</v>
      </c>
      <c r="Y6" s="1474">
        <v>46.72</v>
      </c>
      <c r="Z6" s="1474" t="s">
        <v>3553</v>
      </c>
      <c r="AA6" s="1472" t="s">
        <v>3566</v>
      </c>
      <c r="AB6" s="1472" t="s">
        <v>8389</v>
      </c>
      <c r="AC6" s="1471" t="s">
        <v>5444</v>
      </c>
      <c r="AD6" s="1471" t="s">
        <v>7285</v>
      </c>
      <c r="AE6" s="1475" t="s">
        <v>4706</v>
      </c>
      <c r="AF6" s="1474" t="s">
        <v>8488</v>
      </c>
      <c r="AG6" s="1473" t="s">
        <v>8489</v>
      </c>
      <c r="AH6" s="1472" t="s">
        <v>3790</v>
      </c>
      <c r="AI6" s="1471" t="s">
        <v>5849</v>
      </c>
      <c r="AJ6" s="1474" t="s">
        <v>8490</v>
      </c>
      <c r="AK6" s="1474" t="s">
        <v>5732</v>
      </c>
      <c r="AL6" s="1475" t="s">
        <v>6011</v>
      </c>
      <c r="AM6" s="1472" t="s">
        <v>3710</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6338</v>
      </c>
      <c r="B7" s="1456" t="s">
        <v>8373</v>
      </c>
      <c r="C7" s="1457">
        <v>0.049444444444444444</v>
      </c>
      <c r="D7" s="1459" t="s">
        <v>8496</v>
      </c>
      <c r="E7" s="1459" t="s">
        <v>8497</v>
      </c>
      <c r="F7" s="1465" t="s">
        <v>8498</v>
      </c>
      <c r="G7" s="1461" t="s">
        <v>8378</v>
      </c>
      <c r="H7" s="1465" t="s">
        <v>8499</v>
      </c>
      <c r="I7" s="1465" t="s">
        <v>2780</v>
      </c>
      <c r="J7" s="1459" t="s">
        <v>8500</v>
      </c>
      <c r="K7" s="1465" t="s">
        <v>3381</v>
      </c>
      <c r="L7" s="1465" t="s">
        <v>4176</v>
      </c>
      <c r="M7" s="1465" t="s">
        <v>6279</v>
      </c>
      <c r="N7" s="1459" t="s">
        <v>8501</v>
      </c>
      <c r="O7" s="1465" t="s">
        <v>8502</v>
      </c>
      <c r="P7" s="1463" t="s">
        <v>6870</v>
      </c>
      <c r="Q7" s="1459" t="s">
        <v>8503</v>
      </c>
      <c r="R7" s="1465" t="s">
        <v>7175</v>
      </c>
      <c r="S7" s="1465" t="s">
        <v>3337</v>
      </c>
      <c r="T7" s="1463" t="s">
        <v>3263</v>
      </c>
      <c r="U7" s="1465" t="s">
        <v>8504</v>
      </c>
      <c r="V7" s="1465" t="s">
        <v>5161</v>
      </c>
      <c r="W7" s="1477" t="s">
        <v>8505</v>
      </c>
      <c r="X7" s="1463" t="s">
        <v>8506</v>
      </c>
      <c r="Y7" s="1478" t="s">
        <v>8507</v>
      </c>
      <c r="Z7" s="1465" t="s">
        <v>7532</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7104</v>
      </c>
      <c r="AL7" s="1465" t="s">
        <v>8512</v>
      </c>
      <c r="AM7" s="1459" t="s">
        <v>4495</v>
      </c>
      <c r="AN7" s="1459" t="s">
        <v>2651</v>
      </c>
      <c r="AO7" s="1459" t="s">
        <v>5784</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6798</v>
      </c>
      <c r="Y8" s="1478">
        <v>46.65</v>
      </c>
      <c r="Z8" s="1478" t="s">
        <v>8529</v>
      </c>
      <c r="AA8" s="1478" t="s">
        <v>2490</v>
      </c>
      <c r="AB8" s="1478" t="s">
        <v>8530</v>
      </c>
      <c r="AC8" s="1478">
        <v>47.89</v>
      </c>
      <c r="AD8" s="1478" t="s">
        <v>1898</v>
      </c>
      <c r="AE8" s="1478">
        <v>47.98</v>
      </c>
      <c r="AF8" s="1478" t="s">
        <v>8531</v>
      </c>
      <c r="AG8" s="1478" t="s">
        <v>8532</v>
      </c>
      <c r="AH8" s="1478">
        <v>57.45</v>
      </c>
      <c r="AI8" s="1474" t="s">
        <v>7042</v>
      </c>
      <c r="AJ8" s="1486" t="s">
        <v>8533</v>
      </c>
      <c r="AK8" s="1478" t="s">
        <v>5412</v>
      </c>
      <c r="AL8" s="1478">
        <v>56.23</v>
      </c>
      <c r="AM8" s="1485" t="s">
        <v>3910</v>
      </c>
      <c r="AN8" s="1485" t="s">
        <v>8534</v>
      </c>
      <c r="AO8" s="1478" t="s">
        <v>3644</v>
      </c>
      <c r="AP8" s="1478" t="s">
        <v>8535</v>
      </c>
      <c r="AQ8" s="1478" t="s">
        <v>8536</v>
      </c>
      <c r="AR8" s="1478" t="s">
        <v>4433</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5349</v>
      </c>
      <c r="I9" s="1473" t="s">
        <v>1296</v>
      </c>
      <c r="J9" s="1490" t="s">
        <v>8543</v>
      </c>
      <c r="K9" s="1473" t="s">
        <v>6639</v>
      </c>
      <c r="L9" s="1472" t="s">
        <v>232</v>
      </c>
      <c r="M9" s="1490" t="s">
        <v>8544</v>
      </c>
      <c r="N9" s="1471" t="s">
        <v>8545</v>
      </c>
      <c r="O9" s="1490" t="s">
        <v>8546</v>
      </c>
      <c r="P9" s="1473" t="s">
        <v>6272</v>
      </c>
      <c r="Q9" s="1473" t="s">
        <v>8525</v>
      </c>
      <c r="R9" s="1473" t="s">
        <v>5571</v>
      </c>
      <c r="S9" s="1473" t="s">
        <v>2085</v>
      </c>
      <c r="T9" s="1473" t="s">
        <v>4013</v>
      </c>
      <c r="U9" s="1473" t="s">
        <v>8547</v>
      </c>
      <c r="V9" s="1270" t="s">
        <v>8548</v>
      </c>
      <c r="W9" s="1491" t="s">
        <v>8549</v>
      </c>
      <c r="X9" s="1473" t="s">
        <v>8550</v>
      </c>
      <c r="Y9" s="1472">
        <v>46.63</v>
      </c>
      <c r="Z9" s="1492" t="s">
        <v>306</v>
      </c>
      <c r="AA9" s="1471" t="s">
        <v>8551</v>
      </c>
      <c r="AB9" s="1472" t="s">
        <v>8389</v>
      </c>
      <c r="AC9" s="1473" t="s">
        <v>5442</v>
      </c>
      <c r="AD9" s="1473" t="s">
        <v>8552</v>
      </c>
      <c r="AE9" s="1474" t="s">
        <v>8553</v>
      </c>
      <c r="AF9" s="1471" t="s">
        <v>8554</v>
      </c>
      <c r="AG9" s="1478" t="s">
        <v>8555</v>
      </c>
      <c r="AH9" s="1473" t="s">
        <v>8469</v>
      </c>
      <c r="AI9" s="1270" t="s">
        <v>8556</v>
      </c>
      <c r="AJ9" s="1474" t="s">
        <v>8557</v>
      </c>
      <c r="AK9" s="1473" t="s">
        <v>1364</v>
      </c>
      <c r="AL9" s="1473" t="s">
        <v>5111</v>
      </c>
      <c r="AM9" s="1473" t="s">
        <v>4013</v>
      </c>
      <c r="AN9" s="1490" t="s">
        <v>8558</v>
      </c>
      <c r="AO9" s="1473" t="s">
        <v>8493</v>
      </c>
      <c r="AP9" s="1473" t="s">
        <v>8559</v>
      </c>
      <c r="AQ9" s="1473" t="s">
        <v>8560</v>
      </c>
      <c r="AR9" s="1473" t="s">
        <v>4579</v>
      </c>
      <c r="AS9" s="1473" t="s">
        <v>8561</v>
      </c>
      <c r="AT9" s="1493" t="s">
        <v>8398</v>
      </c>
      <c r="AU9" s="1494" t="s">
        <v>8562</v>
      </c>
      <c r="AV9" s="1463" t="str">
        <f t="shared" si="1"/>
        <v>2:59</v>
      </c>
      <c r="AW9" s="1495"/>
    </row>
    <row r="10">
      <c r="A10" s="1469" t="s">
        <v>6262</v>
      </c>
      <c r="B10" s="1496" t="s">
        <v>8373</v>
      </c>
      <c r="C10" s="1457">
        <v>0.04958333333333333</v>
      </c>
      <c r="D10" s="1270" t="s">
        <v>8563</v>
      </c>
      <c r="E10" s="1478" t="s">
        <v>6234</v>
      </c>
      <c r="F10" s="1478" t="s">
        <v>8564</v>
      </c>
      <c r="G10" s="1478" t="s">
        <v>8565</v>
      </c>
      <c r="H10" s="1485" t="s">
        <v>8566</v>
      </c>
      <c r="I10" s="1485" t="s">
        <v>5610</v>
      </c>
      <c r="J10" s="1485" t="s">
        <v>149</v>
      </c>
      <c r="K10" s="1485" t="s">
        <v>7275</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4170</v>
      </c>
      <c r="AA10" s="1478" t="s">
        <v>8575</v>
      </c>
      <c r="AB10" s="1478" t="s">
        <v>4596</v>
      </c>
      <c r="AC10" s="1485" t="s">
        <v>4801</v>
      </c>
      <c r="AD10" s="1485" t="s">
        <v>8576</v>
      </c>
      <c r="AE10" s="1478">
        <v>47.89</v>
      </c>
      <c r="AF10" s="1478" t="s">
        <v>8577</v>
      </c>
      <c r="AG10" s="1475" t="s">
        <v>8391</v>
      </c>
      <c r="AH10" s="1478">
        <v>57.71</v>
      </c>
      <c r="AI10" s="1485" t="s">
        <v>2179</v>
      </c>
      <c r="AJ10" s="1478" t="s">
        <v>8533</v>
      </c>
      <c r="AK10" s="1485" t="s">
        <v>7112</v>
      </c>
      <c r="AL10" s="1478">
        <v>56.69</v>
      </c>
      <c r="AM10" s="1485" t="s">
        <v>8578</v>
      </c>
      <c r="AN10" s="1485" t="s">
        <v>4128</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7497</v>
      </c>
      <c r="I11" s="1473" t="s">
        <v>8331</v>
      </c>
      <c r="J11" s="1471" t="s">
        <v>8588</v>
      </c>
      <c r="K11" s="1473" t="s">
        <v>8589</v>
      </c>
      <c r="L11" s="1473" t="s">
        <v>3219</v>
      </c>
      <c r="M11" s="1473" t="s">
        <v>8590</v>
      </c>
      <c r="N11" s="1473" t="s">
        <v>8591</v>
      </c>
      <c r="O11" s="1473" t="s">
        <v>8592</v>
      </c>
      <c r="P11" s="1473" t="s">
        <v>5947</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5614</v>
      </c>
      <c r="AE11" s="1474">
        <v>47.81</v>
      </c>
      <c r="AF11" s="1473" t="s">
        <v>8600</v>
      </c>
      <c r="AG11" s="1473" t="s">
        <v>8601</v>
      </c>
      <c r="AH11" s="1473" t="s">
        <v>747</v>
      </c>
      <c r="AI11" s="1473" t="s">
        <v>864</v>
      </c>
      <c r="AJ11" s="1473" t="s">
        <v>8602</v>
      </c>
      <c r="AK11" s="1473" t="s">
        <v>8413</v>
      </c>
      <c r="AL11" s="1473" t="s">
        <v>8603</v>
      </c>
      <c r="AM11" s="1473" t="s">
        <v>4495</v>
      </c>
      <c r="AN11" s="1483" t="s">
        <v>8395</v>
      </c>
      <c r="AO11" s="1483" t="s">
        <v>6236</v>
      </c>
      <c r="AP11" s="1473" t="s">
        <v>8604</v>
      </c>
      <c r="AQ11" s="1473" t="s">
        <v>3698</v>
      </c>
      <c r="AR11" s="1483" t="s">
        <v>416</v>
      </c>
      <c r="AS11" s="1473" t="s">
        <v>3188</v>
      </c>
      <c r="AT11" s="1473" t="s">
        <v>3527</v>
      </c>
      <c r="AU11" s="1494" t="s">
        <v>8605</v>
      </c>
      <c r="AV11" s="1463" t="str">
        <f t="shared" si="1"/>
        <v>2:27</v>
      </c>
      <c r="AW11" s="1501" t="s">
        <v>8606</v>
      </c>
    </row>
    <row r="12" ht="15.75" customHeight="1">
      <c r="A12" s="1502" t="s">
        <v>6336</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4428</v>
      </c>
      <c r="M12" s="1465" t="s">
        <v>8189</v>
      </c>
      <c r="N12" s="1465" t="s">
        <v>2175</v>
      </c>
      <c r="O12" s="1465" t="s">
        <v>3202</v>
      </c>
      <c r="P12" s="1465" t="s">
        <v>8611</v>
      </c>
      <c r="Q12" s="1465" t="s">
        <v>8614</v>
      </c>
      <c r="R12" s="1465" t="s">
        <v>1226</v>
      </c>
      <c r="S12" s="1503" t="s">
        <v>8615</v>
      </c>
      <c r="T12" s="1465" t="s">
        <v>4859</v>
      </c>
      <c r="U12" s="1465" t="s">
        <v>8616</v>
      </c>
      <c r="V12" s="1465" t="s">
        <v>8464</v>
      </c>
      <c r="W12" s="1465" t="s">
        <v>8617</v>
      </c>
      <c r="X12" s="1465" t="s">
        <v>961</v>
      </c>
      <c r="Y12" s="1465" t="s">
        <v>4313</v>
      </c>
      <c r="Z12" s="1465" t="s">
        <v>8618</v>
      </c>
      <c r="AA12" s="1465" t="s">
        <v>8619</v>
      </c>
      <c r="AB12" s="1465" t="s">
        <v>1907</v>
      </c>
      <c r="AC12" s="1465" t="s">
        <v>758</v>
      </c>
      <c r="AD12" s="1465" t="s">
        <v>8620</v>
      </c>
      <c r="AE12" s="1465" t="s">
        <v>6283</v>
      </c>
      <c r="AF12" s="1459" t="s">
        <v>8621</v>
      </c>
      <c r="AG12" s="1465" t="s">
        <v>8622</v>
      </c>
      <c r="AH12" s="1465" t="s">
        <v>4725</v>
      </c>
      <c r="AI12" s="1465" t="s">
        <v>2930</v>
      </c>
      <c r="AJ12" s="1465" t="s">
        <v>8623</v>
      </c>
      <c r="AK12" s="1465" t="s">
        <v>4178</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5654</v>
      </c>
      <c r="J13" s="1508" t="s">
        <v>8637</v>
      </c>
      <c r="K13" s="1508" t="s">
        <v>4262</v>
      </c>
      <c r="L13" s="1508" t="s">
        <v>4657</v>
      </c>
      <c r="M13" s="1508" t="s">
        <v>8590</v>
      </c>
      <c r="N13" s="1508" t="s">
        <v>2555</v>
      </c>
      <c r="O13" s="1508" t="s">
        <v>8638</v>
      </c>
      <c r="P13" s="1508" t="s">
        <v>8639</v>
      </c>
      <c r="Q13" s="1459" t="s">
        <v>8640</v>
      </c>
      <c r="R13" s="1509" t="s">
        <v>8641</v>
      </c>
      <c r="S13" s="1459" t="s">
        <v>1899</v>
      </c>
      <c r="T13" s="1509" t="s">
        <v>8642</v>
      </c>
      <c r="U13" s="1459" t="s">
        <v>7164</v>
      </c>
      <c r="V13" s="1509" t="s">
        <v>3401</v>
      </c>
      <c r="W13" s="1510" t="s">
        <v>8643</v>
      </c>
      <c r="X13" s="1510" t="s">
        <v>4040</v>
      </c>
      <c r="Y13" s="1510" t="s">
        <v>6879</v>
      </c>
      <c r="Z13" s="1510" t="s">
        <v>8644</v>
      </c>
      <c r="AA13" s="1510" t="s">
        <v>8489</v>
      </c>
      <c r="AB13" s="1510" t="s">
        <v>4414</v>
      </c>
      <c r="AC13" s="1510" t="s">
        <v>1148</v>
      </c>
      <c r="AD13" s="1506" t="s">
        <v>8645</v>
      </c>
      <c r="AE13" s="1506" t="s">
        <v>5275</v>
      </c>
      <c r="AF13" s="1511" t="s">
        <v>8646</v>
      </c>
      <c r="AG13" s="1511" t="s">
        <v>7657</v>
      </c>
      <c r="AH13" s="1511" t="s">
        <v>5285</v>
      </c>
      <c r="AI13" s="1511" t="s">
        <v>8647</v>
      </c>
      <c r="AJ13" s="1511" t="s">
        <v>8648</v>
      </c>
      <c r="AK13" s="1511" t="s">
        <v>8649</v>
      </c>
      <c r="AL13" s="1511" t="s">
        <v>4071</v>
      </c>
      <c r="AM13" s="1512" t="s">
        <v>8650</v>
      </c>
      <c r="AN13" s="1513" t="s">
        <v>4657</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6097</v>
      </c>
      <c r="B14" s="1515" t="s">
        <v>8373</v>
      </c>
      <c r="C14" s="1457">
        <v>0.04982638888888889</v>
      </c>
      <c r="D14" s="1464" t="s">
        <v>8658</v>
      </c>
      <c r="E14" s="1464" t="s">
        <v>4748</v>
      </c>
      <c r="F14" s="1464" t="s">
        <v>8659</v>
      </c>
      <c r="G14" s="1464" t="s">
        <v>8660</v>
      </c>
      <c r="H14" s="1464" t="s">
        <v>8661</v>
      </c>
      <c r="I14" s="1464" t="s">
        <v>5627</v>
      </c>
      <c r="J14" s="1464" t="s">
        <v>8662</v>
      </c>
      <c r="K14" s="1270" t="s">
        <v>8663</v>
      </c>
      <c r="L14" s="1464" t="s">
        <v>8664</v>
      </c>
      <c r="M14" s="1464" t="s">
        <v>8665</v>
      </c>
      <c r="N14" s="1464" t="s">
        <v>2020</v>
      </c>
      <c r="O14" s="1464" t="s">
        <v>8666</v>
      </c>
      <c r="P14" s="1270" t="s">
        <v>4476</v>
      </c>
      <c r="Q14" s="1464" t="s">
        <v>8667</v>
      </c>
      <c r="R14" s="1464" t="s">
        <v>1938</v>
      </c>
      <c r="S14" s="1464" t="s">
        <v>3337</v>
      </c>
      <c r="T14" s="1464" t="s">
        <v>8668</v>
      </c>
      <c r="U14" s="1464" t="s">
        <v>8669</v>
      </c>
      <c r="V14" s="1464" t="s">
        <v>6522</v>
      </c>
      <c r="W14" s="1464" t="s">
        <v>5430</v>
      </c>
      <c r="X14" s="1464" t="s">
        <v>8391</v>
      </c>
      <c r="Y14" s="1464" t="s">
        <v>8481</v>
      </c>
      <c r="Z14" s="1464" t="s">
        <v>6647</v>
      </c>
      <c r="AA14" s="1516" t="s">
        <v>8670</v>
      </c>
      <c r="AB14" s="1464" t="s">
        <v>5750</v>
      </c>
      <c r="AC14" s="1464" t="s">
        <v>1030</v>
      </c>
      <c r="AD14" s="1464" t="s">
        <v>7315</v>
      </c>
      <c r="AE14" s="1464" t="s">
        <v>4891</v>
      </c>
      <c r="AF14" s="1464" t="s">
        <v>8671</v>
      </c>
      <c r="AG14" s="1464" t="s">
        <v>1529</v>
      </c>
      <c r="AH14" s="1270" t="s">
        <v>8672</v>
      </c>
      <c r="AI14" s="1464" t="s">
        <v>8067</v>
      </c>
      <c r="AJ14" s="1464" t="s">
        <v>8673</v>
      </c>
      <c r="AK14" s="1464" t="s">
        <v>8674</v>
      </c>
      <c r="AL14" s="1464" t="s">
        <v>4406</v>
      </c>
      <c r="AM14" s="1464" t="s">
        <v>3409</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5490</v>
      </c>
      <c r="J15" s="1508" t="s">
        <v>8686</v>
      </c>
      <c r="K15" s="1522" t="s">
        <v>8687</v>
      </c>
      <c r="L15" s="1508" t="s">
        <v>8688</v>
      </c>
      <c r="M15" s="1508" t="s">
        <v>5035</v>
      </c>
      <c r="N15" s="1508" t="s">
        <v>8689</v>
      </c>
      <c r="O15" s="1522" t="s">
        <v>8690</v>
      </c>
      <c r="P15" s="1270" t="s">
        <v>8691</v>
      </c>
      <c r="Q15" s="1509" t="s">
        <v>3363</v>
      </c>
      <c r="R15" s="1523" t="s">
        <v>8692</v>
      </c>
      <c r="S15" s="1523" t="s">
        <v>8693</v>
      </c>
      <c r="T15" s="1523" t="s">
        <v>8694</v>
      </c>
      <c r="U15" s="1523" t="s">
        <v>8695</v>
      </c>
      <c r="V15" s="1509" t="s">
        <v>4457</v>
      </c>
      <c r="W15" s="1510" t="s">
        <v>8696</v>
      </c>
      <c r="X15" s="1524" t="s">
        <v>8697</v>
      </c>
      <c r="Y15" s="1510" t="s">
        <v>8698</v>
      </c>
      <c r="Z15" s="1510" t="s">
        <v>8699</v>
      </c>
      <c r="AA15" s="1510" t="s">
        <v>3189</v>
      </c>
      <c r="AB15" s="1524" t="s">
        <v>7627</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5578</v>
      </c>
      <c r="AQ15" s="1513" t="s">
        <v>8709</v>
      </c>
      <c r="AR15" s="1512" t="s">
        <v>1163</v>
      </c>
      <c r="AS15" s="1512" t="s">
        <v>3967</v>
      </c>
      <c r="AT15" s="1522" t="s">
        <v>6255</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7201</v>
      </c>
      <c r="S16" s="1528" t="s">
        <v>8721</v>
      </c>
      <c r="T16" s="1528" t="s">
        <v>4541</v>
      </c>
      <c r="U16" s="1528" t="s">
        <v>8722</v>
      </c>
      <c r="V16" s="1528">
        <v>59.79</v>
      </c>
      <c r="W16" s="1528" t="s">
        <v>8723</v>
      </c>
      <c r="X16" s="1528" t="s">
        <v>2070</v>
      </c>
      <c r="Y16" s="1528">
        <v>47.0</v>
      </c>
      <c r="Z16" s="1528" t="s">
        <v>8724</v>
      </c>
      <c r="AA16" s="1528" t="s">
        <v>8725</v>
      </c>
      <c r="AB16" s="1528" t="s">
        <v>7168</v>
      </c>
      <c r="AC16" s="1528">
        <v>47.56</v>
      </c>
      <c r="AD16" s="1528" t="s">
        <v>8415</v>
      </c>
      <c r="AE16" s="1528">
        <v>47.95</v>
      </c>
      <c r="AF16" s="1528" t="s">
        <v>8726</v>
      </c>
      <c r="AG16" s="1528" t="s">
        <v>8727</v>
      </c>
      <c r="AH16" s="1528">
        <v>57.67</v>
      </c>
      <c r="AI16" s="1528" t="s">
        <v>961</v>
      </c>
      <c r="AJ16" s="1528" t="s">
        <v>8728</v>
      </c>
      <c r="AK16" s="1528" t="s">
        <v>7652</v>
      </c>
      <c r="AL16" s="1528">
        <v>56.37</v>
      </c>
      <c r="AM16" s="1528" t="s">
        <v>8729</v>
      </c>
      <c r="AN16" s="1528">
        <v>55.92</v>
      </c>
      <c r="AO16" s="1528" t="s">
        <v>4433</v>
      </c>
      <c r="AP16" s="1528" t="s">
        <v>8293</v>
      </c>
      <c r="AQ16" s="1528" t="s">
        <v>8730</v>
      </c>
      <c r="AR16" s="1528" t="s">
        <v>6364</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4256</v>
      </c>
      <c r="G17" s="1485" t="s">
        <v>8735</v>
      </c>
      <c r="H17" s="1485" t="s">
        <v>8736</v>
      </c>
      <c r="I17" s="1485" t="s">
        <v>5610</v>
      </c>
      <c r="J17" s="1485" t="s">
        <v>6143</v>
      </c>
      <c r="K17" s="1485" t="s">
        <v>8737</v>
      </c>
      <c r="L17" s="1485" t="s">
        <v>4071</v>
      </c>
      <c r="M17" s="1485" t="s">
        <v>1093</v>
      </c>
      <c r="N17" s="1485" t="s">
        <v>8738</v>
      </c>
      <c r="O17" s="1485" t="s">
        <v>798</v>
      </c>
      <c r="P17" s="1478">
        <v>47.54</v>
      </c>
      <c r="Q17" s="1532" t="s">
        <v>5617</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5658</v>
      </c>
      <c r="AO17" s="1532" t="s">
        <v>6632</v>
      </c>
      <c r="AP17" s="1532" t="s">
        <v>8752</v>
      </c>
      <c r="AQ17" s="1532" t="s">
        <v>7284</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5152</v>
      </c>
      <c r="L18" s="1465" t="s">
        <v>8760</v>
      </c>
      <c r="M18" s="1465" t="s">
        <v>8761</v>
      </c>
      <c r="N18" s="1465" t="s">
        <v>8762</v>
      </c>
      <c r="O18" s="1465" t="s">
        <v>8763</v>
      </c>
      <c r="P18" s="1465" t="s">
        <v>8764</v>
      </c>
      <c r="Q18" s="1465" t="s">
        <v>4622</v>
      </c>
      <c r="R18" s="1509" t="s">
        <v>8765</v>
      </c>
      <c r="S18" s="1465" t="s">
        <v>4004</v>
      </c>
      <c r="T18" s="1465" t="s">
        <v>8596</v>
      </c>
      <c r="U18" s="1465" t="s">
        <v>8766</v>
      </c>
      <c r="V18" s="1465" t="s">
        <v>8767</v>
      </c>
      <c r="W18" s="1465" t="s">
        <v>8768</v>
      </c>
      <c r="X18" s="1465" t="s">
        <v>7628</v>
      </c>
      <c r="Y18" s="1465" t="s">
        <v>4269</v>
      </c>
      <c r="Z18" s="1465" t="s">
        <v>8769</v>
      </c>
      <c r="AA18" s="1465" t="s">
        <v>7628</v>
      </c>
      <c r="AB18" s="1465" t="s">
        <v>8591</v>
      </c>
      <c r="AC18" s="1465" t="s">
        <v>5540</v>
      </c>
      <c r="AD18" s="1465" t="s">
        <v>7678</v>
      </c>
      <c r="AE18" s="1465" t="s">
        <v>8770</v>
      </c>
      <c r="AF18" s="1465" t="s">
        <v>8771</v>
      </c>
      <c r="AG18" s="1465" t="s">
        <v>5040</v>
      </c>
      <c r="AH18" s="1465" t="s">
        <v>5188</v>
      </c>
      <c r="AI18" s="1465" t="s">
        <v>8772</v>
      </c>
      <c r="AJ18" s="1461" t="s">
        <v>8393</v>
      </c>
      <c r="AK18" s="1465" t="s">
        <v>2523</v>
      </c>
      <c r="AL18" s="1465" t="s">
        <v>8773</v>
      </c>
      <c r="AM18" s="1465" t="s">
        <v>8774</v>
      </c>
      <c r="AN18" s="1465" t="s">
        <v>553</v>
      </c>
      <c r="AO18" s="1465" t="s">
        <v>8775</v>
      </c>
      <c r="AP18" s="1465" t="s">
        <v>8776</v>
      </c>
      <c r="AQ18" s="1465" t="s">
        <v>4734</v>
      </c>
      <c r="AR18" s="1465" t="s">
        <v>6365</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4294</v>
      </c>
      <c r="F19" s="1465" t="s">
        <v>8782</v>
      </c>
      <c r="G19" s="1465" t="s">
        <v>8783</v>
      </c>
      <c r="H19" s="1463" t="s">
        <v>2276</v>
      </c>
      <c r="I19" s="1465" t="s">
        <v>1296</v>
      </c>
      <c r="J19" s="1465" t="s">
        <v>382</v>
      </c>
      <c r="K19" s="1465" t="s">
        <v>8784</v>
      </c>
      <c r="L19" s="1465" t="s">
        <v>5355</v>
      </c>
      <c r="M19" s="1465" t="s">
        <v>6279</v>
      </c>
      <c r="N19" s="1465" t="s">
        <v>8785</v>
      </c>
      <c r="O19" s="1465" t="s">
        <v>2605</v>
      </c>
      <c r="P19" s="1463" t="s">
        <v>5388</v>
      </c>
      <c r="Q19" s="1465" t="s">
        <v>8786</v>
      </c>
      <c r="R19" s="1465" t="s">
        <v>3167</v>
      </c>
      <c r="S19" s="1465" t="s">
        <v>7543</v>
      </c>
      <c r="T19" s="1465" t="s">
        <v>8157</v>
      </c>
      <c r="U19" s="1465" t="s">
        <v>8787</v>
      </c>
      <c r="V19" s="1465" t="s">
        <v>4961</v>
      </c>
      <c r="W19" s="1465" t="s">
        <v>8788</v>
      </c>
      <c r="X19" s="1463" t="s">
        <v>6638</v>
      </c>
      <c r="Y19" s="1463" t="s">
        <v>5475</v>
      </c>
      <c r="Z19" s="1465" t="s">
        <v>8789</v>
      </c>
      <c r="AA19" s="1465" t="s">
        <v>2320</v>
      </c>
      <c r="AB19" s="1465" t="s">
        <v>8790</v>
      </c>
      <c r="AC19" s="1465" t="s">
        <v>785</v>
      </c>
      <c r="AD19" s="1465" t="s">
        <v>5399</v>
      </c>
      <c r="AE19" s="1465" t="s">
        <v>8791</v>
      </c>
      <c r="AF19" s="1465" t="s">
        <v>873</v>
      </c>
      <c r="AG19" s="1465" t="s">
        <v>8792</v>
      </c>
      <c r="AH19" s="1465" t="s">
        <v>8793</v>
      </c>
      <c r="AI19" s="1465" t="s">
        <v>687</v>
      </c>
      <c r="AJ19" s="1463" t="s">
        <v>8794</v>
      </c>
      <c r="AK19" s="1511" t="s">
        <v>7453</v>
      </c>
      <c r="AL19" s="1465" t="s">
        <v>4614</v>
      </c>
      <c r="AM19" s="1465" t="s">
        <v>3566</v>
      </c>
      <c r="AN19" s="1463" t="s">
        <v>6011</v>
      </c>
      <c r="AO19" s="1463" t="s">
        <v>6365</v>
      </c>
      <c r="AP19" s="1463" t="s">
        <v>8795</v>
      </c>
      <c r="AQ19" s="1463" t="s">
        <v>8492</v>
      </c>
      <c r="AR19" s="1463" t="s">
        <v>489</v>
      </c>
      <c r="AS19" s="1463" t="s">
        <v>5645</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3722</v>
      </c>
      <c r="J20" s="1485" t="s">
        <v>8801</v>
      </c>
      <c r="K20" s="1538" t="s">
        <v>4192</v>
      </c>
      <c r="L20" s="1485" t="s">
        <v>8773</v>
      </c>
      <c r="M20" s="1485" t="s">
        <v>8802</v>
      </c>
      <c r="N20" s="1485" t="s">
        <v>7059</v>
      </c>
      <c r="O20" s="1485" t="s">
        <v>8803</v>
      </c>
      <c r="P20" s="1485" t="s">
        <v>6272</v>
      </c>
      <c r="Q20" s="1485" t="s">
        <v>8804</v>
      </c>
      <c r="R20" s="1485" t="s">
        <v>8739</v>
      </c>
      <c r="S20" s="1485" t="s">
        <v>8805</v>
      </c>
      <c r="T20" s="1485" t="s">
        <v>5702</v>
      </c>
      <c r="U20" s="1485" t="s">
        <v>8806</v>
      </c>
      <c r="V20" s="1485" t="s">
        <v>8807</v>
      </c>
      <c r="W20" s="1485" t="s">
        <v>5415</v>
      </c>
      <c r="X20" s="1485" t="s">
        <v>8808</v>
      </c>
      <c r="Y20" s="1485" t="s">
        <v>8507</v>
      </c>
      <c r="Z20" s="1485" t="s">
        <v>8809</v>
      </c>
      <c r="AA20" s="1485" t="s">
        <v>8745</v>
      </c>
      <c r="AB20" s="1485" t="s">
        <v>8746</v>
      </c>
      <c r="AC20" s="1485" t="s">
        <v>593</v>
      </c>
      <c r="AD20" s="1485" t="s">
        <v>8810</v>
      </c>
      <c r="AE20" s="1485" t="s">
        <v>5488</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7540</v>
      </c>
      <c r="AR20" s="1485" t="s">
        <v>2633</v>
      </c>
      <c r="AS20" s="1485" t="s">
        <v>926</v>
      </c>
      <c r="AT20" s="1485" t="s">
        <v>2434</v>
      </c>
      <c r="AU20" s="1465" t="s">
        <v>8817</v>
      </c>
      <c r="AV20" s="1463" t="str">
        <f t="shared" si="1"/>
        <v>2:24</v>
      </c>
      <c r="AW20" s="1536"/>
    </row>
    <row r="21" ht="15.75" customHeight="1">
      <c r="A21" s="1539" t="s">
        <v>6032</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3904</v>
      </c>
      <c r="Q21" s="1465" t="s">
        <v>8824</v>
      </c>
      <c r="R21" s="1465" t="s">
        <v>6561</v>
      </c>
      <c r="S21" s="1465" t="s">
        <v>6799</v>
      </c>
      <c r="T21" s="1465" t="s">
        <v>7203</v>
      </c>
      <c r="U21" s="1465" t="s">
        <v>8825</v>
      </c>
      <c r="V21" s="1465" t="s">
        <v>8826</v>
      </c>
      <c r="W21" s="1465" t="s">
        <v>8827</v>
      </c>
      <c r="X21" s="1465" t="s">
        <v>8828</v>
      </c>
      <c r="Y21" s="1465" t="s">
        <v>8829</v>
      </c>
      <c r="Z21" s="1465" t="s">
        <v>8830</v>
      </c>
      <c r="AA21" s="1465" t="s">
        <v>8831</v>
      </c>
      <c r="AB21" s="1465" t="s">
        <v>8832</v>
      </c>
      <c r="AC21" s="1463" t="s">
        <v>4910</v>
      </c>
      <c r="AD21" s="1465" t="s">
        <v>8833</v>
      </c>
      <c r="AE21" s="1463" t="s">
        <v>5463</v>
      </c>
      <c r="AF21" s="1540" t="s">
        <v>8390</v>
      </c>
      <c r="AG21" s="1465" t="s">
        <v>604</v>
      </c>
      <c r="AH21" s="1465" t="s">
        <v>6784</v>
      </c>
      <c r="AI21" s="1465" t="s">
        <v>194</v>
      </c>
      <c r="AJ21" s="1463" t="s">
        <v>8834</v>
      </c>
      <c r="AK21" s="1465" t="s">
        <v>8835</v>
      </c>
      <c r="AL21" s="1463" t="s">
        <v>3692</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6027</v>
      </c>
      <c r="J22" s="1270" t="s">
        <v>4240</v>
      </c>
      <c r="K22" s="1270" t="s">
        <v>8843</v>
      </c>
      <c r="L22" s="1270" t="s">
        <v>4725</v>
      </c>
      <c r="M22" s="1270" t="s">
        <v>8844</v>
      </c>
      <c r="N22" s="1508" t="s">
        <v>8845</v>
      </c>
      <c r="O22" s="1270" t="s">
        <v>8846</v>
      </c>
      <c r="P22" s="1508" t="s">
        <v>5442</v>
      </c>
      <c r="Q22" s="1270" t="s">
        <v>8847</v>
      </c>
      <c r="R22" s="1270" t="s">
        <v>8848</v>
      </c>
      <c r="S22" s="1509" t="s">
        <v>8849</v>
      </c>
      <c r="T22" s="1543" t="s">
        <v>8413</v>
      </c>
      <c r="U22" s="1509" t="s">
        <v>126</v>
      </c>
      <c r="V22" s="1270" t="s">
        <v>7992</v>
      </c>
      <c r="W22" s="1544" t="s">
        <v>4133</v>
      </c>
      <c r="X22" s="1270" t="s">
        <v>8850</v>
      </c>
      <c r="Y22" s="1270" t="s">
        <v>5117</v>
      </c>
      <c r="Z22" s="1545" t="s">
        <v>442</v>
      </c>
      <c r="AA22" s="1510" t="s">
        <v>4668</v>
      </c>
      <c r="AB22" s="1270" t="s">
        <v>3040</v>
      </c>
      <c r="AC22" s="1270" t="s">
        <v>412</v>
      </c>
      <c r="AD22" s="1270" t="s">
        <v>7678</v>
      </c>
      <c r="AE22" s="1546" t="s">
        <v>8416</v>
      </c>
      <c r="AF22" s="1466" t="s">
        <v>8851</v>
      </c>
      <c r="AG22" s="1545" t="s">
        <v>3885</v>
      </c>
      <c r="AH22" s="1270" t="s">
        <v>4920</v>
      </c>
      <c r="AI22" s="1511" t="s">
        <v>8852</v>
      </c>
      <c r="AJ22" s="1270" t="s">
        <v>8853</v>
      </c>
      <c r="AK22" s="1270" t="s">
        <v>1289</v>
      </c>
      <c r="AL22" s="1544" t="s">
        <v>5968</v>
      </c>
      <c r="AM22" s="1270" t="s">
        <v>8854</v>
      </c>
      <c r="AN22" s="1513" t="s">
        <v>8688</v>
      </c>
      <c r="AO22" s="1545" t="s">
        <v>7585</v>
      </c>
      <c r="AP22" s="1270" t="s">
        <v>8855</v>
      </c>
      <c r="AQ22" s="1547" t="s">
        <v>8421</v>
      </c>
      <c r="AR22" s="1270" t="s">
        <v>860</v>
      </c>
      <c r="AS22" s="1548" t="s">
        <v>5168</v>
      </c>
      <c r="AT22" s="1270" t="s">
        <v>8856</v>
      </c>
      <c r="AU22" s="1494" t="s">
        <v>8857</v>
      </c>
      <c r="AV22" s="1463" t="str">
        <f t="shared" si="1"/>
        <v>4:06</v>
      </c>
      <c r="AW22" s="1501" t="s">
        <v>8858</v>
      </c>
    </row>
    <row r="23">
      <c r="A23" s="1502" t="s">
        <v>6340</v>
      </c>
      <c r="B23" s="1496" t="s">
        <v>8401</v>
      </c>
      <c r="C23" s="1457">
        <v>0.05016203703703704</v>
      </c>
      <c r="D23" s="1478" t="s">
        <v>8859</v>
      </c>
      <c r="E23" s="1549" t="s">
        <v>8403</v>
      </c>
      <c r="F23" s="1478" t="s">
        <v>8860</v>
      </c>
      <c r="G23" s="1478" t="s">
        <v>8861</v>
      </c>
      <c r="H23" s="1478" t="s">
        <v>8862</v>
      </c>
      <c r="I23" s="1478" t="s">
        <v>4931</v>
      </c>
      <c r="J23" s="1478" t="s">
        <v>4084</v>
      </c>
      <c r="K23" s="1478" t="s">
        <v>8863</v>
      </c>
      <c r="L23" s="1270" t="s">
        <v>5002</v>
      </c>
      <c r="M23" s="1545" t="s">
        <v>8410</v>
      </c>
      <c r="N23" s="1478" t="s">
        <v>8864</v>
      </c>
      <c r="O23" s="1478" t="s">
        <v>8865</v>
      </c>
      <c r="P23" s="1478" t="s">
        <v>5765</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4706</v>
      </c>
      <c r="AD23" s="1478" t="s">
        <v>8871</v>
      </c>
      <c r="AE23" s="1478" t="s">
        <v>4816</v>
      </c>
      <c r="AF23" s="1478" t="s">
        <v>5628</v>
      </c>
      <c r="AG23" s="1478" t="s">
        <v>8872</v>
      </c>
      <c r="AH23" s="1478" t="s">
        <v>4334</v>
      </c>
      <c r="AI23" s="1549" t="s">
        <v>4148</v>
      </c>
      <c r="AJ23" s="1478" t="s">
        <v>8873</v>
      </c>
      <c r="AK23" s="1478" t="s">
        <v>8874</v>
      </c>
      <c r="AL23" s="1478" t="s">
        <v>2506</v>
      </c>
      <c r="AM23" s="1478" t="s">
        <v>4009</v>
      </c>
      <c r="AN23" s="1478" t="s">
        <v>5854</v>
      </c>
      <c r="AO23" s="1478" t="s">
        <v>8875</v>
      </c>
      <c r="AP23" s="1478" t="s">
        <v>8876</v>
      </c>
      <c r="AQ23" s="1478" t="s">
        <v>3994</v>
      </c>
      <c r="AR23" s="1550" t="s">
        <v>7359</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5107</v>
      </c>
      <c r="M24" s="1552" t="str">
        <f>HYPERLINK("https://youtu.be/teAIifUZjFw","1:14.18")</f>
        <v>1:14.18</v>
      </c>
      <c r="N24" s="1522" t="s">
        <v>3744</v>
      </c>
      <c r="O24" s="1522" t="s">
        <v>8884</v>
      </c>
      <c r="P24" s="1522" t="s">
        <v>2019</v>
      </c>
      <c r="Q24" s="1523" t="s">
        <v>8885</v>
      </c>
      <c r="R24" s="1509" t="s">
        <v>8886</v>
      </c>
      <c r="S24" s="1509" t="s">
        <v>5421</v>
      </c>
      <c r="T24" s="1553" t="str">
        <f>HYPERLINK("https://youtu.be/AiXricVH5ss","1:24.99")</f>
        <v>1:24.99</v>
      </c>
      <c r="U24" s="1554" t="str">
        <f>HYPERLINK("https://www.twitch.tv/videos/450151935","2:00.31")</f>
        <v>2:00.31</v>
      </c>
      <c r="V24" s="1509" t="s">
        <v>8887</v>
      </c>
      <c r="W24" s="1555" t="str">
        <f>HYPERLINK("https://youtu.be/eafNhBoXVWA","1:46.09")</f>
        <v>1:46.09</v>
      </c>
      <c r="X24" s="1524" t="s">
        <v>4474</v>
      </c>
      <c r="Y24" s="1524" t="s">
        <v>8611</v>
      </c>
      <c r="Z24" s="1524" t="s">
        <v>8888</v>
      </c>
      <c r="AA24" s="1510" t="s">
        <v>8555</v>
      </c>
      <c r="AB24" s="1524" t="s">
        <v>6907</v>
      </c>
      <c r="AC24" s="1524" t="s">
        <v>7508</v>
      </c>
      <c r="AD24" s="1556" t="str">
        <f>HYPERLINK("https://youtu.be/8FEcTKESSh0","1:49.80")</f>
        <v>1:49.80</v>
      </c>
      <c r="AE24" s="1506" t="s">
        <v>6283</v>
      </c>
      <c r="AF24" s="1525" t="s">
        <v>8889</v>
      </c>
      <c r="AG24" s="1525" t="s">
        <v>8890</v>
      </c>
      <c r="AH24" s="1525" t="s">
        <v>8891</v>
      </c>
      <c r="AI24" s="1525" t="s">
        <v>4010</v>
      </c>
      <c r="AJ24" s="1525" t="s">
        <v>8892</v>
      </c>
      <c r="AK24" s="1511" t="s">
        <v>8740</v>
      </c>
      <c r="AL24" s="1525" t="s">
        <v>8893</v>
      </c>
      <c r="AM24" s="1513" t="s">
        <v>8707</v>
      </c>
      <c r="AN24" s="1513" t="s">
        <v>8158</v>
      </c>
      <c r="AO24" s="1513" t="s">
        <v>8894</v>
      </c>
      <c r="AP24" s="1512" t="s">
        <v>8895</v>
      </c>
      <c r="AQ24" s="1512" t="s">
        <v>8896</v>
      </c>
      <c r="AR24" s="1513" t="s">
        <v>8897</v>
      </c>
      <c r="AS24" s="1512" t="s">
        <v>5519</v>
      </c>
      <c r="AT24" s="1552" t="str">
        <f>HYPERLINK("https://youtu.be/xDirVtS1AZ4?t=4416","2:27.45")</f>
        <v>2:27.45</v>
      </c>
      <c r="AU24" s="1526" t="s">
        <v>8898</v>
      </c>
      <c r="AV24" s="1463" t="str">
        <f t="shared" si="1"/>
        <v>2:34</v>
      </c>
      <c r="AW24" s="1495" t="s">
        <v>8899</v>
      </c>
    </row>
    <row r="25">
      <c r="A25" s="1502" t="s">
        <v>6327</v>
      </c>
      <c r="B25" s="1496" t="s">
        <v>8373</v>
      </c>
      <c r="C25" s="1457">
        <v>0.0502662037037037</v>
      </c>
      <c r="D25" s="1270" t="s">
        <v>8900</v>
      </c>
      <c r="E25" s="1465" t="s">
        <v>8544</v>
      </c>
      <c r="F25" s="1465" t="s">
        <v>8901</v>
      </c>
      <c r="G25" s="1465" t="s">
        <v>8902</v>
      </c>
      <c r="H25" s="1465" t="s">
        <v>8903</v>
      </c>
      <c r="I25" s="1270" t="s">
        <v>261</v>
      </c>
      <c r="J25" s="1270" t="s">
        <v>8904</v>
      </c>
      <c r="K25" s="1465" t="s">
        <v>8821</v>
      </c>
      <c r="L25" s="1465" t="s">
        <v>4071</v>
      </c>
      <c r="M25" s="1270" t="s">
        <v>2655</v>
      </c>
      <c r="N25" s="1465" t="s">
        <v>8905</v>
      </c>
      <c r="O25" s="1465" t="s">
        <v>8906</v>
      </c>
      <c r="P25" s="1270" t="s">
        <v>8907</v>
      </c>
      <c r="Q25" s="1465" t="s">
        <v>8908</v>
      </c>
      <c r="R25" s="1270" t="s">
        <v>8909</v>
      </c>
      <c r="S25" s="1465" t="s">
        <v>8910</v>
      </c>
      <c r="T25" s="1270" t="s">
        <v>8911</v>
      </c>
      <c r="U25" s="1465" t="s">
        <v>1032</v>
      </c>
      <c r="V25" s="1270" t="s">
        <v>4961</v>
      </c>
      <c r="W25" s="1270" t="s">
        <v>7049</v>
      </c>
      <c r="X25" s="1270" t="s">
        <v>6638</v>
      </c>
      <c r="Y25" s="1270" t="s">
        <v>969</v>
      </c>
      <c r="Z25" s="1270" t="s">
        <v>8912</v>
      </c>
      <c r="AA25" s="1465" t="s">
        <v>8913</v>
      </c>
      <c r="AB25" s="1270" t="s">
        <v>7507</v>
      </c>
      <c r="AC25" s="1465" t="s">
        <v>8914</v>
      </c>
      <c r="AD25" s="1270" t="s">
        <v>6060</v>
      </c>
      <c r="AE25" s="1465" t="s">
        <v>8915</v>
      </c>
      <c r="AF25" s="1465" t="s">
        <v>8916</v>
      </c>
      <c r="AG25" s="1270" t="s">
        <v>2057</v>
      </c>
      <c r="AH25" s="1270" t="s">
        <v>2630</v>
      </c>
      <c r="AI25" s="1465" t="s">
        <v>8917</v>
      </c>
      <c r="AJ25" s="1270" t="s">
        <v>8918</v>
      </c>
      <c r="AK25" s="1270" t="s">
        <v>8387</v>
      </c>
      <c r="AL25" s="1270" t="s">
        <v>4614</v>
      </c>
      <c r="AM25" s="1270" t="s">
        <v>8919</v>
      </c>
      <c r="AN25" s="1270" t="s">
        <v>4614</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6878</v>
      </c>
      <c r="J26" s="1508" t="s">
        <v>1908</v>
      </c>
      <c r="K26" s="1508" t="s">
        <v>5866</v>
      </c>
      <c r="L26" s="1508" t="s">
        <v>3367</v>
      </c>
      <c r="M26" s="1508" t="s">
        <v>8929</v>
      </c>
      <c r="N26" s="1508" t="s">
        <v>8930</v>
      </c>
      <c r="O26" s="1508" t="s">
        <v>4133</v>
      </c>
      <c r="P26" s="1508" t="s">
        <v>5134</v>
      </c>
      <c r="Q26" s="1509" t="s">
        <v>8931</v>
      </c>
      <c r="R26" s="1509" t="s">
        <v>8932</v>
      </c>
      <c r="S26" s="1509" t="s">
        <v>545</v>
      </c>
      <c r="T26" s="1509" t="s">
        <v>8933</v>
      </c>
      <c r="U26" s="1509" t="s">
        <v>8934</v>
      </c>
      <c r="V26" s="1509" t="s">
        <v>8935</v>
      </c>
      <c r="W26" s="1510" t="s">
        <v>8936</v>
      </c>
      <c r="X26" s="1510" t="s">
        <v>4474</v>
      </c>
      <c r="Y26" s="1510" t="s">
        <v>1547</v>
      </c>
      <c r="Z26" s="1510" t="s">
        <v>2427</v>
      </c>
      <c r="AA26" s="1510" t="s">
        <v>8937</v>
      </c>
      <c r="AB26" s="1510" t="s">
        <v>3774</v>
      </c>
      <c r="AC26" s="1510" t="s">
        <v>8938</v>
      </c>
      <c r="AD26" s="1506" t="s">
        <v>8939</v>
      </c>
      <c r="AE26" s="1506" t="s">
        <v>8770</v>
      </c>
      <c r="AF26" s="1511" t="s">
        <v>8940</v>
      </c>
      <c r="AG26" s="1511" t="s">
        <v>7704</v>
      </c>
      <c r="AH26" s="1511" t="s">
        <v>8941</v>
      </c>
      <c r="AI26" s="1511" t="s">
        <v>5091</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7456</v>
      </c>
      <c r="F27" s="1562" t="s">
        <v>8951</v>
      </c>
      <c r="G27" s="1563" t="s">
        <v>8952</v>
      </c>
      <c r="H27" s="1564" t="s">
        <v>8953</v>
      </c>
      <c r="I27" s="1565" t="s">
        <v>6025</v>
      </c>
      <c r="J27" s="1566" t="s">
        <v>8954</v>
      </c>
      <c r="K27" s="1567" t="s">
        <v>8955</v>
      </c>
      <c r="L27" s="1567" t="s">
        <v>6618</v>
      </c>
      <c r="M27" s="1567" t="s">
        <v>8956</v>
      </c>
      <c r="N27" s="1567" t="s">
        <v>8957</v>
      </c>
      <c r="O27" s="1566" t="s">
        <v>8958</v>
      </c>
      <c r="P27" s="1567" t="s">
        <v>8959</v>
      </c>
      <c r="Q27" s="1568" t="s">
        <v>601</v>
      </c>
      <c r="R27" s="1569" t="s">
        <v>5483</v>
      </c>
      <c r="S27" s="1568" t="s">
        <v>1052</v>
      </c>
      <c r="T27" s="1570" t="s">
        <v>4201</v>
      </c>
      <c r="U27" s="1571" t="s">
        <v>8960</v>
      </c>
      <c r="V27" s="1569" t="s">
        <v>8961</v>
      </c>
      <c r="W27" s="1572" t="s">
        <v>7370</v>
      </c>
      <c r="X27" s="1572" t="s">
        <v>7224</v>
      </c>
      <c r="Y27" s="1573" t="s">
        <v>6879</v>
      </c>
      <c r="Z27" s="1572" t="s">
        <v>224</v>
      </c>
      <c r="AA27" s="1572" t="s">
        <v>1786</v>
      </c>
      <c r="AB27" s="1574" t="s">
        <v>3600</v>
      </c>
      <c r="AC27" s="1574" t="s">
        <v>5031</v>
      </c>
      <c r="AD27" s="1562" t="s">
        <v>8962</v>
      </c>
      <c r="AE27" s="1575" t="s">
        <v>5488</v>
      </c>
      <c r="AF27" s="1576" t="s">
        <v>8963</v>
      </c>
      <c r="AG27" s="1577" t="s">
        <v>8749</v>
      </c>
      <c r="AH27" s="1577" t="s">
        <v>8964</v>
      </c>
      <c r="AI27" s="1577" t="s">
        <v>8965</v>
      </c>
      <c r="AJ27" s="1578" t="s">
        <v>8966</v>
      </c>
      <c r="AK27" s="1577" t="s">
        <v>8967</v>
      </c>
      <c r="AL27" s="1578" t="s">
        <v>2709</v>
      </c>
      <c r="AM27" s="1579" t="s">
        <v>8968</v>
      </c>
      <c r="AN27" s="1580" t="s">
        <v>5344</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5855</v>
      </c>
      <c r="I28" s="1270" t="s">
        <v>693</v>
      </c>
      <c r="J28" s="1545" t="s">
        <v>8408</v>
      </c>
      <c r="K28" s="1545" t="s">
        <v>1095</v>
      </c>
      <c r="L28" s="1545" t="s">
        <v>8409</v>
      </c>
      <c r="M28" s="1508" t="s">
        <v>8956</v>
      </c>
      <c r="N28" s="1545" t="s">
        <v>2493</v>
      </c>
      <c r="O28" s="1270" t="s">
        <v>8979</v>
      </c>
      <c r="P28" s="1545" t="s">
        <v>5463</v>
      </c>
      <c r="Q28" s="1545" t="s">
        <v>8412</v>
      </c>
      <c r="R28" s="1545" t="s">
        <v>7141</v>
      </c>
      <c r="S28" s="1545" t="s">
        <v>8381</v>
      </c>
      <c r="T28" s="1270" t="s">
        <v>4574</v>
      </c>
      <c r="U28" s="1270" t="s">
        <v>8980</v>
      </c>
      <c r="V28" s="1545" t="s">
        <v>4103</v>
      </c>
      <c r="W28" s="1270" t="s">
        <v>7047</v>
      </c>
      <c r="X28" s="1270" t="s">
        <v>5702</v>
      </c>
      <c r="Y28" s="1545" t="s">
        <v>5540</v>
      </c>
      <c r="Z28" s="1270" t="s">
        <v>1133</v>
      </c>
      <c r="AA28" s="1270" t="s">
        <v>8981</v>
      </c>
      <c r="AB28" s="1270" t="s">
        <v>5721</v>
      </c>
      <c r="AC28" s="1270" t="s">
        <v>1900</v>
      </c>
      <c r="AD28" s="1270" t="s">
        <v>8982</v>
      </c>
      <c r="AE28" s="1270" t="s">
        <v>3181</v>
      </c>
      <c r="AF28" s="1270" t="s">
        <v>8983</v>
      </c>
      <c r="AG28" s="1270" t="s">
        <v>5538</v>
      </c>
      <c r="AH28" s="1270" t="s">
        <v>4602</v>
      </c>
      <c r="AI28" s="1270" t="s">
        <v>3323</v>
      </c>
      <c r="AJ28" s="1270" t="s">
        <v>8984</v>
      </c>
      <c r="AK28" s="1270" t="s">
        <v>2972</v>
      </c>
      <c r="AL28" s="1270" t="s">
        <v>8985</v>
      </c>
      <c r="AM28" s="1270" t="s">
        <v>8986</v>
      </c>
      <c r="AN28" s="1270" t="s">
        <v>4398</v>
      </c>
      <c r="AO28" s="1270" t="s">
        <v>7227</v>
      </c>
      <c r="AP28" s="1270" t="s">
        <v>8987</v>
      </c>
      <c r="AQ28" s="1270" t="s">
        <v>3693</v>
      </c>
      <c r="AR28" s="1270" t="s">
        <v>2928</v>
      </c>
      <c r="AS28" s="1270" t="s">
        <v>6507</v>
      </c>
      <c r="AT28" s="1270" t="s">
        <v>8988</v>
      </c>
      <c r="AU28" s="1511" t="s">
        <v>8423</v>
      </c>
      <c r="AV28" s="1463" t="str">
        <f t="shared" si="1"/>
        <v>2:37</v>
      </c>
      <c r="AW28" s="1585"/>
    </row>
    <row r="29" ht="15.75" customHeight="1">
      <c r="A29" s="1455" t="s">
        <v>8989</v>
      </c>
      <c r="B29" s="1515" t="s">
        <v>8401</v>
      </c>
      <c r="C29" s="1457">
        <v>0.05042824074074074</v>
      </c>
      <c r="D29" s="1270" t="s">
        <v>8658</v>
      </c>
      <c r="E29" s="1506" t="s">
        <v>6105</v>
      </c>
      <c r="F29" s="1506" t="s">
        <v>8990</v>
      </c>
      <c r="G29" s="1520" t="s">
        <v>8991</v>
      </c>
      <c r="H29" s="1507" t="s">
        <v>8992</v>
      </c>
      <c r="I29" s="1558" t="s">
        <v>3145</v>
      </c>
      <c r="J29" s="1508" t="s">
        <v>4769</v>
      </c>
      <c r="K29" s="1508" t="s">
        <v>8863</v>
      </c>
      <c r="L29" s="1508" t="s">
        <v>2468</v>
      </c>
      <c r="M29" s="1508" t="s">
        <v>2047</v>
      </c>
      <c r="N29" s="1508" t="s">
        <v>4179</v>
      </c>
      <c r="O29" s="1508" t="s">
        <v>8993</v>
      </c>
      <c r="P29" s="1522" t="s">
        <v>758</v>
      </c>
      <c r="Q29" s="1509" t="s">
        <v>8994</v>
      </c>
      <c r="R29" s="1509" t="s">
        <v>3337</v>
      </c>
      <c r="S29" s="1509" t="s">
        <v>7464</v>
      </c>
      <c r="T29" s="1523" t="s">
        <v>8575</v>
      </c>
      <c r="U29" s="1509" t="s">
        <v>8527</v>
      </c>
      <c r="V29" s="1523" t="s">
        <v>8995</v>
      </c>
      <c r="W29" s="1524" t="s">
        <v>7261</v>
      </c>
      <c r="X29" s="1586" t="s">
        <v>2602</v>
      </c>
      <c r="Y29" s="1524" t="s">
        <v>8996</v>
      </c>
      <c r="Z29" s="1510" t="s">
        <v>8997</v>
      </c>
      <c r="AA29" s="1524" t="s">
        <v>8965</v>
      </c>
      <c r="AB29" s="1270" t="s">
        <v>7328</v>
      </c>
      <c r="AC29" s="1524" t="s">
        <v>3542</v>
      </c>
      <c r="AD29" s="1546" t="s">
        <v>8415</v>
      </c>
      <c r="AE29" s="1506" t="s">
        <v>3181</v>
      </c>
      <c r="AF29" s="1511" t="s">
        <v>8998</v>
      </c>
      <c r="AG29" s="1525" t="s">
        <v>3884</v>
      </c>
      <c r="AH29" s="1525" t="s">
        <v>8999</v>
      </c>
      <c r="AI29" s="1463" t="s">
        <v>8913</v>
      </c>
      <c r="AJ29" s="1525" t="s">
        <v>9000</v>
      </c>
      <c r="AK29" s="1587" t="s">
        <v>8419</v>
      </c>
      <c r="AL29" s="1525" t="s">
        <v>3547</v>
      </c>
      <c r="AM29" s="1513" t="s">
        <v>9001</v>
      </c>
      <c r="AN29" s="1513" t="s">
        <v>4989</v>
      </c>
      <c r="AO29" s="1513" t="s">
        <v>2084</v>
      </c>
      <c r="AP29" s="1513" t="s">
        <v>9002</v>
      </c>
      <c r="AQ29" s="1512" t="s">
        <v>9003</v>
      </c>
      <c r="AR29" s="1512" t="s">
        <v>3592</v>
      </c>
      <c r="AS29" s="1512" t="s">
        <v>5184</v>
      </c>
      <c r="AT29" s="1508" t="s">
        <v>9004</v>
      </c>
      <c r="AU29" s="1494" t="s">
        <v>9005</v>
      </c>
      <c r="AV29" s="1463" t="str">
        <f t="shared" si="1"/>
        <v>2:55</v>
      </c>
      <c r="AW29" s="1588"/>
    </row>
    <row r="30" ht="15.75" customHeight="1">
      <c r="A30" s="1455" t="s">
        <v>4260</v>
      </c>
      <c r="B30" s="1456" t="s">
        <v>8373</v>
      </c>
      <c r="C30" s="1589">
        <v>0.05043981481481481</v>
      </c>
      <c r="D30" s="1270" t="s">
        <v>9006</v>
      </c>
      <c r="E30" s="1463" t="s">
        <v>7231</v>
      </c>
      <c r="F30" s="1463" t="s">
        <v>1574</v>
      </c>
      <c r="G30" s="1463" t="s">
        <v>9007</v>
      </c>
      <c r="H30" s="1463" t="s">
        <v>8566</v>
      </c>
      <c r="I30" s="1463" t="s">
        <v>4678</v>
      </c>
      <c r="J30" s="1463" t="s">
        <v>4484</v>
      </c>
      <c r="K30" s="1463" t="s">
        <v>8784</v>
      </c>
      <c r="L30" s="1463" t="s">
        <v>3813</v>
      </c>
      <c r="M30" s="1463" t="s">
        <v>9008</v>
      </c>
      <c r="N30" s="1463" t="s">
        <v>9009</v>
      </c>
      <c r="O30" s="1463" t="s">
        <v>9010</v>
      </c>
      <c r="P30" s="1463" t="s">
        <v>5275</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4769</v>
      </c>
      <c r="AC30" s="1463" t="s">
        <v>7508</v>
      </c>
      <c r="AD30" s="1463" t="s">
        <v>6022</v>
      </c>
      <c r="AE30" s="1463" t="s">
        <v>5488</v>
      </c>
      <c r="AF30" s="1463" t="s">
        <v>9017</v>
      </c>
      <c r="AG30" s="1463" t="s">
        <v>9018</v>
      </c>
      <c r="AH30" s="1463" t="s">
        <v>4035</v>
      </c>
      <c r="AI30" s="1463" t="s">
        <v>5091</v>
      </c>
      <c r="AJ30" s="1463" t="s">
        <v>9019</v>
      </c>
      <c r="AK30" s="1463" t="s">
        <v>9020</v>
      </c>
      <c r="AL30" s="1463" t="s">
        <v>5811</v>
      </c>
      <c r="AM30" s="1463" t="s">
        <v>1231</v>
      </c>
      <c r="AN30" s="1463" t="s">
        <v>4182</v>
      </c>
      <c r="AO30" s="1463" t="s">
        <v>9021</v>
      </c>
      <c r="AP30" s="1590" t="str">
        <f>HYPERLINK("https://www.twitch.tv/videos/511415405","2:00.79")</f>
        <v>2:00.79</v>
      </c>
      <c r="AQ30" s="1463" t="s">
        <v>9022</v>
      </c>
      <c r="AR30" s="1463" t="s">
        <v>7227</v>
      </c>
      <c r="AS30" s="1463" t="s">
        <v>9023</v>
      </c>
      <c r="AT30" s="1463" t="s">
        <v>9024</v>
      </c>
      <c r="AU30" s="1463" t="s">
        <v>8974</v>
      </c>
      <c r="AV30" s="1463" t="str">
        <f t="shared" si="1"/>
        <v>2:36</v>
      </c>
      <c r="AW30" s="1482" t="s">
        <v>6415</v>
      </c>
    </row>
    <row r="31">
      <c r="A31" s="1502" t="s">
        <v>1198</v>
      </c>
      <c r="B31" s="1500" t="s">
        <v>8373</v>
      </c>
      <c r="C31" s="1457">
        <v>0.050486111111111114</v>
      </c>
      <c r="D31" s="1506" t="s">
        <v>9025</v>
      </c>
      <c r="E31" s="1506" t="s">
        <v>9026</v>
      </c>
      <c r="F31" s="1506" t="s">
        <v>9027</v>
      </c>
      <c r="G31" s="1506" t="s">
        <v>9028</v>
      </c>
      <c r="H31" s="1270" t="s">
        <v>9029</v>
      </c>
      <c r="I31" s="1558" t="s">
        <v>853</v>
      </c>
      <c r="J31" s="1508" t="s">
        <v>5621</v>
      </c>
      <c r="K31" s="1508" t="s">
        <v>7716</v>
      </c>
      <c r="L31" s="1508" t="s">
        <v>6239</v>
      </c>
      <c r="M31" s="1508" t="s">
        <v>4952</v>
      </c>
      <c r="N31" s="1508" t="s">
        <v>9030</v>
      </c>
      <c r="O31" s="1508" t="s">
        <v>9031</v>
      </c>
      <c r="P31" s="1508" t="s">
        <v>8701</v>
      </c>
      <c r="Q31" s="1509" t="s">
        <v>169</v>
      </c>
      <c r="R31" s="1509" t="s">
        <v>4715</v>
      </c>
      <c r="S31" s="1509" t="s">
        <v>8874</v>
      </c>
      <c r="T31" s="1509" t="s">
        <v>9032</v>
      </c>
      <c r="U31" s="1509" t="s">
        <v>9033</v>
      </c>
      <c r="V31" s="1509" t="s">
        <v>9034</v>
      </c>
      <c r="W31" s="1510" t="s">
        <v>9035</v>
      </c>
      <c r="X31" s="1510" t="s">
        <v>9036</v>
      </c>
      <c r="Y31" s="1510" t="s">
        <v>6843</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7303</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6363</v>
      </c>
      <c r="L32" s="1552" t="str">
        <f>HYPERLINK("https://www.youtube.com/watch?v=tJdjPKdAbw4","57.01")</f>
        <v>57.01</v>
      </c>
      <c r="M32" s="1522" t="s">
        <v>7175</v>
      </c>
      <c r="N32" s="1508" t="s">
        <v>2291</v>
      </c>
      <c r="O32" s="1522" t="s">
        <v>9052</v>
      </c>
      <c r="P32" s="1522" t="s">
        <v>278</v>
      </c>
      <c r="Q32" s="1523" t="s">
        <v>237</v>
      </c>
      <c r="R32" s="1523" t="s">
        <v>8848</v>
      </c>
      <c r="S32" s="1554" t="str">
        <f>HYPERLINK("https://www.youtube.com/watch?v=_3ms_ZhYFzo","1:18.01")</f>
        <v>1:18.01</v>
      </c>
      <c r="T32" s="1523" t="s">
        <v>6163</v>
      </c>
      <c r="U32" s="1554" t="str">
        <f>HYPERLINK("https://www.youtube.com/watch?v=ZOy_TI3Zw14","2:02.38")</f>
        <v>2:02.38</v>
      </c>
      <c r="V32" s="1523" t="s">
        <v>9034</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7508</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5511</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4600</v>
      </c>
      <c r="F33" s="1531" t="s">
        <v>9063</v>
      </c>
      <c r="G33" s="1506" t="s">
        <v>9064</v>
      </c>
      <c r="H33" s="1531" t="s">
        <v>9065</v>
      </c>
      <c r="I33" s="1531" t="s">
        <v>2889</v>
      </c>
      <c r="J33" s="1508" t="s">
        <v>9066</v>
      </c>
      <c r="K33" s="1595" t="s">
        <v>9067</v>
      </c>
      <c r="L33" s="1508" t="s">
        <v>9068</v>
      </c>
      <c r="M33" s="1459" t="s">
        <v>5668</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4129</v>
      </c>
      <c r="AC33" s="1510" t="s">
        <v>870</v>
      </c>
      <c r="AD33" s="1506" t="s">
        <v>3974</v>
      </c>
      <c r="AE33" s="1506" t="s">
        <v>5765</v>
      </c>
      <c r="AF33" s="1511" t="s">
        <v>9075</v>
      </c>
      <c r="AG33" s="1531" t="s">
        <v>4586</v>
      </c>
      <c r="AH33" s="1511" t="s">
        <v>9076</v>
      </c>
      <c r="AI33" s="1511" t="s">
        <v>6633</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4801</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6362</v>
      </c>
      <c r="AC34" s="1524" t="s">
        <v>6462</v>
      </c>
      <c r="AD34" s="1506" t="s">
        <v>9103</v>
      </c>
      <c r="AE34" s="1506" t="s">
        <v>8701</v>
      </c>
      <c r="AF34" s="1511" t="s">
        <v>9104</v>
      </c>
      <c r="AG34" s="1511" t="s">
        <v>9105</v>
      </c>
      <c r="AH34" s="1511" t="s">
        <v>5541</v>
      </c>
      <c r="AI34" s="1511" t="s">
        <v>9106</v>
      </c>
      <c r="AJ34" s="1511" t="s">
        <v>9107</v>
      </c>
      <c r="AK34" s="1511" t="s">
        <v>4474</v>
      </c>
      <c r="AL34" s="1511" t="s">
        <v>5601</v>
      </c>
      <c r="AM34" s="1513" t="s">
        <v>2070</v>
      </c>
      <c r="AN34" s="1513" t="s">
        <v>4621</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4234</v>
      </c>
      <c r="M35" s="1270" t="s">
        <v>4159</v>
      </c>
      <c r="N35" s="1270" t="s">
        <v>9120</v>
      </c>
      <c r="O35" s="1270" t="s">
        <v>9121</v>
      </c>
      <c r="P35" s="1270" t="s">
        <v>9122</v>
      </c>
      <c r="Q35" s="1270" t="s">
        <v>9123</v>
      </c>
      <c r="R35" s="1270" t="s">
        <v>9124</v>
      </c>
      <c r="S35" s="1270" t="s">
        <v>9125</v>
      </c>
      <c r="T35" s="1270" t="s">
        <v>8943</v>
      </c>
      <c r="U35" s="1270" t="s">
        <v>9126</v>
      </c>
      <c r="V35" s="1270" t="s">
        <v>6960</v>
      </c>
      <c r="W35" s="1270" t="s">
        <v>4687</v>
      </c>
      <c r="X35" s="1270" t="s">
        <v>9127</v>
      </c>
      <c r="Y35" s="1270" t="s">
        <v>5007</v>
      </c>
      <c r="Z35" s="1270" t="s">
        <v>9128</v>
      </c>
      <c r="AA35" s="1270" t="s">
        <v>9129</v>
      </c>
      <c r="AB35" s="1270" t="s">
        <v>9130</v>
      </c>
      <c r="AC35" s="1270" t="s">
        <v>7508</v>
      </c>
      <c r="AD35" s="1270" t="s">
        <v>9131</v>
      </c>
      <c r="AE35" s="1270" t="s">
        <v>8553</v>
      </c>
      <c r="AF35" s="1270" t="s">
        <v>9132</v>
      </c>
      <c r="AG35" s="1270" t="s">
        <v>5003</v>
      </c>
      <c r="AH35" s="1270" t="s">
        <v>4445</v>
      </c>
      <c r="AI35" s="1270" t="s">
        <v>9133</v>
      </c>
      <c r="AJ35" s="1270" t="s">
        <v>9134</v>
      </c>
      <c r="AK35" s="1270" t="s">
        <v>1755</v>
      </c>
      <c r="AL35" s="1270" t="s">
        <v>9135</v>
      </c>
      <c r="AM35" s="1270" t="s">
        <v>3852</v>
      </c>
      <c r="AN35" s="1270" t="s">
        <v>4015</v>
      </c>
      <c r="AO35" s="1270" t="s">
        <v>6109</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4859</v>
      </c>
      <c r="L36" s="1465" t="s">
        <v>2278</v>
      </c>
      <c r="M36" s="1465" t="s">
        <v>2194</v>
      </c>
      <c r="N36" s="1465" t="s">
        <v>8835</v>
      </c>
      <c r="O36" s="1465" t="s">
        <v>9141</v>
      </c>
      <c r="P36" s="1465" t="s">
        <v>3904</v>
      </c>
      <c r="Q36" s="1465" t="s">
        <v>9142</v>
      </c>
      <c r="R36" s="1465" t="s">
        <v>2886</v>
      </c>
      <c r="S36" s="1465" t="s">
        <v>9143</v>
      </c>
      <c r="T36" s="1465" t="s">
        <v>2349</v>
      </c>
      <c r="U36" s="1465" t="s">
        <v>8608</v>
      </c>
      <c r="V36" s="1465" t="s">
        <v>2703</v>
      </c>
      <c r="W36" s="1465" t="s">
        <v>9144</v>
      </c>
      <c r="X36" s="1465" t="s">
        <v>9145</v>
      </c>
      <c r="Y36" s="1465" t="s">
        <v>950</v>
      </c>
      <c r="Z36" s="1465" t="s">
        <v>8724</v>
      </c>
      <c r="AA36" s="1465" t="s">
        <v>7303</v>
      </c>
      <c r="AB36" s="1465" t="s">
        <v>9146</v>
      </c>
      <c r="AC36" s="1463" t="s">
        <v>533</v>
      </c>
      <c r="AD36" s="1465" t="s">
        <v>9147</v>
      </c>
      <c r="AE36" s="1465" t="s">
        <v>4816</v>
      </c>
      <c r="AF36" s="1465" t="s">
        <v>9148</v>
      </c>
      <c r="AG36" s="1465" t="s">
        <v>8943</v>
      </c>
      <c r="AH36" s="1549" t="s">
        <v>2788</v>
      </c>
      <c r="AI36" s="1465" t="s">
        <v>9149</v>
      </c>
      <c r="AJ36" s="1465" t="s">
        <v>9150</v>
      </c>
      <c r="AK36" s="1465" t="s">
        <v>5308</v>
      </c>
      <c r="AL36" s="1465" t="s">
        <v>4182</v>
      </c>
      <c r="AM36" s="1465" t="s">
        <v>3189</v>
      </c>
      <c r="AN36" s="1465" t="s">
        <v>344</v>
      </c>
      <c r="AO36" s="1465" t="s">
        <v>9151</v>
      </c>
      <c r="AP36" s="1465" t="s">
        <v>9152</v>
      </c>
      <c r="AQ36" s="1465" t="s">
        <v>7243</v>
      </c>
      <c r="AR36" s="1465" t="s">
        <v>2555</v>
      </c>
      <c r="AS36" s="1465" t="s">
        <v>4028</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4448</v>
      </c>
      <c r="I37" s="1463" t="s">
        <v>1184</v>
      </c>
      <c r="J37" s="1465" t="s">
        <v>3423</v>
      </c>
      <c r="K37" s="1465" t="s">
        <v>3423</v>
      </c>
      <c r="L37" s="1463" t="s">
        <v>9158</v>
      </c>
      <c r="M37" s="1463" t="s">
        <v>9159</v>
      </c>
      <c r="N37" s="1463" t="s">
        <v>8729</v>
      </c>
      <c r="O37" s="1549" t="s">
        <v>8411</v>
      </c>
      <c r="P37" s="1463" t="s">
        <v>6875</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4476</v>
      </c>
      <c r="AD37" s="1463" t="s">
        <v>2312</v>
      </c>
      <c r="AE37" s="1463" t="s">
        <v>9101</v>
      </c>
      <c r="AF37" s="1463" t="s">
        <v>9165</v>
      </c>
      <c r="AG37" s="1463" t="s">
        <v>9166</v>
      </c>
      <c r="AH37" s="1463" t="s">
        <v>4465</v>
      </c>
      <c r="AI37" s="1463" t="s">
        <v>3771</v>
      </c>
      <c r="AJ37" s="1463" t="s">
        <v>9167</v>
      </c>
      <c r="AK37" s="1463" t="s">
        <v>1163</v>
      </c>
      <c r="AL37" s="1463" t="s">
        <v>8941</v>
      </c>
      <c r="AM37" s="1463" t="s">
        <v>9168</v>
      </c>
      <c r="AN37" s="1465" t="s">
        <v>9169</v>
      </c>
      <c r="AO37" s="1465" t="s">
        <v>3423</v>
      </c>
      <c r="AP37" s="1463" t="s">
        <v>5296</v>
      </c>
      <c r="AQ37" s="1463" t="s">
        <v>250</v>
      </c>
      <c r="AR37" s="1463" t="s">
        <v>4945</v>
      </c>
      <c r="AS37" s="1463" t="s">
        <v>9170</v>
      </c>
      <c r="AT37" s="1463" t="s">
        <v>9171</v>
      </c>
      <c r="AU37" s="1465" t="s">
        <v>9172</v>
      </c>
      <c r="AV37" s="1463" t="str">
        <f t="shared" si="1"/>
        <v>3:07</v>
      </c>
      <c r="AW37" s="1536" t="s">
        <v>9173</v>
      </c>
    </row>
    <row r="38" ht="15.75" customHeight="1">
      <c r="A38" s="1455" t="s">
        <v>4230</v>
      </c>
      <c r="B38" s="1456" t="s">
        <v>8373</v>
      </c>
      <c r="C38" s="1589">
        <v>0.05060185185185185</v>
      </c>
      <c r="D38" s="1270" t="s">
        <v>9174</v>
      </c>
      <c r="E38" s="1520" t="s">
        <v>3165</v>
      </c>
      <c r="F38" s="1520" t="s">
        <v>5884</v>
      </c>
      <c r="G38" s="1520" t="s">
        <v>9175</v>
      </c>
      <c r="H38" s="1507" t="s">
        <v>9176</v>
      </c>
      <c r="I38" s="1507" t="s">
        <v>1073</v>
      </c>
      <c r="J38" s="1522" t="s">
        <v>8567</v>
      </c>
      <c r="K38" s="1522" t="s">
        <v>7716</v>
      </c>
      <c r="L38" s="1522" t="s">
        <v>5489</v>
      </c>
      <c r="M38" s="1522" t="s">
        <v>9177</v>
      </c>
      <c r="N38" s="1522" t="s">
        <v>5217</v>
      </c>
      <c r="O38" s="1522" t="s">
        <v>9178</v>
      </c>
      <c r="P38" s="1522" t="s">
        <v>8770</v>
      </c>
      <c r="Q38" s="1523" t="s">
        <v>3629</v>
      </c>
      <c r="R38" s="1523" t="s">
        <v>5439</v>
      </c>
      <c r="S38" s="1523" t="s">
        <v>6362</v>
      </c>
      <c r="T38" s="1523" t="s">
        <v>9179</v>
      </c>
      <c r="U38" s="1523" t="s">
        <v>9180</v>
      </c>
      <c r="V38" s="1523" t="s">
        <v>3938</v>
      </c>
      <c r="W38" s="1524" t="s">
        <v>9181</v>
      </c>
      <c r="X38" s="1524" t="s">
        <v>7707</v>
      </c>
      <c r="Y38" s="1524" t="s">
        <v>5068</v>
      </c>
      <c r="Z38" s="1524" t="s">
        <v>1908</v>
      </c>
      <c r="AA38" s="1524" t="s">
        <v>9182</v>
      </c>
      <c r="AB38" s="1524" t="s">
        <v>8626</v>
      </c>
      <c r="AC38" s="1524" t="s">
        <v>5490</v>
      </c>
      <c r="AD38" s="1520" t="s">
        <v>6267</v>
      </c>
      <c r="AE38" s="1520" t="s">
        <v>8764</v>
      </c>
      <c r="AF38" s="1525" t="s">
        <v>9183</v>
      </c>
      <c r="AG38" s="1525" t="s">
        <v>9105</v>
      </c>
      <c r="AH38" s="1525" t="s">
        <v>9184</v>
      </c>
      <c r="AI38" s="1525" t="s">
        <v>5485</v>
      </c>
      <c r="AJ38" s="1525" t="s">
        <v>9185</v>
      </c>
      <c r="AK38" s="1525" t="s">
        <v>9186</v>
      </c>
      <c r="AL38" s="1525" t="s">
        <v>9187</v>
      </c>
      <c r="AM38" s="1512" t="s">
        <v>9188</v>
      </c>
      <c r="AN38" s="1512" t="s">
        <v>9189</v>
      </c>
      <c r="AO38" s="1512" t="s">
        <v>9190</v>
      </c>
      <c r="AP38" s="1512" t="s">
        <v>9191</v>
      </c>
      <c r="AQ38" s="1512" t="s">
        <v>9046</v>
      </c>
      <c r="AR38" s="1512" t="s">
        <v>9192</v>
      </c>
      <c r="AS38" s="1512" t="s">
        <v>4313</v>
      </c>
      <c r="AT38" s="1522" t="s">
        <v>9193</v>
      </c>
      <c r="AU38" s="1526" t="s">
        <v>9194</v>
      </c>
      <c r="AV38" s="1463" t="str">
        <f t="shared" si="1"/>
        <v>1:56</v>
      </c>
      <c r="AW38" s="1588"/>
    </row>
    <row r="39" ht="15.75" customHeight="1">
      <c r="A39" s="1469" t="s">
        <v>826</v>
      </c>
      <c r="B39" s="1456" t="s">
        <v>8373</v>
      </c>
      <c r="C39" s="1457">
        <v>0.05061342592592592</v>
      </c>
      <c r="D39" s="1270" t="s">
        <v>9195</v>
      </c>
      <c r="E39" s="1465" t="s">
        <v>8544</v>
      </c>
      <c r="F39" s="1465" t="s">
        <v>5368</v>
      </c>
      <c r="G39" s="1463" t="s">
        <v>9196</v>
      </c>
      <c r="H39" s="1465" t="s">
        <v>9197</v>
      </c>
      <c r="I39" s="1465" t="s">
        <v>388</v>
      </c>
      <c r="J39" s="1465" t="s">
        <v>6635</v>
      </c>
      <c r="K39" s="1463" t="s">
        <v>8784</v>
      </c>
      <c r="L39" s="1465" t="s">
        <v>9198</v>
      </c>
      <c r="M39" s="1465" t="s">
        <v>9199</v>
      </c>
      <c r="N39" s="1465" t="s">
        <v>4320</v>
      </c>
      <c r="O39" s="1465" t="s">
        <v>9200</v>
      </c>
      <c r="P39" s="1465" t="s">
        <v>1586</v>
      </c>
      <c r="Q39" s="1597" t="s">
        <v>9201</v>
      </c>
      <c r="R39" s="1465" t="s">
        <v>9202</v>
      </c>
      <c r="S39" s="1463" t="s">
        <v>9203</v>
      </c>
      <c r="T39" s="1465" t="s">
        <v>8919</v>
      </c>
      <c r="U39" s="1465" t="s">
        <v>7089</v>
      </c>
      <c r="V39" s="1465" t="s">
        <v>2473</v>
      </c>
      <c r="W39" s="1598" t="str">
        <f>HYPERLINK("https://www.youtube.com/watch?v=nn1ub1z3NYM","1:45.96")</f>
        <v>1:45.96</v>
      </c>
      <c r="X39" s="1465" t="s">
        <v>5599</v>
      </c>
      <c r="Y39" s="1463" t="s">
        <v>5475</v>
      </c>
      <c r="Z39" s="1465" t="s">
        <v>1499</v>
      </c>
      <c r="AA39" s="1465" t="s">
        <v>9204</v>
      </c>
      <c r="AB39" s="1465" t="s">
        <v>9205</v>
      </c>
      <c r="AC39" s="1465" t="s">
        <v>1048</v>
      </c>
      <c r="AD39" s="1465" t="s">
        <v>9206</v>
      </c>
      <c r="AE39" s="1597" t="s">
        <v>4619</v>
      </c>
      <c r="AF39" s="1463" t="s">
        <v>9207</v>
      </c>
      <c r="AG39" s="1465" t="s">
        <v>2083</v>
      </c>
      <c r="AH39" s="1465" t="s">
        <v>2964</v>
      </c>
      <c r="AI39" s="1465" t="s">
        <v>9208</v>
      </c>
      <c r="AJ39" s="1463" t="s">
        <v>7959</v>
      </c>
      <c r="AK39" s="1465" t="s">
        <v>9209</v>
      </c>
      <c r="AL39" s="1463" t="s">
        <v>4270</v>
      </c>
      <c r="AM39" s="1463" t="s">
        <v>9210</v>
      </c>
      <c r="AN39" s="1463" t="s">
        <v>2506</v>
      </c>
      <c r="AO39" s="1465" t="s">
        <v>5166</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4663</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4591</v>
      </c>
      <c r="R40" s="1465" t="s">
        <v>3900</v>
      </c>
      <c r="S40" s="1465" t="s">
        <v>2539</v>
      </c>
      <c r="T40" s="1465" t="s">
        <v>2349</v>
      </c>
      <c r="U40" s="1465" t="s">
        <v>9224</v>
      </c>
      <c r="V40" s="1465" t="s">
        <v>2165</v>
      </c>
      <c r="W40" s="1465" t="s">
        <v>7560</v>
      </c>
      <c r="X40" s="1465" t="s">
        <v>9225</v>
      </c>
      <c r="Y40" s="1465" t="s">
        <v>9226</v>
      </c>
      <c r="Z40" s="1465" t="s">
        <v>9227</v>
      </c>
      <c r="AA40" s="1465" t="s">
        <v>9228</v>
      </c>
      <c r="AB40" s="1465"/>
      <c r="AC40" s="1465" t="s">
        <v>9229</v>
      </c>
      <c r="AD40" s="1465" t="s">
        <v>9230</v>
      </c>
      <c r="AE40" s="1465" t="s">
        <v>4891</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6367</v>
      </c>
      <c r="AS40" s="1465" t="s">
        <v>6177</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6913</v>
      </c>
      <c r="L41" s="1508" t="s">
        <v>4364</v>
      </c>
      <c r="M41" s="1508" t="s">
        <v>6914</v>
      </c>
      <c r="N41" s="1508" t="s">
        <v>9247</v>
      </c>
      <c r="O41" s="1508" t="s">
        <v>2198</v>
      </c>
      <c r="P41" s="1508" t="s">
        <v>6878</v>
      </c>
      <c r="Q41" s="1509" t="s">
        <v>7640</v>
      </c>
      <c r="R41" s="1509" t="s">
        <v>9248</v>
      </c>
      <c r="S41" s="1509" t="s">
        <v>9249</v>
      </c>
      <c r="T41" s="1509" t="s">
        <v>9250</v>
      </c>
      <c r="U41" s="1509" t="s">
        <v>9251</v>
      </c>
      <c r="V41" s="1509" t="s">
        <v>9252</v>
      </c>
      <c r="W41" s="1510" t="s">
        <v>9253</v>
      </c>
      <c r="X41" s="1510" t="s">
        <v>9254</v>
      </c>
      <c r="Y41" s="1510" t="s">
        <v>5992</v>
      </c>
      <c r="Z41" s="1510" t="s">
        <v>9255</v>
      </c>
      <c r="AA41" s="1465" t="s">
        <v>1760</v>
      </c>
      <c r="AB41" s="1510" t="s">
        <v>9256</v>
      </c>
      <c r="AC41" s="1510" t="s">
        <v>7508</v>
      </c>
      <c r="AD41" s="1506" t="s">
        <v>9257</v>
      </c>
      <c r="AE41" s="1506" t="s">
        <v>533</v>
      </c>
      <c r="AF41" s="1511" t="s">
        <v>9258</v>
      </c>
      <c r="AG41" s="1511" t="s">
        <v>3884</v>
      </c>
      <c r="AH41" s="1511" t="s">
        <v>5188</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3457</v>
      </c>
      <c r="L42" s="1522" t="s">
        <v>5377</v>
      </c>
      <c r="M42" s="1522" t="s">
        <v>9270</v>
      </c>
      <c r="N42" s="1522" t="s">
        <v>9097</v>
      </c>
      <c r="O42" s="1522" t="s">
        <v>9271</v>
      </c>
      <c r="P42" s="1522" t="s">
        <v>5454</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5994</v>
      </c>
      <c r="AF42" s="1525" t="s">
        <v>8509</v>
      </c>
      <c r="AG42" s="1525" t="s">
        <v>9278</v>
      </c>
      <c r="AH42" s="1525" t="s">
        <v>2208</v>
      </c>
      <c r="AI42" s="1525" t="s">
        <v>6171</v>
      </c>
      <c r="AJ42" s="1525" t="s">
        <v>8842</v>
      </c>
      <c r="AK42" s="1525" t="s">
        <v>9279</v>
      </c>
      <c r="AL42" s="1525" t="s">
        <v>5344</v>
      </c>
      <c r="AM42" s="1512" t="s">
        <v>9127</v>
      </c>
      <c r="AN42" s="1512" t="s">
        <v>5344</v>
      </c>
      <c r="AO42" s="1512" t="s">
        <v>2291</v>
      </c>
      <c r="AP42" s="1512" t="s">
        <v>9280</v>
      </c>
      <c r="AQ42" s="1512" t="s">
        <v>9281</v>
      </c>
      <c r="AR42" s="1512" t="s">
        <v>9282</v>
      </c>
      <c r="AS42" s="1512" t="s">
        <v>4316</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6250</v>
      </c>
      <c r="I43" s="1465" t="s">
        <v>1358</v>
      </c>
      <c r="J43" s="1465" t="s">
        <v>9289</v>
      </c>
      <c r="K43" s="1465" t="s">
        <v>3861</v>
      </c>
      <c r="L43" s="1465" t="s">
        <v>9290</v>
      </c>
      <c r="M43" s="1465" t="s">
        <v>9291</v>
      </c>
      <c r="N43" s="1465" t="s">
        <v>7128</v>
      </c>
      <c r="O43" s="1465" t="s">
        <v>9292</v>
      </c>
      <c r="P43" s="1465" t="s">
        <v>8791</v>
      </c>
      <c r="Q43" s="1465" t="s">
        <v>9293</v>
      </c>
      <c r="R43" s="1465" t="s">
        <v>9294</v>
      </c>
      <c r="S43" s="1465" t="s">
        <v>9295</v>
      </c>
      <c r="T43" s="1465" t="s">
        <v>1786</v>
      </c>
      <c r="U43" s="1465" t="s">
        <v>9296</v>
      </c>
      <c r="V43" s="1465" t="s">
        <v>6958</v>
      </c>
      <c r="W43" s="1465" t="s">
        <v>5438</v>
      </c>
      <c r="X43" s="1465" t="s">
        <v>9297</v>
      </c>
      <c r="Y43" s="1465" t="s">
        <v>6871</v>
      </c>
      <c r="Z43" s="1465" t="s">
        <v>2030</v>
      </c>
      <c r="AA43" s="1510" t="s">
        <v>9298</v>
      </c>
      <c r="AB43" s="1465" t="s">
        <v>1908</v>
      </c>
      <c r="AC43" s="1465" t="s">
        <v>7508</v>
      </c>
      <c r="AD43" s="1465" t="s">
        <v>9299</v>
      </c>
      <c r="AE43" s="1465" t="s">
        <v>4891</v>
      </c>
      <c r="AF43" s="1465" t="s">
        <v>9300</v>
      </c>
      <c r="AG43" s="1465" t="s">
        <v>1178</v>
      </c>
      <c r="AH43" s="1465" t="s">
        <v>3833</v>
      </c>
      <c r="AI43" s="1465" t="s">
        <v>9301</v>
      </c>
      <c r="AJ43" s="1465" t="s">
        <v>9302</v>
      </c>
      <c r="AK43" s="1465" t="s">
        <v>9209</v>
      </c>
      <c r="AL43" s="1465" t="s">
        <v>4277</v>
      </c>
      <c r="AM43" s="1465" t="s">
        <v>9209</v>
      </c>
      <c r="AN43" s="1465" t="s">
        <v>8453</v>
      </c>
      <c r="AO43" s="1465" t="s">
        <v>7227</v>
      </c>
      <c r="AP43" s="1465" t="s">
        <v>9303</v>
      </c>
      <c r="AQ43" s="1465" t="s">
        <v>9304</v>
      </c>
      <c r="AR43" s="1465" t="s">
        <v>5099</v>
      </c>
      <c r="AS43" s="1465" t="s">
        <v>9305</v>
      </c>
      <c r="AT43" s="1465" t="s">
        <v>9306</v>
      </c>
      <c r="AU43" s="1465" t="s">
        <v>9307</v>
      </c>
      <c r="AV43" s="1463" t="str">
        <f t="shared" si="1"/>
        <v>2:25</v>
      </c>
      <c r="AW43" s="1536"/>
    </row>
    <row r="44" ht="15.75" customHeight="1">
      <c r="A44" s="1502" t="s">
        <v>4625</v>
      </c>
      <c r="B44" s="1456" t="s">
        <v>8373</v>
      </c>
      <c r="C44" s="1589">
        <v>0.050868055555555555</v>
      </c>
      <c r="D44" s="1270" t="s">
        <v>9308</v>
      </c>
      <c r="E44" s="1463" t="s">
        <v>7456</v>
      </c>
      <c r="F44" s="1463" t="s">
        <v>9309</v>
      </c>
      <c r="G44" s="1463" t="s">
        <v>9310</v>
      </c>
      <c r="H44" s="1463" t="s">
        <v>9140</v>
      </c>
      <c r="I44" s="1463" t="s">
        <v>1358</v>
      </c>
      <c r="J44" s="1463" t="s">
        <v>9263</v>
      </c>
      <c r="K44" s="1463" t="s">
        <v>8821</v>
      </c>
      <c r="L44" s="1463" t="s">
        <v>8672</v>
      </c>
      <c r="M44" s="1463" t="s">
        <v>5274</v>
      </c>
      <c r="N44" s="1463" t="s">
        <v>7917</v>
      </c>
      <c r="O44" s="1463" t="s">
        <v>9311</v>
      </c>
      <c r="P44" s="1463" t="s">
        <v>9312</v>
      </c>
      <c r="Q44" s="1463" t="s">
        <v>9313</v>
      </c>
      <c r="R44" s="1463" t="s">
        <v>7209</v>
      </c>
      <c r="S44" s="1463" t="s">
        <v>8654</v>
      </c>
      <c r="T44" s="1463" t="s">
        <v>4608</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5819</v>
      </c>
      <c r="AH44" s="1463" t="s">
        <v>9320</v>
      </c>
      <c r="AI44" s="1463" t="s">
        <v>7324</v>
      </c>
      <c r="AJ44" s="1463" t="s">
        <v>9321</v>
      </c>
      <c r="AK44" s="1463" t="s">
        <v>5332</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7564</v>
      </c>
      <c r="U45" s="1602" t="s">
        <v>8439</v>
      </c>
      <c r="V45" s="1601" t="s">
        <v>8440</v>
      </c>
      <c r="W45" s="1463" t="s">
        <v>9331</v>
      </c>
      <c r="X45" s="1601" t="s">
        <v>8442</v>
      </c>
      <c r="Y45" s="1463" t="s">
        <v>5575</v>
      </c>
      <c r="Z45" s="1506" t="s">
        <v>9332</v>
      </c>
      <c r="AA45" s="1463" t="s">
        <v>2293</v>
      </c>
      <c r="AB45" s="1520" t="s">
        <v>9333</v>
      </c>
      <c r="AC45" s="1465" t="s">
        <v>9334</v>
      </c>
      <c r="AD45" s="1520" t="s">
        <v>9335</v>
      </c>
      <c r="AE45" s="1465" t="s">
        <v>9336</v>
      </c>
      <c r="AF45" s="1520" t="s">
        <v>9337</v>
      </c>
      <c r="AG45" s="1463" t="s">
        <v>6789</v>
      </c>
      <c r="AH45" s="1506" t="s">
        <v>9220</v>
      </c>
      <c r="AI45" s="1602" t="s">
        <v>8448</v>
      </c>
      <c r="AJ45" s="1520" t="s">
        <v>9338</v>
      </c>
      <c r="AK45" s="1463" t="s">
        <v>5750</v>
      </c>
      <c r="AL45" s="1601" t="s">
        <v>8451</v>
      </c>
      <c r="AM45" s="1463" t="s">
        <v>8745</v>
      </c>
      <c r="AN45" s="1520" t="s">
        <v>3933</v>
      </c>
      <c r="AO45" s="1465" t="s">
        <v>4774</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3820</v>
      </c>
      <c r="L46" s="1508" t="s">
        <v>5638</v>
      </c>
      <c r="M46" s="1508" t="s">
        <v>2900</v>
      </c>
      <c r="N46" s="1508" t="s">
        <v>9168</v>
      </c>
      <c r="O46" s="1508" t="s">
        <v>9348</v>
      </c>
      <c r="P46" s="1508" t="s">
        <v>772</v>
      </c>
      <c r="Q46" s="1509" t="s">
        <v>7534</v>
      </c>
      <c r="R46" s="1509" t="s">
        <v>7254</v>
      </c>
      <c r="S46" s="1509" t="s">
        <v>6363</v>
      </c>
      <c r="T46" s="1509" t="s">
        <v>9349</v>
      </c>
      <c r="U46" s="1603" t="s">
        <v>7695</v>
      </c>
      <c r="V46" s="1509" t="s">
        <v>9350</v>
      </c>
      <c r="W46" s="1510" t="s">
        <v>6556</v>
      </c>
      <c r="X46" s="1510" t="s">
        <v>9351</v>
      </c>
      <c r="Y46" s="1510" t="s">
        <v>9352</v>
      </c>
      <c r="Z46" s="1510" t="s">
        <v>7464</v>
      </c>
      <c r="AA46" s="1510" t="s">
        <v>1935</v>
      </c>
      <c r="AB46" s="1510" t="s">
        <v>9353</v>
      </c>
      <c r="AC46" s="1510" t="s">
        <v>2385</v>
      </c>
      <c r="AD46" s="1506" t="s">
        <v>9354</v>
      </c>
      <c r="AE46" s="1506" t="s">
        <v>5194</v>
      </c>
      <c r="AF46" s="1511" t="s">
        <v>9355</v>
      </c>
      <c r="AG46" s="1511" t="s">
        <v>5306</v>
      </c>
      <c r="AH46" s="1511" t="s">
        <v>4465</v>
      </c>
      <c r="AI46" s="1511" t="s">
        <v>9356</v>
      </c>
      <c r="AJ46" s="1604" t="s">
        <v>8418</v>
      </c>
      <c r="AK46" s="1511" t="s">
        <v>1615</v>
      </c>
      <c r="AL46" s="1511" t="s">
        <v>5751</v>
      </c>
      <c r="AM46" s="1513" t="s">
        <v>4010</v>
      </c>
      <c r="AN46" s="1513" t="s">
        <v>3583</v>
      </c>
      <c r="AO46" s="1513" t="s">
        <v>2425</v>
      </c>
      <c r="AP46" s="1513" t="s">
        <v>9357</v>
      </c>
      <c r="AQ46" s="1513" t="s">
        <v>4349</v>
      </c>
      <c r="AR46" s="1513" t="s">
        <v>7524</v>
      </c>
      <c r="AS46" s="1513" t="s">
        <v>6272</v>
      </c>
      <c r="AT46" s="1508" t="s">
        <v>9358</v>
      </c>
      <c r="AU46" s="1605" t="s">
        <v>9359</v>
      </c>
      <c r="AV46" s="1463" t="str">
        <f t="shared" si="1"/>
        <v>4:25</v>
      </c>
      <c r="AW46" s="1495"/>
    </row>
    <row r="47" ht="15.75" customHeight="1">
      <c r="A47" s="1455" t="s">
        <v>4418</v>
      </c>
      <c r="B47" s="1515" t="s">
        <v>8401</v>
      </c>
      <c r="C47" s="1457">
        <v>0.05100810185185185</v>
      </c>
      <c r="D47" s="1270" t="s">
        <v>9360</v>
      </c>
      <c r="E47" s="1506" t="s">
        <v>9361</v>
      </c>
      <c r="F47" s="1506" t="s">
        <v>9362</v>
      </c>
      <c r="G47" s="1520" t="s">
        <v>9363</v>
      </c>
      <c r="H47" s="1558" t="s">
        <v>9364</v>
      </c>
      <c r="I47" s="1558" t="s">
        <v>1318</v>
      </c>
      <c r="J47" s="1508" t="s">
        <v>5099</v>
      </c>
      <c r="K47" s="1508" t="s">
        <v>9094</v>
      </c>
      <c r="L47" s="1508" t="s">
        <v>4393</v>
      </c>
      <c r="M47" s="1508" t="s">
        <v>1450</v>
      </c>
      <c r="N47" s="1508" t="s">
        <v>9365</v>
      </c>
      <c r="O47" s="1508" t="s">
        <v>8549</v>
      </c>
      <c r="P47" s="1508" t="s">
        <v>9366</v>
      </c>
      <c r="Q47" s="1509" t="s">
        <v>9367</v>
      </c>
      <c r="R47" s="1509" t="s">
        <v>3337</v>
      </c>
      <c r="S47" s="1509" t="s">
        <v>6907</v>
      </c>
      <c r="T47" s="1509" t="s">
        <v>9368</v>
      </c>
      <c r="U47" s="1509" t="s">
        <v>9369</v>
      </c>
      <c r="V47" s="1523" t="s">
        <v>1273</v>
      </c>
      <c r="W47" s="1510" t="s">
        <v>9370</v>
      </c>
      <c r="X47" s="1510" t="s">
        <v>9149</v>
      </c>
      <c r="Y47" s="1510" t="s">
        <v>3904</v>
      </c>
      <c r="Z47" s="1510" t="s">
        <v>7484</v>
      </c>
      <c r="AA47" s="1510" t="s">
        <v>1025</v>
      </c>
      <c r="AB47" s="1510" t="s">
        <v>3962</v>
      </c>
      <c r="AC47" s="1524" t="s">
        <v>6502</v>
      </c>
      <c r="AD47" s="1506" t="s">
        <v>9371</v>
      </c>
      <c r="AE47" s="1520" t="s">
        <v>4879</v>
      </c>
      <c r="AF47" s="1511" t="s">
        <v>9372</v>
      </c>
      <c r="AG47" s="1511" t="s">
        <v>9373</v>
      </c>
      <c r="AH47" s="1511" t="s">
        <v>9374</v>
      </c>
      <c r="AI47" s="1511" t="s">
        <v>8727</v>
      </c>
      <c r="AJ47" s="1511" t="s">
        <v>9375</v>
      </c>
      <c r="AK47" s="1511" t="s">
        <v>9376</v>
      </c>
      <c r="AL47" s="1511" t="s">
        <v>4565</v>
      </c>
      <c r="AM47" s="1513" t="s">
        <v>9377</v>
      </c>
      <c r="AN47" s="1513" t="s">
        <v>3313</v>
      </c>
      <c r="AO47" s="1513" t="s">
        <v>9378</v>
      </c>
      <c r="AP47" s="1513" t="s">
        <v>9379</v>
      </c>
      <c r="AQ47" s="1513" t="s">
        <v>4349</v>
      </c>
      <c r="AR47" s="1513" t="s">
        <v>9380</v>
      </c>
      <c r="AS47" s="1513" t="s">
        <v>4503</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4636</v>
      </c>
      <c r="F48" s="1506" t="s">
        <v>9385</v>
      </c>
      <c r="G48" s="1506" t="s">
        <v>9386</v>
      </c>
      <c r="H48" s="1270" t="s">
        <v>9387</v>
      </c>
      <c r="I48" s="1558" t="s">
        <v>4931</v>
      </c>
      <c r="J48" s="1508" t="s">
        <v>4013</v>
      </c>
      <c r="K48" s="1508" t="s">
        <v>9388</v>
      </c>
      <c r="L48" s="1459" t="s">
        <v>3504</v>
      </c>
      <c r="M48" s="1508" t="s">
        <v>4449</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4132</v>
      </c>
      <c r="AL48" s="1511" t="s">
        <v>9402</v>
      </c>
      <c r="AM48" s="1513" t="s">
        <v>9403</v>
      </c>
      <c r="AN48" s="1547" t="s">
        <v>3266</v>
      </c>
      <c r="AO48" s="1513" t="s">
        <v>6913</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4554</v>
      </c>
      <c r="F49" s="1465" t="s">
        <v>9410</v>
      </c>
      <c r="G49" s="1549" t="s">
        <v>8405</v>
      </c>
      <c r="H49" s="1270" t="s">
        <v>9411</v>
      </c>
      <c r="I49" s="1465" t="s">
        <v>764</v>
      </c>
      <c r="J49" s="1465" t="s">
        <v>6366</v>
      </c>
      <c r="K49" s="1465" t="s">
        <v>2494</v>
      </c>
      <c r="L49" s="1465" t="s">
        <v>1273</v>
      </c>
      <c r="M49" s="1465" t="s">
        <v>9412</v>
      </c>
      <c r="N49" s="1465" t="s">
        <v>8986</v>
      </c>
      <c r="O49" s="1465" t="s">
        <v>9413</v>
      </c>
      <c r="P49" s="1465" t="s">
        <v>3488</v>
      </c>
      <c r="Q49" s="1465" t="s">
        <v>9414</v>
      </c>
      <c r="R49" s="1465" t="s">
        <v>2229</v>
      </c>
      <c r="S49" s="1465" t="s">
        <v>3747</v>
      </c>
      <c r="T49" s="1465" t="s">
        <v>7707</v>
      </c>
      <c r="U49" s="1509" t="s">
        <v>8752</v>
      </c>
      <c r="V49" s="1465" t="s">
        <v>9415</v>
      </c>
      <c r="W49" s="1465" t="s">
        <v>9416</v>
      </c>
      <c r="X49" s="1465" t="s">
        <v>1485</v>
      </c>
      <c r="Y49" s="1465" t="s">
        <v>6875</v>
      </c>
      <c r="Z49" s="1465" t="s">
        <v>8612</v>
      </c>
      <c r="AA49" s="1510" t="s">
        <v>610</v>
      </c>
      <c r="AB49" s="1465" t="s">
        <v>9417</v>
      </c>
      <c r="AC49" s="1465" t="s">
        <v>5194</v>
      </c>
      <c r="AD49" s="1465" t="s">
        <v>8800</v>
      </c>
      <c r="AE49" s="1465" t="s">
        <v>3488</v>
      </c>
      <c r="AF49" s="1465" t="s">
        <v>9418</v>
      </c>
      <c r="AG49" s="1465" t="s">
        <v>9419</v>
      </c>
      <c r="AH49" s="1465" t="s">
        <v>2518</v>
      </c>
      <c r="AI49" s="1465" t="s">
        <v>5902</v>
      </c>
      <c r="AJ49" s="1465" t="s">
        <v>9420</v>
      </c>
      <c r="AK49" s="1465" t="s">
        <v>8875</v>
      </c>
      <c r="AL49" s="1465" t="s">
        <v>9421</v>
      </c>
      <c r="AM49" s="1465" t="s">
        <v>2566</v>
      </c>
      <c r="AN49" s="1465" t="s">
        <v>9422</v>
      </c>
      <c r="AO49" s="1465" t="s">
        <v>8523</v>
      </c>
      <c r="AP49" s="1465" t="s">
        <v>9423</v>
      </c>
      <c r="AQ49" s="1465" t="s">
        <v>9424</v>
      </c>
      <c r="AR49" s="1465" t="s">
        <v>2207</v>
      </c>
      <c r="AS49" s="1465" t="s">
        <v>6871</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4134</v>
      </c>
      <c r="G50" s="1465" t="s">
        <v>8074</v>
      </c>
      <c r="H50" s="1465" t="s">
        <v>9430</v>
      </c>
      <c r="I50" s="1465" t="s">
        <v>160</v>
      </c>
      <c r="J50" s="1465" t="s">
        <v>972</v>
      </c>
      <c r="K50" s="1465" t="s">
        <v>8930</v>
      </c>
      <c r="L50" s="1465" t="s">
        <v>8469</v>
      </c>
      <c r="M50" s="1465" t="s">
        <v>9431</v>
      </c>
      <c r="N50" s="1465" t="s">
        <v>9432</v>
      </c>
      <c r="O50" s="1465" t="s">
        <v>9433</v>
      </c>
      <c r="P50" s="1465" t="s">
        <v>3709</v>
      </c>
      <c r="Q50" s="1465" t="s">
        <v>7117</v>
      </c>
      <c r="R50" s="1465" t="s">
        <v>9434</v>
      </c>
      <c r="S50" s="1465" t="s">
        <v>8275</v>
      </c>
      <c r="T50" s="1463" t="s">
        <v>4180</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7224</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3714</v>
      </c>
      <c r="B51" s="1600" t="s">
        <v>8373</v>
      </c>
      <c r="C51" s="1610">
        <v>0.05123738425925926</v>
      </c>
      <c r="D51" s="1506" t="s">
        <v>9453</v>
      </c>
      <c r="E51" s="1506" t="s">
        <v>3923</v>
      </c>
      <c r="F51" s="1506" t="s">
        <v>9454</v>
      </c>
      <c r="G51" s="1506" t="s">
        <v>8834</v>
      </c>
      <c r="H51" s="1558" t="s">
        <v>9455</v>
      </c>
      <c r="I51" s="1558" t="s">
        <v>9118</v>
      </c>
      <c r="J51" s="1508" t="s">
        <v>9094</v>
      </c>
      <c r="K51" s="1508" t="s">
        <v>6903</v>
      </c>
      <c r="L51" s="1508" t="s">
        <v>9456</v>
      </c>
      <c r="M51" s="1508" t="s">
        <v>8765</v>
      </c>
      <c r="N51" s="1611" t="s">
        <v>1162</v>
      </c>
      <c r="O51" s="1508" t="s">
        <v>3403</v>
      </c>
      <c r="P51" s="1508" t="s">
        <v>8508</v>
      </c>
      <c r="Q51" s="1509" t="s">
        <v>9457</v>
      </c>
      <c r="R51" s="1509" t="s">
        <v>8848</v>
      </c>
      <c r="S51" s="1509" t="s">
        <v>9458</v>
      </c>
      <c r="T51" s="1509" t="s">
        <v>9459</v>
      </c>
      <c r="U51" s="1509" t="s">
        <v>9460</v>
      </c>
      <c r="V51" s="1509" t="s">
        <v>4205</v>
      </c>
      <c r="W51" s="1510" t="s">
        <v>9461</v>
      </c>
      <c r="X51" s="1510" t="s">
        <v>9462</v>
      </c>
      <c r="Y51" s="1510" t="s">
        <v>9463</v>
      </c>
      <c r="Z51" s="1510" t="s">
        <v>1260</v>
      </c>
      <c r="AA51" s="1510" t="s">
        <v>8727</v>
      </c>
      <c r="AB51" s="1510" t="s">
        <v>9203</v>
      </c>
      <c r="AC51" s="1510" t="s">
        <v>481</v>
      </c>
      <c r="AD51" s="1506" t="s">
        <v>9464</v>
      </c>
      <c r="AE51" s="1506" t="s">
        <v>6283</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5045</v>
      </c>
      <c r="I52" s="1463" t="s">
        <v>6282</v>
      </c>
      <c r="J52" s="1463" t="s">
        <v>9482</v>
      </c>
      <c r="K52" s="1463" t="s">
        <v>8774</v>
      </c>
      <c r="L52" s="1463" t="s">
        <v>3834</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7229</v>
      </c>
      <c r="AA52" s="1463" t="s">
        <v>6171</v>
      </c>
      <c r="AB52" s="1463" t="s">
        <v>4433</v>
      </c>
      <c r="AC52" s="1463" t="s">
        <v>6027</v>
      </c>
      <c r="AD52" s="1463" t="s">
        <v>9489</v>
      </c>
      <c r="AE52" s="1614" t="s">
        <v>8447</v>
      </c>
      <c r="AF52" s="1614" t="s">
        <v>2670</v>
      </c>
      <c r="AG52" s="1463" t="s">
        <v>4544</v>
      </c>
      <c r="AH52" s="1463" t="s">
        <v>9490</v>
      </c>
      <c r="AI52" s="1463" t="s">
        <v>9491</v>
      </c>
      <c r="AJ52" s="1463" t="s">
        <v>9492</v>
      </c>
      <c r="AK52" s="1463" t="s">
        <v>5866</v>
      </c>
      <c r="AL52" s="1463" t="s">
        <v>6044</v>
      </c>
      <c r="AM52" s="1614" t="s">
        <v>8452</v>
      </c>
      <c r="AN52" s="1465" t="s">
        <v>2468</v>
      </c>
      <c r="AO52" s="1463" t="s">
        <v>4876</v>
      </c>
      <c r="AP52" s="1463" t="s">
        <v>9493</v>
      </c>
      <c r="AQ52" s="1463" t="s">
        <v>9494</v>
      </c>
      <c r="AR52" s="1463" t="s">
        <v>8883</v>
      </c>
      <c r="AS52" s="1463" t="s">
        <v>4438</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4168</v>
      </c>
      <c r="M53" s="1508" t="s">
        <v>9504</v>
      </c>
      <c r="N53" s="1508" t="s">
        <v>8619</v>
      </c>
      <c r="O53" s="1508" t="s">
        <v>9505</v>
      </c>
      <c r="P53" s="1508" t="s">
        <v>8553</v>
      </c>
      <c r="Q53" s="1509" t="s">
        <v>9506</v>
      </c>
      <c r="R53" s="1509" t="s">
        <v>9294</v>
      </c>
      <c r="S53" s="1509" t="s">
        <v>9507</v>
      </c>
      <c r="T53" s="1509" t="s">
        <v>9298</v>
      </c>
      <c r="U53" s="1509" t="s">
        <v>9508</v>
      </c>
      <c r="V53" s="1509" t="s">
        <v>9072</v>
      </c>
      <c r="W53" s="1510" t="s">
        <v>9509</v>
      </c>
      <c r="X53" s="1510" t="s">
        <v>9510</v>
      </c>
      <c r="Y53" s="1510" t="s">
        <v>5442</v>
      </c>
      <c r="Z53" s="1510" t="s">
        <v>1499</v>
      </c>
      <c r="AA53" s="1510" t="s">
        <v>9511</v>
      </c>
      <c r="AB53" s="1510" t="s">
        <v>6085</v>
      </c>
      <c r="AC53" s="1510" t="s">
        <v>261</v>
      </c>
      <c r="AD53" s="1506" t="s">
        <v>8820</v>
      </c>
      <c r="AE53" s="1506" t="s">
        <v>5442</v>
      </c>
      <c r="AF53" s="1511" t="s">
        <v>9512</v>
      </c>
      <c r="AG53" s="1511" t="s">
        <v>5700</v>
      </c>
      <c r="AH53" s="1511" t="s">
        <v>3999</v>
      </c>
      <c r="AI53" s="1511" t="s">
        <v>9513</v>
      </c>
      <c r="AJ53" s="1511" t="s">
        <v>9514</v>
      </c>
      <c r="AK53" s="1511" t="s">
        <v>9437</v>
      </c>
      <c r="AL53" s="1511" t="s">
        <v>4002</v>
      </c>
      <c r="AM53" s="1513" t="s">
        <v>9515</v>
      </c>
      <c r="AN53" s="1513" t="s">
        <v>4008</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6279</v>
      </c>
      <c r="F54" s="1506" t="s">
        <v>9523</v>
      </c>
      <c r="G54" s="1506" t="s">
        <v>9524</v>
      </c>
      <c r="H54" s="1506" t="s">
        <v>9525</v>
      </c>
      <c r="I54" s="1506" t="s">
        <v>1358</v>
      </c>
      <c r="J54" s="1508" t="s">
        <v>4949</v>
      </c>
      <c r="K54" s="1508" t="s">
        <v>7112</v>
      </c>
      <c r="L54" s="1508" t="s">
        <v>4779</v>
      </c>
      <c r="M54" s="1508" t="s">
        <v>3496</v>
      </c>
      <c r="N54" s="1508" t="s">
        <v>1996</v>
      </c>
      <c r="O54" s="1508" t="s">
        <v>9526</v>
      </c>
      <c r="P54" s="1508" t="s">
        <v>4501</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5585</v>
      </c>
      <c r="AM54" s="1513" t="s">
        <v>9538</v>
      </c>
      <c r="AN54" s="1513" t="s">
        <v>6239</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3852</v>
      </c>
      <c r="L55" s="1616" t="s">
        <v>3777</v>
      </c>
      <c r="M55" s="1522" t="s">
        <v>5571</v>
      </c>
      <c r="N55" s="1522" t="s">
        <v>9549</v>
      </c>
      <c r="O55" s="1616" t="s">
        <v>8434</v>
      </c>
      <c r="P55" s="1522" t="s">
        <v>388</v>
      </c>
      <c r="Q55" s="1523" t="s">
        <v>9550</v>
      </c>
      <c r="R55" s="1523" t="s">
        <v>1621</v>
      </c>
      <c r="S55" s="1523" t="s">
        <v>8954</v>
      </c>
      <c r="T55" s="1617" t="s">
        <v>8438</v>
      </c>
      <c r="U55" s="1523" t="s">
        <v>9551</v>
      </c>
      <c r="V55" s="1523" t="s">
        <v>4001</v>
      </c>
      <c r="W55" s="1618" t="s">
        <v>8441</v>
      </c>
      <c r="X55" s="1524" t="s">
        <v>4286</v>
      </c>
      <c r="Y55" s="1524" t="s">
        <v>6282</v>
      </c>
      <c r="Z55" s="1524" t="s">
        <v>7475</v>
      </c>
      <c r="AA55" s="1524" t="s">
        <v>8917</v>
      </c>
      <c r="AB55" s="1618" t="s">
        <v>8445</v>
      </c>
      <c r="AC55" s="1524" t="s">
        <v>6377</v>
      </c>
      <c r="AD55" s="1513" t="s">
        <v>9552</v>
      </c>
      <c r="AE55" s="1520" t="s">
        <v>9553</v>
      </c>
      <c r="AF55" s="1525" t="s">
        <v>9554</v>
      </c>
      <c r="AG55" s="1525" t="s">
        <v>9555</v>
      </c>
      <c r="AH55" s="1525" t="s">
        <v>6159</v>
      </c>
      <c r="AI55" s="1525" t="s">
        <v>9556</v>
      </c>
      <c r="AJ55" s="1525" t="s">
        <v>9557</v>
      </c>
      <c r="AK55" s="1619" t="s">
        <v>8450</v>
      </c>
      <c r="AL55" s="1525" t="s">
        <v>1564</v>
      </c>
      <c r="AM55" s="1512" t="s">
        <v>9419</v>
      </c>
      <c r="AN55" s="1513" t="s">
        <v>4105</v>
      </c>
      <c r="AO55" s="1512" t="s">
        <v>9558</v>
      </c>
      <c r="AP55" s="1512" t="s">
        <v>9559</v>
      </c>
      <c r="AQ55" s="1512" t="s">
        <v>9560</v>
      </c>
      <c r="AR55" s="1512" t="s">
        <v>8463</v>
      </c>
      <c r="AS55" s="1512" t="s">
        <v>4619</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7520</v>
      </c>
      <c r="H56" s="1463" t="s">
        <v>8608</v>
      </c>
      <c r="I56" s="1463" t="s">
        <v>6047</v>
      </c>
      <c r="J56" s="1463" t="s">
        <v>9566</v>
      </c>
      <c r="K56" s="1463" t="s">
        <v>3861</v>
      </c>
      <c r="L56" s="1463" t="s">
        <v>9567</v>
      </c>
      <c r="M56" s="1463" t="s">
        <v>9568</v>
      </c>
      <c r="N56" s="1463" t="s">
        <v>2750</v>
      </c>
      <c r="O56" s="1463" t="s">
        <v>9569</v>
      </c>
      <c r="P56" s="1463" t="s">
        <v>1087</v>
      </c>
      <c r="Q56" s="1463" t="s">
        <v>2458</v>
      </c>
      <c r="R56" s="1463" t="s">
        <v>9294</v>
      </c>
      <c r="S56" s="1463" t="s">
        <v>9160</v>
      </c>
      <c r="T56" s="1463" t="s">
        <v>9570</v>
      </c>
      <c r="U56" s="1463" t="s">
        <v>9571</v>
      </c>
      <c r="V56" s="1463" t="s">
        <v>4103</v>
      </c>
      <c r="W56" s="1463" t="s">
        <v>9572</v>
      </c>
      <c r="X56" s="1463" t="s">
        <v>9573</v>
      </c>
      <c r="Y56" s="1463" t="s">
        <v>388</v>
      </c>
      <c r="Z56" s="1463" t="s">
        <v>6907</v>
      </c>
      <c r="AA56" s="1463" t="s">
        <v>9105</v>
      </c>
      <c r="AB56" s="1463" t="s">
        <v>8493</v>
      </c>
      <c r="AC56" s="1463" t="s">
        <v>936</v>
      </c>
      <c r="AD56" s="1463" t="s">
        <v>9574</v>
      </c>
      <c r="AE56" s="1463" t="s">
        <v>388</v>
      </c>
      <c r="AF56" s="1463" t="s">
        <v>9575</v>
      </c>
      <c r="AG56" s="1463" t="s">
        <v>9576</v>
      </c>
      <c r="AH56" s="1463" t="s">
        <v>5162</v>
      </c>
      <c r="AI56" s="1463" t="s">
        <v>9577</v>
      </c>
      <c r="AJ56" s="1463" t="s">
        <v>9514</v>
      </c>
      <c r="AK56" s="1463" t="s">
        <v>7250</v>
      </c>
      <c r="AL56" s="1463" t="s">
        <v>3183</v>
      </c>
      <c r="AM56" s="1463" t="s">
        <v>4130</v>
      </c>
      <c r="AN56" s="1463" t="s">
        <v>9578</v>
      </c>
      <c r="AO56" s="1463" t="s">
        <v>8613</v>
      </c>
      <c r="AP56" s="1463" t="s">
        <v>9579</v>
      </c>
      <c r="AQ56" s="1463" t="s">
        <v>9580</v>
      </c>
      <c r="AR56" s="1463" t="s">
        <v>9581</v>
      </c>
      <c r="AS56" s="1512" t="s">
        <v>4410</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3264</v>
      </c>
      <c r="U57" s="1465" t="s">
        <v>9309</v>
      </c>
      <c r="V57" s="1465" t="s">
        <v>5695</v>
      </c>
      <c r="W57" s="1465" t="s">
        <v>9592</v>
      </c>
      <c r="X57" s="1465" t="s">
        <v>625</v>
      </c>
      <c r="Y57" s="1465" t="s">
        <v>9593</v>
      </c>
      <c r="Z57" s="1465" t="s">
        <v>9594</v>
      </c>
      <c r="AA57" s="1620" t="s">
        <v>8444</v>
      </c>
      <c r="AB57" s="1465" t="s">
        <v>5848</v>
      </c>
      <c r="AC57" s="1465" t="s">
        <v>9595</v>
      </c>
      <c r="AD57" s="1465" t="s">
        <v>8736</v>
      </c>
      <c r="AE57" s="1465" t="s">
        <v>2595</v>
      </c>
      <c r="AF57" s="1465" t="s">
        <v>9596</v>
      </c>
      <c r="AG57" s="1602" t="s">
        <v>4603</v>
      </c>
      <c r="AH57" s="1602" t="s">
        <v>5170</v>
      </c>
      <c r="AI57" s="1465" t="s">
        <v>9597</v>
      </c>
      <c r="AJ57" s="1465" t="s">
        <v>9598</v>
      </c>
      <c r="AK57" s="1465" t="s">
        <v>7453</v>
      </c>
      <c r="AL57" s="1465" t="s">
        <v>3833</v>
      </c>
      <c r="AM57" s="1465" t="s">
        <v>9599</v>
      </c>
      <c r="AN57" s="1465" t="s">
        <v>3655</v>
      </c>
      <c r="AO57" s="1602" t="s">
        <v>8454</v>
      </c>
      <c r="AP57" s="1621" t="s">
        <v>8455</v>
      </c>
      <c r="AQ57" s="1465" t="s">
        <v>3287</v>
      </c>
      <c r="AR57" s="1465" t="s">
        <v>1617</v>
      </c>
      <c r="AS57" s="1465" t="s">
        <v>5134</v>
      </c>
      <c r="AT57" s="1465" t="s">
        <v>9600</v>
      </c>
      <c r="AU57" s="1465" t="s">
        <v>8754</v>
      </c>
      <c r="AV57" s="1463" t="str">
        <f t="shared" si="1"/>
        <v>2:22</v>
      </c>
      <c r="AW57" s="1498" t="s">
        <v>9601</v>
      </c>
    </row>
    <row r="58" ht="15.75" customHeight="1">
      <c r="A58" s="1502" t="s">
        <v>3986</v>
      </c>
      <c r="B58" s="1500" t="s">
        <v>8373</v>
      </c>
      <c r="C58" s="1457">
        <v>0.05153935185185185</v>
      </c>
      <c r="D58" s="1535" t="s">
        <v>9602</v>
      </c>
      <c r="E58" s="1535" t="s">
        <v>6562</v>
      </c>
      <c r="F58" s="1535" t="s">
        <v>9603</v>
      </c>
      <c r="G58" s="1535" t="s">
        <v>4884</v>
      </c>
      <c r="H58" s="1270" t="s">
        <v>9604</v>
      </c>
      <c r="I58" s="1535" t="s">
        <v>1358</v>
      </c>
      <c r="J58" s="1535" t="s">
        <v>9605</v>
      </c>
      <c r="K58" s="1535" t="s">
        <v>3529</v>
      </c>
      <c r="L58" s="1535" t="s">
        <v>4205</v>
      </c>
      <c r="M58" s="1535" t="s">
        <v>7040</v>
      </c>
      <c r="N58" s="1535" t="s">
        <v>9606</v>
      </c>
      <c r="O58" s="1535" t="s">
        <v>3769</v>
      </c>
      <c r="P58" s="1535" t="s">
        <v>6875</v>
      </c>
      <c r="Q58" s="1535" t="s">
        <v>9607</v>
      </c>
      <c r="R58" s="1535" t="s">
        <v>3337</v>
      </c>
      <c r="S58" s="1622" t="s">
        <v>9246</v>
      </c>
      <c r="T58" s="1535" t="s">
        <v>9055</v>
      </c>
      <c r="U58" s="1535" t="s">
        <v>9608</v>
      </c>
      <c r="V58" s="1535" t="s">
        <v>1783</v>
      </c>
      <c r="W58" s="1535" t="s">
        <v>9609</v>
      </c>
      <c r="X58" s="1535" t="s">
        <v>1674</v>
      </c>
      <c r="Y58" s="1535" t="s">
        <v>3542</v>
      </c>
      <c r="Z58" s="1535" t="s">
        <v>7220</v>
      </c>
      <c r="AA58" s="1535" t="s">
        <v>894</v>
      </c>
      <c r="AB58" s="1535" t="s">
        <v>9610</v>
      </c>
      <c r="AC58" s="1535" t="s">
        <v>9595</v>
      </c>
      <c r="AD58" s="1535" t="s">
        <v>9611</v>
      </c>
      <c r="AE58" s="1535" t="s">
        <v>4891</v>
      </c>
      <c r="AF58" s="1459" t="s">
        <v>9612</v>
      </c>
      <c r="AG58" s="1535" t="s">
        <v>9613</v>
      </c>
      <c r="AH58" s="1535" t="s">
        <v>9614</v>
      </c>
      <c r="AI58" s="1535" t="s">
        <v>9615</v>
      </c>
      <c r="AJ58" s="1535" t="s">
        <v>9616</v>
      </c>
      <c r="AK58" s="1535" t="s">
        <v>5003</v>
      </c>
      <c r="AL58" s="1535" t="s">
        <v>9421</v>
      </c>
      <c r="AM58" s="1535" t="s">
        <v>9597</v>
      </c>
      <c r="AN58" s="1535" t="s">
        <v>2584</v>
      </c>
      <c r="AO58" s="1535" t="s">
        <v>5609</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5412</v>
      </c>
      <c r="K59" s="1522" t="s">
        <v>3457</v>
      </c>
      <c r="L59" s="1522" t="s">
        <v>9625</v>
      </c>
      <c r="M59" s="1522" t="s">
        <v>9291</v>
      </c>
      <c r="N59" s="1522" t="s">
        <v>1229</v>
      </c>
      <c r="O59" s="1522" t="s">
        <v>9592</v>
      </c>
      <c r="P59" s="1522" t="s">
        <v>8597</v>
      </c>
      <c r="Q59" s="1523" t="s">
        <v>9626</v>
      </c>
      <c r="R59" s="1523" t="s">
        <v>9627</v>
      </c>
      <c r="S59" s="1523" t="s">
        <v>9628</v>
      </c>
      <c r="T59" s="1523" t="s">
        <v>7224</v>
      </c>
      <c r="U59" s="1523" t="s">
        <v>7158</v>
      </c>
      <c r="V59" s="1523" t="s">
        <v>5076</v>
      </c>
      <c r="W59" s="1524" t="s">
        <v>9629</v>
      </c>
      <c r="X59" s="1524" t="s">
        <v>9630</v>
      </c>
      <c r="Y59" s="1524" t="s">
        <v>9488</v>
      </c>
      <c r="Z59" s="1524" t="s">
        <v>8445</v>
      </c>
      <c r="AA59" s="1524" t="s">
        <v>5902</v>
      </c>
      <c r="AB59" s="1524" t="s">
        <v>5621</v>
      </c>
      <c r="AC59" s="1524" t="s">
        <v>6214</v>
      </c>
      <c r="AD59" s="1506" t="s">
        <v>9631</v>
      </c>
      <c r="AE59" s="1520" t="s">
        <v>5463</v>
      </c>
      <c r="AF59" s="1525" t="s">
        <v>9632</v>
      </c>
      <c r="AG59" s="1525" t="s">
        <v>9633</v>
      </c>
      <c r="AH59" s="1525" t="s">
        <v>9634</v>
      </c>
      <c r="AI59" s="1525" t="s">
        <v>1039</v>
      </c>
      <c r="AJ59" s="1525" t="s">
        <v>9635</v>
      </c>
      <c r="AK59" s="1511" t="s">
        <v>625</v>
      </c>
      <c r="AL59" s="1511" t="s">
        <v>9636</v>
      </c>
      <c r="AM59" s="1512" t="s">
        <v>3582</v>
      </c>
      <c r="AN59" s="1512" t="s">
        <v>9637</v>
      </c>
      <c r="AO59" s="1512" t="s">
        <v>9638</v>
      </c>
      <c r="AP59" s="1512" t="s">
        <v>9639</v>
      </c>
      <c r="AQ59" s="1512" t="s">
        <v>9640</v>
      </c>
      <c r="AR59" s="1513" t="s">
        <v>7716</v>
      </c>
      <c r="AS59" s="1512" t="s">
        <v>4410</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6429</v>
      </c>
      <c r="F60" s="1506" t="s">
        <v>8604</v>
      </c>
      <c r="G60" s="1506" t="s">
        <v>9646</v>
      </c>
      <c r="H60" s="1558" t="s">
        <v>9647</v>
      </c>
      <c r="I60" s="1558" t="s">
        <v>9648</v>
      </c>
      <c r="J60" s="1508" t="s">
        <v>9649</v>
      </c>
      <c r="K60" s="1508" t="s">
        <v>7453</v>
      </c>
      <c r="L60" s="1508" t="s">
        <v>4457</v>
      </c>
      <c r="M60" s="1508" t="s">
        <v>9650</v>
      </c>
      <c r="N60" s="1508" t="s">
        <v>6163</v>
      </c>
      <c r="O60" s="1508" t="s">
        <v>9651</v>
      </c>
      <c r="P60" s="1508" t="s">
        <v>6462</v>
      </c>
      <c r="Q60" s="1509" t="s">
        <v>9652</v>
      </c>
      <c r="R60" s="1509" t="s">
        <v>9485</v>
      </c>
      <c r="S60" s="1509" t="s">
        <v>5535</v>
      </c>
      <c r="T60" s="1509" t="s">
        <v>6017</v>
      </c>
      <c r="U60" s="1509" t="s">
        <v>9653</v>
      </c>
      <c r="V60" s="1509" t="s">
        <v>9654</v>
      </c>
      <c r="W60" s="1510" t="s">
        <v>9655</v>
      </c>
      <c r="X60" s="1510" t="s">
        <v>625</v>
      </c>
      <c r="Y60" s="1510" t="s">
        <v>5066</v>
      </c>
      <c r="Z60" s="1510" t="s">
        <v>9656</v>
      </c>
      <c r="AA60" s="1465" t="s">
        <v>9657</v>
      </c>
      <c r="AB60" s="1510" t="s">
        <v>9256</v>
      </c>
      <c r="AC60" s="1510" t="s">
        <v>4678</v>
      </c>
      <c r="AD60" s="1506" t="s">
        <v>9658</v>
      </c>
      <c r="AE60" s="1506" t="s">
        <v>8907</v>
      </c>
      <c r="AF60" s="1625" t="s">
        <v>9659</v>
      </c>
      <c r="AG60" s="1511" t="s">
        <v>6532</v>
      </c>
      <c r="AH60" s="1511" t="s">
        <v>9634</v>
      </c>
      <c r="AI60" s="1511" t="s">
        <v>4053</v>
      </c>
      <c r="AJ60" s="1511" t="s">
        <v>9660</v>
      </c>
      <c r="AK60" s="1511" t="s">
        <v>1520</v>
      </c>
      <c r="AL60" s="1511" t="s">
        <v>3434</v>
      </c>
      <c r="AM60" s="1513" t="s">
        <v>5902</v>
      </c>
      <c r="AN60" s="1513" t="s">
        <v>5585</v>
      </c>
      <c r="AO60" s="1513" t="s">
        <v>6365</v>
      </c>
      <c r="AP60" s="1513" t="s">
        <v>9661</v>
      </c>
      <c r="AQ60" s="1513" t="s">
        <v>3465</v>
      </c>
      <c r="AR60" s="1513" t="s">
        <v>9222</v>
      </c>
      <c r="AS60" s="1513" t="s">
        <v>4028</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3458</v>
      </c>
      <c r="K61" s="1623" t="s">
        <v>9670</v>
      </c>
      <c r="L61" s="1623" t="s">
        <v>5305</v>
      </c>
      <c r="M61" s="1623" t="s">
        <v>709</v>
      </c>
      <c r="N61" s="1623" t="s">
        <v>9671</v>
      </c>
      <c r="O61" s="1623" t="s">
        <v>4687</v>
      </c>
      <c r="P61" s="1623" t="s">
        <v>8407</v>
      </c>
      <c r="Q61" s="1623" t="s">
        <v>9672</v>
      </c>
      <c r="R61" s="1623" t="s">
        <v>9673</v>
      </c>
      <c r="S61" s="1623" t="s">
        <v>9449</v>
      </c>
      <c r="T61" s="1623" t="s">
        <v>9515</v>
      </c>
      <c r="U61" s="1623" t="s">
        <v>9674</v>
      </c>
      <c r="V61" s="1623" t="s">
        <v>9675</v>
      </c>
      <c r="W61" s="1623" t="s">
        <v>9676</v>
      </c>
      <c r="X61" s="1623" t="s">
        <v>9597</v>
      </c>
      <c r="Y61" s="1623" t="s">
        <v>4678</v>
      </c>
      <c r="Z61" s="1623" t="s">
        <v>7149</v>
      </c>
      <c r="AA61" s="1623" t="s">
        <v>9018</v>
      </c>
      <c r="AB61" s="1623" t="s">
        <v>9677</v>
      </c>
      <c r="AC61" s="1623" t="s">
        <v>388</v>
      </c>
      <c r="AD61" s="1623" t="s">
        <v>5940</v>
      </c>
      <c r="AE61" s="1623" t="s">
        <v>2882</v>
      </c>
      <c r="AF61" s="1623" t="s">
        <v>9363</v>
      </c>
      <c r="AG61" s="1623" t="s">
        <v>9678</v>
      </c>
      <c r="AH61" s="1623" t="s">
        <v>5346</v>
      </c>
      <c r="AI61" s="1623" t="s">
        <v>4072</v>
      </c>
      <c r="AJ61" s="1623" t="s">
        <v>9679</v>
      </c>
      <c r="AK61" s="1623" t="s">
        <v>9511</v>
      </c>
      <c r="AL61" s="1623" t="s">
        <v>4482</v>
      </c>
      <c r="AM61" s="1623" t="s">
        <v>9680</v>
      </c>
      <c r="AN61" s="1623" t="s">
        <v>8236</v>
      </c>
      <c r="AO61" s="1623" t="s">
        <v>5084</v>
      </c>
      <c r="AP61" s="1623" t="s">
        <v>9681</v>
      </c>
      <c r="AQ61" s="1623" t="s">
        <v>3548</v>
      </c>
      <c r="AR61" s="1623" t="s">
        <v>9038</v>
      </c>
      <c r="AS61" s="1623" t="s">
        <v>4664</v>
      </c>
      <c r="AT61" s="1623" t="s">
        <v>9682</v>
      </c>
      <c r="AU61" s="1626" t="str">
        <f>HYPERLINK("https://splits.io/pc9","1:16:48")</f>
        <v>1:16:48</v>
      </c>
      <c r="AV61" s="1623" t="str">
        <f t="shared" si="1"/>
        <v>2:27</v>
      </c>
      <c r="AW61" s="1627" t="s">
        <v>9683</v>
      </c>
    </row>
    <row r="62" ht="15.75" customHeight="1">
      <c r="A62" s="1455" t="s">
        <v>5618</v>
      </c>
      <c r="B62" s="1456" t="s">
        <v>8373</v>
      </c>
      <c r="C62" s="1589">
        <v>0.051631944444444446</v>
      </c>
      <c r="D62" s="1270" t="s">
        <v>9684</v>
      </c>
      <c r="E62" s="1623" t="s">
        <v>6562</v>
      </c>
      <c r="F62" s="1623" t="s">
        <v>9685</v>
      </c>
      <c r="G62" s="1623" t="s">
        <v>5249</v>
      </c>
      <c r="H62" s="1623" t="s">
        <v>9269</v>
      </c>
      <c r="I62" s="1623" t="s">
        <v>4678</v>
      </c>
      <c r="J62" s="1623" t="s">
        <v>8594</v>
      </c>
      <c r="K62" s="1623" t="s">
        <v>8272</v>
      </c>
      <c r="L62" s="1623" t="s">
        <v>5714</v>
      </c>
      <c r="M62" s="1623" t="s">
        <v>865</v>
      </c>
      <c r="N62" s="1623" t="s">
        <v>9686</v>
      </c>
      <c r="O62" s="1623" t="s">
        <v>9483</v>
      </c>
      <c r="P62" s="1623" t="s">
        <v>9366</v>
      </c>
      <c r="Q62" s="1623" t="s">
        <v>9687</v>
      </c>
      <c r="R62" s="1623" t="s">
        <v>9627</v>
      </c>
      <c r="S62" s="1623" t="s">
        <v>7104</v>
      </c>
      <c r="T62" s="1623" t="s">
        <v>9688</v>
      </c>
      <c r="U62" s="1623" t="s">
        <v>9689</v>
      </c>
      <c r="V62" s="1623" t="s">
        <v>9690</v>
      </c>
      <c r="W62" s="1623" t="s">
        <v>9691</v>
      </c>
      <c r="X62" s="1623" t="s">
        <v>9692</v>
      </c>
      <c r="Y62" s="1623" t="s">
        <v>1166</v>
      </c>
      <c r="Z62" s="1623" t="s">
        <v>4769</v>
      </c>
      <c r="AA62" s="1623" t="s">
        <v>9693</v>
      </c>
      <c r="AB62" s="1623" t="s">
        <v>7178</v>
      </c>
      <c r="AC62" s="1623" t="s">
        <v>9694</v>
      </c>
      <c r="AD62" s="1623" t="s">
        <v>9695</v>
      </c>
      <c r="AE62" s="1535" t="s">
        <v>5442</v>
      </c>
      <c r="AF62" s="1623" t="s">
        <v>9696</v>
      </c>
      <c r="AG62" s="1623" t="s">
        <v>9697</v>
      </c>
      <c r="AH62" s="1623" t="s">
        <v>2204</v>
      </c>
      <c r="AI62" s="1623" t="s">
        <v>5171</v>
      </c>
      <c r="AJ62" s="1623" t="s">
        <v>8052</v>
      </c>
      <c r="AK62" s="1623" t="s">
        <v>1705</v>
      </c>
      <c r="AL62" s="1623" t="s">
        <v>5585</v>
      </c>
      <c r="AM62" s="1623" t="s">
        <v>9698</v>
      </c>
      <c r="AN62" s="1623" t="s">
        <v>9699</v>
      </c>
      <c r="AO62" s="1623" t="s">
        <v>8642</v>
      </c>
      <c r="AP62" s="1623" t="s">
        <v>9700</v>
      </c>
      <c r="AQ62" s="1623" t="s">
        <v>9701</v>
      </c>
      <c r="AR62" s="1623" t="s">
        <v>4755</v>
      </c>
      <c r="AS62" s="1623" t="s">
        <v>2952</v>
      </c>
      <c r="AT62" s="1623" t="s">
        <v>9702</v>
      </c>
      <c r="AU62" s="1623" t="s">
        <v>9703</v>
      </c>
      <c r="AV62" s="1623" t="str">
        <f t="shared" si="1"/>
        <v>3:33</v>
      </c>
      <c r="AW62" s="1627"/>
    </row>
    <row r="63" ht="15.75" customHeight="1">
      <c r="A63" s="1455" t="s">
        <v>4209</v>
      </c>
      <c r="B63" s="1456" t="s">
        <v>8373</v>
      </c>
      <c r="C63" s="1589">
        <v>0.05164351851851852</v>
      </c>
      <c r="D63" s="1270" t="s">
        <v>9704</v>
      </c>
      <c r="E63" s="1623" t="s">
        <v>8544</v>
      </c>
      <c r="F63" s="1623" t="s">
        <v>9705</v>
      </c>
      <c r="G63" s="1623" t="s">
        <v>8429</v>
      </c>
      <c r="H63" s="1623" t="s">
        <v>9706</v>
      </c>
      <c r="I63" s="1623" t="s">
        <v>1358</v>
      </c>
      <c r="J63" s="1623" t="s">
        <v>804</v>
      </c>
      <c r="K63" s="1623" t="s">
        <v>7066</v>
      </c>
      <c r="L63" s="1623" t="s">
        <v>3583</v>
      </c>
      <c r="M63" s="1623" t="s">
        <v>9650</v>
      </c>
      <c r="N63" s="1623" t="s">
        <v>8697</v>
      </c>
      <c r="O63" s="1623" t="s">
        <v>9370</v>
      </c>
      <c r="P63" s="1623" t="s">
        <v>5117</v>
      </c>
      <c r="Q63" s="1623" t="s">
        <v>9707</v>
      </c>
      <c r="R63" s="1623" t="s">
        <v>3605</v>
      </c>
      <c r="S63" s="1623" t="s">
        <v>9708</v>
      </c>
      <c r="T63" s="1623" t="s">
        <v>9709</v>
      </c>
      <c r="U63" s="1623" t="s">
        <v>9710</v>
      </c>
      <c r="V63" s="1623" t="s">
        <v>9711</v>
      </c>
      <c r="W63" s="1623" t="s">
        <v>9712</v>
      </c>
      <c r="X63" s="1623" t="s">
        <v>604</v>
      </c>
      <c r="Y63" s="1623" t="s">
        <v>9713</v>
      </c>
      <c r="Z63" s="1623" t="s">
        <v>7475</v>
      </c>
      <c r="AA63" s="1623" t="s">
        <v>5538</v>
      </c>
      <c r="AB63" s="1623" t="s">
        <v>6366</v>
      </c>
      <c r="AC63" s="1623" t="s">
        <v>6502</v>
      </c>
      <c r="AD63" s="1623" t="s">
        <v>9714</v>
      </c>
      <c r="AE63" s="1623" t="s">
        <v>1916</v>
      </c>
      <c r="AF63" s="1623" t="s">
        <v>9715</v>
      </c>
      <c r="AG63" s="1623" t="s">
        <v>524</v>
      </c>
      <c r="AH63" s="1623" t="s">
        <v>5346</v>
      </c>
      <c r="AI63" s="1623" t="s">
        <v>9716</v>
      </c>
      <c r="AJ63" s="1623" t="s">
        <v>9717</v>
      </c>
      <c r="AK63" s="1623" t="s">
        <v>9718</v>
      </c>
      <c r="AL63" s="1623" t="s">
        <v>5114</v>
      </c>
      <c r="AM63" s="1623" t="s">
        <v>9164</v>
      </c>
      <c r="AN63" s="1623" t="s">
        <v>8760</v>
      </c>
      <c r="AO63" s="1623" t="s">
        <v>8463</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7209</v>
      </c>
      <c r="N64" s="1623" t="s">
        <v>9729</v>
      </c>
      <c r="O64" s="1623" t="s">
        <v>9730</v>
      </c>
      <c r="P64" s="1623" t="s">
        <v>2408</v>
      </c>
      <c r="Q64" s="1623" t="s">
        <v>718</v>
      </c>
      <c r="R64" s="1623" t="s">
        <v>9731</v>
      </c>
      <c r="S64" s="1623" t="s">
        <v>9732</v>
      </c>
      <c r="T64" s="1623" t="s">
        <v>9733</v>
      </c>
      <c r="U64" s="1623" t="s">
        <v>9324</v>
      </c>
      <c r="V64" s="1623" t="s">
        <v>486</v>
      </c>
      <c r="W64" s="1623" t="s">
        <v>5743</v>
      </c>
      <c r="X64" s="1623" t="s">
        <v>9734</v>
      </c>
      <c r="Y64" s="1623" t="s">
        <v>870</v>
      </c>
      <c r="Z64" s="1623" t="s">
        <v>3962</v>
      </c>
      <c r="AA64" s="1623" t="s">
        <v>1618</v>
      </c>
      <c r="AB64" s="1623" t="s">
        <v>8969</v>
      </c>
      <c r="AC64" s="1623" t="s">
        <v>9735</v>
      </c>
      <c r="AD64" s="1535" t="s">
        <v>9736</v>
      </c>
      <c r="AE64" s="1623" t="s">
        <v>1930</v>
      </c>
      <c r="AF64" s="1623" t="s">
        <v>9207</v>
      </c>
      <c r="AG64" s="1623" t="s">
        <v>6642</v>
      </c>
      <c r="AH64" s="1623" t="s">
        <v>4457</v>
      </c>
      <c r="AI64" s="1623" t="s">
        <v>6149</v>
      </c>
      <c r="AJ64" s="1623" t="s">
        <v>9737</v>
      </c>
      <c r="AK64" s="1623" t="s">
        <v>3263</v>
      </c>
      <c r="AL64" s="1623" t="s">
        <v>5170</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4625</v>
      </c>
      <c r="B65" s="1515" t="s">
        <v>8401</v>
      </c>
      <c r="C65" s="1589">
        <v>0.05170138888888889</v>
      </c>
      <c r="D65" s="1270" t="s">
        <v>9747</v>
      </c>
      <c r="E65" s="1623" t="s">
        <v>4247</v>
      </c>
      <c r="F65" s="1623" t="s">
        <v>9314</v>
      </c>
      <c r="G65" s="1623" t="s">
        <v>8799</v>
      </c>
      <c r="H65" s="1623" t="s">
        <v>9748</v>
      </c>
      <c r="I65" s="1623" t="s">
        <v>9749</v>
      </c>
      <c r="J65" s="1623" t="s">
        <v>9329</v>
      </c>
      <c r="K65" s="1623" t="s">
        <v>8642</v>
      </c>
      <c r="L65" s="1623" t="s">
        <v>4031</v>
      </c>
      <c r="M65" s="1623" t="s">
        <v>7410</v>
      </c>
      <c r="N65" s="1623" t="s">
        <v>5946</v>
      </c>
      <c r="O65" s="1623" t="s">
        <v>9433</v>
      </c>
      <c r="P65" s="1623" t="s">
        <v>481</v>
      </c>
      <c r="Q65" s="1623" t="s">
        <v>2825</v>
      </c>
      <c r="R65" s="1623" t="s">
        <v>9750</v>
      </c>
      <c r="S65" s="1623" t="s">
        <v>9638</v>
      </c>
      <c r="T65" s="1623" t="s">
        <v>2750</v>
      </c>
      <c r="U65" s="1623" t="s">
        <v>9751</v>
      </c>
      <c r="V65" s="1623" t="s">
        <v>9752</v>
      </c>
      <c r="W65" s="1623" t="s">
        <v>9676</v>
      </c>
      <c r="X65" s="1623" t="s">
        <v>3582</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6272</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4859</v>
      </c>
      <c r="L66" s="1535" t="s">
        <v>1808</v>
      </c>
      <c r="M66" s="1629" t="s">
        <v>9771</v>
      </c>
      <c r="N66" s="1535" t="s">
        <v>9772</v>
      </c>
      <c r="O66" s="1535" t="s">
        <v>1777</v>
      </c>
      <c r="P66" s="1535" t="s">
        <v>5066</v>
      </c>
      <c r="Q66" s="1535" t="s">
        <v>9773</v>
      </c>
      <c r="R66" s="1535" t="s">
        <v>9774</v>
      </c>
      <c r="S66" s="1535" t="s">
        <v>3710</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3792</v>
      </c>
      <c r="AF66" s="1535" t="s">
        <v>9780</v>
      </c>
      <c r="AG66" s="1535" t="s">
        <v>524</v>
      </c>
      <c r="AH66" s="1535" t="s">
        <v>9781</v>
      </c>
      <c r="AI66" s="1535" t="s">
        <v>5374</v>
      </c>
      <c r="AJ66" s="1535" t="s">
        <v>9782</v>
      </c>
      <c r="AK66" s="1535" t="s">
        <v>9783</v>
      </c>
      <c r="AL66" s="1535" t="s">
        <v>1659</v>
      </c>
      <c r="AM66" s="1535" t="s">
        <v>9606</v>
      </c>
      <c r="AN66" s="1535" t="s">
        <v>9784</v>
      </c>
      <c r="AO66" s="1535" t="s">
        <v>2722</v>
      </c>
      <c r="AP66" s="1535" t="s">
        <v>1994</v>
      </c>
      <c r="AQ66" s="1535" t="s">
        <v>756</v>
      </c>
      <c r="AR66" s="1535" t="s">
        <v>9406</v>
      </c>
      <c r="AS66" s="1535" t="s">
        <v>6879</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7343</v>
      </c>
      <c r="I67" s="1535" t="s">
        <v>494</v>
      </c>
      <c r="J67" s="1535" t="s">
        <v>8740</v>
      </c>
      <c r="K67" s="1535" t="s">
        <v>9792</v>
      </c>
      <c r="L67" s="1535" t="s">
        <v>6956</v>
      </c>
      <c r="M67" s="1535" t="s">
        <v>3499</v>
      </c>
      <c r="N67" s="1535" t="s">
        <v>9793</v>
      </c>
      <c r="O67" s="1535" t="s">
        <v>9794</v>
      </c>
      <c r="P67" s="1535" t="s">
        <v>3722</v>
      </c>
      <c r="Q67" s="1535" t="s">
        <v>9795</v>
      </c>
      <c r="R67" s="1535" t="s">
        <v>9731</v>
      </c>
      <c r="S67" s="1535" t="s">
        <v>5509</v>
      </c>
      <c r="T67" s="1535" t="s">
        <v>9796</v>
      </c>
      <c r="U67" s="1535" t="s">
        <v>9797</v>
      </c>
      <c r="V67" s="1535" t="s">
        <v>360</v>
      </c>
      <c r="W67" s="1535" t="s">
        <v>5542</v>
      </c>
      <c r="X67" s="1535" t="s">
        <v>9633</v>
      </c>
      <c r="Y67" s="1535" t="s">
        <v>1166</v>
      </c>
      <c r="Z67" s="1535" t="s">
        <v>9798</v>
      </c>
      <c r="AA67" s="1535" t="s">
        <v>9018</v>
      </c>
      <c r="AB67" s="1535" t="s">
        <v>6364</v>
      </c>
      <c r="AC67" s="1535" t="s">
        <v>160</v>
      </c>
      <c r="AD67" s="1535" t="s">
        <v>9658</v>
      </c>
      <c r="AE67" s="1535" t="s">
        <v>9090</v>
      </c>
      <c r="AF67" s="1535" t="s">
        <v>9104</v>
      </c>
      <c r="AG67" s="1535" t="s">
        <v>4820</v>
      </c>
      <c r="AH67" s="1535" t="s">
        <v>9799</v>
      </c>
      <c r="AI67" s="1535" t="s">
        <v>9800</v>
      </c>
      <c r="AJ67" s="1535" t="s">
        <v>9801</v>
      </c>
      <c r="AK67" s="1535" t="s">
        <v>8708</v>
      </c>
      <c r="AL67" s="1535" t="s">
        <v>9802</v>
      </c>
      <c r="AM67" s="1535" t="s">
        <v>2808</v>
      </c>
      <c r="AN67" s="1535" t="s">
        <v>5114</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6046</v>
      </c>
      <c r="L68" s="1474">
        <v>59.57</v>
      </c>
      <c r="M68" s="1474" t="s">
        <v>9815</v>
      </c>
      <c r="N68" s="1474" t="s">
        <v>9816</v>
      </c>
      <c r="O68" s="1473" t="s">
        <v>7261</v>
      </c>
      <c r="P68" s="1473" t="s">
        <v>9817</v>
      </c>
      <c r="Q68" s="1473" t="s">
        <v>9818</v>
      </c>
      <c r="R68" s="1474" t="s">
        <v>9819</v>
      </c>
      <c r="S68" s="1474" t="s">
        <v>9449</v>
      </c>
      <c r="T68" s="1474" t="s">
        <v>9820</v>
      </c>
      <c r="U68" s="1474" t="s">
        <v>9821</v>
      </c>
      <c r="V68" s="1474" t="s">
        <v>4361</v>
      </c>
      <c r="W68" s="1474" t="s">
        <v>9822</v>
      </c>
      <c r="X68" s="1474" t="s">
        <v>9823</v>
      </c>
      <c r="Y68" s="1473" t="s">
        <v>9334</v>
      </c>
      <c r="Z68" s="1630" t="s">
        <v>8443</v>
      </c>
      <c r="AA68" s="1474" t="s">
        <v>197</v>
      </c>
      <c r="AB68" s="1473" t="s">
        <v>4262</v>
      </c>
      <c r="AC68" s="1474">
        <v>49.53</v>
      </c>
      <c r="AD68" s="1474" t="s">
        <v>1858</v>
      </c>
      <c r="AE68" s="1473" t="s">
        <v>9824</v>
      </c>
      <c r="AF68" s="1474" t="s">
        <v>8602</v>
      </c>
      <c r="AG68" s="1474" t="s">
        <v>9825</v>
      </c>
      <c r="AH68" s="1474">
        <v>59.93</v>
      </c>
      <c r="AI68" s="1474" t="s">
        <v>9826</v>
      </c>
      <c r="AJ68" s="1474" t="s">
        <v>9827</v>
      </c>
      <c r="AK68" s="1474" t="s">
        <v>5732</v>
      </c>
      <c r="AL68" s="1474">
        <v>59.13</v>
      </c>
      <c r="AM68" s="1474" t="s">
        <v>9762</v>
      </c>
      <c r="AN68" s="1474">
        <v>57.86</v>
      </c>
      <c r="AO68" s="1474" t="s">
        <v>7563</v>
      </c>
      <c r="AP68" s="1474" t="s">
        <v>9828</v>
      </c>
      <c r="AQ68" s="1474" t="s">
        <v>9340</v>
      </c>
      <c r="AR68" s="1474" t="s">
        <v>5965</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7315</v>
      </c>
      <c r="P69" s="1552" t="s">
        <v>8914</v>
      </c>
      <c r="Q69" s="1552" t="s">
        <v>9837</v>
      </c>
      <c r="R69" s="1459" t="s">
        <v>3095</v>
      </c>
      <c r="S69" s="1552" t="s">
        <v>4873</v>
      </c>
      <c r="T69" s="1459" t="s">
        <v>9838</v>
      </c>
      <c r="U69" s="1552" t="s">
        <v>9839</v>
      </c>
      <c r="V69" s="1552" t="s">
        <v>9752</v>
      </c>
      <c r="W69" s="1459" t="s">
        <v>9840</v>
      </c>
      <c r="X69" s="1459" t="s">
        <v>9396</v>
      </c>
      <c r="Y69" s="1459" t="s">
        <v>9841</v>
      </c>
      <c r="Z69" s="1552" t="s">
        <v>6130</v>
      </c>
      <c r="AA69" s="1552" t="s">
        <v>887</v>
      </c>
      <c r="AB69" s="1459" t="s">
        <v>9842</v>
      </c>
      <c r="AC69" s="1552" t="s">
        <v>2021</v>
      </c>
      <c r="AD69" s="1459" t="s">
        <v>9843</v>
      </c>
      <c r="AE69" s="1552" t="s">
        <v>6462</v>
      </c>
      <c r="AF69" s="1459" t="s">
        <v>9512</v>
      </c>
      <c r="AG69" s="1459" t="s">
        <v>401</v>
      </c>
      <c r="AH69" s="1459" t="s">
        <v>9844</v>
      </c>
      <c r="AI69" s="1552" t="s">
        <v>244</v>
      </c>
      <c r="AJ69" s="1552" t="s">
        <v>9845</v>
      </c>
      <c r="AK69" s="1552" t="s">
        <v>9108</v>
      </c>
      <c r="AL69" s="1552" t="s">
        <v>4692</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6257</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5305</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4746</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7428</v>
      </c>
      <c r="N71" s="1623" t="s">
        <v>9515</v>
      </c>
      <c r="O71" s="1623" t="s">
        <v>4471</v>
      </c>
      <c r="P71" s="1623" t="s">
        <v>1523</v>
      </c>
      <c r="Q71" s="1623" t="s">
        <v>9883</v>
      </c>
      <c r="R71" s="1623" t="s">
        <v>9124</v>
      </c>
      <c r="S71" s="1623" t="s">
        <v>4436</v>
      </c>
      <c r="T71" s="1623" t="s">
        <v>9884</v>
      </c>
      <c r="U71" s="1623" t="s">
        <v>9674</v>
      </c>
      <c r="V71" s="1623" t="s">
        <v>6268</v>
      </c>
      <c r="W71" s="1623" t="s">
        <v>4471</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5541</v>
      </c>
      <c r="AM71" s="1623" t="s">
        <v>9892</v>
      </c>
      <c r="AN71" s="1623" t="s">
        <v>6089</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4132</v>
      </c>
      <c r="K72" s="1270" t="s">
        <v>9119</v>
      </c>
      <c r="L72" s="1270" t="s">
        <v>2702</v>
      </c>
      <c r="M72" s="1270" t="s">
        <v>9902</v>
      </c>
      <c r="N72" s="1270" t="s">
        <v>4010</v>
      </c>
      <c r="O72" s="1270" t="s">
        <v>9903</v>
      </c>
      <c r="P72" s="1270" t="s">
        <v>5119</v>
      </c>
      <c r="Q72" s="1270" t="s">
        <v>9904</v>
      </c>
      <c r="R72" s="1270" t="s">
        <v>5491</v>
      </c>
      <c r="S72" s="1270" t="s">
        <v>9905</v>
      </c>
      <c r="T72" s="1270" t="s">
        <v>8448</v>
      </c>
      <c r="U72" s="1270" t="s">
        <v>9906</v>
      </c>
      <c r="V72" s="1270" t="s">
        <v>5403</v>
      </c>
      <c r="W72" s="1270" t="s">
        <v>9907</v>
      </c>
      <c r="X72" s="1270" t="s">
        <v>9908</v>
      </c>
      <c r="Y72" s="1270" t="s">
        <v>9909</v>
      </c>
      <c r="Z72" s="1270" t="s">
        <v>9130</v>
      </c>
      <c r="AA72" s="1270" t="s">
        <v>5091</v>
      </c>
      <c r="AB72" s="1270" t="s">
        <v>685</v>
      </c>
      <c r="AC72" s="1270" t="s">
        <v>9910</v>
      </c>
      <c r="AD72" s="1270" t="s">
        <v>9911</v>
      </c>
      <c r="AE72" s="1270" t="s">
        <v>5765</v>
      </c>
      <c r="AF72" s="1270" t="s">
        <v>9912</v>
      </c>
      <c r="AG72" s="1270" t="s">
        <v>2438</v>
      </c>
      <c r="AH72" s="1270" t="s">
        <v>2702</v>
      </c>
      <c r="AI72" s="1270" t="s">
        <v>196</v>
      </c>
      <c r="AJ72" s="1270" t="s">
        <v>9913</v>
      </c>
      <c r="AK72" s="1270" t="s">
        <v>9137</v>
      </c>
      <c r="AL72" s="1270" t="s">
        <v>9587</v>
      </c>
      <c r="AM72" s="1270" t="s">
        <v>9106</v>
      </c>
      <c r="AN72" s="1270" t="s">
        <v>3493</v>
      </c>
      <c r="AO72" s="1270" t="s">
        <v>8589</v>
      </c>
      <c r="AP72" s="1270" t="s">
        <v>9540</v>
      </c>
      <c r="AQ72" s="1270" t="s">
        <v>9894</v>
      </c>
      <c r="AR72" s="1270" t="s">
        <v>9914</v>
      </c>
      <c r="AS72" s="1270" t="s">
        <v>6272</v>
      </c>
      <c r="AT72" s="1270" t="s">
        <v>9915</v>
      </c>
      <c r="AU72" s="1535" t="s">
        <v>9916</v>
      </c>
      <c r="AV72" s="1623" t="str">
        <f t="shared" si="1"/>
        <v>4:21</v>
      </c>
      <c r="AW72" s="1624" t="s">
        <v>9917</v>
      </c>
    </row>
    <row r="73" ht="15.75" customHeight="1">
      <c r="A73" s="1455" t="s">
        <v>4809</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5052</v>
      </c>
      <c r="M73" s="1531" t="s">
        <v>2886</v>
      </c>
      <c r="N73" s="1531" t="s">
        <v>4694</v>
      </c>
      <c r="O73" s="1531" t="s">
        <v>5737</v>
      </c>
      <c r="P73" s="1635">
        <v>48.99</v>
      </c>
      <c r="Q73" s="1531" t="s">
        <v>9923</v>
      </c>
      <c r="R73" s="1531" t="s">
        <v>5711</v>
      </c>
      <c r="S73" s="1531" t="s">
        <v>4201</v>
      </c>
      <c r="T73" s="1531" t="s">
        <v>9924</v>
      </c>
      <c r="U73" s="1531" t="s">
        <v>9925</v>
      </c>
      <c r="V73" s="1531" t="s">
        <v>2444</v>
      </c>
      <c r="W73" s="1531" t="s">
        <v>9926</v>
      </c>
      <c r="X73" s="1531" t="s">
        <v>9630</v>
      </c>
      <c r="Y73" s="1636">
        <v>47.93</v>
      </c>
      <c r="Z73" s="1531" t="s">
        <v>9927</v>
      </c>
      <c r="AA73" s="1531" t="s">
        <v>5040</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4840</v>
      </c>
      <c r="AP73" s="1531" t="s">
        <v>9931</v>
      </c>
      <c r="AQ73" s="1531" t="s">
        <v>3287</v>
      </c>
      <c r="AR73" s="1637" t="s">
        <v>6365</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7456</v>
      </c>
      <c r="F74" s="1535" t="s">
        <v>9935</v>
      </c>
      <c r="G74" s="1535" t="s">
        <v>9936</v>
      </c>
      <c r="H74" s="1535" t="s">
        <v>9937</v>
      </c>
      <c r="I74" s="1535" t="s">
        <v>2408</v>
      </c>
      <c r="J74" s="1535" t="s">
        <v>4229</v>
      </c>
      <c r="K74" s="1535" t="s">
        <v>9057</v>
      </c>
      <c r="L74" s="1535"/>
      <c r="M74" s="1535" t="s">
        <v>7073</v>
      </c>
      <c r="N74" s="1535" t="s">
        <v>9282</v>
      </c>
      <c r="O74" s="1535" t="s">
        <v>8441</v>
      </c>
      <c r="P74" s="1535" t="s">
        <v>9533</v>
      </c>
      <c r="Q74" s="1535" t="s">
        <v>9938</v>
      </c>
      <c r="R74" s="1535" t="s">
        <v>9939</v>
      </c>
      <c r="S74" s="1535" t="s">
        <v>8815</v>
      </c>
      <c r="T74" s="1535" t="s">
        <v>9074</v>
      </c>
      <c r="U74" s="1535" t="s">
        <v>2257</v>
      </c>
      <c r="V74" s="1535" t="s">
        <v>8868</v>
      </c>
      <c r="W74" s="1535" t="s">
        <v>5737</v>
      </c>
      <c r="X74" s="1535" t="s">
        <v>625</v>
      </c>
      <c r="Y74" s="1535" t="s">
        <v>8829</v>
      </c>
      <c r="Z74" s="1535" t="s">
        <v>8473</v>
      </c>
      <c r="AA74" s="1535" t="s">
        <v>7576</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3763</v>
      </c>
      <c r="AT74" s="1535" t="s">
        <v>9952</v>
      </c>
      <c r="AU74" s="1535" t="s">
        <v>9953</v>
      </c>
      <c r="AV74" s="1623" t="str">
        <f t="shared" si="1"/>
        <v>4:12</v>
      </c>
      <c r="AW74" s="1628"/>
    </row>
    <row r="75">
      <c r="A75" s="1502" t="s">
        <v>3598</v>
      </c>
      <c r="B75" s="1496" t="s">
        <v>8373</v>
      </c>
      <c r="C75" s="1457">
        <v>0.05196759259259259</v>
      </c>
      <c r="D75" s="1270" t="s">
        <v>9954</v>
      </c>
      <c r="E75" s="1535" t="s">
        <v>9955</v>
      </c>
      <c r="F75" s="1535" t="s">
        <v>1298</v>
      </c>
      <c r="G75" s="1535" t="s">
        <v>9956</v>
      </c>
      <c r="H75" s="1270" t="s">
        <v>9957</v>
      </c>
      <c r="I75" s="1535" t="s">
        <v>9648</v>
      </c>
      <c r="J75" s="1535" t="s">
        <v>4009</v>
      </c>
      <c r="K75" s="1535" t="s">
        <v>9263</v>
      </c>
      <c r="L75" s="1535" t="s">
        <v>4881</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3625</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4009</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7372</v>
      </c>
      <c r="I76" s="1623" t="s">
        <v>9488</v>
      </c>
      <c r="J76" s="1623" t="s">
        <v>9975</v>
      </c>
      <c r="K76" s="1623" t="s">
        <v>9976</v>
      </c>
      <c r="L76" s="1623" t="s">
        <v>3017</v>
      </c>
      <c r="M76" s="1623" t="s">
        <v>9977</v>
      </c>
      <c r="N76" s="1623" t="s">
        <v>9209</v>
      </c>
      <c r="O76" s="1623" t="s">
        <v>9978</v>
      </c>
      <c r="P76" s="1623" t="s">
        <v>2374</v>
      </c>
      <c r="Q76" s="1623" t="s">
        <v>4979</v>
      </c>
      <c r="R76" s="1623" t="s">
        <v>5241</v>
      </c>
      <c r="S76" s="1623" t="s">
        <v>4812</v>
      </c>
      <c r="T76" s="1623" t="s">
        <v>5700</v>
      </c>
      <c r="U76" s="1623" t="s">
        <v>9979</v>
      </c>
      <c r="V76" s="1623" t="s">
        <v>6268</v>
      </c>
      <c r="W76" s="1623" t="s">
        <v>7732</v>
      </c>
      <c r="X76" s="1623" t="s">
        <v>9980</v>
      </c>
      <c r="Y76" s="1623" t="s">
        <v>2021</v>
      </c>
      <c r="Z76" s="1623" t="s">
        <v>9981</v>
      </c>
      <c r="AA76" s="1623" t="s">
        <v>9630</v>
      </c>
      <c r="AB76" s="1623" t="s">
        <v>9982</v>
      </c>
      <c r="AC76" s="1623" t="s">
        <v>8447</v>
      </c>
      <c r="AD76" s="1623" t="s">
        <v>9983</v>
      </c>
      <c r="AE76" s="1623" t="s">
        <v>6502</v>
      </c>
      <c r="AF76" s="1623" t="s">
        <v>9984</v>
      </c>
      <c r="AG76" s="1623" t="s">
        <v>9891</v>
      </c>
      <c r="AH76" s="1623" t="s">
        <v>9985</v>
      </c>
      <c r="AI76" s="1623" t="s">
        <v>9986</v>
      </c>
      <c r="AJ76" s="1623" t="s">
        <v>9987</v>
      </c>
      <c r="AK76" s="1623" t="s">
        <v>809</v>
      </c>
      <c r="AL76" s="1623" t="s">
        <v>3209</v>
      </c>
      <c r="AM76" s="1623" t="s">
        <v>9400</v>
      </c>
      <c r="AN76" s="1623" t="s">
        <v>9988</v>
      </c>
      <c r="AO76" s="1535" t="s">
        <v>7329</v>
      </c>
      <c r="AP76" s="1535" t="s">
        <v>9989</v>
      </c>
      <c r="AQ76" s="1623" t="s">
        <v>5277</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3505</v>
      </c>
      <c r="J77" s="1623" t="s">
        <v>9094</v>
      </c>
      <c r="K77" s="1623" t="s">
        <v>4436</v>
      </c>
      <c r="L77" s="1623" t="s">
        <v>3450</v>
      </c>
      <c r="M77" s="1623" t="s">
        <v>9673</v>
      </c>
      <c r="N77" s="1623" t="s">
        <v>4474</v>
      </c>
      <c r="O77" s="1623" t="s">
        <v>9997</v>
      </c>
      <c r="P77" s="1623" t="s">
        <v>9998</v>
      </c>
      <c r="Q77" s="1623" t="s">
        <v>4835</v>
      </c>
      <c r="R77" s="1623" t="s">
        <v>1451</v>
      </c>
      <c r="S77" s="1623" t="s">
        <v>9179</v>
      </c>
      <c r="T77" s="1623" t="s">
        <v>525</v>
      </c>
      <c r="U77" s="1623" t="s">
        <v>1843</v>
      </c>
      <c r="V77" s="1623" t="s">
        <v>464</v>
      </c>
      <c r="W77" s="1623" t="s">
        <v>5614</v>
      </c>
      <c r="X77" s="1623" t="s">
        <v>9443</v>
      </c>
      <c r="Y77" s="1623" t="s">
        <v>2385</v>
      </c>
      <c r="Z77" s="1623" t="s">
        <v>5385</v>
      </c>
      <c r="AA77" s="1623" t="s">
        <v>9209</v>
      </c>
      <c r="AB77" s="1623" t="s">
        <v>9999</v>
      </c>
      <c r="AC77" s="1623" t="s">
        <v>2882</v>
      </c>
      <c r="AD77" s="1623" t="s">
        <v>10000</v>
      </c>
      <c r="AE77" s="1623" t="s">
        <v>5119</v>
      </c>
      <c r="AF77" s="1623" t="s">
        <v>10001</v>
      </c>
      <c r="AG77" s="1623" t="s">
        <v>10002</v>
      </c>
      <c r="AH77" s="1623" t="s">
        <v>2204</v>
      </c>
      <c r="AI77" s="1623" t="s">
        <v>10003</v>
      </c>
      <c r="AJ77" s="1623" t="s">
        <v>10004</v>
      </c>
      <c r="AK77" s="1623" t="s">
        <v>4586</v>
      </c>
      <c r="AL77" s="1623" t="s">
        <v>8793</v>
      </c>
      <c r="AM77" s="1623" t="s">
        <v>1456</v>
      </c>
      <c r="AN77" s="1623" t="s">
        <v>8548</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4201</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7992</v>
      </c>
      <c r="W78" s="1623" t="s">
        <v>10026</v>
      </c>
      <c r="X78" s="1623" t="s">
        <v>9443</v>
      </c>
      <c r="Y78" s="1623" t="s">
        <v>302</v>
      </c>
      <c r="Z78" s="1623" t="s">
        <v>2402</v>
      </c>
      <c r="AA78" s="1623" t="s">
        <v>5753</v>
      </c>
      <c r="AB78" s="1623" t="s">
        <v>8689</v>
      </c>
      <c r="AC78" s="1623" t="s">
        <v>853</v>
      </c>
      <c r="AD78" s="1623" t="s">
        <v>10027</v>
      </c>
      <c r="AE78" s="1623" t="s">
        <v>1166</v>
      </c>
      <c r="AF78" s="1623" t="s">
        <v>10028</v>
      </c>
      <c r="AG78" s="1623" t="s">
        <v>2808</v>
      </c>
      <c r="AH78" s="1623" t="s">
        <v>5949</v>
      </c>
      <c r="AI78" s="1623" t="s">
        <v>1570</v>
      </c>
      <c r="AJ78" s="1623" t="s">
        <v>10029</v>
      </c>
      <c r="AK78" s="1623" t="s">
        <v>3481</v>
      </c>
      <c r="AL78" s="1623" t="s">
        <v>3834</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6336</v>
      </c>
      <c r="B79" s="1515" t="s">
        <v>8401</v>
      </c>
      <c r="C79" s="1589">
        <v>0.05207175925925926</v>
      </c>
      <c r="D79" s="1270" t="s">
        <v>10034</v>
      </c>
      <c r="E79" s="1623" t="s">
        <v>10035</v>
      </c>
      <c r="F79" s="1623" t="s">
        <v>10036</v>
      </c>
      <c r="G79" s="1623" t="s">
        <v>10037</v>
      </c>
      <c r="H79" s="1623" t="s">
        <v>8841</v>
      </c>
      <c r="I79" s="1623" t="s">
        <v>4857</v>
      </c>
      <c r="J79" s="1623" t="s">
        <v>9001</v>
      </c>
      <c r="K79" s="1623" t="s">
        <v>9638</v>
      </c>
      <c r="L79" s="1623" t="s">
        <v>10038</v>
      </c>
      <c r="M79" s="1623" t="s">
        <v>2686</v>
      </c>
      <c r="N79" s="1623" t="s">
        <v>10039</v>
      </c>
      <c r="O79" s="1623" t="s">
        <v>10040</v>
      </c>
      <c r="P79" s="1623" t="s">
        <v>764</v>
      </c>
      <c r="Q79" s="1623" t="s">
        <v>10041</v>
      </c>
      <c r="R79" s="1623" t="s">
        <v>4875</v>
      </c>
      <c r="S79" s="1623" t="s">
        <v>5897</v>
      </c>
      <c r="T79" s="1623" t="s">
        <v>5700</v>
      </c>
      <c r="U79" s="1623" t="s">
        <v>10042</v>
      </c>
      <c r="V79" s="1623" t="s">
        <v>2444</v>
      </c>
      <c r="W79" s="1623" t="s">
        <v>8446</v>
      </c>
      <c r="X79" s="1623" t="s">
        <v>10043</v>
      </c>
      <c r="Y79" s="1623" t="s">
        <v>1318</v>
      </c>
      <c r="Z79" s="1623" t="s">
        <v>7200</v>
      </c>
      <c r="AA79" s="1623" t="s">
        <v>1484</v>
      </c>
      <c r="AB79" s="1623" t="s">
        <v>10044</v>
      </c>
      <c r="AC79" s="1623" t="s">
        <v>238</v>
      </c>
      <c r="AD79" s="1623" t="s">
        <v>10045</v>
      </c>
      <c r="AE79" s="1623" t="s">
        <v>6027</v>
      </c>
      <c r="AF79" s="1623" t="s">
        <v>10046</v>
      </c>
      <c r="AG79" s="1623" t="s">
        <v>9443</v>
      </c>
      <c r="AH79" s="1623" t="s">
        <v>6959</v>
      </c>
      <c r="AI79" s="1623" t="s">
        <v>9800</v>
      </c>
      <c r="AJ79" s="1623" t="s">
        <v>10047</v>
      </c>
      <c r="AK79" s="1623" t="s">
        <v>10048</v>
      </c>
      <c r="AL79" s="1623" t="s">
        <v>4279</v>
      </c>
      <c r="AM79" s="1623" t="s">
        <v>9556</v>
      </c>
      <c r="AN79" s="1623" t="s">
        <v>3834</v>
      </c>
      <c r="AO79" s="1623" t="s">
        <v>4201</v>
      </c>
      <c r="AP79" s="1623" t="s">
        <v>9293</v>
      </c>
      <c r="AQ79" s="1623" t="s">
        <v>10049</v>
      </c>
      <c r="AR79" s="1623" t="s">
        <v>1483</v>
      </c>
      <c r="AS79" s="1623" t="s">
        <v>5992</v>
      </c>
      <c r="AT79" s="1623" t="s">
        <v>7520</v>
      </c>
      <c r="AU79" s="1623" t="s">
        <v>10050</v>
      </c>
      <c r="AV79" s="1623" t="str">
        <f t="shared" si="2"/>
        <v>3:10</v>
      </c>
      <c r="AW79" s="1628" t="s">
        <v>10051</v>
      </c>
    </row>
    <row r="80">
      <c r="A80" s="1632" t="s">
        <v>3918</v>
      </c>
      <c r="B80" s="1613" t="s">
        <v>8425</v>
      </c>
      <c r="C80" s="1638">
        <v>0.052141203703703703</v>
      </c>
      <c r="D80" s="1270" t="s">
        <v>10052</v>
      </c>
      <c r="E80" s="1506" t="s">
        <v>2919</v>
      </c>
      <c r="F80" s="1506" t="s">
        <v>10053</v>
      </c>
      <c r="G80" s="1531" t="s">
        <v>10054</v>
      </c>
      <c r="H80" s="1531" t="s">
        <v>10055</v>
      </c>
      <c r="I80" s="1531" t="s">
        <v>2369</v>
      </c>
      <c r="J80" s="1531" t="s">
        <v>6795</v>
      </c>
      <c r="K80" s="1639" t="s">
        <v>6054</v>
      </c>
      <c r="L80" s="1640" t="s">
        <v>6956</v>
      </c>
      <c r="M80" s="1531" t="s">
        <v>10056</v>
      </c>
      <c r="N80" s="1531" t="s">
        <v>5700</v>
      </c>
      <c r="O80" s="1531" t="s">
        <v>5494</v>
      </c>
      <c r="P80" s="1531" t="s">
        <v>1916</v>
      </c>
      <c r="Q80" s="1531" t="s">
        <v>10057</v>
      </c>
      <c r="R80" s="1531" t="s">
        <v>10058</v>
      </c>
      <c r="S80" s="1641" t="s">
        <v>2255</v>
      </c>
      <c r="T80" s="1531" t="s">
        <v>8831</v>
      </c>
      <c r="U80" s="1531" t="s">
        <v>3363</v>
      </c>
      <c r="V80" s="1531" t="s">
        <v>10059</v>
      </c>
      <c r="W80" s="1531" t="s">
        <v>10060</v>
      </c>
      <c r="X80" s="1531" t="s">
        <v>4460</v>
      </c>
      <c r="Y80" s="1531" t="s">
        <v>3542</v>
      </c>
      <c r="Z80" s="1531" t="s">
        <v>4171</v>
      </c>
      <c r="AA80" s="1531" t="s">
        <v>401</v>
      </c>
      <c r="AB80" s="1531" t="s">
        <v>622</v>
      </c>
      <c r="AC80" s="1531" t="s">
        <v>6027</v>
      </c>
      <c r="AD80" s="1459" t="s">
        <v>8759</v>
      </c>
      <c r="AE80" s="1531" t="s">
        <v>477</v>
      </c>
      <c r="AF80" s="1531" t="s">
        <v>10061</v>
      </c>
      <c r="AG80" s="1531" t="s">
        <v>10062</v>
      </c>
      <c r="AH80" s="1531" t="s">
        <v>4531</v>
      </c>
      <c r="AI80" s="1531" t="s">
        <v>10063</v>
      </c>
      <c r="AJ80" s="1531" t="s">
        <v>10064</v>
      </c>
      <c r="AK80" s="1531" t="s">
        <v>10065</v>
      </c>
      <c r="AL80" s="1531" t="s">
        <v>4981</v>
      </c>
      <c r="AM80" s="1531" t="s">
        <v>9680</v>
      </c>
      <c r="AN80" s="1531" t="s">
        <v>4364</v>
      </c>
      <c r="AO80" s="1531" t="s">
        <v>8740</v>
      </c>
      <c r="AP80" s="1531" t="s">
        <v>10066</v>
      </c>
      <c r="AQ80" s="1639" t="s">
        <v>8456</v>
      </c>
      <c r="AR80" s="1531" t="s">
        <v>10067</v>
      </c>
      <c r="AS80" s="1637" t="s">
        <v>753</v>
      </c>
      <c r="AT80" s="1531" t="s">
        <v>10068</v>
      </c>
      <c r="AU80" s="1494" t="s">
        <v>10069</v>
      </c>
      <c r="AV80" s="1494" t="s">
        <v>10070</v>
      </c>
      <c r="AW80" s="1642" t="s">
        <v>10071</v>
      </c>
    </row>
    <row r="81">
      <c r="A81" s="1502" t="s">
        <v>3859</v>
      </c>
      <c r="B81" s="1500" t="s">
        <v>8373</v>
      </c>
      <c r="C81" s="1457">
        <v>0.0522337962962963</v>
      </c>
      <c r="D81" s="1599" t="s">
        <v>10072</v>
      </c>
      <c r="E81" s="1535" t="s">
        <v>10073</v>
      </c>
      <c r="F81" s="1535" t="s">
        <v>10074</v>
      </c>
      <c r="G81" s="1535" t="s">
        <v>10075</v>
      </c>
      <c r="H81" s="1535" t="s">
        <v>10076</v>
      </c>
      <c r="I81" s="1535" t="s">
        <v>141</v>
      </c>
      <c r="J81" s="1535" t="s">
        <v>8067</v>
      </c>
      <c r="K81" s="1535" t="s">
        <v>4436</v>
      </c>
      <c r="L81" s="1535" t="s">
        <v>6067</v>
      </c>
      <c r="M81" s="1535" t="s">
        <v>10077</v>
      </c>
      <c r="N81" s="1535" t="s">
        <v>10078</v>
      </c>
      <c r="O81" s="1535" t="s">
        <v>10079</v>
      </c>
      <c r="P81" s="1535" t="s">
        <v>5119</v>
      </c>
      <c r="Q81" s="1535" t="s">
        <v>4822</v>
      </c>
      <c r="R81" s="1535" t="s">
        <v>6052</v>
      </c>
      <c r="S81" s="1535" t="s">
        <v>604</v>
      </c>
      <c r="T81" s="1535" t="s">
        <v>9846</v>
      </c>
      <c r="U81" s="1535" t="s">
        <v>8786</v>
      </c>
      <c r="V81" s="1535" t="s">
        <v>10080</v>
      </c>
      <c r="W81" s="1535" t="s">
        <v>10081</v>
      </c>
      <c r="X81" s="1535" t="s">
        <v>3625</v>
      </c>
      <c r="Y81" s="1535" t="s">
        <v>758</v>
      </c>
      <c r="Z81" s="1535" t="s">
        <v>10082</v>
      </c>
      <c r="AA81" s="1270" t="s">
        <v>8967</v>
      </c>
      <c r="AB81" s="1535" t="s">
        <v>6903</v>
      </c>
      <c r="AC81" s="1535" t="s">
        <v>9824</v>
      </c>
      <c r="AD81" s="1535" t="s">
        <v>7369</v>
      </c>
      <c r="AE81" s="1535" t="s">
        <v>4879</v>
      </c>
      <c r="AF81" s="1466" t="s">
        <v>10083</v>
      </c>
      <c r="AG81" s="1535" t="s">
        <v>10084</v>
      </c>
      <c r="AH81" s="1535" t="s">
        <v>5039</v>
      </c>
      <c r="AI81" s="1535" t="s">
        <v>6527</v>
      </c>
      <c r="AJ81" s="1535" t="s">
        <v>10085</v>
      </c>
      <c r="AK81" s="1535" t="s">
        <v>10086</v>
      </c>
      <c r="AL81" s="1535" t="s">
        <v>9760</v>
      </c>
      <c r="AM81" s="1535" t="s">
        <v>10087</v>
      </c>
      <c r="AN81" s="1535" t="s">
        <v>1081</v>
      </c>
      <c r="AO81" s="1535" t="s">
        <v>10088</v>
      </c>
      <c r="AP81" s="1535" t="s">
        <v>5544</v>
      </c>
      <c r="AQ81" s="1535" t="s">
        <v>10089</v>
      </c>
      <c r="AR81" s="1535" t="s">
        <v>688</v>
      </c>
      <c r="AS81" s="1466" t="s">
        <v>2824</v>
      </c>
      <c r="AT81" s="1535" t="s">
        <v>10090</v>
      </c>
      <c r="AU81" s="1535" t="s">
        <v>10091</v>
      </c>
      <c r="AV81" s="1623" t="str">
        <f t="shared" ref="AV81:AV99" si="3">TEXT(AU81-C81,"m:ss")</f>
        <v>4:32</v>
      </c>
      <c r="AW81" s="1624" t="s">
        <v>10092</v>
      </c>
    </row>
    <row r="82">
      <c r="A82" s="1502" t="s">
        <v>5150</v>
      </c>
      <c r="B82" s="1496" t="s">
        <v>8401</v>
      </c>
      <c r="C82" s="1457">
        <v>0.05232638888888889</v>
      </c>
      <c r="D82" s="1599" t="s">
        <v>10093</v>
      </c>
      <c r="E82" s="1535" t="s">
        <v>1230</v>
      </c>
      <c r="F82" s="1535" t="s">
        <v>10094</v>
      </c>
      <c r="G82" s="1535" t="s">
        <v>10095</v>
      </c>
      <c r="H82" s="1535" t="s">
        <v>10096</v>
      </c>
      <c r="I82" s="1535" t="s">
        <v>1259</v>
      </c>
      <c r="J82" s="1535" t="s">
        <v>7652</v>
      </c>
      <c r="K82" s="1535" t="s">
        <v>9649</v>
      </c>
      <c r="L82" s="1535" t="s">
        <v>10097</v>
      </c>
      <c r="M82" s="1535" t="s">
        <v>7397</v>
      </c>
      <c r="N82" s="1535" t="s">
        <v>10098</v>
      </c>
      <c r="O82" s="1535" t="s">
        <v>10099</v>
      </c>
      <c r="P82" s="1535" t="s">
        <v>517</v>
      </c>
      <c r="Q82" s="1535" t="s">
        <v>9484</v>
      </c>
      <c r="R82" s="1535" t="s">
        <v>5302</v>
      </c>
      <c r="S82" s="1535" t="s">
        <v>9301</v>
      </c>
      <c r="T82" s="1535" t="s">
        <v>10100</v>
      </c>
      <c r="U82" s="1535" t="s">
        <v>10101</v>
      </c>
      <c r="V82" s="1535" t="s">
        <v>10102</v>
      </c>
      <c r="W82" s="1535" t="s">
        <v>6137</v>
      </c>
      <c r="X82" s="1535" t="s">
        <v>311</v>
      </c>
      <c r="Y82" s="1535" t="s">
        <v>6378</v>
      </c>
      <c r="Z82" s="1535" t="s">
        <v>781</v>
      </c>
      <c r="AA82" s="1623" t="s">
        <v>9301</v>
      </c>
      <c r="AB82" s="1535" t="s">
        <v>10103</v>
      </c>
      <c r="AC82" s="1535" t="s">
        <v>6047</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5835</v>
      </c>
      <c r="AO82" s="1535" t="s">
        <v>3576</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4465</v>
      </c>
      <c r="M83" s="1623" t="s">
        <v>3167</v>
      </c>
      <c r="N83" s="1623" t="s">
        <v>4766</v>
      </c>
      <c r="O83" s="1623" t="s">
        <v>10117</v>
      </c>
      <c r="P83" s="1623" t="s">
        <v>10118</v>
      </c>
      <c r="Q83" s="1623" t="s">
        <v>4212</v>
      </c>
      <c r="R83" s="1623" t="s">
        <v>2229</v>
      </c>
      <c r="S83" s="1623" t="s">
        <v>9558</v>
      </c>
      <c r="T83" s="1623" t="s">
        <v>5040</v>
      </c>
      <c r="U83" s="1623" t="s">
        <v>10119</v>
      </c>
      <c r="V83" s="1623" t="s">
        <v>10120</v>
      </c>
      <c r="W83" s="1623" t="s">
        <v>10121</v>
      </c>
      <c r="X83" s="1623" t="s">
        <v>10122</v>
      </c>
      <c r="Y83" s="1623" t="s">
        <v>6282</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6904</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4132</v>
      </c>
      <c r="L84" s="1623" t="s">
        <v>4205</v>
      </c>
      <c r="M84" s="1623" t="s">
        <v>9128</v>
      </c>
      <c r="N84" s="1623" t="s">
        <v>10140</v>
      </c>
      <c r="O84" s="1623" t="s">
        <v>8415</v>
      </c>
      <c r="P84" s="1623" t="s">
        <v>481</v>
      </c>
      <c r="Q84" s="1623" t="s">
        <v>10141</v>
      </c>
      <c r="R84" s="1623" t="s">
        <v>5491</v>
      </c>
      <c r="S84" s="1623" t="s">
        <v>1911</v>
      </c>
      <c r="T84" s="1623" t="s">
        <v>10142</v>
      </c>
      <c r="U84" s="1623" t="s">
        <v>10143</v>
      </c>
      <c r="V84" s="1623" t="s">
        <v>10144</v>
      </c>
      <c r="W84" s="1623" t="s">
        <v>10145</v>
      </c>
      <c r="X84" s="1623" t="s">
        <v>5647</v>
      </c>
      <c r="Y84" s="1623" t="s">
        <v>1538</v>
      </c>
      <c r="Z84" s="1623" t="s">
        <v>6366</v>
      </c>
      <c r="AA84" s="1535" t="s">
        <v>7581</v>
      </c>
      <c r="AB84" s="1623" t="s">
        <v>9021</v>
      </c>
      <c r="AC84" s="1623" t="s">
        <v>9841</v>
      </c>
      <c r="AD84" s="1623" t="s">
        <v>2957</v>
      </c>
      <c r="AE84" s="1623" t="s">
        <v>1073</v>
      </c>
      <c r="AF84" s="1623" t="s">
        <v>10146</v>
      </c>
      <c r="AG84" s="1623" t="s">
        <v>2710</v>
      </c>
      <c r="AH84" s="1623" t="s">
        <v>6522</v>
      </c>
      <c r="AI84" s="1623" t="s">
        <v>10147</v>
      </c>
      <c r="AJ84" s="1623" t="s">
        <v>10148</v>
      </c>
      <c r="AK84" s="1623" t="s">
        <v>9439</v>
      </c>
      <c r="AL84" s="1623" t="s">
        <v>10149</v>
      </c>
      <c r="AM84" s="1623" t="s">
        <v>10150</v>
      </c>
      <c r="AN84" s="1623" t="s">
        <v>3833</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6143</v>
      </c>
      <c r="AA85" s="1535" t="s">
        <v>10168</v>
      </c>
      <c r="AB85" s="1270" t="s">
        <v>10169</v>
      </c>
      <c r="AC85" s="1270" t="s">
        <v>6377</v>
      </c>
      <c r="AD85" s="1643" t="s">
        <v>8446</v>
      </c>
      <c r="AE85" s="1270" t="s">
        <v>335</v>
      </c>
      <c r="AF85" s="1270" t="s">
        <v>10170</v>
      </c>
      <c r="AG85" s="1270" t="s">
        <v>7317</v>
      </c>
      <c r="AH85" s="1270" t="s">
        <v>3665</v>
      </c>
      <c r="AI85" s="1270" t="s">
        <v>10171</v>
      </c>
      <c r="AJ85" s="1270" t="s">
        <v>10172</v>
      </c>
      <c r="AK85" s="1270" t="s">
        <v>10173</v>
      </c>
      <c r="AL85" s="1270" t="s">
        <v>4602</v>
      </c>
      <c r="AM85" s="1270" t="s">
        <v>5613</v>
      </c>
      <c r="AN85" s="1643" t="s">
        <v>8453</v>
      </c>
      <c r="AO85" s="1270" t="s">
        <v>10174</v>
      </c>
      <c r="AP85" s="1270" t="s">
        <v>10175</v>
      </c>
      <c r="AQ85" s="1270" t="s">
        <v>10176</v>
      </c>
      <c r="AR85" s="1270" t="s">
        <v>5866</v>
      </c>
      <c r="AS85" s="1270" t="s">
        <v>6843</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7342</v>
      </c>
      <c r="G86" s="1535" t="s">
        <v>10181</v>
      </c>
      <c r="H86" s="1535" t="s">
        <v>10182</v>
      </c>
      <c r="I86" s="1535" t="s">
        <v>5537</v>
      </c>
      <c r="J86" s="1270" t="s">
        <v>10183</v>
      </c>
      <c r="K86" s="1535" t="s">
        <v>10184</v>
      </c>
      <c r="L86" s="1535" t="s">
        <v>3665</v>
      </c>
      <c r="M86" s="1535" t="s">
        <v>7299</v>
      </c>
      <c r="N86" s="1535" t="s">
        <v>10185</v>
      </c>
      <c r="O86" s="1535" t="s">
        <v>10186</v>
      </c>
      <c r="P86" s="1535" t="s">
        <v>9488</v>
      </c>
      <c r="Q86" s="1535" t="s">
        <v>10187</v>
      </c>
      <c r="R86" s="1535" t="s">
        <v>5554</v>
      </c>
      <c r="S86" s="1535" t="s">
        <v>7335</v>
      </c>
      <c r="T86" s="1535" t="s">
        <v>10188</v>
      </c>
      <c r="U86" s="1535" t="s">
        <v>10189</v>
      </c>
      <c r="V86" s="1535" t="s">
        <v>3938</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4205</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8401</v>
      </c>
      <c r="C87" s="1589">
        <v>0.05275462962962963</v>
      </c>
      <c r="D87" s="1270" t="s">
        <v>10202</v>
      </c>
      <c r="E87" s="1623" t="s">
        <v>9545</v>
      </c>
      <c r="F87" s="1623" t="s">
        <v>10203</v>
      </c>
      <c r="G87" s="1623" t="s">
        <v>8602</v>
      </c>
      <c r="H87" s="1623" t="s">
        <v>7172</v>
      </c>
      <c r="I87" s="1623" t="s">
        <v>2271</v>
      </c>
      <c r="J87" s="1623" t="s">
        <v>4148</v>
      </c>
      <c r="K87" s="1623" t="s">
        <v>9861</v>
      </c>
      <c r="L87" s="1623" t="s">
        <v>5220</v>
      </c>
      <c r="M87" s="1623" t="s">
        <v>4131</v>
      </c>
      <c r="N87" s="1623" t="s">
        <v>10204</v>
      </c>
      <c r="O87" s="1623" t="s">
        <v>10205</v>
      </c>
      <c r="P87" s="1623" t="s">
        <v>6113</v>
      </c>
      <c r="Q87" s="1623" t="s">
        <v>10206</v>
      </c>
      <c r="R87" s="1623" t="s">
        <v>10207</v>
      </c>
      <c r="S87" s="1623" t="s">
        <v>8391</v>
      </c>
      <c r="T87" s="1623" t="s">
        <v>2604</v>
      </c>
      <c r="U87" s="1623" t="s">
        <v>496</v>
      </c>
      <c r="V87" s="1623" t="s">
        <v>4099</v>
      </c>
      <c r="W87" s="1623" t="s">
        <v>10208</v>
      </c>
      <c r="X87" s="1623" t="s">
        <v>10209</v>
      </c>
      <c r="Y87" s="1623" t="s">
        <v>5632</v>
      </c>
      <c r="Z87" s="1623" t="s">
        <v>8689</v>
      </c>
      <c r="AA87" s="1623" t="s">
        <v>10210</v>
      </c>
      <c r="AB87" s="1623" t="s">
        <v>489</v>
      </c>
      <c r="AC87" s="1623" t="s">
        <v>9735</v>
      </c>
      <c r="AD87" s="1623" t="s">
        <v>10211</v>
      </c>
      <c r="AE87" s="1623" t="s">
        <v>10212</v>
      </c>
      <c r="AF87" s="1623" t="s">
        <v>9260</v>
      </c>
      <c r="AG87" s="1623" t="s">
        <v>3115</v>
      </c>
      <c r="AH87" s="1623" t="s">
        <v>721</v>
      </c>
      <c r="AI87" s="1623" t="s">
        <v>5248</v>
      </c>
      <c r="AJ87" s="1623" t="s">
        <v>10213</v>
      </c>
      <c r="AK87" s="1623" t="s">
        <v>8814</v>
      </c>
      <c r="AL87" s="1623" t="s">
        <v>5312</v>
      </c>
      <c r="AM87" s="1623" t="s">
        <v>3103</v>
      </c>
      <c r="AN87" s="1623" t="s">
        <v>6248</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5756</v>
      </c>
      <c r="G88" s="1623" t="s">
        <v>9401</v>
      </c>
      <c r="H88" s="1623" t="s">
        <v>9728</v>
      </c>
      <c r="I88" s="1623" t="s">
        <v>2889</v>
      </c>
      <c r="J88" s="1623" t="s">
        <v>10223</v>
      </c>
      <c r="K88" s="1623" t="s">
        <v>5376</v>
      </c>
      <c r="L88" s="1623" t="s">
        <v>7638</v>
      </c>
      <c r="M88" s="1623" t="s">
        <v>10224</v>
      </c>
      <c r="N88" s="1623" t="s">
        <v>10225</v>
      </c>
      <c r="O88" s="1623" t="s">
        <v>10226</v>
      </c>
      <c r="P88" s="1623" t="s">
        <v>9595</v>
      </c>
      <c r="Q88" s="1623" t="s">
        <v>10227</v>
      </c>
      <c r="R88" s="1623" t="s">
        <v>9485</v>
      </c>
      <c r="S88" s="1623" t="s">
        <v>4541</v>
      </c>
      <c r="T88" s="1623" t="s">
        <v>8601</v>
      </c>
      <c r="U88" s="1623" t="s">
        <v>5382</v>
      </c>
      <c r="V88" s="1623" t="s">
        <v>1149</v>
      </c>
      <c r="W88" s="1623" t="s">
        <v>1898</v>
      </c>
      <c r="X88" s="1623" t="s">
        <v>3142</v>
      </c>
      <c r="Y88" s="1623" t="s">
        <v>655</v>
      </c>
      <c r="Z88" s="1623" t="s">
        <v>10228</v>
      </c>
      <c r="AA88" s="1535" t="s">
        <v>7571</v>
      </c>
      <c r="AB88" s="1623" t="s">
        <v>3529</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4287</v>
      </c>
      <c r="AT88" s="1623" t="s">
        <v>10240</v>
      </c>
      <c r="AU88" s="1623" t="s">
        <v>10241</v>
      </c>
      <c r="AV88" s="1623" t="str">
        <f t="shared" si="3"/>
        <v>2:38</v>
      </c>
      <c r="AW88" s="1628"/>
    </row>
    <row r="89" ht="15.75" customHeight="1">
      <c r="A89" s="1502" t="s">
        <v>6178</v>
      </c>
      <c r="B89" s="1500" t="s">
        <v>8373</v>
      </c>
      <c r="C89" s="1457">
        <v>0.05324074074074074</v>
      </c>
      <c r="D89" s="1270" t="s">
        <v>10242</v>
      </c>
      <c r="E89" s="1270" t="s">
        <v>10243</v>
      </c>
      <c r="F89" s="1270" t="s">
        <v>10244</v>
      </c>
      <c r="G89" s="1270" t="s">
        <v>9134</v>
      </c>
      <c r="H89" s="1270" t="s">
        <v>10245</v>
      </c>
      <c r="I89" s="1270" t="s">
        <v>6027</v>
      </c>
      <c r="J89" s="1270" t="s">
        <v>1786</v>
      </c>
      <c r="K89" s="1270" t="s">
        <v>4324</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5537</v>
      </c>
      <c r="Z89" s="1270" t="s">
        <v>4065</v>
      </c>
      <c r="AA89" s="1535" t="s">
        <v>10256</v>
      </c>
      <c r="AB89" s="1270" t="s">
        <v>9528</v>
      </c>
      <c r="AC89" s="1270" t="s">
        <v>5490</v>
      </c>
      <c r="AD89" s="1270" t="s">
        <v>10257</v>
      </c>
      <c r="AE89" s="1270" t="s">
        <v>9336</v>
      </c>
      <c r="AF89" s="1270" t="s">
        <v>10258</v>
      </c>
      <c r="AG89" s="1270" t="s">
        <v>10062</v>
      </c>
      <c r="AH89" s="1270" t="s">
        <v>5615</v>
      </c>
      <c r="AI89" s="1270" t="s">
        <v>10259</v>
      </c>
      <c r="AJ89" s="1270" t="s">
        <v>10260</v>
      </c>
      <c r="AK89" s="1535" t="s">
        <v>10261</v>
      </c>
      <c r="AL89" s="1270" t="s">
        <v>9844</v>
      </c>
      <c r="AM89" s="1270" t="s">
        <v>10262</v>
      </c>
      <c r="AN89" s="1270" t="s">
        <v>9675</v>
      </c>
      <c r="AO89" s="1270" t="s">
        <v>4574</v>
      </c>
      <c r="AP89" s="1270" t="s">
        <v>10263</v>
      </c>
      <c r="AQ89" s="1270" t="s">
        <v>10264</v>
      </c>
      <c r="AR89" s="1535" t="s">
        <v>3664</v>
      </c>
      <c r="AS89" s="1270" t="s">
        <v>10265</v>
      </c>
      <c r="AT89" s="1270" t="s">
        <v>10266</v>
      </c>
      <c r="AU89" s="1535" t="s">
        <v>10178</v>
      </c>
      <c r="AV89" s="1623" t="str">
        <f t="shared" si="3"/>
        <v>3:53</v>
      </c>
      <c r="AW89" s="1624" t="s">
        <v>10267</v>
      </c>
    </row>
    <row r="90">
      <c r="A90" s="1502" t="s">
        <v>4703</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4096</v>
      </c>
      <c r="M90" s="1535" t="s">
        <v>10272</v>
      </c>
      <c r="N90" s="1535" t="s">
        <v>9556</v>
      </c>
      <c r="O90" s="1535" t="s">
        <v>10273</v>
      </c>
      <c r="P90" s="1535" t="s">
        <v>6047</v>
      </c>
      <c r="Q90" s="1535" t="s">
        <v>10274</v>
      </c>
      <c r="R90" s="1535" t="s">
        <v>2137</v>
      </c>
      <c r="S90" s="1535" t="s">
        <v>7588</v>
      </c>
      <c r="T90" s="1535" t="s">
        <v>7153</v>
      </c>
      <c r="U90" s="1535" t="s">
        <v>10275</v>
      </c>
      <c r="V90" s="1535" t="s">
        <v>9752</v>
      </c>
      <c r="W90" s="1535" t="s">
        <v>10276</v>
      </c>
      <c r="X90" s="1535" t="s">
        <v>6790</v>
      </c>
      <c r="Y90" s="1535" t="s">
        <v>5422</v>
      </c>
      <c r="Z90" s="1535" t="s">
        <v>9558</v>
      </c>
      <c r="AA90" s="1535" t="s">
        <v>10277</v>
      </c>
      <c r="AB90" s="1535" t="s">
        <v>3381</v>
      </c>
      <c r="AC90" s="1535" t="s">
        <v>10278</v>
      </c>
      <c r="AD90" s="1535" t="s">
        <v>10279</v>
      </c>
      <c r="AE90" s="1535" t="s">
        <v>5632</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6247</v>
      </c>
      <c r="G91" s="1623" t="s">
        <v>10293</v>
      </c>
      <c r="H91" s="1623" t="s">
        <v>10294</v>
      </c>
      <c r="I91" s="1623" t="s">
        <v>2340</v>
      </c>
      <c r="J91" s="1623" t="s">
        <v>8911</v>
      </c>
      <c r="K91" s="1623" t="s">
        <v>8438</v>
      </c>
      <c r="L91" s="1623" t="s">
        <v>4764</v>
      </c>
      <c r="M91" s="1623" t="s">
        <v>8849</v>
      </c>
      <c r="N91" s="1623" t="s">
        <v>10295</v>
      </c>
      <c r="O91" s="1623" t="s">
        <v>4366</v>
      </c>
      <c r="P91" s="1623" t="s">
        <v>853</v>
      </c>
      <c r="Q91" s="1535" t="s">
        <v>10296</v>
      </c>
      <c r="R91" s="1623" t="s">
        <v>9819</v>
      </c>
      <c r="S91" s="1623" t="s">
        <v>9166</v>
      </c>
      <c r="T91" s="1623" t="s">
        <v>10043</v>
      </c>
      <c r="U91" s="1623" t="s">
        <v>10297</v>
      </c>
      <c r="V91" s="1623" t="s">
        <v>3275</v>
      </c>
      <c r="W91" s="1623" t="s">
        <v>3641</v>
      </c>
      <c r="X91" s="1623" t="s">
        <v>3022</v>
      </c>
      <c r="Y91" s="1623" t="s">
        <v>114</v>
      </c>
      <c r="Z91" s="1623" t="s">
        <v>8784</v>
      </c>
      <c r="AA91" s="1535" t="s">
        <v>10298</v>
      </c>
      <c r="AB91" s="1623" t="s">
        <v>9566</v>
      </c>
      <c r="AC91" s="1623" t="s">
        <v>1155</v>
      </c>
      <c r="AD91" s="1623" t="s">
        <v>10299</v>
      </c>
      <c r="AE91" s="1623" t="s">
        <v>581</v>
      </c>
      <c r="AF91" s="1535" t="s">
        <v>10300</v>
      </c>
      <c r="AG91" s="1623" t="s">
        <v>5674</v>
      </c>
      <c r="AH91" s="1623" t="s">
        <v>9034</v>
      </c>
      <c r="AI91" s="1623" t="s">
        <v>2629</v>
      </c>
      <c r="AJ91" s="1623" t="s">
        <v>10301</v>
      </c>
      <c r="AK91" s="1623" t="s">
        <v>8821</v>
      </c>
      <c r="AL91" s="1623" t="s">
        <v>10302</v>
      </c>
      <c r="AM91" s="1623" t="s">
        <v>8397</v>
      </c>
      <c r="AN91" s="1623" t="s">
        <v>9844</v>
      </c>
      <c r="AO91" s="1623" t="s">
        <v>8774</v>
      </c>
      <c r="AP91" s="1623" t="s">
        <v>10303</v>
      </c>
      <c r="AQ91" s="1623" t="s">
        <v>4462</v>
      </c>
      <c r="AR91" s="1623" t="s">
        <v>154</v>
      </c>
      <c r="AS91" s="1623" t="s">
        <v>8611</v>
      </c>
      <c r="AT91" s="1623" t="s">
        <v>4665</v>
      </c>
      <c r="AU91" s="1623" t="s">
        <v>10304</v>
      </c>
      <c r="AV91" s="1623" t="str">
        <f t="shared" si="3"/>
        <v>3:27</v>
      </c>
      <c r="AW91" s="1624" t="s">
        <v>10305</v>
      </c>
    </row>
    <row r="92">
      <c r="A92" s="1502" t="s">
        <v>5329</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4386</v>
      </c>
      <c r="R92" s="1535" t="s">
        <v>10314</v>
      </c>
      <c r="S92" s="1646" t="s">
        <v>10315</v>
      </c>
      <c r="T92" s="1646" t="s">
        <v>8965</v>
      </c>
      <c r="U92" s="1535" t="s">
        <v>10316</v>
      </c>
      <c r="V92" s="1535" t="s">
        <v>10317</v>
      </c>
      <c r="W92" s="1535" t="s">
        <v>7555</v>
      </c>
      <c r="X92" s="1535" t="s">
        <v>10318</v>
      </c>
      <c r="Y92" s="1535" t="s">
        <v>2113</v>
      </c>
      <c r="Z92" s="1535" t="s">
        <v>9566</v>
      </c>
      <c r="AA92" s="1535" t="s">
        <v>10319</v>
      </c>
      <c r="AB92" s="1535" t="s">
        <v>10320</v>
      </c>
      <c r="AC92" s="1535" t="s">
        <v>7508</v>
      </c>
      <c r="AD92" s="1535" t="s">
        <v>5801</v>
      </c>
      <c r="AE92" s="1535" t="s">
        <v>2385</v>
      </c>
      <c r="AF92" s="1535" t="s">
        <v>7593</v>
      </c>
      <c r="AG92" s="1535" t="s">
        <v>10321</v>
      </c>
      <c r="AH92" s="1535" t="s">
        <v>8995</v>
      </c>
      <c r="AI92" s="1535" t="s">
        <v>7389</v>
      </c>
      <c r="AJ92" s="1535" t="s">
        <v>10322</v>
      </c>
      <c r="AK92" s="1535" t="s">
        <v>4755</v>
      </c>
      <c r="AL92" s="1535" t="s">
        <v>10323</v>
      </c>
      <c r="AM92" s="1535" t="s">
        <v>4767</v>
      </c>
      <c r="AN92" s="1535" t="s">
        <v>10324</v>
      </c>
      <c r="AO92" s="1535" t="s">
        <v>8387</v>
      </c>
      <c r="AP92" s="1535" t="s">
        <v>10325</v>
      </c>
      <c r="AQ92" s="1535" t="s">
        <v>10326</v>
      </c>
      <c r="AR92" s="1535" t="s">
        <v>5115</v>
      </c>
      <c r="AS92" s="1535" t="s">
        <v>8561</v>
      </c>
      <c r="AT92" s="1535" t="s">
        <v>10327</v>
      </c>
      <c r="AU92" s="1535" t="s">
        <v>10328</v>
      </c>
      <c r="AV92" s="1623" t="str">
        <f t="shared" si="3"/>
        <v>4:58</v>
      </c>
      <c r="AW92" s="1647"/>
    </row>
    <row r="93" ht="15.75" customHeight="1">
      <c r="A93" s="1539" t="s">
        <v>6284</v>
      </c>
      <c r="B93" s="1613" t="s">
        <v>8425</v>
      </c>
      <c r="C93" s="1589">
        <v>0.05386574074074074</v>
      </c>
      <c r="D93" s="1623" t="s">
        <v>10329</v>
      </c>
      <c r="E93" s="1623" t="s">
        <v>7132</v>
      </c>
      <c r="F93" s="1623" t="s">
        <v>10330</v>
      </c>
      <c r="G93" s="1623" t="s">
        <v>4331</v>
      </c>
      <c r="H93" s="1623" t="s">
        <v>10331</v>
      </c>
      <c r="I93" s="1623" t="s">
        <v>10271</v>
      </c>
      <c r="J93" s="1623" t="s">
        <v>10332</v>
      </c>
      <c r="K93" s="1623" t="s">
        <v>10333</v>
      </c>
      <c r="L93" s="1623" t="s">
        <v>1432</v>
      </c>
      <c r="M93" s="1623" t="s">
        <v>4511</v>
      </c>
      <c r="N93" s="1623" t="s">
        <v>7291</v>
      </c>
      <c r="O93" s="1623" t="s">
        <v>10334</v>
      </c>
      <c r="P93" s="1623" t="s">
        <v>6047</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6872</v>
      </c>
      <c r="AD93" s="1623" t="s">
        <v>10343</v>
      </c>
      <c r="AE93" s="1623" t="s">
        <v>10344</v>
      </c>
      <c r="AF93" s="1623" t="s">
        <v>9890</v>
      </c>
      <c r="AG93" s="1623" t="s">
        <v>10345</v>
      </c>
      <c r="AH93" s="1623" t="s">
        <v>10346</v>
      </c>
      <c r="AI93" s="1623" t="s">
        <v>3506</v>
      </c>
      <c r="AJ93" s="1623" t="s">
        <v>10347</v>
      </c>
      <c r="AK93" s="1623" t="s">
        <v>3073</v>
      </c>
      <c r="AL93" s="1623" t="s">
        <v>4568</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5198</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6282</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5301</v>
      </c>
      <c r="AC94" s="1535" t="s">
        <v>10366</v>
      </c>
      <c r="AD94" s="1535" t="s">
        <v>10367</v>
      </c>
      <c r="AE94" s="1535" t="s">
        <v>1538</v>
      </c>
      <c r="AF94" s="1535" t="s">
        <v>10368</v>
      </c>
      <c r="AG94" s="1535" t="s">
        <v>10369</v>
      </c>
      <c r="AH94" s="1535" t="s">
        <v>10370</v>
      </c>
      <c r="AI94" s="1535" t="s">
        <v>10371</v>
      </c>
      <c r="AJ94" s="1535" t="s">
        <v>10372</v>
      </c>
      <c r="AK94" s="1535" t="s">
        <v>244</v>
      </c>
      <c r="AL94" s="1535" t="s">
        <v>6956</v>
      </c>
      <c r="AM94" s="1535" t="s">
        <v>4335</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5383</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5040</v>
      </c>
      <c r="U95" s="1478" t="s">
        <v>10389</v>
      </c>
      <c r="V95" s="1478" t="s">
        <v>10390</v>
      </c>
      <c r="W95" s="1478" t="s">
        <v>10391</v>
      </c>
      <c r="X95" s="1478" t="s">
        <v>10392</v>
      </c>
      <c r="Y95" s="1478">
        <v>51.87</v>
      </c>
      <c r="Z95" s="1478" t="s">
        <v>6046</v>
      </c>
      <c r="AA95" s="1478" t="s">
        <v>6259</v>
      </c>
      <c r="AB95" s="1478" t="s">
        <v>1911</v>
      </c>
      <c r="AC95" s="1478">
        <v>49.75</v>
      </c>
      <c r="AD95" s="1478" t="s">
        <v>10393</v>
      </c>
      <c r="AE95" s="1478">
        <v>50.16</v>
      </c>
      <c r="AF95" s="1478" t="s">
        <v>10394</v>
      </c>
      <c r="AG95" s="1478" t="s">
        <v>10395</v>
      </c>
      <c r="AH95" s="1478" t="s">
        <v>6134</v>
      </c>
      <c r="AI95" s="1478" t="s">
        <v>1926</v>
      </c>
      <c r="AJ95" s="1478" t="s">
        <v>10396</v>
      </c>
      <c r="AK95" s="1478" t="s">
        <v>10312</v>
      </c>
      <c r="AL95" s="1478">
        <v>59.29</v>
      </c>
      <c r="AM95" s="1478" t="s">
        <v>4462</v>
      </c>
      <c r="AN95" s="1478" t="s">
        <v>620</v>
      </c>
      <c r="AO95" s="1478" t="s">
        <v>8850</v>
      </c>
      <c r="AP95" s="1478" t="s">
        <v>10397</v>
      </c>
      <c r="AQ95" s="1478" t="s">
        <v>10398</v>
      </c>
      <c r="AR95" s="1478" t="s">
        <v>7195</v>
      </c>
      <c r="AS95" s="1478">
        <v>47.7</v>
      </c>
      <c r="AT95" s="1478" t="s">
        <v>10399</v>
      </c>
      <c r="AU95" s="1485" t="s">
        <v>10400</v>
      </c>
      <c r="AV95" s="1623" t="str">
        <f t="shared" si="3"/>
        <v>5:51</v>
      </c>
      <c r="AW95" s="1631" t="s">
        <v>10401</v>
      </c>
    </row>
    <row r="96">
      <c r="A96" s="1502" t="s">
        <v>5451</v>
      </c>
      <c r="B96" s="1496" t="s">
        <v>8373</v>
      </c>
      <c r="C96" s="1457">
        <v>0.05559027777777778</v>
      </c>
      <c r="D96" s="1599" t="s">
        <v>10402</v>
      </c>
      <c r="E96" s="1535" t="s">
        <v>10403</v>
      </c>
      <c r="F96" s="1535" t="s">
        <v>10404</v>
      </c>
      <c r="G96" s="1535" t="s">
        <v>8071</v>
      </c>
      <c r="H96" s="1535" t="s">
        <v>5767</v>
      </c>
      <c r="I96" s="1535" t="s">
        <v>1913</v>
      </c>
      <c r="J96" s="1535" t="s">
        <v>10405</v>
      </c>
      <c r="K96" s="1535" t="s">
        <v>6051</v>
      </c>
      <c r="L96" s="1535" t="s">
        <v>8216</v>
      </c>
      <c r="M96" s="1535" t="s">
        <v>7200</v>
      </c>
      <c r="N96" s="1535" t="s">
        <v>10406</v>
      </c>
      <c r="O96" s="1535" t="s">
        <v>10407</v>
      </c>
      <c r="P96" s="1535" t="s">
        <v>291</v>
      </c>
      <c r="Q96" s="1535" t="s">
        <v>1752</v>
      </c>
      <c r="R96" s="1535" t="s">
        <v>10408</v>
      </c>
      <c r="S96" s="1535" t="s">
        <v>5189</v>
      </c>
      <c r="T96" s="1535" t="s">
        <v>10409</v>
      </c>
      <c r="U96" s="1535" t="s">
        <v>10410</v>
      </c>
      <c r="V96" s="1535" t="s">
        <v>6280</v>
      </c>
      <c r="W96" s="1535" t="s">
        <v>9140</v>
      </c>
      <c r="X96" s="1535" t="s">
        <v>10411</v>
      </c>
      <c r="Y96" s="1535" t="s">
        <v>2971</v>
      </c>
      <c r="Z96" s="1535" t="s">
        <v>10412</v>
      </c>
      <c r="AA96" s="1535" t="s">
        <v>10171</v>
      </c>
      <c r="AB96" s="1535" t="s">
        <v>3457</v>
      </c>
      <c r="AC96" s="1535" t="s">
        <v>4678</v>
      </c>
      <c r="AD96" s="1535" t="s">
        <v>9410</v>
      </c>
      <c r="AE96" s="1535" t="s">
        <v>947</v>
      </c>
      <c r="AF96" s="1535" t="s">
        <v>10413</v>
      </c>
      <c r="AG96" s="1535" t="s">
        <v>3699</v>
      </c>
      <c r="AH96" s="1535" t="s">
        <v>8105</v>
      </c>
      <c r="AI96" s="1535" t="s">
        <v>10414</v>
      </c>
      <c r="AJ96" s="1535" t="s">
        <v>10415</v>
      </c>
      <c r="AK96" s="1535" t="s">
        <v>4505</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4871</v>
      </c>
      <c r="B97" s="1496" t="s">
        <v>8401</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6155</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5264</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7153</v>
      </c>
      <c r="AL97" s="1535" t="s">
        <v>3727</v>
      </c>
      <c r="AM97" s="1535" t="s">
        <v>4767</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3566</v>
      </c>
      <c r="L98" s="1623" t="s">
        <v>3616</v>
      </c>
      <c r="M98" s="1623" t="s">
        <v>6635</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5230</v>
      </c>
      <c r="AE98" s="1623" t="s">
        <v>2606</v>
      </c>
      <c r="AF98" s="1623" t="s">
        <v>10467</v>
      </c>
      <c r="AG98" s="1623" t="s">
        <v>5677</v>
      </c>
      <c r="AH98" s="1623" t="s">
        <v>10468</v>
      </c>
      <c r="AI98" s="1623" t="s">
        <v>4789</v>
      </c>
      <c r="AJ98" s="1623" t="s">
        <v>10469</v>
      </c>
      <c r="AK98" s="1623" t="s">
        <v>10470</v>
      </c>
      <c r="AL98" s="1623" t="s">
        <v>3915</v>
      </c>
      <c r="AM98" s="1623" t="s">
        <v>4798</v>
      </c>
      <c r="AN98" s="1623" t="s">
        <v>10471</v>
      </c>
      <c r="AO98" s="1623" t="s">
        <v>9825</v>
      </c>
      <c r="AP98" s="1623" t="s">
        <v>10472</v>
      </c>
      <c r="AQ98" s="1623" t="s">
        <v>7171</v>
      </c>
      <c r="AR98" s="1623" t="s">
        <v>10473</v>
      </c>
      <c r="AS98" s="1623" t="s">
        <v>615</v>
      </c>
      <c r="AT98" s="1623" t="s">
        <v>10474</v>
      </c>
      <c r="AU98" s="1623" t="s">
        <v>10475</v>
      </c>
      <c r="AV98" s="1623" t="str">
        <f t="shared" si="3"/>
        <v>2:11</v>
      </c>
      <c r="AW98" s="1628" t="s">
        <v>10476</v>
      </c>
    </row>
    <row r="99" ht="15.75" customHeight="1">
      <c r="A99" s="1502" t="s">
        <v>6119</v>
      </c>
      <c r="B99" s="1515" t="s">
        <v>8401</v>
      </c>
      <c r="C99" s="1457">
        <v>0.06635416666666667</v>
      </c>
      <c r="D99" s="1270" t="s">
        <v>10477</v>
      </c>
      <c r="E99" s="1270" t="s">
        <v>8272</v>
      </c>
      <c r="F99" s="1270" t="s">
        <v>8973</v>
      </c>
      <c r="G99" s="1270" t="s">
        <v>10478</v>
      </c>
      <c r="H99" s="1270" t="s">
        <v>10479</v>
      </c>
      <c r="I99" s="1270" t="s">
        <v>3426</v>
      </c>
      <c r="J99" s="1270" t="s">
        <v>10480</v>
      </c>
      <c r="K99" s="1270" t="s">
        <v>3885</v>
      </c>
      <c r="L99" s="1270" t="s">
        <v>7201</v>
      </c>
      <c r="M99" s="1270" t="s">
        <v>864</v>
      </c>
      <c r="N99" s="1270" t="s">
        <v>10481</v>
      </c>
      <c r="O99" s="1270" t="s">
        <v>10482</v>
      </c>
      <c r="P99" s="1270" t="s">
        <v>5143</v>
      </c>
      <c r="Q99" s="1270" t="s">
        <v>10483</v>
      </c>
      <c r="R99" s="1270" t="s">
        <v>4520</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4107</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4015</v>
      </c>
      <c r="AT99" s="1270" t="s">
        <v>10501</v>
      </c>
      <c r="AU99" s="1518" t="s">
        <v>10502</v>
      </c>
      <c r="AV99" s="1623" t="str">
        <f t="shared" si="3"/>
        <v>9:53</v>
      </c>
      <c r="AW99" s="1631" t="s">
        <v>10503</v>
      </c>
    </row>
    <row r="100">
      <c r="A100" s="1502" t="s">
        <v>4631</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6327</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6551</v>
      </c>
      <c r="F1" s="1667" t="s">
        <v>6839</v>
      </c>
      <c r="G1" s="1668" t="s">
        <v>38</v>
      </c>
      <c r="H1" s="1669" t="s">
        <v>36</v>
      </c>
      <c r="I1" s="1665" t="s">
        <v>10505</v>
      </c>
      <c r="J1" s="1670" t="s">
        <v>39</v>
      </c>
      <c r="K1" s="1671" t="s">
        <v>6780</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8398</v>
      </c>
      <c r="M2" s="1675">
        <v>0.050590277777777776</v>
      </c>
      <c r="N2" s="1685" t="str">
        <f t="shared" ref="N2:N39" si="1">TEXT(M2-C2, "m:ss")</f>
        <v>1:06</v>
      </c>
      <c r="O2" s="1423"/>
    </row>
    <row r="3" ht="15.75" customHeight="1">
      <c r="A3" s="1424" t="s">
        <v>8400</v>
      </c>
      <c r="B3" s="1686" t="s">
        <v>8401</v>
      </c>
      <c r="C3" s="1687">
        <v>0.051458333333333335</v>
      </c>
      <c r="D3" s="1427" t="s">
        <v>10514</v>
      </c>
      <c r="E3" s="1688" t="s">
        <v>5812</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6262</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6338</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3527</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6255</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493" t="s">
        <v>8398</v>
      </c>
      <c r="M13" s="1702">
        <v>0.05164351851851852</v>
      </c>
      <c r="N13" s="1701" t="str">
        <f t="shared" si="1"/>
        <v>1:23</v>
      </c>
      <c r="O13" s="1476" t="s">
        <v>10539</v>
      </c>
    </row>
    <row r="14" ht="15.75" customHeight="1">
      <c r="A14" s="1710" t="s">
        <v>2639</v>
      </c>
      <c r="B14" s="1456" t="s">
        <v>8373</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8373</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6"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6" t="s">
        <v>6327</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8401</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8425</v>
      </c>
      <c r="C23" s="1699">
        <v>0.05158564814814815</v>
      </c>
      <c r="D23" s="1721" t="s">
        <v>10521</v>
      </c>
      <c r="E23" s="1722" t="s">
        <v>10522</v>
      </c>
      <c r="F23" s="1721" t="s">
        <v>10523</v>
      </c>
      <c r="G23" s="1721" t="s">
        <v>10524</v>
      </c>
      <c r="H23" s="1721" t="s">
        <v>10525</v>
      </c>
      <c r="I23" s="1721" t="s">
        <v>10526</v>
      </c>
      <c r="J23" s="1721" t="s">
        <v>10527</v>
      </c>
      <c r="K23" s="1721" t="s">
        <v>10528</v>
      </c>
      <c r="L23" s="1721" t="s">
        <v>8457</v>
      </c>
      <c r="M23" s="1723">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8373</v>
      </c>
      <c r="C25" s="1703">
        <v>0.05171296296296296</v>
      </c>
      <c r="D25" s="1725" t="s">
        <v>10673</v>
      </c>
      <c r="E25" s="1725" t="s">
        <v>10674</v>
      </c>
      <c r="F25" s="1725" t="s">
        <v>10675</v>
      </c>
      <c r="G25" s="1725" t="s">
        <v>10676</v>
      </c>
      <c r="H25" s="1551" t="s">
        <v>10677</v>
      </c>
      <c r="I25" s="1725" t="s">
        <v>10678</v>
      </c>
      <c r="J25" s="1551" t="s">
        <v>10679</v>
      </c>
      <c r="K25" s="1725" t="s">
        <v>10680</v>
      </c>
      <c r="L25" s="1551" t="s">
        <v>7870</v>
      </c>
      <c r="M25" s="1702">
        <v>0.054375</v>
      </c>
      <c r="N25" s="1701" t="str">
        <f t="shared" si="1"/>
        <v>3:50</v>
      </c>
      <c r="O25" s="1476" t="s">
        <v>10681</v>
      </c>
    </row>
    <row r="26" ht="15.75" customHeight="1">
      <c r="A26" s="1716"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8" t="s">
        <v>5812</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8373</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8401</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3986</v>
      </c>
      <c r="B33" s="1541" t="s">
        <v>8373</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3714</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3387</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3598</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4871</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10504</v>
      </c>
      <c r="D1" s="1757" t="s">
        <v>6551</v>
      </c>
      <c r="E1" s="1758" t="s">
        <v>6839</v>
      </c>
      <c r="F1" s="1759" t="s">
        <v>38</v>
      </c>
      <c r="G1" s="1760" t="s">
        <v>36</v>
      </c>
      <c r="H1" s="1756" t="s">
        <v>10505</v>
      </c>
      <c r="I1" s="1761" t="s">
        <v>39</v>
      </c>
      <c r="J1" s="1762" t="s">
        <v>6780</v>
      </c>
      <c r="K1" s="1386" t="s">
        <v>8369</v>
      </c>
      <c r="L1" s="1386" t="s">
        <v>8371</v>
      </c>
    </row>
    <row r="2" ht="15.75" customHeight="1">
      <c r="A2" s="1399" t="s">
        <v>8372</v>
      </c>
      <c r="B2" s="1674" t="s">
        <v>8373</v>
      </c>
      <c r="C2" s="1676" t="s">
        <v>10506</v>
      </c>
      <c r="D2" s="1404" t="s">
        <v>10802</v>
      </c>
      <c r="E2" s="1763" t="s">
        <v>10803</v>
      </c>
      <c r="F2" s="1764" t="s">
        <v>10804</v>
      </c>
      <c r="G2" s="1765" t="s">
        <v>10805</v>
      </c>
      <c r="H2" s="1676" t="s">
        <v>10806</v>
      </c>
      <c r="I2" s="1766" t="s">
        <v>10807</v>
      </c>
      <c r="J2" s="1767" t="s">
        <v>10808</v>
      </c>
      <c r="K2" s="1768" t="s">
        <v>8399</v>
      </c>
      <c r="L2" s="1769"/>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0" t="s">
        <v>8399</v>
      </c>
      <c r="L5" s="1476" t="s">
        <v>10823</v>
      </c>
    </row>
    <row r="6" ht="15.75" customHeight="1">
      <c r="A6" s="1771" t="s">
        <v>6262</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2" t="s">
        <v>8373</v>
      </c>
      <c r="C7" s="1476" t="s">
        <v>10540</v>
      </c>
      <c r="D7" s="1476" t="s">
        <v>10831</v>
      </c>
      <c r="E7" s="1696" t="s">
        <v>10832</v>
      </c>
      <c r="F7" s="1479" t="s">
        <v>10833</v>
      </c>
      <c r="G7" s="1773" t="s">
        <v>10834</v>
      </c>
      <c r="H7" s="1773" t="s">
        <v>10835</v>
      </c>
      <c r="I7" s="1476" t="s">
        <v>10836</v>
      </c>
      <c r="J7" s="1774" t="s">
        <v>10837</v>
      </c>
      <c r="K7" s="1774" t="s">
        <v>8538</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6338</v>
      </c>
      <c r="B9" s="1456" t="s">
        <v>8373</v>
      </c>
      <c r="C9" s="1476" t="s">
        <v>10846</v>
      </c>
      <c r="D9" s="1476" t="s">
        <v>10847</v>
      </c>
      <c r="E9" s="1476" t="s">
        <v>10848</v>
      </c>
      <c r="F9" s="1479" t="s">
        <v>10849</v>
      </c>
      <c r="G9" s="1479" t="s">
        <v>10850</v>
      </c>
      <c r="H9" s="1775" t="s">
        <v>10851</v>
      </c>
      <c r="I9" s="1479" t="s">
        <v>10852</v>
      </c>
      <c r="J9" s="1479" t="s">
        <v>10853</v>
      </c>
      <c r="K9" s="1476" t="s">
        <v>8517</v>
      </c>
      <c r="L9" s="1476"/>
    </row>
    <row r="10" ht="15.75" customHeight="1">
      <c r="A10" s="1632" t="s">
        <v>1551</v>
      </c>
      <c r="B10" s="1541" t="s">
        <v>8373</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8373</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0"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8373</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6327</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8373</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8401</v>
      </c>
      <c r="C27" s="1777" t="s">
        <v>10975</v>
      </c>
      <c r="D27" s="1476"/>
      <c r="E27" s="1476" t="s">
        <v>10976</v>
      </c>
      <c r="F27" s="1476" t="s">
        <v>10977</v>
      </c>
      <c r="G27" s="1476"/>
      <c r="H27" s="1476"/>
      <c r="I27" s="1476"/>
      <c r="J27" s="1476"/>
      <c r="K27" s="1476" t="s">
        <v>9496</v>
      </c>
      <c r="L27" s="1476"/>
    </row>
    <row r="28">
      <c r="A28" s="1712"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5383</v>
      </c>
      <c r="B30" s="1541" t="s">
        <v>8373</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4871</v>
      </c>
      <c r="B31" s="1541" t="s">
        <v>8401</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4260</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3986</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4260</v>
      </c>
      <c r="D13" s="1797" t="s">
        <v>11037</v>
      </c>
      <c r="E13" s="1796" t="s">
        <v>11021</v>
      </c>
      <c r="F13" s="1798">
        <v>44250.0</v>
      </c>
    </row>
    <row r="14" ht="15.75" customHeight="1">
      <c r="A14" s="1794" t="s">
        <v>11038</v>
      </c>
      <c r="B14" s="1799" t="s">
        <v>11023</v>
      </c>
      <c r="C14" s="1796" t="s">
        <v>4230</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5198</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5383</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7077</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4260</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6097</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4703</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6012</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5198</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6075</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5198</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4112</v>
      </c>
      <c r="D127" s="1819">
        <v>0.06892361111111112</v>
      </c>
      <c r="E127" s="1796" t="s">
        <v>11031</v>
      </c>
      <c r="F127" s="1798">
        <v>44652.0</v>
      </c>
    </row>
    <row r="128">
      <c r="A128" s="1818"/>
      <c r="B128" s="1800" t="s">
        <v>11026</v>
      </c>
      <c r="C128" s="1805" t="s">
        <v>5329</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4230</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