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<sst xmlns="http://schemas.openxmlformats.org/spreadsheetml/2006/main" count="28387" uniqueCount="11948">
  <si>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</si>
  <si>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</si>
  <si>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</si>
  <si>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</si>
  <si>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</si>
  <si>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</si>
  <si>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</si>
  <si>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</si>
  <si>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</si>
  <si>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</si>
  <si>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</si>
  <si>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</si>
  <si>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</si>
  <si>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</si>
  <si>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</si>
  <si>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</si>
  <si>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</si>
  <si>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</si>
  <si>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</si>
  <si>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</si>
  <si>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</si>
  <si>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</si>
  <si>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</si>
  <si>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</si>
  <si>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</si>
  <si>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</si>
  <si>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</si>
  <si>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</si>
  <si>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</si>
  <si>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</si>
  <si>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</si>
  <si>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</si>
  <si>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</si>
  <si>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</si>
  <si>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</si>
  <si>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</si>
  <si>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</si>
  <si>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</si>
  <si>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</si>
  <si>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</si>
  <si>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</si>
  <si>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</si>
  <si>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</si>
  <si>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</si>
  <si>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</si>
  <si>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</si>
  <si>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</si>
  <si>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</si>
  <si>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</si>
  <si>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</si>
  <si>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</si>
  <si>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</si>
  <si>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</si>
  <si>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</si>
  <si>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</si>
  <si>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</si>
  <si>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</si>
  <si>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</si>
  <si>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</si>
  <si>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</si>
  <si>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</si>
  <si>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</si>
  <si>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</si>
  <si>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</si>
  <si>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</si>
  <si>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</si>
  <si>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</si>
  <si>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</si>
  <si>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</si>
  <si>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</si>
  <si>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</si>
  <si>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</si>
  <si>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</si>
  <si>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</si>
  <si>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</si>
  <si>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</si>
  <si>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</si>
  <si>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</si>
  <si>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</si>
  <si>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</si>
  <si>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</si>
  <si>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</si>
  <si>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</si>
  <si>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</si>
  <si>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</si>
  <si>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</si>
  <si>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</si>
  <si>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</si>
  <si>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</si>
  <si>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</si>
  <si>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</si>
  <si>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</si>
  <si>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</si>
  <si>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</si>
  <si>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</si>
  <si>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</si>
  <si>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</si>
  <si>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</si>
  <si>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</si>
  <si>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</si>
  <si>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</si>
  <si>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</si>
  <si>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</si>
  <si>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</si>
  <si>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</si>
  <si>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</si>
  <si>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</si>
  <si>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</si>
  <si>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</si>
  <si>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</si>
  <si>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</si>
  <si>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</si>
  <si>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</si>
  <si>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</si>
  <si>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</si>
  <si>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</si>
  <si>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</si>
  <si>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</si>
  <si>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</si>
  <si>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</si>
  <si>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</si>
  <si>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</si>
  <si>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</si>
  <si>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</si>
  <si>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</si>
  <si>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</si>
  <si>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</si>
  <si>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</si>
  <si>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</si>
  <si>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</si>
  <si>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</si>
  <si>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</si>
  <si>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</si>
  <si>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</si>
  <si>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</si>
  <si>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</si>
  <si>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</si>
  <si>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</si>
  <si>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</si>
  <si>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</si>
  <si>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</si>
  <si>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</si>
  <si>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</si>
  <si>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</si>
  <si>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</si>
  <si>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</si>
  <si>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</si>
  <si>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</si>
  <si>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</si>
  <si>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</si>
  <si>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</si>
  <si>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</si>
  <si>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</si>
  <si>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</si>
  <si>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</si>
  <si>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</si>
  <si>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</si>
  <si>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</si>
  <si>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</si>
  <si>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</si>
  <si>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</si>
  <si>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</si>
  <si>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</si>
  <si>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</si>
  <si>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</si>
  <si>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</si>
  <si>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</si>
  <si>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</si>
  <si>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</si>
  <si>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</si>
  <si>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</si>
  <si>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</si>
  <si>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</si>
  <si>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</si>
  <si>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</si>
  <si>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</si>
  <si>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</si>
  <si>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</si>
  <si>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</si>
  <si>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</si>
  <si>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</si>
  <si>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</si>
  <si>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</si>
  <si>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</si>
  <si>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</si>
  <si>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</si>
  <si>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</si>
  <si>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</si>
  <si>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</si>
  <si>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</si>
  <si>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</si>
  <si>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</si>
  <si>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</si>
  <si>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</si>
  <si>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</si>
  <si>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</si>
  <si>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</si>
  <si>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</si>
  <si>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</si>
  <si>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</si>
  <si>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</si>
  <si>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</si>
  <si>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</si>
  <si>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</si>
  <si>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</si>
  <si>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</si>
  <si>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</si>
  <si>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</si>
  <si>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</si>
  <si>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</si>
  <si>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</si>
  <si>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</si>
  <si>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</si>
  <si>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</si>
  <si>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</si>
  <si>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</si>
  <si>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</si>
  <si>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</si>
  <si>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</si>
  <si>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</si>
  <si>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</si>
  <si>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</si>
  <si>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</si>
  <si>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</si>
  <si>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</si>
  <si>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</si>
  <si>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</si>
  <si>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</si>
  <si>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</si>
  <si>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</si>
  <si>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</si>
  <si>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</si>
  <si>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</si>
  <si>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</si>
  <si>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</si>
  <si>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</si>
  <si>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</si>
  <si>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</si>
  <si>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</si>
  <si>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</si>
  <si>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</si>
  <si>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</si>
  <si>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</si>
  <si>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</si>
  <si>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</si>
  <si>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</si>
  <si>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</si>
  <si>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</si>
  <si>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</si>
  <si>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</si>
  <si>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</si>
  <si>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</si>
  <si>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</si>
  <si>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</si>
  <si>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</si>
  <si>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</si>
  <si>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</si>
  <si>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</si>
  <si>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</si>
  <si>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</si>
  <si>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</si>
  <si>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</si>
  <si>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</si>
  <si>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</si>
  <si>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</si>
  <si>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</si>
  <si>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</si>
  <si>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</si>
  <si>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</si>
  <si>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</si>
  <si>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</si>
  <si>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</si>
  <si>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</si>
  <si>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</si>
  <si>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</si>
  <si>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</si>
  <si>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</si>
  <si>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</si>
  <si>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</si>
  <si>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</si>
  <si>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</si>
  <si>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</si>
  <si>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</si>
  <si>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</si>
  <si>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</si>
  <si>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</si>
  <si>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</si>
  <si>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</si>
  <si>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</si>
  <si>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</si>
  <si>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</si>
  <si>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</si>
  <si>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</si>
  <si>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</si>
  <si>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</si>
  <si>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</si>
  <si>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</si>
  <si>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</si>
  <si>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</si>
  <si>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</si>
  <si>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</si>
  <si>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</si>
  <si>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</si>
  <si>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</si>
  <si>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</si>
  <si>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</si>
  <si>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</si>
  <si>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</si>
  <si>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</si>
  <si>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</si>
  <si>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</si>
  <si>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</si>
  <si>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</si>
  <si>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</si>
  <si>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</si>
  <si>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</si>
  <si>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</si>
  <si>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</si>
  <si>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</si>
  <si>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</si>
  <si>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</si>
  <si>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</si>
  <si>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</si>
  <si>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</si>
  <si>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</si>
  <si>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</si>
  <si>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</si>
  <si>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</si>
  <si>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</si>
  <si>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</si>
  <si>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</si>
  <si>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</si>
  <si>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</si>
  <si>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</si>
  <si>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</si>
  <si>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</si>
  <si>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</si>
  <si>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</si>
  <si>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</si>
  <si>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</si>
  <si>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</si>
  <si>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</si>
  <si>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</si>
  <si>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</si>
  <si>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</si>
  <si>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</si>
  <si>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</si>
  <si>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</si>
  <si>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</si>
  <si>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</si>
  <si>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</si>
  <si>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</si>
  <si>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</si>
  <si>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</si>
  <si>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</si>
  <si>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</si>
  <si>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</si>
  <si>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</si>
  <si>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</si>
  <si>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</si>
  <si>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</si>
  <si>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</si>
  <si>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</si>
  <si>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</si>
  <si>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</si>
  <si>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</si>
  <si>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</si>
  <si>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</si>
  <si>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</si>
  <si>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</si>
  <si>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</si>
  <si>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</si>
  <si>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</si>
  <si>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</si>
  <si>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</si>
  <si>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</si>
  <si>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</si>
  <si>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</si>
  <si>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</si>
  <si>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</si>
  <si>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</si>
  <si>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</si>
  <si>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</si>
  <si>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</si>
  <si>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</si>
  <si>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</si>
  <si>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</si>
  <si>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</si>
  <si>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</si>
  <si>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</si>
  <si>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</si>
  <si>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</si>
  <si>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</si>
  <si>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</si>
  <si>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</si>
  <si>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</si>
  <si>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</si>
  <si>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</si>
  <si>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</si>
  <si>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</si>
  <si>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</si>
  <si>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</si>
  <si>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</si>
  <si>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</si>
  <si>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</si>
  <si>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</si>
  <si>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</si>
  <si>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</si>
  <si>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</si>
  <si>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</si>
  <si>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</si>
  <si>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</si>
  <si>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</si>
  <si>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</si>
  <si>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</si>
  <si>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</si>
  <si>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</si>
  <si>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</si>
  <si>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</si>
  <si>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</si>
  <si>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</si>
  <si>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</si>
  <si>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</si>
  <si>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</si>
  <si>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</si>
  <si>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</si>
  <si>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</si>
  <si>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</si>
  <si>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</si>
  <si>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</si>
  <si>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</si>
  <si>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</si>
  <si>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</si>
  <si>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</si>
  <si>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</si>
  <si>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</si>
  <si>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</si>
  <si>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</si>
  <si>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</si>
  <si>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</si>
  <si>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</si>
  <si>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</si>
  <si>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</si>
  <si>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</si>
  <si>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</si>
  <si>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</si>
  <si>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</si>
  <si>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</si>
  <si>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</si>
  <si>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</si>
  <si>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</si>
  <si>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</si>
  <si>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</si>
  <si>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</si>
  <si>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</si>
  <si>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</si>
  <si>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</si>
  <si>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</si>
  <si>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</si>
  <si>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</si>
  <si>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</si>
  <si>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</si>
  <si>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</si>
  <si>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</si>
  <si>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</si>
  <si>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</si>
  <si>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</si>
  <si>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</si>
  <si>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</si>
  <si>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</si>
  <si>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</si>
  <si>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</si>
  <si>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</si>
  <si>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</si>
  <si>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</si>
  <si>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</si>
  <si>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</si>
  <si>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</si>
  <si>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</si>
  <si>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</si>
  <si>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</si>
  <si>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</si>
  <si>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</si>
  <si>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</si>
  <si>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</si>
  <si>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</si>
  <si>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</si>
  <si>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</si>
  <si>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</si>
  <si>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</si>
  <si>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</si>
  <si>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</si>
  <si>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</si>
  <si>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</si>
  <si>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</si>
  <si>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</si>
  <si>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</si>
  <si>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</si>
  <si>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</si>
  <si>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</si>
  <si>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</si>
  <si>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</si>
  <si>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</si>
  <si>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</si>
  <si>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</si>
  <si>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</si>
  <si>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</si>
  <si>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</si>
  <si>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</si>
  <si>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</si>
  <si>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</si>
  <si>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</si>
  <si>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</si>
  <si>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</si>
  <si>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</si>
  <si>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</si>
  <si>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</si>
  <si>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</si>
  <si>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</si>
  <si>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</si>
  <si>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</si>
  <si>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</si>
  <si>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</si>
  <si>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</si>
  <si>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</si>
  <si>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</si>
  <si>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</si>
  <si>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</si>
  <si>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</si>
  <si>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</si>
  <si>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</si>
  <si>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</si>
  <si>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</si>
  <si>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</si>
  <si>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</si>
  <si>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</si>
  <si>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</si>
  <si>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</si>
  <si>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</si>
  <si>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</si>
  <si>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</si>
  <si>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</si>
  <si>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</si>
  <si>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</si>
  <si>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</si>
  <si>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</si>
  <si>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</si>
  <si>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</si>
  <si>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</si>
  <si>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</si>
  <si>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</si>
  <si>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</si>
  <si>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</si>
  <si>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</si>
  <si>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</si>
  <si>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</si>
  <si>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</si>
  <si>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</si>
  <si>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</si>
  <si>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</si>
  <si>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</si>
  <si>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</si>
  <si>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</si>
  <si>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</si>
  <si>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</si>
  <si>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</si>
  <si>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</si>
  <si>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</si>
  <si>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</si>
  <si>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</si>
  <si>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</si>
  <si>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</si>
  <si>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</si>
  <si>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</si>
  <si>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</si>
  <si>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</si>
  <si>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</si>
  <si>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</si>
  <si>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</si>
  <si>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</si>
  <si>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</si>
  <si>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</si>
  <si>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</si>
  <si>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</si>
  <si>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</si>
  <si>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</si>
  <si>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</si>
  <si>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</si>
  <si>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</si>
  <si>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</si>
  <si>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</si>
  <si>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</si>
  <si>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</si>
  <si>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</si>
  <si>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</si>
  <si>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</si>
  <si>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</si>
  <si>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</si>
  <si>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</si>
  <si>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</si>
  <si>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</si>
  <si>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</si>
  <si>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</si>
  <si>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</si>
  <si>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</si>
  <si>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</si>
  <si>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</si>
  <si>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</si>
  <si>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</si>
  <si>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</si>
  <si>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</si>
  <si>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</si>
  <si>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</si>
  <si>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</si>
  <si>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</si>
  <si>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</si>
  <si>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</si>
  <si>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</si>
  <si>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</si>
  <si>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</si>
  <si>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</si>
  <si>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</si>
  <si>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</si>
  <si>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</si>
  <si>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</si>
  <si>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</si>
  <si>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</si>
  <si>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</si>
  <si>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</si>
  <si>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</si>
  <si>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</si>
  <si>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</si>
  <si>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</si>
  <si>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</si>
  <si>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</si>
  <si>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</si>
  <si>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</si>
  <si>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</si>
  <si>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</si>
  <si>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</si>
  <si>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</si>
  <si>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</si>
  <si>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</si>
  <si>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</si>
  <si>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</si>
  <si>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</si>
  <si>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</si>
  <si>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</si>
  <si>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</si>
  <si>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</si>
  <si>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</si>
  <si>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</si>
  <si>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</si>
  <si>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</si>
  <si>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</si>
  <si>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</si>
  <si>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</si>
  <si>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</si>
  <si>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</si>
  <si>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</si>
  <si>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</si>
  <si>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</si>
  <si>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</si>
  <si>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</si>
  <si>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</si>
  <si>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</si>
  <si>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</si>
  <si>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</si>
  <si>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</si>
  <si>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</si>
  <si>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</si>
  <si>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</si>
  <si>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</si>
  <si>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</si>
  <si>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</si>
  <si>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</si>
  <si>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</si>
  <si>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</si>
  <si>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</si>
  <si>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</si>
  <si>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</si>
  <si>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</si>
  <si>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</si>
  <si>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</si>
  <si>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</si>
  <si>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</si>
  <si>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</si>
  <si>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</si>
  <si>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</si>
  <si>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</si>
  <si>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</si>
  <si>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</si>
  <si>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</si>
  <si>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</si>
  <si>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</si>
  <si>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</si>
  <si>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</si>
  <si>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</si>
  <si>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</si>
  <si>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</si>
  <si>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</si>
  <si>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</si>
  <si>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</si>
  <si>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</si>
  <si>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</si>
  <si>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</si>
  <si>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</si>
  <si>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</si>
  <si>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</si>
  <si>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</si>
  <si>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</si>
  <si>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</si>
  <si>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</si>
  <si>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</si>
  <si>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</si>
  <si>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</si>
  <si>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</si>
  <si>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</si>
  <si>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</si>
  <si>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</si>
  <si>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</si>
  <si>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</si>
  <si>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</si>
  <si>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</si>
  <si>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</si>
  <si>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</si>
  <si>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</si>
  <si>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</si>
  <si>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</si>
  <si>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</si>
  <si>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</si>
  <si>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</si>
  <si>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</si>
  <si>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</si>
  <si>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</si>
  <si>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</si>
  <si>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</si>
  <si>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</si>
  <si>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</si>
  <si>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</si>
  <si>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</si>
  <si>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</si>
  <si>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</si>
  <si>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</si>
  <si>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</si>
  <si>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</si>
  <si>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</si>
  <si>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</si>
  <si>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</si>
  <si>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</si>
  <si>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</si>
  <si>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</si>
  <si>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</si>
  <si>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</si>
  <si>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</si>
  <si>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</si>
  <si>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</si>
  <si>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</si>
  <si>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</si>
  <si>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</si>
  <si>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</si>
  <si>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</si>
  <si>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</si>
  <si>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</si>
  <si>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</si>
  <si>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</si>
  <si>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</si>
  <si>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</si>
  <si>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</si>
  <si>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</si>
  <si>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</si>
  <si>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</si>
  <si>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</si>
  <si>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</si>
  <si>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</si>
  <si>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</si>
  <si>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</si>
  <si>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</si>
  <si>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</si>
  <si>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</si>
  <si>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</si>
  <si>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</si>
  <si>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</si>
  <si>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</si>
  <si>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</si>
  <si>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</si>
  <si>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</si>
  <si>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</si>
  <si>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</si>
  <si>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</si>
  <si>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</si>
  <si>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</si>
  <si>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</si>
  <si>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</si>
  <si>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</si>
  <si>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</si>
  <si>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</si>
  <si>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</si>
  <si>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</si>
  <si>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</si>
  <si>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</si>
  <si>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</si>
  <si>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</si>
  <si>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</si>
  <si>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</si>
  <si>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</si>
  <si>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</si>
  <si>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</si>
  <si>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</si>
  <si>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</si>
  <si>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</si>
  <si>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</si>
  <si>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</si>
  <si>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</si>
  <si>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</si>
  <si>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</si>
  <si>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</si>
  <si>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</si>
  <si>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</si>
  <si>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</si>
  <si>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</si>
  <si>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</si>
  <si>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</si>
  <si>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</si>
  <si>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</si>
  <si>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</si>
  <si>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</si>
  <si>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</si>
  <si>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</si>
  <si>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</si>
  <si>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</si>
  <si>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</si>
  <si>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</si>
  <si>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</si>
  <si>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</si>
  <si>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</si>
  <si>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</si>
  <si>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</si>
  <si>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</si>
  <si>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</si>
  <si>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</si>
  <si>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</si>
  <si>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</si>
  <si>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</si>
  <si>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</si>
  <si>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</si>
  <si>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</si>
  <si>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</si>
  <si>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</si>
  <si>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</si>
  <si>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</si>
  <si>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</si>
  <si>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</si>
  <si>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</si>
  <si>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</si>
  <si>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</si>
  <si>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</si>
  <si>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</si>
  <si>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</si>
  <si>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</si>
  <si>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</si>
  <si>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</si>
  <si>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</si>
  <si>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</si>
  <si>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</si>
  <si>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</si>
  <si>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</si>
  <si>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</si>
  <si>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</si>
  <si>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</si>
  <si>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</si>
  <si>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</si>
  <si>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</si>
  <si>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</si>
  <si>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</si>
  <si>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</si>
  <si>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</si>
  <si>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</si>
  <si>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</si>
  <si>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</si>
  <si>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</si>
  <si>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</si>
  <si>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</si>
  <si>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</si>
  <si>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</si>
  <si>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</si>
  <si>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</si>
  <si>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</si>
  <si>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</si>
  <si>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</si>
  <si>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</si>
  <si>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</si>
  <si>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</si>
  <si>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</si>
  <si>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</si>
  <si>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</si>
  <si>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</si>
  <si>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</si>
  <si>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</si>
  <si>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</si>
  <si>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</si>
  <si>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</si>
  <si>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</si>
  <si>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</si>
  <si>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</si>
  <si>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</si>
  <si>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</si>
  <si>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</si>
  <si>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</si>
  <si>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</si>
  <si>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</si>
  <si>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</si>
  <si>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</si>
  <si>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</si>
  <si>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</si>
  <si>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</si>
  <si>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</si>
  <si>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</si>
  <si>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</si>
  <si>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</si>
  <si>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</si>
  <si>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</si>
  <si>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</si>
  <si>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</si>
  <si>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</si>
  <si>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</si>
  <si>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</si>
  <si>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</si>
  <si>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</si>
  <si>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</si>
  <si>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</si>
  <si>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</si>
  <si>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</si>
  <si>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</si>
  <si>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</si>
  <si>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</si>
  <si>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</si>
  <si>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</si>
  <si>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</si>
  <si>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</si>
  <si>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</si>
  <si>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</si>
  <si>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</si>
  <si>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</si>
  <si>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</si>
  <si>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</si>
  <si>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</si>
  <si>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</si>
  <si>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</si>
  <si>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</si>
  <si>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</si>
  <si>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</si>
  <si>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</si>
  <si>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</si>
  <si>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</si>
  <si>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</si>
  <si>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</si>
  <si>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</si>
  <si>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</si>
  <si>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</si>
  <si>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</si>
  <si>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</si>
  <si>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</si>
  <si>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</si>
  <si>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</si>
  <si>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</si>
  <si>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</si>
  <si>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</si>
  <si>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</si>
  <si>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</si>
  <si>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</si>
  <si>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</si>
  <si>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</si>
  <si>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</si>
  <si>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</si>
  <si>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</si>
  <si>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</si>
  <si>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</si>
  <si>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</si>
  <si>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</si>
  <si>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</si>
  <si>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</si>
  <si>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</si>
  <si>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</si>
  <si>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</si>
  <si>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</si>
  <si>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</si>
  <si>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</si>
  <si>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</si>
  <si>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</si>
  <si>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</si>
  <si>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</si>
  <si>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</si>
  <si>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</si>
  <si>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</si>
  <si>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</si>
  <si>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</si>
  <si>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</si>
  <si>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</si>
  <si>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</si>
  <si>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</si>
  <si>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</si>
  <si>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</si>
  <si>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</si>
  <si>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</si>
  <si>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</si>
  <si>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</si>
  <si>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</si>
  <si>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</si>
  <si>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</si>
  <si>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</si>
  <si>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</si>
  <si>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</si>
  <si>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</si>
  <si>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</si>
  <si>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</si>
  <si>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</si>
  <si>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</si>
  <si>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</si>
  <si>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</si>
  <si>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</si>
  <si>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</si>
  <si>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</si>
  <si>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</si>
  <si>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</si>
  <si>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</si>
  <si>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</si>
  <si>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</si>
  <si>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</si>
  <si>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</si>
  <si>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</si>
  <si>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</si>
  <si>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</si>
  <si>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</si>
  <si>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</si>
  <si>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</si>
  <si>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</si>
  <si>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</si>
  <si>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</si>
  <si>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</si>
  <si>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</si>
  <si>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</si>
  <si>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</si>
  <si>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</si>
  <si>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</si>
  <si>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</si>
  <si>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</si>
  <si>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</si>
  <si>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</si>
  <si>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</si>
  <si>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</si>
  <si>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</si>
  <si>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</si>
  <si>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</si>
  <si>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</si>
  <si>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</si>
  <si>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</si>
  <si>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</si>
  <si>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</si>
  <si>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</si>
  <si>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</si>
  <si>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</si>
  <si>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</si>
  <si>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</si>
  <si>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</si>
  <si>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</si>
  <si>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</si>
  <si>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</si>
  <si>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</si>
  <si>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</si>
  <si>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</si>
  <si>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</si>
  <si>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</si>
  <si>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</si>
  <si>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</si>
  <si>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</si>
  <si>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</si>
  <si>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</si>
  <si>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</si>
  <si>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</si>
  <si>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</si>
  <si>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</si>
  <si>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</si>
  <si>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</si>
  <si>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</si>
  <si>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</si>
  <si>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</si>
  <si>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</si>
  <si>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</si>
  <si>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</si>
  <si>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</si>
  <si>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</si>
  <si>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</si>
  <si>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</si>
  <si>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</si>
  <si>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</si>
  <si>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</si>
  <si>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</si>
  <si>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</si>
  <si>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</si>
  <si>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</si>
  <si>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</si>
  <si>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</si>
  <si>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</si>
  <si>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</si>
  <si>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</si>
  <si>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</si>
  <si>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</si>
  <si>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</si>
  <si>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</si>
  <si>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</si>
  <si>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</si>
  <si>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</si>
  <si>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</si>
  <si>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</si>
  <si>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</si>
  <si>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</si>
  <si>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</si>
  <si>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</si>
  <si>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</si>
  <si>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</si>
  <si>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</si>
  <si>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</si>
  <si>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</si>
  <si>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</si>
  <si>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</si>
  <si>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</si>
  <si>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</si>
  <si>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</si>
  <si>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</si>
  <si>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</si>
  <si>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</si>
  <si>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</si>
  <si>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</si>
  <si>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</si>
  <si>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</si>
  <si>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</si>
  <si>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</si>
  <si>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</si>
  <si>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</si>
  <si>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</si>
  <si>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</si>
  <si>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</si>
  <si>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</si>
  <si>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</si>
  <si>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</si>
  <si>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</si>
  <si>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</si>
  <si>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</si>
  <si>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</si>
  <si>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</si>
  <si>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</si>
  <si>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</si>
  <si>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</si>
  <si>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</si>
  <si>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</si>
  <si>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</si>
  <si>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</si>
  <si>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</si>
  <si>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</si>
  <si>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</si>
  <si>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</si>
  <si>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</si>
  <si>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</si>
  <si>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</si>
  <si>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</si>
  <si>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</si>
  <si>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</si>
  <si>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</si>
  <si>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</si>
  <si>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</si>
  <si>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</si>
  <si>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</si>
  <si>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</si>
  <si>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</si>
  <si>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</si>
  <si>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</si>
  <si>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</si>
  <si>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</si>
  <si>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</si>
  <si>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</si>
  <si>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</si>
  <si>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</si>
  <si>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</si>
  <si>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</si>
  <si>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</si>
  <si>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</si>
  <si>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</si>
  <si>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</si>
  <si>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</si>
  <si>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</si>
  <si>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</si>
  <si>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</si>
  <si>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</si>
  <si>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</si>
  <si>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</si>
  <si>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</si>
  <si>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</si>
  <si>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</si>
  <si>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</si>
  <si>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</si>
  <si>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</si>
  <si>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</si>
  <si>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</si>
  <si>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</si>
  <si>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</si>
  <si>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</si>
  <si>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</si>
  <si>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</si>
  <si>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</si>
  <si>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</si>
  <si>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</si>
  <si>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</si>
  <si>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</si>
  <si>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</si>
  <si>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</si>
  <si>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</si>
  <si>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</si>
  <si>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</si>
  <si>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</si>
  <si>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</si>
  <si>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</si>
  <si>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</si>
  <si>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</si>
  <si>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</si>
  <si>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</si>
  <si>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</si>
  <si>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</si>
  <si>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</si>
  <si>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</si>
  <si>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</si>
  <si>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</si>
  <si>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</si>
  <si>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</si>
  <si>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</si>
  <si>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</si>
  <si>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</si>
  <si>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</si>
  <si>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</si>
  <si>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</si>
  <si>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</si>
  <si>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</si>
  <si>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</si>
  <si>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</si>
  <si>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</si>
  <si>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</si>
  <si>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</si>
  <si>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</si>
  <si>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</si>
  <si>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</si>
  <si>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</si>
  <si>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</si>
  <si>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</si>
  <si>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</si>
  <si>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</si>
  <si>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</si>
  <si>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</si>
  <si>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</si>
  <si>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</si>
  <si>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</si>
  <si>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</si>
  <si>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</si>
  <si>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</si>
  <si>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</si>
  <si>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</si>
  <si>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</si>
  <si>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</si>
  <si>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</si>
  <si>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</si>
  <si>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</si>
  <si>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</si>
  <si>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</si>
  <si>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</si>
  <si>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</si>
  <si>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</si>
  <si>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</si>
  <si>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</si>
  <si>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</si>
  <si>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</si>
  <si>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</si>
  <si>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</si>
  <si>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</si>
  <si>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</si>
  <si>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</si>
  <si>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</si>
  <si>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</si>
  <si>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</si>
  <si>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</si>
  <si>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</si>
  <si>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</si>
  <si>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</si>
  <si>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</si>
  <si>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</si>
  <si>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</si>
  <si>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</si>
  <si>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</si>
  <si>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</si>
  <si>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</si>
  <si>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</si>
  <si>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</si>
  <si>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</si>
  <si>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</si>
  <si>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</si>
  <si>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</si>
  <si>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</si>
  <si>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</si>
  <si>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</si>
  <si>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</si>
  <si>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</si>
  <si>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</si>
  <si>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</si>
  <si>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</si>
  <si>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</si>
  <si>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</si>
  <si>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</si>
  <si>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</si>
  <si>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</si>
  <si>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</si>
  <si>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</si>
  <si>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</si>
  <si>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</si>
  <si>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</si>
  <si>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</si>
  <si>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</si>
  <si>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</si>
  <si>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</si>
  <si>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</si>
  <si>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</si>
  <si>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</si>
  <si>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</si>
  <si>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</si>
  <si>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</si>
  <si>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</si>
  <si>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</si>
  <si>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</si>
  <si>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</si>
  <si>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</si>
  <si>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</si>
  <si>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</si>
  <si>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</si>
  <si>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</si>
  <si>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</si>
  <si>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</si>
  <si>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</si>
  <si>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</si>
  <si>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</si>
  <si>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</si>
  <si>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</si>
  <si>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</si>
  <si>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</si>
  <si>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</si>
  <si>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</si>
  <si>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</si>
  <si>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</si>
  <si>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</si>
  <si>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</si>
  <si>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</si>
  <si>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</si>
  <si>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</si>
  <si>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</si>
  <si>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</si>
  <si>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</si>
  <si>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</si>
  <si>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</si>
  <si>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</si>
  <si>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</si>
  <si>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</si>
  <si>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</si>
  <si>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</si>
  <si>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</si>
  <si>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</si>
  <si>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</si>
  <si>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</si>
  <si>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</si>
  <si>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</si>
  <si>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</si>
  <si>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</si>
  <si>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</si>
  <si>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</si>
  <si>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</si>
  <si>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</si>
  <si>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</si>
  <si>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</si>
  <si>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</si>
  <si>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</si>
  <si>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</si>
  <si>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</si>
  <si>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</si>
  <si>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</si>
  <si>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</si>
  <si>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</si>
  <si>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</si>
  <si>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</si>
  <si>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</si>
  <si>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</si>
  <si>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</si>
  <si>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</si>
  <si>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</si>
  <si>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</si>
  <si>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</si>
  <si>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</si>
  <si>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</si>
  <si>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</si>
  <si>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</si>
  <si>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</si>
  <si>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</si>
  <si>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</si>
  <si>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</si>
  <si>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</si>
  <si>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</si>
  <si>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</si>
  <si>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</si>
  <si>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</si>
  <si>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</si>
  <si>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</si>
  <si>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</si>
  <si>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</si>
  <si>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</si>
  <si>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</si>
  <si>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</si>
  <si>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</si>
  <si>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</si>
  <si>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</si>
  <si>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</si>
  <si>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</si>
  <si>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</si>
  <si>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</si>
  <si>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</si>
  <si>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</si>
  <si>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</si>
  <si>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</si>
  <si>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</si>
  <si>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</si>
  <si>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</si>
  <si>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</si>
  <si>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</si>
  <si>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</si>
  <si>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</si>
  <si>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</si>
  <si>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</si>
  <si>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</si>
  <si>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</si>
  <si>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</si>
  <si>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</si>
  <si>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</si>
  <si>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</si>
  <si>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</si>
  <si>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</si>
  <si>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</si>
  <si>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</si>
  <si>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</si>
  <si>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</si>
  <si>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</si>
  <si>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</si>
  <si>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</si>
  <si>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</si>
  <si>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</si>
  <si>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</si>
  <si>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</si>
  <si>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</si>
  <si>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</si>
  <si>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</si>
  <si>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</si>
  <si>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</si>
  <si>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</si>
  <si>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</si>
  <si>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</si>
  <si>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</si>
  <si>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</si>
  <si>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</si>
  <si>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</si>
  <si>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</si>
  <si>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</si>
  <si>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</si>
  <si>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</si>
  <si>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</si>
  <si>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</si>
  <si>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</si>
  <si>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</si>
  <si>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</si>
  <si>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</si>
  <si>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</si>
  <si>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</si>
  <si>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</si>
  <si>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</si>
  <si>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</si>
  <si>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</si>
  <si>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</si>
  <si>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</si>
  <si>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</si>
  <si>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</si>
  <si>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</si>
  <si>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</si>
  <si>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</si>
  <si>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</si>
  <si>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</si>
  <si>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</si>
  <si>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</si>
  <si>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</si>
  <si>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</si>
  <si>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</si>
  <si>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</si>
  <si>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</si>
  <si>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</si>
  <si>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</si>
  <si>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</si>
  <si>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</si>
  <si>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</si>
  <si>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</si>
  <si>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</si>
  <si>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</si>
  <si>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</si>
  <si>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</si>
  <si>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</si>
  <si>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</si>
  <si>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</si>
  <si>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</si>
  <si>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</si>
  <si>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</si>
  <si>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</si>
  <si>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</si>
  <si>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</si>
  <si>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</si>
  <si>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</si>
  <si>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</si>
  <si>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</si>
  <si>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</si>
  <si>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</si>
  <si>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</si>
  <si>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</si>
  <si>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</si>
  <si>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</si>
  <si>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</si>
  <si>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</si>
  <si>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</si>
  <si>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</si>
  <si>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</si>
  <si>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</si>
  <si>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</si>
  <si>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</si>
  <si>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</si>
  <si>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</si>
  <si>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</si>
  <si>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</si>
  <si>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</si>
  <si>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</si>
  <si>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</si>
  <si>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</si>
  <si>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</si>
  <si>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</si>
  <si>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</si>
  <si>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</si>
  <si>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</si>
  <si>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</si>
  <si>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</si>
  <si>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</si>
  <si>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</si>
  <si>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</si>
  <si>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</si>
  <si>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</si>
  <si>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</si>
  <si>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</si>
  <si>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</si>
  <si>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</si>
  <si>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</si>
  <si>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</si>
  <si>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</si>
  <si>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</si>
  <si>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</si>
  <si>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</si>
  <si>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</si>
  <si>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</si>
  <si>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</si>
  <si>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</si>
  <si>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</si>
  <si>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</si>
  <si>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</si>
  <si>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</si>
  <si>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</si>
  <si>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</si>
  <si>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</si>
  <si>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</si>
  <si>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</si>
  <si>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</si>
  <si>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</si>
  <si>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</si>
  <si>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</si>
  <si>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</si>
  <si>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</si>
  <si>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</si>
  <si>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</si>
  <si>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</si>
  <si>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</si>
  <si>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</si>
  <si>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</si>
  <si>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</si>
  <si>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</si>
  <si>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</si>
  <si>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</si>
  <si>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</si>
  <si>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</si>
  <si>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</si>
  <si>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</si>
  <si>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</si>
  <si>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</si>
  <si>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</si>
  <si>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</si>
  <si>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</si>
  <si>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</si>
  <si>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</si>
  <si>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</si>
  <si>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</si>
  <si>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</si>
  <si>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</si>
  <si>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</si>
  <si>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</si>
  <si>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</si>
  <si>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</si>
  <si>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</si>
  <si>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</si>
  <si>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</si>
  <si>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</si>
  <si>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</si>
  <si>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</si>
  <si>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</si>
  <si>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</si>
  <si>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</si>
  <si>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</si>
  <si>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</si>
  <si>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</si>
  <si>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</si>
  <si>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</si>
  <si>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</si>
  <si>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</si>
  <si>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</si>
  <si>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</si>
  <si>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</si>
  <si>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</si>
  <si>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</si>
  <si>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</si>
  <si>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</si>
  <si>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</si>
  <si>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</si>
  <si>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</si>
  <si>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</si>
  <si>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</si>
  <si>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</si>
  <si>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</si>
  <si>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</si>
  <si>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</si>
  <si>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</si>
  <si>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</si>
  <si>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</si>
  <si>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</si>
  <si>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</si>
  <si>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</si>
  <si>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</si>
  <si>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</si>
  <si>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</si>
  <si>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</si>
  <si>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</si>
  <si>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</si>
  <si>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</si>
  <si>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</si>
  <si>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</si>
  <si>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</si>
  <si>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</si>
  <si>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</si>
  <si>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</si>
  <si>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</si>
  <si>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</si>
  <si>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</si>
  <si>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</si>
  <si>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</si>
  <si>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</si>
  <si>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</si>
  <si>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</si>
  <si>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</si>
  <si>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</si>
  <si>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</si>
  <si>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</si>
  <si>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</si>
  <si>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</si>
  <si>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</si>
  <si>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</si>
  <si>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</si>
  <si>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</si>
  <si>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</si>
  <si>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</si>
  <si>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</si>
  <si>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</si>
  <si>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</si>
  <si>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</si>
  <si>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</si>
  <si>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</si>
  <si>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</si>
  <si>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</si>
  <si>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</si>
  <si>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</si>
  <si>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</si>
  <si>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</si>
  <si>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</si>
  <si>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</si>
  <si>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</si>
  <si>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</si>
  <si>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</si>
  <si>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</si>
  <si>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</si>
  <si>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</si>
  <si>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</si>
  <si>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</si>
  <si>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</si>
  <si>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</si>
  <si>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</si>
  <si>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</si>
  <si>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</si>
  <si>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</si>
  <si>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</si>
  <si>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</si>
  <si>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</si>
  <si>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</si>
  <si>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</si>
  <si>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</si>
  <si>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</si>
  <si>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</si>
  <si>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</si>
  <si>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</si>
  <si>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</si>
  <si>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</si>
  <si>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</si>
  <si>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</si>
  <si>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</si>
  <si>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</si>
  <si>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</si>
  <si>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</si>
  <si>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</si>
  <si>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</si>
  <si>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</si>
  <si>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</si>
  <si>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</si>
  <si>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</si>
  <si>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</si>
  <si>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</si>
  <si>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</si>
  <si>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</si>
  <si>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</si>
  <si>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</si>
  <si>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</si>
  <si>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</si>
  <si>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</si>
  <si>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</si>
  <si>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</si>
  <si>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</si>
  <si>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</si>
  <si>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</si>
  <si>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</si>
  <si>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</si>
  <si>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</si>
  <si>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</si>
  <si>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</si>
  <si>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</si>
  <si>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</si>
  <si>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</si>
  <si>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</si>
  <si>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</si>
  <si>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</si>
  <si>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</si>
  <si>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</si>
  <si>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</si>
  <si>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</si>
  <si>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</si>
  <si>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</si>
  <si>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</si>
  <si>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</si>
  <si>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</si>
  <si>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</si>
  <si>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</si>
  <si>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</si>
  <si>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</si>
  <si>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</si>
  <si>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</si>
  <si>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</si>
  <si>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</si>
  <si>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</si>
  <si>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</si>
  <si>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</si>
  <si>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</si>
  <si>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</si>
  <si>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</si>
  <si>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</si>
  <si>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</si>
  <si>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</si>
  <si>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</si>
  <si>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</si>
  <si>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</si>
  <si>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</si>
  <si>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</si>
  <si>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</si>
  <si>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</si>
  <si>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</si>
  <si>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</si>
  <si>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</si>
  <si>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</si>
  <si>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</si>
  <si>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</si>
  <si>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</si>
  <si>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</si>
  <si>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</si>
  <si>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</si>
  <si>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7744</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</si>
  <si>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</si>
  <si>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</si>
  <si>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</si>
  <si>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</si>
  <si>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</si>
  <si>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</si>
  <si>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</si>
  <si>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</si>
  <si>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</si>
  <si>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</si>
  <si>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</si>
  <si>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</si>
  <si>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</si>
  <si>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</si>
  <si>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</si>
  <si>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</si>
  <si>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</si>
  <si>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</si>
  <si>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</si>
  <si>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</si>
  <si>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</si>
  <si>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</si>
  <si>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</si>
  <si>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</si>
  <si>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</si>
  <si>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</si>
  <si>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</si>
  <si>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</si>
  <si>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</si>
  <si>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</si>
  <si>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</si>
  <si>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</si>
  <si>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</si>
  <si>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</si>
  <si>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</si>
  <si>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</si>
  <si>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</si>
  <si>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</si>
  <si>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</si>
  <si>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</si>
  <si>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</si>
  <si>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</si>
  <si>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</si>
  <si>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</si>
  <si>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</si>
  <si>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</si>
  <si>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</si>
  <si>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</si>
  <si>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</si>
  <si>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</si>
  <si>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</si>
  <si>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</si>
  <si>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</si>
  <si>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</si>
  <si>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</si>
  <si>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</si>
  <si>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</si>
  <si>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</si>
  <si>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</si>
  <si>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</si>
  <si>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</si>
  <si>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</si>
  <si>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</si>
  <si>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</si>
  <si>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</si>
  <si>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</si>
  <si>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</si>
  <si>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</si>
  <si>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JJsrl</t>
  </si>
  <si>
    <t>7736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</si>
  <si>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</si>
  <si>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</si>
  <si>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</si>
  <si>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</si>
  <si>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</si>
  <si>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</si>
  <si>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</si>
  <si>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</si>
  <si>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</si>
  <si>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</si>
  <si>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</si>
  <si>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</si>
  <si>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</si>
  <si>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</si>
  <si>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</si>
  <si>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</si>
  <si>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</si>
  <si>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</si>
  <si>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</si>
  <si>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</si>
  <si>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</si>
  <si>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</si>
  <si>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</si>
  <si>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</si>
  <si>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</si>
  <si>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</si>
  <si>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</si>
  <si>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</si>
  <si>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</si>
  <si>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</si>
  <si>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</si>
  <si>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</si>
  <si>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</si>
  <si>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</si>
  <si>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</si>
  <si>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</si>
  <si>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</si>
  <si>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</si>
  <si>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</si>
  <si>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</si>
  <si>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</si>
  <si>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</si>
  <si>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</si>
  <si>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</si>
  <si>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</si>
  <si>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</si>
  <si>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</si>
  <si>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</si>
  <si>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</si>
  <si>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</si>
  <si>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</si>
  <si>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</si>
  <si>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</si>
  <si>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</si>
  <si>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</si>
  <si>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</si>
  <si>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</si>
  <si>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</si>
  <si>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</si>
  <si>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</si>
  <si>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</si>
  <si>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</si>
  <si>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</si>
  <si>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</si>
  <si>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</si>
  <si>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</si>
  <si>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</si>
  <si>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</si>
  <si>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</si>
  <si>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</si>
  <si>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</si>
  <si>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</si>
  <si>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</si>
  <si>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</si>
  <si>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</si>
  <si>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</si>
  <si>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</si>
  <si>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</si>
  <si>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</si>
  <si>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</si>
  <si>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</si>
  <si>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</si>
  <si>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</si>
  <si>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</si>
  <si>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</si>
  <si>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</si>
  <si>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</si>
  <si>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</si>
  <si>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</si>
  <si>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</si>
  <si>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</si>
  <si>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</si>
  <si>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</si>
  <si>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</si>
  <si>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</si>
  <si>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</si>
  <si>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</si>
  <si>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</si>
  <si>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</si>
  <si>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</si>
  <si>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</si>
  <si>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</si>
  <si>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</si>
  <si>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</si>
  <si>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</si>
  <si>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</si>
  <si>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</si>
  <si>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</si>
  <si>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</si>
  <si>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</si>
  <si>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</si>
  <si>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</si>
  <si>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</si>
  <si>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</si>
  <si>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</si>
  <si>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</si>
  <si>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</si>
  <si>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</si>
  <si>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</si>
  <si>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</si>
  <si>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</si>
  <si>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</si>
  <si>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</si>
  <si>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</si>
  <si>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</si>
  <si>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</si>
  <si>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</si>
  <si>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</si>
  <si>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</si>
  <si>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</si>
  <si>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</si>
  <si>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</si>
  <si>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</si>
  <si>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</si>
  <si>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</si>
  <si>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</si>
  <si>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</si>
  <si>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</si>
  <si>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</si>
  <si>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</si>
  <si>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</si>
  <si>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</si>
  <si>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</si>
  <si>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</si>
  <si>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</si>
  <si>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</si>
  <si>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</si>
  <si>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</si>
  <si>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</si>
  <si>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</si>
  <si>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</si>
  <si>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</si>
  <si>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</si>
  <si>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</si>
  <si>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</si>
  <si>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</si>
  <si>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</si>
  <si>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</si>
  <si>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</si>
  <si>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</si>
  <si>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</si>
  <si>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</si>
  <si>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</si>
  <si>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</si>
  <si>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</si>
  <si>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</si>
  <si>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</si>
  <si>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</si>
  <si>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</si>
  <si>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</si>
  <si>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</si>
  <si>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</si>
  <si>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</si>
  <si>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</si>
  <si>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</si>
  <si>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</si>
  <si>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</si>
  <si>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</si>
  <si>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</si>
  <si>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</si>
  <si>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</si>
  <si>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</si>
  <si>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</si>
  <si>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</si>
  <si>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</si>
  <si>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</si>
  <si>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</si>
  <si>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</si>
  <si>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</si>
  <si>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</si>
  <si>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</si>
  <si>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</si>
  <si>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</si>
  <si>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</si>
  <si>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</si>
  <si>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</si>
  <si>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</si>
  <si>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</si>
  <si>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</si>
  <si>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</si>
  <si>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</si>
  <si>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</si>
  <si>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</si>
  <si>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</si>
  <si>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</si>
  <si>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</si>
  <si>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</si>
  <si>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</si>
  <si>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</si>
  <si>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</si>
  <si>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</si>
  <si>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</si>
  <si>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</si>
  <si>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</si>
  <si>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</si>
  <si>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</si>
  <si>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</si>
  <si>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</si>
  <si>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</si>
  <si>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</si>
  <si>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</si>
  <si>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</si>
  <si>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</si>
  <si>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</si>
  <si>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</si>
  <si>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</si>
  <si>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</si>
  <si>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</si>
  <si>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</si>
  <si>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</si>
  <si>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</si>
  <si>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</si>
  <si>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</si>
  <si>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</si>
  <si>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</si>
  <si>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</si>
  <si>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</si>
  <si>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</si>
  <si>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</si>
  <si>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</si>
  <si>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</si>
  <si>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</si>
  <si>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</si>
  <si>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</si>
  <si>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</si>
  <si>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</si>
  <si>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</si>
  <si>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</si>
  <si>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</si>
  <si>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</si>
  <si>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</si>
  <si>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</si>
  <si>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</si>
  <si>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</si>
  <si>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</si>
  <si>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</si>
  <si>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</si>
  <si>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</si>
  <si>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</si>
  <si>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</si>
  <si>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</si>
  <si>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</si>
  <si>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</si>
  <si>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</si>
  <si>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</si>
  <si>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</si>
  <si>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</si>
  <si>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</si>
  <si>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</si>
  <si>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</si>
  <si>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</si>
  <si>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</si>
  <si>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</si>
  <si>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</si>
  <si>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</si>
  <si>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</si>
  <si>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</si>
  <si>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</si>
  <si>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</si>
  <si>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</si>
  <si>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</si>
  <si>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</si>
  <si>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</si>
  <si>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</si>
  <si>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</si>
  <si>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</si>
  <si>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</si>
  <si>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</si>
  <si>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</si>
  <si>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</si>
  <si>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</si>
  <si>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</si>
  <si>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</si>
  <si>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</si>
  <si>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</si>
  <si>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</si>
  <si>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</si>
  <si>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</si>
  <si>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</si>
  <si>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</si>
  <si>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</si>
  <si>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</si>
  <si>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</si>
  <si>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</si>
  <si>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</si>
  <si>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</si>
  <si>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</si>
  <si>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</si>
  <si>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</si>
  <si>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</si>
  <si>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</si>
  <si>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</si>
  <si>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</si>
  <si>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</si>
  <si>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</si>
  <si>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</si>
  <si>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</si>
  <si>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</si>
  <si>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</si>
  <si>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</si>
  <si>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</si>
  <si>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</si>
  <si>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</si>
  <si>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</si>
  <si>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</si>
  <si>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</si>
  <si>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</si>
  <si>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</si>
  <si>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</si>
  <si>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</si>
  <si>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</si>
  <si>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</si>
  <si>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</si>
  <si>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</si>
  <si>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</si>
  <si>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</si>
  <si>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</si>
  <si>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</si>
  <si>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</si>
  <si>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</si>
  <si>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</si>
  <si>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</si>
  <si>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</si>
  <si>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</si>
  <si>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</si>
  <si>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</si>
  <si>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</si>
  <si>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</si>
  <si>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</si>
  <si>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</si>
  <si>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</si>
  <si>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</si>
  <si>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</si>
  <si>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</si>
  <si>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</si>
  <si>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</si>
  <si>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</si>
  <si>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</si>
  <si>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</si>
  <si>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</si>
  <si>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</si>
  <si>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</si>
  <si>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</si>
  <si>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</si>
  <si>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</si>
  <si>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</si>
  <si>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</si>
  <si>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</si>
  <si>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</si>
  <si>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</si>
  <si>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</si>
  <si>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</si>
  <si>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</si>
  <si>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</si>
  <si>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</si>
  <si>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</si>
  <si>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</si>
  <si>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</si>
  <si>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</si>
  <si>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</si>
  <si>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</si>
  <si>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</si>
  <si>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</si>
  <si>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</si>
  <si>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</si>
  <si>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</si>
  <si>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</si>
  <si>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</si>
  <si>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</si>
  <si>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</si>
  <si>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</si>
  <si>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</si>
  <si>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</si>
  <si>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</si>
  <si>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</si>
  <si>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</si>
  <si>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</si>
  <si>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</si>
  <si>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</si>
  <si>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</si>
  <si>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</si>
  <si>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</si>
  <si>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</si>
  <si>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</si>
  <si>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</si>
  <si>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</si>
  <si>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</si>
  <si>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</si>
  <si>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</si>
  <si>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</si>
  <si>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</si>
  <si>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</si>
  <si>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</si>
  <si>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</si>
  <si>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</si>
  <si>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</si>
  <si>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</si>
  <si>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</si>
  <si>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</si>
  <si>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</si>
  <si>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</si>
  <si>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</si>
  <si>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</si>
  <si>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</si>
  <si>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</si>
  <si>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</si>
  <si>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</si>
  <si>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</si>
  <si>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</si>
  <si>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</si>
  <si>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</si>
  <si>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</si>
  <si>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</si>
  <si>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</si>
  <si>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</si>
  <si>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</si>
  <si>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</si>
  <si>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</si>
  <si>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</si>
  <si>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</si>
  <si>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</si>
  <si>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</si>
  <si>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</si>
  <si>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</si>
  <si>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</si>
  <si>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</si>
  <si>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</si>
  <si>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</si>
  <si>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</si>
  <si>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</si>
  <si>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</si>
  <si>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</si>
  <si>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</si>
  <si>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</si>
  <si>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</si>
  <si>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</si>
  <si>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</si>
  <si>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</si>
  <si>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</si>
  <si>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</si>
  <si>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</si>
  <si>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</si>
  <si>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</si>
  <si>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</si>
  <si>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</si>
  <si>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</si>
  <si>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</si>
  <si>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</si>
  <si>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</si>
  <si>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</si>
  <si>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</si>
  <si>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</si>
  <si>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</si>
  <si>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</si>
  <si>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</si>
  <si>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</si>
  <si>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</si>
  <si>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</si>
  <si>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</si>
  <si>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</si>
  <si>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</si>
  <si>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</si>
  <si>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</si>
  <si>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</si>
  <si>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</si>
  <si>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</si>
  <si>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</si>
  <si>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</si>
  <si>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</si>
  <si>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</si>
  <si>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</si>
  <si>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</si>
  <si>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</si>
  <si>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</si>
  <si>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</si>
  <si>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</si>
  <si>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</si>
  <si>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</si>
  <si>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</si>
  <si>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</si>
  <si>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</si>
  <si>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</si>
  <si>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</si>
  <si>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</si>
  <si>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</si>
  <si>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</si>
  <si>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</si>
  <si>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</si>
  <si>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</si>
  <si>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</si>
  <si>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</si>
  <si>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</si>
  <si>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</si>
  <si>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</si>
  <si>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</si>
  <si>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</si>
  <si>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</si>
  <si>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</si>
  <si>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</si>
  <si>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</si>
  <si>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</si>
  <si>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</si>
  <si>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</si>
  <si>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</si>
  <si>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</si>
  <si>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</si>
  <si>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</si>
  <si>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</si>
  <si>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</si>
  <si>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</si>
  <si>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</si>
  <si>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</si>
  <si>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</si>
  <si>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</si>
  <si>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</si>
  <si>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</si>
  <si>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</si>
  <si>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</si>
  <si>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</si>
  <si>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</si>
  <si>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</si>
  <si>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</si>
  <si>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</si>
  <si>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</si>
  <si>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</si>
  <si>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</si>
  <si>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</si>
  <si>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</si>
  <si>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</si>
  <si>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</si>
  <si>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</si>
  <si>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</si>
  <si>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</si>
  <si>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</si>
  <si>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</si>
  <si>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</si>
  <si>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</si>
  <si>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</si>
  <si>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</si>
  <si>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</si>
  <si>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</si>
  <si>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</si>
  <si>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</si>
  <si>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</si>
  <si>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</si>
  <si>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</si>
  <si>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</si>
  <si>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</si>
  <si>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</si>
  <si>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</si>
  <si>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</si>
  <si>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</si>
  <si>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</si>
  <si>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</si>
  <si>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</si>
  <si>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</si>
  <si>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</si>
  <si>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</si>
  <si>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</si>
  <si>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</si>
  <si>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</si>
  <si>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</si>
  <si>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</si>
  <si>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</si>
  <si>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</si>
  <si>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</si>
  <si>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</si>
  <si>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</si>
  <si>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</si>
  <si>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</si>
  <si>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</si>
  <si>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</si>
  <si>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</si>
  <si>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</si>
  <si>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</si>
  <si>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</si>
  <si>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</si>
  <si>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</si>
  <si>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</si>
  <si>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</si>
  <si>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</si>
  <si>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</si>
  <si>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</si>
  <si>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</si>
  <si>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</si>
  <si>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</si>
  <si>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</si>
  <si>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</si>
  <si>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</si>
  <si>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</si>
  <si>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</si>
  <si>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</si>
  <si>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</si>
  <si>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</si>
  <si>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</si>
  <si>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</si>
  <si>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</si>
  <si>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</si>
  <si>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</si>
  <si>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</si>
  <si>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</si>
  <si>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</si>
  <si>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</si>
  <si>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</si>
  <si>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</si>
  <si>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</si>
  <si>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</si>
  <si>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</si>
  <si>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</si>
  <si>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</si>
  <si>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</si>
  <si>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</si>
  <si>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</si>
  <si>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</si>
  <si>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</si>
  <si>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</si>
  <si>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</si>
  <si>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</si>
  <si>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</si>
  <si>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</si>
  <si>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</si>
  <si>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</si>
  <si>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</si>
  <si>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</si>
  <si>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</si>
  <si>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</si>
  <si>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</si>
  <si>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</si>
  <si>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</si>
  <si>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</si>
  <si>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</si>
  <si>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</si>
  <si>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</si>
  <si>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</si>
  <si>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</si>
  <si>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</si>
  <si>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</si>
  <si>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</si>
  <si>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</si>
  <si>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</si>
  <si>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</si>
  <si>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</si>
  <si>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</si>
  <si>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</si>
  <si>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</si>
  <si>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</si>
  <si>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</si>
  <si>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</si>
  <si>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</si>
  <si>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</si>
  <si>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</si>
  <si>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</si>
  <si>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</si>
  <si>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</si>
  <si>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</si>
  <si>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</si>
  <si>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</si>
  <si>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</si>
  <si>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</si>
  <si>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</si>
  <si>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</si>
  <si>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</si>
  <si>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</si>
  <si>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</si>
  <si>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</si>
  <si>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</si>
  <si>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</si>
  <si>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</si>
  <si>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</si>
  <si>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</si>
  <si>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</si>
  <si>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</si>
  <si>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</si>
  <si>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</si>
  <si>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</si>
  <si>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</si>
  <si>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</si>
  <si>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</si>
  <si>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</si>
  <si>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</si>
  <si>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</si>
  <si>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</si>
  <si>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</si>
  <si>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</si>
  <si>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</si>
  <si>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</si>
  <si>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</si>
  <si>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</si>
  <si>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</si>
  <si>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</si>
  <si>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</si>
  <si>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</si>
  <si>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</si>
  <si>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</si>
  <si>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</si>
  <si>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</si>
  <si>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</si>
  <si>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</si>
  <si>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</si>
  <si>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</si>
  <si>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</si>
  <si>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</si>
  <si>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</si>
  <si>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</si>
  <si>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</si>
  <si>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</si>
  <si>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</si>
  <si>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</si>
  <si>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</si>
  <si>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</si>
  <si>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</si>
  <si>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</si>
  <si>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</si>
  <si>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</si>
  <si>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</si>
  <si>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</si>
  <si>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</si>
  <si>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</si>
  <si>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</si>
  <si>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</si>
  <si>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</si>
  <si>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</si>
  <si>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</si>
  <si>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</si>
  <si>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</si>
  <si>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</si>
  <si>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</si>
  <si>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</si>
  <si>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</si>
  <si>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</si>
  <si>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</si>
  <si>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</si>
  <si>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</si>
  <si>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</si>
  <si>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</si>
  <si>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</si>
  <si>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</si>
  <si>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</si>
  <si>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</si>
  <si>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</si>
  <si>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</si>
  <si>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</si>
  <si>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</si>
  <si>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</si>
  <si>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</si>
  <si>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</si>
  <si>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</si>
  <si>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</si>
  <si>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</si>
  <si>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</si>
  <si>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</si>
  <si>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</si>
  <si>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</si>
  <si>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</si>
  <si>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</si>
  <si>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</si>
  <si>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</si>
  <si>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</si>
  <si>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</si>
  <si>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</si>
  <si>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</si>
  <si>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</si>
  <si>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</si>
  <si>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</si>
  <si>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</si>
  <si>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</si>
  <si>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</si>
  <si>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</si>
  <si>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</si>
  <si>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</si>
  <si>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</si>
  <si>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</si>
  <si>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</si>
  <si>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</si>
  <si>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</si>
  <si>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</si>
  <si>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</si>
  <si>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</si>
  <si>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</si>
  <si>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</si>
  <si>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</si>
  <si>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</si>
  <si>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</si>
  <si>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</si>
  <si>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</si>
  <si>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</si>
  <si>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</si>
  <si>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</si>
  <si>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</si>
  <si>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</si>
  <si>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</si>
  <si>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</si>
  <si>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</si>
  <si>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</si>
  <si>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</si>
  <si>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</si>
  <si>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</si>
  <si>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</si>
  <si>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</si>
  <si>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</si>
  <si>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</si>
  <si>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</si>
  <si>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</si>
  <si>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</si>
  <si>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</si>
  <si>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</si>
  <si>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</si>
  <si>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</si>
  <si>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</si>
  <si>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</si>
  <si>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</si>
  <si>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</si>
  <si>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</si>
  <si>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</si>
  <si>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</si>
  <si>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</si>
  <si>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</si>
  <si>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</si>
  <si>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</si>
  <si>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</si>
  <si>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</si>
  <si>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</si>
  <si>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</si>
  <si>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</si>
  <si>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</si>
  <si>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</si>
  <si>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</si>
  <si>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</si>
  <si>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</si>
  <si>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</si>
  <si>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</si>
  <si>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</si>
  <si>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</si>
  <si>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</si>
  <si>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</si>
  <si>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</si>
  <si>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</si>
  <si>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</si>
  <si>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</si>
  <si>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</si>
  <si>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</si>
  <si>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</si>
  <si>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</si>
  <si>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</si>
  <si>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</si>
  <si>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</si>
  <si>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</si>
  <si>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</si>
  <si>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</si>
  <si>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</si>
  <si>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</si>
  <si>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</si>
  <si>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</si>
  <si>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</si>
  <si>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</si>
  <si>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</si>
  <si>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</si>
  <si>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</si>
  <si>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</si>
  <si>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</si>
  <si>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</si>
  <si>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</si>
  <si>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</si>
  <si>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</si>
  <si>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</si>
  <si>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</si>
  <si>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</si>
  <si>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</si>
  <si>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</si>
  <si>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</si>
  <si>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</si>
  <si>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</si>
  <si>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</si>
  <si>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</si>
  <si>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</si>
  <si>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</si>
  <si>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</si>
  <si>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</si>
  <si>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</si>
  <si>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</si>
  <si>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</si>
  <si>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</si>
  <si>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</si>
  <si>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</si>
  <si>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</si>
  <si>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</si>
  <si>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</si>
  <si>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</si>
  <si>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</si>
  <si>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</si>
  <si>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</si>
  <si>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</si>
  <si>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</si>
  <si>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</si>
  <si>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</si>
  <si>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</si>
  <si>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</si>
  <si>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</si>
  <si>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</si>
  <si>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</si>
  <si>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</si>
  <si>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</si>
  <si>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</si>
  <si>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</si>
  <si>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</si>
  <si>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</si>
  <si>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</si>
  <si>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</si>
  <si>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</si>
  <si>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</si>
  <si>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</si>
  <si>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</si>
  <si>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</si>
  <si>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</si>
  <si>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</si>
  <si>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</si>
  <si>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</si>
  <si>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</si>
  <si>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</si>
  <si>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</si>
  <si>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</si>
  <si>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</si>
  <si>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</si>
  <si>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</si>
  <si>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</si>
  <si>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</si>
  <si>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</si>
  <si>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</si>
  <si>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</si>
  <si>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</si>
  <si>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</si>
  <si>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</si>
  <si>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</si>
  <si>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</si>
  <si>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</si>
  <si>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</si>
  <si>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</si>
  <si>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</si>
  <si>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</si>
  <si>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</si>
  <si>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</si>
  <si>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</si>
  <si>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</si>
  <si>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</si>
  <si>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</si>
  <si>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</si>
  <si>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</si>
  <si>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</si>
  <si>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</si>
  <si>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</si>
  <si>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</si>
  <si>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</si>
  <si>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</si>
  <si>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</si>
  <si>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</si>
  <si>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</si>
  <si>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</si>
  <si>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</si>
  <si>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</si>
  <si>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</si>
  <si>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</si>
  <si>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</si>
  <si>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</si>
  <si>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</si>
  <si>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</si>
  <si>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</si>
  <si>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</si>
  <si>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</si>
  <si>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</si>
  <si>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</si>
  <si>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</si>
  <si>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</si>
  <si>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</si>
  <si>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</si>
  <si>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</si>
  <si>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</si>
  <si>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</si>
  <si>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</si>
  <si>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</si>
  <si>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</si>
  <si>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</si>
  <si>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</si>
  <si>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</si>
  <si>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</si>
  <si>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</si>
  <si>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</si>
  <si>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</si>
  <si>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</si>
  <si>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</si>
  <si>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</si>
  <si>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</si>
  <si>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</si>
  <si>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</si>
  <si>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</si>
  <si>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</si>
  <si>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</si>
  <si>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</si>
  <si>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</si>
  <si>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</si>
  <si>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</si>
  <si>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</si>
  <si>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</si>
  <si>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</si>
  <si>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</si>
  <si>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</si>
  <si>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</si>
  <si>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</si>
  <si>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</si>
  <si>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</si>
  <si>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</si>
  <si>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</si>
  <si>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</si>
  <si>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</si>
  <si>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</si>
  <si>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</si>
  <si>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</si>
  <si>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</si>
  <si>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</si>
  <si>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</si>
  <si>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</si>
  <si>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</si>
  <si>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</si>
  <si>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</si>
  <si>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</si>
  <si>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</si>
  <si>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</si>
  <si>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</si>
  <si>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</si>
  <si>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</si>
  <si>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</si>
  <si>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</si>
  <si>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</si>
  <si>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</si>
  <si>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</si>
  <si>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</si>
  <si>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</si>
  <si>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</si>
  <si>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</si>
  <si>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</si>
  <si>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</si>
  <si>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</si>
  <si>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</si>
  <si>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</si>
  <si>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</si>
  <si>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</si>
  <si>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</si>
  <si>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</si>
  <si>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</si>
  <si>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</si>
  <si>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</si>
  <si>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</si>
  <si>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</si>
  <si>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</si>
  <si>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</si>
  <si>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</si>
  <si>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</si>
  <si>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</si>
  <si>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</si>
  <si>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</si>
  <si>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</si>
  <si>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</si>
  <si>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</si>
  <si>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</si>
  <si>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</si>
  <si>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</si>
  <si>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</si>
  <si>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</si>
  <si>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</si>
  <si>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</si>
  <si>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</si>
  <si>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</si>
  <si>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</si>
  <si>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</si>
  <si>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</si>
  <si>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</si>
  <si>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</si>
  <si>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</si>
  <si>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</si>
  <si>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</si>
  <si>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</si>
  <si>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</si>
  <si>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</si>
  <si>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</si>
  <si>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</si>
  <si>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</si>
  <si>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</si>
  <si>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</si>
  <si>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</si>
  <si>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</si>
  <si>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</si>
  <si>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</si>
  <si>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</si>
  <si>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</si>
  <si>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</si>
  <si>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</si>
  <si>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</si>
  <si>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</si>
  <si>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</si>
  <si>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</si>
  <si>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</si>
  <si>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</si>
  <si>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</si>
  <si>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</si>
  <si>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</si>
  <si>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</si>
  <si>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</si>
  <si>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</si>
  <si>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</si>
  <si>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</si>
  <si>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</si>
  <si>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</si>
  <si>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</si>
  <si>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</si>
  <si>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</si>
  <si>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</si>
  <si>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</si>
  <si>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</si>
  <si>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</si>
  <si>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</si>
  <si>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</si>
  <si>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</si>
  <si>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</si>
  <si>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</si>
  <si>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</si>
  <si>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</si>
  <si>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</si>
  <si>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</si>
  <si>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</si>
  <si>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</si>
  <si>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</si>
  <si>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</si>
  <si>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</si>
  <si>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</si>
  <si>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</si>
  <si>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</si>
  <si>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</si>
  <si>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</si>
  <si>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</si>
  <si>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</si>
  <si>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</si>
  <si>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</si>
  <si>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</si>
  <si>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</si>
  <si>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</si>
  <si>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</si>
  <si>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</si>
  <si>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</si>
  <si>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</si>
  <si>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</si>
  <si>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</si>
  <si>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</si>
  <si>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</si>
  <si>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</si>
  <si>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</si>
  <si>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</si>
  <si>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</si>
  <si>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</si>
  <si>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</si>
  <si>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</si>
  <si>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</si>
  <si>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</si>
  <si>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</si>
  <si>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</si>
  <si>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</si>
  <si>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</si>
  <si>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</si>
  <si>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</si>
  <si>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</si>
  <si>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</si>
  <si>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</si>
  <si>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</si>
  <si>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</si>
  <si>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</si>
  <si>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</si>
  <si>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</si>
  <si>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</si>
  <si>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</si>
  <si>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</si>
  <si>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</si>
  <si>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</si>
  <si>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</si>
  <si>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</si>
  <si>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</si>
  <si>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</si>
  <si>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</si>
  <si>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</si>
  <si>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</si>
  <si>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</si>
  <si>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</si>
  <si>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</si>
  <si>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</si>
  <si>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</si>
  <si>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</si>
  <si>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</si>
  <si>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</si>
  <si>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</si>
  <si>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</si>
  <si>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</si>
  <si>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</si>
  <si>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</si>
  <si>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</si>
  <si>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</si>
  <si>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</si>
  <si>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</si>
  <si>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</si>
  <si>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</si>
  <si>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</si>
  <si>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</si>
  <si>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</si>
  <si>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</si>
  <si>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</si>
  <si>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</si>
  <si>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</si>
  <si>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</si>
  <si>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</si>
  <si>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</si>
  <si>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</si>
  <si>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</si>
  <si>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</si>
  <si>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</si>
  <si>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</si>
  <si>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</si>
  <si>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</si>
  <si>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</si>
  <si>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</si>
  <si>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</si>
  <si>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</si>
  <si>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</si>
  <si>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</si>
  <si>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</si>
  <si>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</si>
  <si>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</si>
  <si>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</si>
  <si>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</si>
  <si>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</si>
  <si>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</si>
  <si>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</si>
  <si>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</si>
  <si>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</si>
  <si>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</si>
  <si>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</si>
  <si>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</si>
  <si>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</si>
  <si>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</si>
  <si>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</si>
  <si>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</si>
  <si>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</si>
  <si>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</si>
  <si>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</si>
  <si>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</si>
  <si>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</si>
  <si>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</si>
  <si>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</si>
  <si>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</si>
  <si>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</si>
  <si>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</si>
  <si>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</si>
  <si>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</si>
  <si>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</si>
  <si>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</si>
  <si>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</si>
  <si>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</si>
  <si>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</si>
  <si>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</si>
  <si>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</si>
  <si>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</si>
  <si>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</si>
  <si>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</si>
  <si>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</si>
  <si>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</si>
  <si>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</si>
  <si>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</si>
  <si>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</si>
  <si>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</si>
  <si>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</si>
  <si>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</si>
  <si>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</si>
  <si>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</si>
  <si>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</si>
  <si>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</si>
  <si>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</si>
  <si>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</si>
  <si>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</si>
  <si>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</si>
  <si>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</si>
  <si>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</si>
  <si>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</si>
  <si>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</si>
  <si>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</si>
  <si>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</si>
  <si>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</si>
  <si>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</si>
  <si>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</si>
  <si>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</si>
  <si>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</si>
  <si>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</si>
  <si>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</si>
  <si>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</si>
  <si>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</si>
  <si>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</si>
  <si>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</si>
  <si>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</si>
  <si>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</si>
  <si>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</si>
  <si>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</si>
  <si>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</si>
  <si>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</si>
  <si>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</si>
  <si>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</si>
  <si>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</si>
  <si>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</si>
  <si>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</si>
  <si>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</si>
  <si>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</si>
  <si>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</si>
  <si>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</si>
  <si>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</si>
  <si>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</si>
  <si>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</si>
  <si>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</si>
  <si>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</si>
  <si>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</si>
  <si>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</si>
  <si>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</si>
  <si>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</si>
  <si>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</si>
  <si>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</si>
  <si>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</si>
  <si>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</si>
  <si>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</si>
  <si>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</si>
  <si>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</si>
  <si>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</si>
  <si>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</si>
  <si>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</si>
  <si>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</si>
  <si>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</si>
  <si>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</si>
  <si>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</si>
  <si>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</si>
  <si>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</si>
  <si>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</si>
  <si>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</si>
  <si>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</si>
  <si>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</si>
  <si>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</si>
  <si>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</si>
  <si>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</si>
  <si>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</si>
  <si>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</si>
  <si>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</si>
  <si>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</si>
  <si>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</si>
  <si>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</si>
  <si>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</si>
  <si>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</si>
  <si>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</si>
  <si>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</si>
  <si>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</si>
  <si>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</si>
  <si>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</si>
  <si>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</si>
  <si>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</si>
  <si>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</si>
  <si>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</si>
  <si>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</si>
  <si>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</si>
  <si>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</si>
  <si>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</si>
  <si>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</si>
  <si>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</si>
  <si>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</si>
  <si>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</si>
  <si>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</si>
  <si>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</si>
  <si>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</si>
  <si>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</si>
  <si>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</si>
  <si>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</si>
  <si>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</si>
  <si>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</si>
  <si>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</si>
  <si>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</si>
  <si>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</si>
  <si>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</si>
  <si>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</si>
  <si>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</si>
  <si>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</si>
  <si>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</si>
  <si>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</si>
  <si>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</si>
  <si>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</si>
  <si>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</si>
  <si>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</si>
  <si>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</si>
  <si>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</si>
  <si>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</si>
  <si>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</si>
  <si>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</si>
  <si>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</si>
  <si>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</si>
  <si>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</si>
  <si>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</si>
  <si>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</si>
  <si>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</si>
  <si>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</si>
  <si>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</si>
  <si>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</si>
  <si>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</si>
  <si>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</si>
  <si>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</si>
  <si>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</si>
  <si>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</si>
  <si>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</si>
  <si>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</si>
  <si>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</si>
  <si>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</si>
  <si>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</si>
  <si>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</si>
  <si>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</si>
  <si>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</si>
  <si>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</si>
  <si>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</si>
  <si>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</si>
  <si>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</si>
  <si>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</si>
  <si>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</si>
  <si>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</si>
  <si>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</si>
  <si>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</si>
  <si>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</si>
  <si>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</si>
  <si>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</si>
  <si>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</si>
  <si>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</si>
  <si>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</si>
  <si>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</si>
  <si>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</si>
  <si>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</si>
  <si>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</si>
  <si>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</si>
  <si>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</si>
  <si>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</si>
  <si>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</si>
  <si>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</si>
  <si>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</si>
  <si>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</si>
  <si>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</si>
  <si>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</si>
  <si>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</si>
  <si>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</si>
  <si>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</si>
  <si>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</si>
  <si>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</si>
  <si>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</si>
  <si>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</si>
  <si>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</si>
  <si>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</si>
  <si>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</si>
  <si>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</si>
  <si>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</si>
  <si>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</si>
  <si>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</si>
  <si>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</si>
  <si>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</si>
  <si>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</si>
  <si>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</si>
  <si>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</si>
  <si>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</si>
  <si>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</si>
  <si>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</si>
  <si>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</si>
  <si>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</si>
  <si>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</si>
  <si>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</si>
  <si>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</si>
  <si>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</si>
  <si>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</si>
  <si>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</si>
  <si>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</si>
  <si>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</si>
  <si>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</si>
  <si>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</si>
  <si>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</si>
  <si>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</si>
  <si>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</si>
  <si>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</si>
  <si>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</si>
  <si>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</si>
  <si>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</si>
  <si>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</si>
  <si>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</si>
  <si>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</si>
  <si>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</si>
  <si>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</si>
  <si>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</si>
  <si>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</si>
  <si>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</si>
  <si>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</si>
  <si>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</si>
  <si>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</si>
  <si>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</si>
  <si>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</si>
  <si>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</si>
  <si>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</si>
  <si>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</si>
  <si>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</si>
  <si>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</si>
  <si>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</si>
  <si>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</si>
  <si>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</si>
  <si>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</si>
  <si>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</si>
  <si>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</si>
  <si>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</si>
  <si>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</si>
  <si>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</si>
  <si>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</si>
  <si>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</si>
  <si>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</si>
  <si>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</si>
  <si>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</si>
  <si>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</si>
  <si>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</si>
  <si>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</si>
  <si>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</si>
  <si>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</si>
  <si>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</si>
  <si>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</si>
  <si>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</si>
  <si>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</si>
  <si>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</si>
  <si>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</si>
  <si>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</si>
  <si>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</si>
  <si>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</si>
  <si>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</si>
  <si>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</si>
  <si>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</si>
  <si>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</si>
  <si>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</si>
  <si>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</si>
  <si>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</si>
  <si>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</si>
  <si>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</si>
  <si>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</si>
  <si>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</si>
  <si>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</si>
  <si>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</si>
  <si>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</si>
  <si>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</si>
  <si>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</si>
  <si>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</si>
  <si>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</si>
  <si>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</si>
  <si>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</si>
  <si>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</si>
  <si>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</si>
  <si>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</si>
  <si>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</si>
  <si>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</si>
  <si>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</si>
  <si>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</si>
  <si>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</si>
  <si>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</si>
  <si>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</si>
  <si>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</si>
  <si>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</si>
  <si>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</si>
  <si>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</si>
  <si>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</si>
  <si>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</si>
  <si>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</si>
  <si>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</si>
  <si>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</si>
  <si>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</si>
  <si>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</si>
  <si>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</si>
  <si>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</si>
  <si>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</si>
  <si>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</si>
  <si>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</si>
  <si>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</si>
  <si>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</si>
  <si>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</si>
  <si>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</si>
  <si>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</si>
  <si>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</si>
  <si>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</si>
  <si>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</si>
  <si>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</si>
  <si>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</si>
  <si>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</si>
  <si>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</si>
  <si>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</si>
  <si>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</si>
  <si>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</si>
  <si>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</si>
  <si>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</si>
  <si>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</si>
  <si>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</si>
  <si>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</si>
  <si>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</si>
  <si>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</si>
  <si>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</si>
  <si>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</si>
  <si>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</si>
  <si>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</si>
  <si>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</si>
  <si>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</si>
  <si>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</si>
  <si>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</si>
  <si>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</si>
  <si>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</si>
  <si>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</si>
  <si>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</si>
  <si>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</si>
  <si>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</si>
  <si>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</si>
  <si>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</si>
  <si>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</si>
  <si>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</si>
  <si>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</si>
  <si>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</si>
  <si>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</si>
  <si>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</si>
  <si>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</si>
  <si>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</si>
  <si>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</si>
  <si>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</si>
  <si>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</si>
  <si>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</si>
  <si>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</si>
  <si>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</si>
  <si>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</si>
  <si>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</si>
  <si>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</si>
  <si>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</si>
  <si>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</si>
  <si>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</si>
  <si>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</si>
  <si>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</si>
  <si>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</si>
  <si>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</si>
  <si>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</si>
  <si>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</si>
  <si>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</si>
  <si>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</si>
  <si>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</si>
  <si>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</si>
  <si>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</si>
  <si>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</si>
  <si>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</si>
  <si>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</si>
  <si>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</si>
  <si>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</si>
  <si>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</si>
  <si>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</si>
  <si>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</si>
  <si>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</si>
  <si>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</si>
  <si>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</si>
  <si>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</si>
  <si>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</si>
  <si>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</si>
  <si>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</si>
  <si>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</si>
  <si>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</si>
  <si>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</si>
  <si>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</si>
  <si>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</si>
  <si>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</si>
  <si>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</si>
  <si>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</si>
  <si>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</si>
  <si>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</si>
  <si>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</si>
  <si>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</si>
  <si>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</si>
  <si>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</si>
  <si>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</si>
  <si>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</si>
  <si>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</si>
  <si>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</si>
  <si>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</si>
  <si>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</si>
  <si>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</si>
  <si>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</si>
  <si>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</si>
  <si>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</si>
  <si>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</si>
  <si>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</si>
  <si>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</si>
  <si>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</si>
  <si>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</si>
  <si>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</si>
  <si>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</si>
  <si>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</si>
  <si>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</si>
  <si>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</si>
  <si>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</si>
  <si>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</si>
  <si>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</si>
  <si>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</si>
  <si>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</si>
  <si>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</si>
  <si>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</si>
  <si>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</si>
  <si>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</si>
  <si>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</si>
  <si>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</si>
  <si>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</si>
  <si>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</si>
  <si>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</si>
  <si>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</si>
  <si>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</si>
  <si>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</si>
  <si>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</si>
  <si>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</si>
  <si>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</si>
  <si>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</si>
  <si>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</si>
  <si>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</si>
  <si>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</si>
  <si>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</si>
  <si>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</si>
  <si>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</si>
  <si>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</si>
  <si>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</si>
  <si>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</si>
  <si>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</si>
  <si>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</si>
  <si>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</si>
  <si>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</si>
  <si>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</si>
  <si>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</si>
  <si>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</si>
  <si>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</si>
  <si>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</si>
  <si>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</si>
  <si>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</si>
  <si>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</si>
  <si>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</si>
  <si>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</si>
  <si>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</si>
  <si>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</si>
  <si>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</si>
  <si>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</si>
  <si>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</si>
  <si>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</si>
  <si>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</si>
  <si>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</si>
  <si>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</si>
  <si>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</si>
  <si>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</si>
  <si>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</si>
  <si>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</si>
  <si>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</si>
  <si>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</si>
  <si>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</si>
  <si>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</si>
  <si>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</si>
  <si>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</si>
  <si>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</si>
  <si>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</si>
  <si>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</si>
  <si>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</si>
  <si>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</si>
  <si>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</si>
  <si>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</si>
  <si>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</si>
  <si>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</si>
  <si>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</si>
  <si>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</si>
  <si>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</si>
  <si>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</si>
  <si>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</si>
  <si>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</si>
  <si>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</si>
  <si>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</si>
  <si>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</si>
  <si>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</si>
  <si>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</si>
  <si>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</si>
  <si>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</si>
  <si>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</si>
  <si>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</si>
  <si>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</si>
  <si>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</si>
  <si>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</si>
  <si>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</si>
  <si>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</si>
  <si>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</si>
  <si>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</si>
  <si>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</si>
  <si>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</si>
  <si>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</si>
  <si>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</si>
  <si>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</si>
  <si>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</si>
  <si>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</si>
  <si>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</si>
  <si>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</si>
  <si>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</si>
  <si>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</si>
  <si>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</si>
  <si>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</si>
  <si>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</si>
  <si>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</si>
  <si>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</si>
  <si>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</si>
  <si>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</si>
  <si>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</si>
  <si>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</si>
  <si>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</si>
  <si>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</si>
  <si>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</si>
  <si>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</si>
  <si>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</si>
  <si>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</si>
  <si>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</si>
  <si>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</si>
  <si>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</si>
  <si>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</si>
  <si>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</si>
  <si>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</si>
  <si>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</si>
  <si>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</si>
  <si>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</si>
  <si>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</si>
  <si>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</si>
  <si>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</si>
  <si>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</si>
  <si>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</si>
  <si>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</si>
  <si>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</si>
  <si>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</si>
  <si>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</si>
  <si>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</si>
  <si>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</si>
  <si>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</si>
  <si>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</si>
  <si>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</si>
  <si>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</si>
  <si>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</si>
  <si>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</si>
  <si>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</si>
  <si>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</si>
  <si>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</si>
  <si>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</si>
  <si>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</si>
  <si>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</si>
  <si>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</si>
  <si>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</si>
  <si>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</si>
  <si>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</si>
  <si>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</si>
  <si>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</si>
  <si>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</si>
  <si>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</si>
  <si>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</si>
  <si>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</si>
  <si>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</si>
  <si>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</si>
  <si>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</si>
  <si>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</si>
  <si>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</si>
  <si>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</si>
  <si>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</si>
  <si>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</si>
  <si>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</si>
  <si>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</si>
  <si>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</si>
  <si>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</si>
  <si>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</si>
  <si>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</si>
  <si>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</si>
  <si>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</si>
  <si>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</si>
  <si>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</si>
  <si>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</si>
  <si>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</si>
  <si>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</si>
  <si>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</si>
  <si>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</si>
  <si>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</si>
  <si>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</si>
  <si>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</si>
  <si>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</si>
  <si>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</si>
  <si>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</si>
  <si>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</si>
  <si>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</si>
  <si>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</si>
  <si>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</si>
  <si>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</si>
  <si>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</si>
  <si>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</si>
  <si>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</si>
  <si>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</si>
  <si>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</si>
  <si>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</si>
  <si>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</si>
  <si>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</si>
  <si>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</si>
  <si>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</si>
  <si>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</si>
  <si>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</si>
  <si>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</si>
  <si>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</si>
  <si>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</si>
  <si>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</si>
  <si>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</si>
  <si>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</si>
  <si>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</si>
  <si>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</si>
  <si>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</si>
  <si>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</si>
  <si>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</si>
  <si>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</si>
  <si>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</si>
  <si>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</si>
  <si>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</si>
  <si>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</si>
  <si>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</si>
  <si>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</si>
  <si>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</si>
  <si>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</si>
  <si>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</si>
  <si>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</si>
  <si>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</si>
  <si>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</si>
  <si>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</si>
  <si>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</si>
  <si>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</si>
  <si>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</si>
  <si>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</si>
  <si>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</si>
  <si>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</si>
  <si>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</si>
  <si>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</si>
  <si>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</si>
  <si>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</si>
  <si>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</si>
  <si>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</si>
  <si>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</si>
  <si>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</si>
  <si>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</si>
  <si>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</si>
  <si>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</si>
  <si>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</si>
  <si>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</si>
  <si>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</si>
  <si>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</si>
  <si>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</si>
  <si>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</si>
  <si>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</si>
  <si>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</si>
  <si>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</si>
  <si>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</si>
  <si>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</si>
  <si>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</si>
  <si>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</si>
  <si>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</si>
  <si>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</si>
  <si>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</si>
  <si>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</si>
  <si>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</si>
  <si>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</si>
  <si>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</si>
  <si>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</si>
  <si>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</si>
  <si>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</si>
  <si>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</si>
  <si>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</si>
  <si>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</si>
  <si>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</si>
  <si>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</si>
  <si>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</si>
  <si>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</si>
  <si>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</si>
  <si>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</si>
  <si>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</si>
  <si>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</si>
  <si>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</si>
  <si>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</si>
  <si>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</si>
  <si>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</si>
  <si>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</si>
  <si>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</si>
  <si>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</si>
  <si>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</si>
  <si>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</si>
  <si>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</si>
  <si>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</si>
  <si>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</si>
  <si>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</si>
  <si>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</si>
  <si>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</si>
  <si>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</si>
  <si>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</si>
  <si>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</si>
  <si>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</si>
  <si>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</si>
  <si>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</si>
  <si>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</si>
  <si>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</si>
  <si>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</si>
  <si>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</si>
  <si>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</si>
  <si>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</si>
  <si>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</si>
  <si>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</si>
  <si>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</si>
  <si>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</si>
  <si>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</si>
  <si>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</si>
  <si>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</si>
  <si>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</si>
  <si>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</si>
  <si>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</si>
  <si>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</si>
  <si>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</si>
  <si>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</si>
  <si>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</si>
  <si>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</si>
  <si>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</si>
  <si>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</si>
  <si>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</si>
  <si>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</si>
  <si>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</si>
  <si>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</si>
  <si>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</si>
  <si>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</si>
  <si>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</si>
  <si>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</si>
  <si>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</si>
  <si>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</si>
  <si>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</si>
  <si>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</si>
  <si>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</si>
  <si>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</si>
  <si>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</si>
  <si>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</si>
  <si>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</si>
  <si>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</si>
  <si>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</si>
  <si>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</si>
  <si>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</si>
  <si>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</si>
  <si>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</si>
  <si>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</si>
  <si>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</si>
  <si>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</si>
  <si>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</si>
  <si>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</si>
  <si>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</si>
  <si>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</si>
  <si>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</si>
  <si>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</si>
  <si>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</si>
  <si>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</si>
  <si>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</si>
  <si>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</si>
  <si>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</si>
  <si>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</si>
  <si>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</si>
  <si>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</si>
  <si>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</si>
  <si>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</si>
  <si>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</si>
  <si>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</si>
  <si>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</si>
  <si>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</si>
  <si>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</si>
  <si>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</si>
  <si>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</si>
  <si>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</si>
  <si>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</si>
  <si>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</si>
  <si>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</si>
  <si>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</si>
  <si>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</si>
  <si>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</si>
  <si>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</si>
  <si>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</si>
  <si>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</si>
  <si>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</si>
  <si>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</si>
  <si>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</si>
  <si>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</si>
  <si>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</si>
  <si>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</si>
  <si>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</si>
  <si>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</si>
  <si>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</si>
  <si>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</si>
  <si>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</si>
  <si>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</si>
  <si>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</si>
  <si>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</si>
  <si>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</si>
  <si>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</si>
  <si>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</si>
  <si>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</si>
  <si>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</si>
  <si>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</si>
  <si>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</si>
  <si>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</si>
  <si>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</si>
  <si>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</si>
  <si>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</si>
  <si>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</si>
  <si>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</si>
  <si>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</si>
  <si>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</si>
  <si>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</si>
  <si>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</si>
  <si>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</si>
  <si>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</si>
  <si>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</si>
  <si>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</si>
  <si>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</si>
  <si>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</si>
  <si>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</si>
  <si>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</si>
  <si>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</si>
  <si>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</si>
  <si>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</si>
  <si>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</si>
  <si>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</si>
  <si>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</si>
  <si>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</si>
  <si>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</si>
  <si>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</si>
  <si>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</si>
  <si>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</si>
  <si>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</si>
  <si>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</si>
  <si>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</si>
  <si>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</si>
  <si>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</si>
  <si>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</si>
  <si>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</si>
  <si>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</si>
  <si>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</si>
  <si>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</si>
  <si>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</si>
  <si>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</si>
  <si>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</si>
  <si>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</si>
  <si>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</si>
  <si>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</si>
  <si>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</si>
  <si>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</si>
  <si>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</si>
  <si>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</si>
  <si>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</si>
  <si>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</si>
  <si>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</si>
  <si>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</si>
  <si>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</si>
  <si>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</si>
  <si>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</si>
  <si>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</si>
  <si>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</si>
  <si>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</si>
  <si>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</si>
  <si>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</si>
  <si>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</si>
  <si>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</si>
  <si>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</si>
  <si>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</si>
  <si>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</si>
  <si>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</si>
  <si>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</si>
  <si>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</si>
  <si>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</si>
  <si>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</si>
  <si>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</si>
  <si>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</si>
  <si>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</si>
  <si>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</si>
  <si>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</si>
  <si>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</si>
  <si>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</si>
  <si>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</si>
  <si>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</si>
  <si>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</si>
  <si>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</si>
  <si>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</si>
  <si>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</si>
  <si>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</si>
  <si>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</si>
  <si>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</si>
  <si>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</si>
  <si>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</si>
  <si>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</si>
  <si>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</si>
  <si>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</si>
  <si>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</si>
  <si>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</si>
  <si>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</si>
  <si>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</si>
  <si>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</si>
  <si>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</si>
  <si>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</si>
  <si>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</si>
  <si>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</si>
  <si>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</si>
  <si>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</si>
  <si>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</si>
  <si>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</si>
  <si>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</si>
  <si>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</si>
  <si>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</si>
  <si>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</si>
  <si>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</si>
  <si>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</si>
  <si>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</si>
  <si>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</si>
  <si>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</si>
  <si>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</si>
  <si>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</si>
  <si>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</si>
  <si>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</si>
  <si>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</si>
  <si>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</si>
  <si>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</si>
  <si>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</si>
  <si>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</si>
  <si>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</si>
  <si>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</si>
  <si>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</si>
  <si>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</si>
  <si>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</si>
  <si>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</si>
  <si>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</si>
  <si>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</si>
  <si>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</si>
  <si>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</si>
  <si>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</si>
  <si>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</si>
  <si>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</si>
  <si>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</si>
  <si>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</si>
  <si>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</si>
  <si>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</si>
  <si>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</si>
  <si>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</si>
  <si>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</si>
  <si>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</si>
  <si>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</si>
  <si>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</si>
  <si>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</si>
  <si>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</si>
  <si>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</si>
  <si>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</si>
  <si>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</si>
  <si>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</si>
  <si>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</si>
  <si>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</si>
  <si>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</si>
  <si>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</si>
  <si>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</si>
  <si>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</si>
  <si>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</si>
  <si>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</si>
  <si>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</si>
  <si>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</si>
  <si>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</si>
  <si>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</si>
  <si>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</si>
  <si>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</si>
  <si>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</si>
  <si>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</si>
  <si>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</si>
  <si>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</si>
  <si>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</si>
  <si>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</si>
  <si>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</si>
  <si>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</si>
  <si>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</si>
  <si>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</si>
  <si>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</si>
  <si>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</si>
  <si>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</si>
  <si>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</si>
  <si>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</si>
  <si>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</si>
  <si>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</si>
  <si>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</si>
  <si>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</si>
  <si>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</si>
  <si>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</si>
  <si>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</si>
  <si>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</si>
  <si>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</si>
  <si>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</si>
  <si>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</si>
  <si>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</si>
  <si>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</si>
  <si>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</si>
  <si>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</si>
  <si>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</si>
  <si>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</si>
  <si>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</si>
  <si>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</si>
  <si>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</si>
  <si>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</si>
  <si>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</si>
  <si>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</si>
  <si>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</si>
  <si>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</si>
  <si>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</si>
  <si>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</si>
  <si>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</si>
  <si>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</si>
  <si>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</si>
  <si>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</si>
  <si>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</si>
  <si>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</si>
  <si>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</si>
  <si>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</si>
  <si>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</si>
  <si>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</si>
  <si>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</si>
  <si>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</si>
  <si>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</si>
  <si>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</si>
  <si>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</si>
  <si>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</si>
  <si>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</si>
  <si>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</si>
  <si>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</si>
  <si>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</si>
  <si>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</si>
  <si>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</si>
  <si>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</si>
  <si>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</si>
  <si>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</si>
  <si>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</si>
  <si>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</si>
  <si>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</si>
  <si>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</si>
  <si>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</si>
  <si>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</si>
  <si>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</si>
  <si>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</si>
  <si>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</si>
  <si>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</si>
  <si>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</si>
  <si>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</si>
  <si>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</si>
  <si>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</si>
  <si>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</si>
  <si>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</si>
  <si>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</si>
  <si>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</si>
  <si>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</si>
  <si>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</si>
  <si>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</si>
  <si>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</si>
  <si>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</si>
  <si>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</si>
  <si>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</si>
  <si>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</si>
  <si>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</si>
  <si>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</si>
  <si>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</si>
  <si>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</si>
  <si>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</si>
  <si>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</si>
  <si>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</si>
  <si>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</si>
  <si>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</si>
  <si>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</si>
  <si>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</si>
  <si>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</si>
  <si>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</si>
  <si>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</si>
  <si>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</si>
  <si>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</si>
  <si>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</si>
  <si>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</si>
  <si>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</si>
  <si>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</si>
  <si>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</si>
  <si>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</si>
  <si>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</si>
  <si>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</si>
  <si>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</si>
  <si>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</si>
  <si>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</si>
  <si>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</si>
  <si>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</si>
  <si>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</si>
  <si>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</si>
  <si>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</si>
  <si>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</si>
  <si>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</si>
  <si>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</si>
  <si>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</si>
  <si>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</si>
  <si>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</si>
  <si>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</si>
  <si>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</si>
  <si>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</si>
  <si>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</si>
  <si>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</si>
  <si>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</si>
  <si>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</si>
  <si>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</si>
  <si>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</si>
  <si>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</si>
  <si>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</si>
  <si>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</si>
  <si>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</si>
  <si>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</si>
  <si>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</si>
  <si>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</si>
  <si>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</si>
  <si>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</si>
  <si>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</si>
  <si>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</si>
  <si>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</si>
  <si>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</si>
  <si>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</si>
  <si>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</si>
  <si>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</si>
  <si>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</si>
  <si>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</si>
  <si>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</si>
  <si>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</si>
  <si>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</si>
  <si>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</si>
  <si>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</si>
  <si>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</si>
  <si>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</si>
  <si>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</si>
  <si>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</si>
  <si>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</si>
  <si>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</si>
  <si>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</si>
  <si>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</si>
  <si>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</si>
  <si>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</si>
  <si>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</si>
  <si>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</si>
  <si>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</si>
  <si>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</si>
  <si>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</si>
  <si>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</si>
  <si>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</si>
  <si>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</si>
  <si>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</si>
  <si>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</si>
  <si>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</si>
  <si>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</si>
  <si>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</si>
  <si>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</si>
  <si>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</si>
  <si>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</si>
  <si>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</si>
  <si>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</si>
  <si>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</si>
  <si>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</si>
  <si>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</si>
  <si>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</si>
  <si>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</si>
  <si>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</si>
  <si>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</si>
  <si>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</si>
  <si>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</si>
  <si>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</si>
  <si>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</si>
  <si>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</si>
  <si>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</si>
  <si>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</si>
  <si>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</si>
  <si>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</si>
  <si>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</si>
  <si>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</si>
  <si>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</si>
  <si>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</si>
  <si>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</si>
  <si>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</si>
  <si>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</si>
  <si>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</si>
  <si>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</si>
  <si>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</si>
  <si>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</si>
  <si>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</si>
  <si>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</si>
  <si>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</si>
  <si>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</si>
  <si>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</si>
  <si>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</si>
  <si>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</si>
  <si>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</si>
  <si>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</si>
  <si>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</si>
  <si>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</si>
  <si>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</si>
  <si>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</si>
  <si>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</si>
  <si>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</si>
  <si>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</si>
  <si>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</si>
  <si>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</si>
  <si>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</si>
  <si>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</si>
  <si>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</si>
  <si>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</si>
  <si>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</si>
  <si>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</si>
  <si>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</si>
  <si>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</si>
  <si>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</si>
  <si>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</si>
  <si>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</si>
  <si>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</si>
  <si>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</si>
  <si>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</si>
  <si>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</si>
  <si>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</si>
  <si>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</si>
  <si>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</si>
  <si>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</si>
  <si>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</si>
  <si>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</si>
  <si>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</si>
  <si>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</si>
  <si>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</si>
  <si>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</si>
  <si>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</si>
  <si>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</si>
  <si>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</si>
  <si>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</si>
  <si>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</si>
  <si>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</si>
  <si>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</si>
  <si>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</si>
  <si>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</si>
  <si>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</si>
  <si>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</si>
  <si>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</si>
  <si>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</si>
  <si>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</si>
  <si>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</si>
  <si>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</si>
  <si>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</si>
  <si>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</si>
  <si>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</si>
  <si>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</si>
  <si>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</si>
  <si>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</si>
  <si>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</si>
  <si>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</si>
  <si>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</si>
  <si>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</si>
  <si>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</si>
  <si>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</si>
  <si>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</si>
  <si>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</si>
  <si>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</si>
  <si>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</si>
  <si>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</si>
  <si>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</si>
  <si>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</si>
  <si>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</si>
  <si>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</si>
  <si>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</si>
  <si>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</si>
  <si>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</si>
  <si>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</si>
  <si>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</si>
  <si>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</si>
  <si>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</si>
  <si>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</si>
  <si>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</si>
  <si>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</si>
  <si>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</si>
  <si>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</si>
  <si>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</si>
  <si>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</si>
  <si>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</si>
  <si>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</si>
  <si>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</si>
  <si>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</si>
  <si>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</si>
  <si>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</si>
  <si>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</si>
  <si>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</si>
  <si>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</si>
  <si>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</si>
  <si>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</si>
  <si>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</si>
  <si>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</si>
  <si>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</si>
  <si>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</si>
  <si>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</si>
  <si>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</si>
  <si>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</si>
  <si>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</si>
  <si>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</si>
  <si>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</si>
  <si>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</si>
  <si>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</si>
  <si>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</si>
  <si>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</si>
  <si>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</si>
  <si>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</si>
  <si>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</si>
  <si>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</si>
  <si>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</si>
  <si>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</si>
  <si>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</si>
  <si>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</si>
  <si>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</si>
  <si>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</si>
  <si>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</si>
  <si>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</si>
  <si>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</si>
  <si>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</si>
  <si>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</si>
  <si>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</si>
  <si>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</si>
  <si>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</si>
  <si>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</si>
  <si>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</si>
  <si>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</si>
  <si>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</si>
  <si>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</si>
  <si>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</si>
  <si>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</si>
  <si>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</si>
  <si>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</si>
  <si>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</si>
  <si>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</si>
  <si>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</si>
  <si>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</si>
  <si>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</si>
  <si>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</si>
  <si>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</si>
  <si>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</si>
  <si>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</si>
  <si>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</si>
  <si>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</si>
  <si>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</si>
  <si>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</si>
  <si>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</si>
  <si>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</si>
  <si>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</si>
  <si>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</si>
  <si>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</si>
  <si>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</si>
  <si>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</si>
  <si>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</si>
  <si>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</si>
  <si>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</si>
  <si>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</si>
  <si>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</si>
  <si>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</si>
  <si>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</si>
  <si>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</si>
  <si>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</si>
  <si>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</si>
  <si>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</si>
  <si>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</si>
  <si>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</si>
  <si>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</si>
  <si>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</si>
  <si>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</si>
  <si>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</si>
  <si>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</si>
  <si>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</si>
  <si>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</si>
  <si>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</si>
  <si>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</si>
  <si>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</si>
  <si>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</si>
  <si>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</si>
  <si>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</si>
  <si>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</si>
  <si>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</si>
  <si>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</si>
  <si>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</si>
  <si>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</si>
  <si>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</si>
  <si>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</si>
  <si>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</si>
  <si>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</si>
  <si>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</si>
  <si>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</si>
  <si>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</si>
  <si>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</si>
  <si>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</si>
  <si>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</si>
  <si>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</si>
  <si>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</si>
  <si>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</si>
  <si>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</si>
  <si>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</si>
  <si>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</si>
  <si>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</si>
  <si>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</si>
  <si>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</si>
  <si>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</si>
  <si>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</si>
  <si>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</si>
  <si>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</si>
  <si>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</si>
  <si>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</si>
  <si>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</si>
  <si>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</si>
  <si>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</si>
  <si>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</si>
  <si>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</si>
  <si>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</si>
  <si>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</si>
  <si>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</si>
  <si>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</si>
  <si>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</si>
  <si>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</si>
  <si>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</si>
  <si>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</si>
  <si>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</si>
  <si>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</si>
  <si>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</si>
  <si>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</si>
  <si>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</si>
  <si>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</si>
  <si>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</si>
  <si>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</si>
  <si>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</si>
  <si>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</si>
  <si>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</si>
  <si>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</si>
  <si>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</si>
  <si>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</si>
  <si>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</si>
  <si>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</si>
  <si>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</si>
  <si>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</si>
  <si>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</si>
  <si>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</si>
  <si>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</si>
  <si>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</si>
  <si>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</si>
  <si>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</si>
  <si>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</si>
  <si>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</si>
  <si>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</si>
  <si>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</si>
  <si>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</si>
  <si>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</si>
  <si>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</si>
  <si>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</si>
  <si>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</si>
  <si>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</si>
  <si>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</si>
  <si>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</si>
  <si>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</si>
  <si>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</si>
  <si>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</si>
  <si>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</si>
  <si>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</si>
  <si>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</si>
  <si>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</si>
  <si>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</si>
  <si>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</si>
  <si>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</si>
  <si>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</si>
  <si>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</si>
  <si>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</si>
  <si>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</si>
  <si>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</si>
  <si>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</si>
  <si>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</si>
  <si>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</si>
  <si>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</si>
  <si>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</si>
  <si>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</si>
  <si>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</si>
  <si>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</si>
  <si>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</si>
  <si>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</si>
  <si>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</si>
  <si>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</si>
  <si>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</si>
  <si>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</si>
  <si>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</si>
  <si>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</si>
  <si>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</si>
  <si>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</si>
  <si>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</si>
  <si>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</si>
  <si>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</si>
  <si>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</si>
  <si>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</si>
  <si>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</si>
  <si>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</si>
  <si>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</si>
  <si>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</si>
  <si>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</si>
  <si>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</si>
  <si>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</si>
  <si>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</si>
  <si>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</si>
  <si>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</si>
  <si>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</si>
  <si>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</si>
  <si>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</si>
  <si>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</si>
  <si>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</si>
  <si>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</si>
  <si>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</si>
  <si>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</si>
  <si>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</si>
  <si>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</si>
  <si>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</si>
  <si>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</si>
  <si>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</si>
  <si>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</si>
  <si>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</si>
  <si>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</si>
  <si>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</si>
  <si>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</si>
  <si>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</si>
  <si>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</si>
  <si>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</si>
  <si>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</si>
  <si>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</si>
  <si>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</si>
  <si>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</si>
  <si>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</si>
  <si>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</si>
  <si>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</si>
  <si>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</si>
  <si>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</si>
  <si>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</si>
  <si>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</si>
  <si>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</si>
  <si>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</si>
  <si>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</si>
  <si>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</si>
  <si>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</si>
  <si>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</si>
  <si>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</si>
  <si>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</si>
  <si>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</si>
  <si>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</si>
  <si>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</si>
  <si>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</si>
  <si>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</si>
  <si>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</si>
  <si>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</si>
  <si>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</si>
  <si>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</si>
  <si>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</si>
  <si>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</si>
  <si>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</si>
  <si>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</si>
  <si>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</si>
  <si>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</si>
  <si>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</si>
  <si>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</si>
  <si>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</si>
  <si>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</si>
  <si>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</si>
  <si>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</si>
  <si>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</si>
  <si>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</si>
  <si>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</si>
  <si>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</si>
  <si>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</si>
  <si>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</si>
  <si>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</si>
  <si>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</si>
  <si>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</si>
  <si>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</si>
  <si>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</si>
  <si>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</si>
  <si>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</si>
  <si>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</si>
  <si>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</si>
  <si>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</si>
  <si>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</si>
  <si>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</si>
  <si>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</si>
  <si>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</si>
  <si>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</si>
  <si>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</si>
  <si>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</si>
  <si>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</si>
  <si>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</si>
  <si>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</si>
  <si>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</si>
  <si>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</si>
  <si>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</si>
  <si>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</si>
  <si>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</si>
  <si>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</si>
  <si>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</si>
  <si>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</si>
  <si>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</si>
  <si>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</si>
  <si>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</si>
  <si>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</si>
  <si>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</si>
  <si>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</si>
  <si>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</si>
  <si>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</si>
  <si>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</si>
  <si>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</si>
  <si>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</si>
  <si>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</si>
  <si>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</si>
  <si>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</si>
  <si>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</si>
  <si>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</si>
  <si>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</si>
  <si>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</si>
  <si>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</si>
  <si>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</si>
  <si>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</si>
  <si>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</si>
  <si>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</si>
  <si>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</si>
  <si>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</si>
  <si>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</si>
  <si>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</si>
  <si>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</si>
  <si>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</si>
  <si>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</si>
  <si>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</si>
  <si>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</si>
  <si>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</si>
  <si>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</si>
  <si>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</si>
  <si>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</si>
  <si>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</si>
  <si>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</si>
  <si>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</si>
  <si>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</si>
  <si>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</si>
  <si>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</si>
  <si>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</si>
  <si>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</si>
  <si>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</si>
  <si>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</si>
  <si>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</si>
  <si>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</si>
  <si>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</si>
  <si>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</si>
  <si>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</si>
  <si>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</si>
  <si>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</si>
  <si>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</si>
  <si>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</si>
  <si>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</si>
  <si>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</si>
  <si>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</si>
  <si>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</si>
  <si>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</si>
  <si>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</si>
  <si>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</si>
  <si>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</si>
  <si>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</si>
  <si>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</si>
  <si>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</si>
  <si>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</si>
  <si>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</si>
  <si>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</si>
  <si>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</si>
  <si>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</si>
  <si>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</si>
  <si>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</si>
  <si>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</si>
  <si>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</si>
  <si>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</si>
  <si>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</si>
  <si>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</si>
  <si>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</si>
  <si>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</si>
  <si>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</si>
  <si>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</si>
  <si>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</si>
  <si>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</si>
  <si>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</si>
  <si>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</si>
  <si>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</si>
  <si>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</si>
  <si>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</si>
  <si>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</si>
  <si>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</si>
  <si>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</si>
  <si>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</si>
  <si>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</si>
  <si>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</si>
  <si>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</si>
  <si>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</si>
  <si>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</si>
  <si>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</si>
  <si>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</si>
  <si>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</si>
  <si>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</si>
  <si>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</si>
  <si>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</si>
  <si>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</si>
  <si>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</si>
  <si>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</si>
  <si>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</si>
  <si>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</si>
  <si>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</si>
  <si>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</si>
  <si>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</si>
  <si>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</si>
  <si>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</si>
  <si>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</si>
  <si>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</si>
  <si>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</si>
  <si>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</si>
  <si>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</si>
  <si>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</si>
  <si>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</si>
  <si>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</si>
  <si>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</si>
  <si>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</si>
  <si>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</si>
  <si>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</si>
  <si>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</si>
  <si>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</si>
  <si>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</si>
  <si>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</si>
  <si>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</si>
  <si>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</si>
  <si>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</si>
  <si>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</si>
  <si>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</si>
  <si>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</si>
  <si>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</si>
  <si>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</si>
  <si>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</si>
  <si>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</si>
  <si>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</si>
  <si>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</si>
  <si>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</si>
  <si>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</si>
  <si>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</si>
  <si>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</si>
  <si>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</si>
  <si>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</si>
  <si>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</si>
  <si>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</si>
  <si>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</si>
  <si>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</si>
  <si>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</si>
  <si>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</si>
  <si>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</si>
  <si>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</si>
  <si>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</si>
  <si>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</si>
  <si>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</si>
  <si>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</si>
  <si>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</si>
  <si>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</si>
  <si>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</si>
  <si>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</si>
  <si>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</si>
  <si>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</si>
  <si>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</si>
  <si>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</si>
  <si>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</si>
  <si>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</si>
  <si>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</si>
  <si>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</si>
  <si>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</si>
  <si>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</si>
  <si>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</si>
  <si>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</si>
  <si>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</si>
  <si>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</si>
  <si>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</si>
  <si>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</si>
  <si>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</si>
  <si>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</si>
  <si>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</si>
  <si>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</si>
  <si>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</si>
  <si>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</si>
  <si>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</si>
  <si>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</si>
  <si>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</si>
  <si>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</si>
  <si>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</si>
  <si>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</si>
  <si>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</si>
  <si>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</si>
  <si>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</si>
  <si>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</si>
  <si>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</si>
  <si>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</si>
  <si>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</si>
  <si>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</si>
  <si>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</si>
  <si>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</si>
  <si>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</si>
  <si>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</si>
  <si>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</si>
  <si>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</si>
  <si>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</si>
  <si>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</si>
  <si>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</si>
  <si>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</si>
  <si>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</si>
  <si>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</si>
  <si>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</si>
  <si>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</si>
  <si>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</si>
  <si>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</si>
  <si>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</si>
  <si>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</si>
  <si>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</si>
  <si>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</si>
  <si>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</si>
  <si>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</si>
  <si>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</si>
  <si>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</si>
  <si>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</si>
  <si>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</si>
  <si>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</si>
  <si>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</si>
  <si>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</si>
  <si>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</si>
  <si>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</si>
  <si>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</si>
  <si>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</si>
  <si>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</si>
  <si>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</si>
  <si>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</si>
  <si>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</si>
  <si>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</si>
  <si>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</si>
  <si>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</si>
  <si>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</si>
  <si>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</si>
  <si>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</si>
  <si>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</si>
  <si>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</si>
  <si>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</si>
  <si>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</si>
  <si>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</si>
  <si>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</si>
  <si>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</si>
  <si>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</si>
  <si>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</si>
  <si>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</si>
  <si>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</si>
  <si>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</si>
  <si>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</si>
  <si>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</si>
  <si>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</si>
  <si>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</si>
  <si>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</si>
  <si>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</si>
  <si>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</si>
  <si>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</si>
  <si>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</si>
  <si>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</si>
  <si>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</si>
  <si>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</si>
  <si>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</si>
  <si>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</si>
  <si>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</si>
  <si>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</si>
  <si>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</si>
  <si>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</si>
  <si>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</si>
  <si>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</si>
  <si>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</si>
  <si>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</si>
  <si>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</si>
  <si>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</si>
  <si>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</si>
  <si>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</si>
  <si>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</si>
  <si>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</si>
  <si>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</si>
  <si>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</si>
  <si>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</si>
  <si>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</si>
  <si>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</si>
  <si>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</si>
  <si>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</si>
  <si>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</si>
  <si>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</si>
  <si>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</si>
  <si>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</si>
  <si>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</si>
  <si>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</si>
  <si>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</si>
  <si>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</si>
  <si>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</si>
  <si>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</si>
  <si>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</si>
  <si>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</si>
  <si>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</si>
  <si>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</si>
  <si>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</si>
  <si>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</si>
  <si>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</si>
  <si>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</si>
  <si>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</si>
  <si>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</si>
  <si>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</si>
  <si>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</si>
  <si>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</si>
  <si>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</si>
  <si>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</si>
  <si>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</si>
  <si>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</si>
  <si>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</si>
  <si>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</si>
  <si>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</si>
  <si>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</si>
  <si>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</si>
  <si>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</si>
  <si>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</si>
  <si>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</si>
  <si>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</si>
  <si>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</si>
  <si>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</si>
  <si>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</si>
  <si>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</si>
  <si>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</si>
  <si>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</si>
  <si>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</si>
  <si>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</si>
  <si>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</si>
  <si>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</si>
  <si>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</si>
  <si>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</si>
  <si>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</si>
  <si>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</si>
  <si>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</si>
  <si>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</si>
  <si>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</si>
  <si>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</si>
  <si>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</si>
  <si>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</si>
  <si>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</si>
  <si>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</si>
  <si>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</si>
  <si>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</si>
  <si>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</si>
  <si>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</si>
  <si>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</si>
  <si>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</si>
  <si>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</si>
  <si>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</si>
  <si>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</si>
  <si>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</si>
  <si>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</si>
  <si>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</si>
  <si>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</si>
  <si>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</si>
  <si>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</si>
  <si>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</si>
  <si>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</si>
  <si>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</si>
  <si>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</si>
  <si>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</si>
  <si>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</si>
  <si>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</si>
  <si>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</si>
  <si>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</si>
  <si>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</si>
  <si>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</si>
  <si>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</si>
  <si>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</si>
  <si>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</si>
  <si>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</si>
  <si>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</si>
  <si>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</si>
  <si>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</si>
  <si>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</si>
  <si>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</si>
  <si>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</si>
  <si>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</si>
  <si>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</si>
  <si>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</si>
  <si>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</si>
  <si>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</si>
  <si>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</si>
  <si>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</si>
  <si>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</si>
  <si>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</si>
  <si>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</si>
  <si>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</si>
  <si>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</si>
  <si>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</si>
  <si>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</si>
  <si>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</si>
  <si>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</si>
  <si>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</si>
  <si>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</si>
  <si>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</si>
  <si>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</si>
  <si>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</si>
  <si>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</si>
  <si>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</si>
  <si>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</si>
  <si>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</si>
  <si>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</si>
  <si>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</si>
  <si>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</si>
  <si>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</si>
  <si>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</si>
  <si>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</si>
  <si>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</si>
  <si>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</si>
  <si>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</si>
  <si>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</si>
  <si>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</si>
  <si>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</si>
  <si>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</si>
  <si>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</si>
  <si>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</si>
  <si>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</si>
  <si>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</si>
  <si>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</si>
  <si>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</si>
  <si>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</si>
  <si>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</si>
  <si>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</si>
  <si>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</si>
  <si>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</si>
  <si>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</si>
  <si>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</si>
  <si>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</si>
  <si>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</si>
  <si>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</si>
  <si>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</si>
  <si>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</si>
  <si>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</si>
  <si>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</si>
  <si>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</si>
  <si>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</si>
  <si>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</si>
  <si>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</si>
  <si>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</si>
  <si>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</si>
  <si>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</si>
  <si>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</si>
  <si>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</si>
  <si>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</si>
  <si>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</si>
  <si>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</si>
  <si>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</si>
  <si>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</si>
  <si>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</si>
  <si>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</si>
  <si>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</si>
  <si>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</si>
  <si>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</si>
  <si>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</si>
  <si>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</si>
  <si>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</si>
  <si>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</si>
  <si>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</si>
  <si>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</si>
  <si>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</si>
  <si>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</si>
  <si>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</si>
  <si>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</si>
  <si>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</si>
  <si>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</si>
  <si>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</si>
  <si>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</si>
  <si>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</si>
  <si>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</si>
  <si>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</si>
  <si>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</si>
  <si>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</si>
  <si>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</si>
  <si>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</si>
  <si>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</si>
  <si>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</si>
  <si>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</si>
  <si>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</si>
  <si>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</si>
  <si>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</si>
  <si>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</si>
  <si>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</si>
  <si>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</si>
  <si>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</si>
  <si>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</si>
  <si>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</si>
  <si>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</si>
  <si>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</si>
  <si>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</si>
  <si>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</si>
  <si>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</si>
  <si>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</si>
  <si>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</si>
  <si>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</si>
  <si>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</si>
  <si>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</si>
  <si>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</si>
  <si>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</si>
  <si>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</si>
  <si>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</si>
  <si>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</si>
  <si>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</si>
  <si>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</si>
  <si>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</si>
  <si>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</si>
  <si>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</si>
  <si>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</si>
  <si>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</si>
  <si>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</si>
  <si>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</si>
  <si>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</si>
  <si>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</si>
  <si>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</si>
  <si>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</si>
  <si>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</si>
  <si>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</si>
  <si>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</si>
  <si>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</si>
  <si>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</si>
  <si>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</si>
  <si>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</si>
  <si>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</si>
  <si>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</si>
  <si>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</si>
  <si>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</si>
  <si>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</si>
  <si>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</si>
  <si>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</si>
  <si>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</si>
  <si>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</si>
  <si>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</si>
  <si>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</si>
  <si>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</si>
  <si>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</si>
  <si>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</si>
  <si>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</si>
  <si>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</si>
  <si>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</si>
  <si>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</si>
  <si>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</si>
  <si>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</si>
  <si>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</si>
  <si>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</si>
  <si>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</si>
  <si>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</si>
  <si>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</si>
  <si>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</si>
  <si>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</si>
  <si>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</si>
  <si>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</si>
  <si>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</si>
  <si>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</si>
  <si>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</si>
  <si>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</si>
  <si>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</si>
  <si>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</si>
  <si>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</si>
  <si>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</si>
  <si>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</si>
  <si>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</si>
  <si>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</si>
  <si>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</si>
  <si>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</si>
  <si>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</si>
  <si>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</si>
  <si>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</si>
  <si>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</si>
  <si>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</si>
  <si>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</si>
  <si>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</si>
  <si>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</si>
  <si>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</si>
  <si>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</si>
  <si>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</si>
  <si>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</si>
  <si>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</si>
  <si>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</si>
  <si>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</si>
  <si>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</si>
  <si>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</si>
  <si>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</si>
  <si>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</si>
  <si>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</si>
  <si>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</si>
  <si>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</si>
  <si>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</si>
  <si>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</si>
  <si>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</si>
  <si>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</si>
  <si>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</si>
  <si>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</si>
  <si>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</si>
  <si>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</si>
  <si>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</si>
  <si>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</si>
  <si>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</si>
  <si>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</si>
  <si>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</si>
  <si>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</si>
  <si>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</si>
  <si>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</si>
  <si>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</si>
  <si>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</si>
  <si>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</si>
  <si>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</si>
  <si>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</si>
  <si>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</si>
  <si>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</si>
  <si>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</si>
  <si>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</si>
  <si>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</si>
  <si>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</si>
  <si>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</si>
  <si>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</si>
  <si>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</si>
  <si>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</si>
  <si>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</si>
  <si>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</si>
  <si>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</si>
  <si>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</si>
  <si>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</si>
  <si>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</si>
  <si>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</si>
  <si>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</si>
  <si>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</si>
  <si>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</si>
  <si>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</si>
  <si>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</si>
  <si>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</si>
  <si>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</si>
  <si>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</si>
  <si>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</si>
  <si>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</si>
  <si>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</si>
  <si>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</si>
  <si>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</si>
  <si>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</si>
  <si>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</si>
  <si>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</si>
  <si>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</si>
  <si>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</si>
  <si>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</si>
  <si>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</si>
  <si>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</si>
  <si>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</si>
  <si>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</si>
  <si>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</si>
  <si>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</si>
  <si>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</si>
  <si>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</si>
  <si>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</si>
  <si>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</si>
  <si>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</si>
  <si>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</si>
  <si>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</si>
  <si>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</si>
  <si>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</si>
  <si>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</si>
  <si>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</si>
  <si>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</si>
  <si>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</si>
  <si>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</si>
  <si>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</si>
  <si>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</si>
  <si>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</si>
  <si>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</si>
  <si>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</si>
  <si>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</si>
  <si>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</si>
  <si>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</si>
  <si>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</si>
  <si>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</si>
  <si>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</si>
  <si>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</si>
  <si>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</si>
  <si>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</si>
  <si>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</si>
  <si>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</si>
  <si>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</si>
  <si>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</si>
  <si>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</si>
  <si>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</si>
  <si>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</si>
  <si>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</si>
  <si>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</si>
  <si>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</si>
  <si>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</si>
  <si>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</si>
  <si>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</si>
  <si>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</si>
  <si>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</si>
  <si>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</si>
  <si>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</si>
  <si>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</si>
  <si>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</si>
  <si>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</si>
  <si>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</si>
  <si>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</si>
  <si>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</si>
  <si>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</si>
  <si>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</si>
  <si>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</si>
  <si>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</si>
  <si>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</si>
  <si>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</si>
  <si>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</si>
  <si>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</si>
  <si>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</si>
  <si>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</si>
  <si>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</si>
  <si>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</si>
  <si>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</si>
  <si>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</si>
  <si>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</si>
  <si>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</si>
  <si>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</si>
  <si>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</si>
  <si>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</si>
  <si>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</si>
  <si>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</si>
  <si>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</si>
  <si>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</si>
  <si>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</si>
  <si>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</si>
  <si>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</si>
  <si>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</si>
  <si>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</si>
  <si>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</si>
  <si>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</si>
  <si>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</si>
  <si>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</si>
  <si>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</si>
  <si>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</si>
  <si>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</si>
  <si>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</si>
  <si>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</si>
  <si>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</si>
  <si>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</si>
  <si>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</si>
  <si>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</si>
  <si>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</si>
  <si>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</si>
  <si>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</si>
  <si>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</si>
  <si>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</si>
  <si>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</si>
  <si>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</si>
  <si>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</si>
  <si>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</si>
  <si>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</si>
  <si>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</si>
  <si>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</si>
  <si>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</si>
  <si>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</si>
  <si>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</si>
  <si>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</si>
  <si>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</si>
  <si>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</si>
  <si>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</si>
  <si>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</si>
  <si>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</si>
  <si>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</si>
  <si>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</si>
  <si>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</si>
  <si>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</si>
  <si>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</si>
  <si>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</si>
  <si>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</si>
  <si>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</si>
  <si>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</si>
  <si>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</si>
  <si>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</si>
  <si>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</si>
  <si>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</si>
  <si>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</si>
  <si>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</si>
  <si>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</si>
  <si>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</si>
  <si>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</si>
  <si>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</si>
  <si>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</si>
  <si>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</si>
  <si>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</si>
  <si>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</si>
  <si>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</si>
  <si>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</si>
  <si>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</si>
  <si>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</si>
  <si>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</si>
  <si>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</si>
  <si>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</si>
  <si>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</si>
  <si>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</si>
  <si>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</si>
  <si>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</si>
  <si>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</si>
  <si>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</si>
  <si>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</si>
  <si>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</si>
  <si>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</si>
  <si>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</si>
  <si>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</si>
  <si>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</si>
  <si>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</si>
  <si>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</si>
  <si>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</si>
  <si>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</si>
  <si>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</si>
  <si>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</si>
  <si>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</si>
  <si>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</si>
  <si>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</si>
  <si>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</si>
  <si>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</si>
  <si>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</si>
  <si>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</si>
  <si>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</si>
  <si>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</si>
  <si>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</si>
  <si>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</si>
  <si>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</si>
  <si>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</si>
  <si>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</si>
  <si>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</si>
  <si>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</si>
  <si>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</si>
  <si>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</si>
  <si>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</si>
  <si>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</si>
  <si>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</si>
  <si>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</si>
  <si>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</si>
  <si>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</si>
  <si>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</si>
  <si>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</si>
  <si>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</si>
  <si>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</si>
  <si>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</si>
  <si>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</si>
  <si>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</si>
  <si>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</si>
  <si>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</si>
  <si>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</si>
  <si>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</si>
  <si>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</si>
  <si>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</si>
  <si>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</si>
  <si>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</si>
  <si>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</si>
  <si>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</si>
  <si>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</si>
  <si>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</si>
  <si>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</si>
  <si>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</si>
  <si>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</si>
  <si>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</si>
  <si>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</si>
  <si>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</si>
  <si>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</si>
  <si>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</si>
  <si>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</si>
  <si>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</si>
  <si>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</si>
  <si>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</si>
  <si>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</si>
  <si>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</si>
  <si>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</si>
  <si>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</si>
  <si>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</si>
  <si>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</si>
  <si>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</si>
  <si>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</si>
  <si>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</si>
  <si>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</si>
  <si>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</si>
  <si>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</si>
  <si>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</si>
  <si>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</si>
  <si>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</si>
  <si>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</si>
  <si>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</si>
  <si>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</si>
  <si>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</si>
  <si>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</si>
  <si>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</si>
  <si>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</si>
  <si>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</si>
  <si>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</si>
  <si>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</si>
  <si>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</si>
  <si>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</si>
  <si>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</si>
  <si>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</si>
  <si>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</si>
  <si>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</si>
  <si>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</si>
  <si>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</si>
  <si>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</si>
  <si>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</si>
  <si>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</si>
  <si>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</si>
  <si>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</si>
  <si>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</si>
  <si>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</si>
  <si>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</si>
  <si>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</si>
  <si>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</si>
  <si>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</si>
  <si>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</si>
  <si>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</si>
  <si>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</si>
  <si>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</si>
  <si>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</si>
  <si>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</si>
  <si>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</si>
  <si>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</si>
  <si>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</si>
  <si>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</si>
  <si>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</si>
  <si>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</si>
  <si>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</si>
  <si>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</si>
  <si>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</si>
  <si>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</si>
  <si>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</si>
  <si>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</si>
  <si>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</si>
  <si>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</si>
  <si>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</si>
  <si>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</si>
  <si>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</si>
  <si>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</si>
  <si>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</si>
  <si>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</si>
  <si>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</si>
  <si>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</si>
  <si>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</si>
  <si>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</si>
  <si>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</si>
  <si>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</si>
  <si>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</si>
  <si>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</si>
  <si>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</si>
  <si>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</si>
  <si>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1546</t>
  </si>
  <si>
    <t>1:20.61</t>
  </si>
  <si>
    <t>18:28</t>
  </si>
  <si>
    <t>1:24.56</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</si>
  <si>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</si>
  <si>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</si>
  <si>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</si>
  <si>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</si>
  <si>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</si>
  <si>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</si>
  <si>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</si>
  <si>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</si>
  <si>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</si>
  <si>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</si>
  <si>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</si>
  <si>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</si>
  <si>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</si>
  <si>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</si>
  <si>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</si>
  <si>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</si>
  <si>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</si>
  <si>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</si>
  <si>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</si>
  <si>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</si>
  <si>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</si>
  <si>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</si>
  <si>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</si>
  <si>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</si>
  <si>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</si>
  <si>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</si>
  <si>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</si>
  <si>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</si>
  <si>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</si>
  <si>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</si>
  <si>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</si>
  <si>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</si>
  <si>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</si>
  <si>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</si>
  <si>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</si>
  <si>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</si>
  <si>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</si>
  <si>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</si>
  <si>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</si>
  <si>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</si>
  <si>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</si>
  <si>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</si>
  <si>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</si>
  <si>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</si>
  <si>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</si>
  <si>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</si>
  <si>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</si>
  <si>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</si>
  <si>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</si>
  <si>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</si>
  <si>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</si>
  <si>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</si>
  <si>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</si>
  <si>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</si>
  <si>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</si>
  <si>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</si>
  <si>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</si>
  <si>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</si>
  <si>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</si>
  <si>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</si>
  <si>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</si>
  <si>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</si>
  <si>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</si>
  <si>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</si>
  <si>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</si>
  <si>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</si>
  <si>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</si>
  <si>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</si>
  <si>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</si>
  <si>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</si>
  <si>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</si>
  <si>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</si>
  <si>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</si>
  <si>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</si>
  <si>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</si>
  <si>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</si>
  <si>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</si>
  <si>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</si>
  <si>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</si>
  <si>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</si>
  <si>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</si>
  <si>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</si>
  <si>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</si>
  <si>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</si>
  <si>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</si>
  <si>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</si>
  <si>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</si>
  <si>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</si>
  <si>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</si>
  <si>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</si>
  <si>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</si>
  <si>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</si>
  <si>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</si>
  <si>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</si>
  <si>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</si>
  <si>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</si>
  <si>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</si>
  <si>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</si>
  <si>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</si>
  <si>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</si>
  <si>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</si>
  <si>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</si>
  <si>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</si>
  <si>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</si>
  <si>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</si>
  <si>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</si>
  <si>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</si>
  <si>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</si>
  <si>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</si>
  <si>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</si>
  <si>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</si>
  <si>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</si>
  <si>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</si>
  <si>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</si>
  <si>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</si>
  <si>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</si>
  <si>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</si>
  <si>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</si>
  <si>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</si>
  <si>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</si>
  <si>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</si>
  <si>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</si>
  <si>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</si>
  <si>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</si>
  <si>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</si>
  <si>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</si>
  <si>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</si>
  <si>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</si>
  <si>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</si>
  <si>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</si>
  <si>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</si>
  <si>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</si>
  <si>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</si>
  <si>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</si>
  <si>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</si>
  <si>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</si>
  <si>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</si>
  <si>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</si>
  <si>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</si>
  <si>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</si>
  <si>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</si>
  <si>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</si>
  <si>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</si>
  <si>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</si>
  <si>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</si>
  <si>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</si>
  <si>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</si>
  <si>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</si>
  <si>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</si>
  <si>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</si>
  <si>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</si>
  <si>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</si>
  <si>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</si>
  <si>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</si>
  <si>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</si>
  <si>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</si>
  <si>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</si>
  <si>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</si>
  <si>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</si>
  <si>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</si>
  <si>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</si>
  <si>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</si>
  <si>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</si>
  <si>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</si>
  <si>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</si>
  <si>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</si>
  <si>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</si>
  <si>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</si>
  <si>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</si>
  <si>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</si>
  <si>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</si>
  <si>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</si>
  <si>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</si>
  <si>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</si>
  <si>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</si>
  <si>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</si>
  <si>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</si>
  <si>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</si>
  <si>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</si>
  <si>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</si>
  <si>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</si>
  <si>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</si>
  <si>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</si>
  <si>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</si>
  <si>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</si>
  <si>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</si>
  <si>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</si>
  <si>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</si>
  <si>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</si>
  <si>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</si>
  <si>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</si>
  <si>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</si>
  <si>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</si>
  <si>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</si>
  <si>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</si>
  <si>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</si>
  <si>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</si>
  <si>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</si>
  <si>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</si>
  <si>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</si>
  <si>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</si>
  <si>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</si>
  <si>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</si>
  <si>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</si>
  <si>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</si>
  <si>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</si>
  <si>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</si>
  <si>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</si>
  <si>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</si>
  <si>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</si>
  <si>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</si>
  <si>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</si>
  <si>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</si>
  <si>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</si>
  <si>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</si>
  <si>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</si>
  <si>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</si>
  <si>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</si>
  <si>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</si>
  <si>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</si>
  <si>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</si>
  <si>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</si>
  <si>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</si>
  <si>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</si>
  <si>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</si>
  <si>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</si>
  <si>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</si>
  <si>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</si>
  <si>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</si>
  <si>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</si>
  <si>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</si>
  <si>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</si>
  <si>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</si>
  <si>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</si>
  <si>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</si>
  <si>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</si>
  <si>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</si>
  <si>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</si>
  <si>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</si>
  <si>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</si>
  <si>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</si>
  <si>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</si>
  <si>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</si>
  <si>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</si>
  <si>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</si>
  <si>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</si>
  <si>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</si>
  <si>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</si>
  <si>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</si>
  <si>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</si>
  <si>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</si>
  <si>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</si>
  <si>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</si>
  <si>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</si>
  <si>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</si>
  <si>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</si>
  <si>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</si>
  <si>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</si>
  <si>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</si>
  <si>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</si>
  <si>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</si>
  <si>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</si>
  <si>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</si>
  <si>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</si>
  <si>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</si>
  <si>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</si>
  <si>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</si>
  <si>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</si>
  <si>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</si>
  <si>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</si>
  <si>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</si>
  <si>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</si>
  <si>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</si>
  <si>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</si>
  <si>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</si>
  <si>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</si>
  <si>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</si>
  <si>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</si>
  <si>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</si>
  <si>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</si>
  <si>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</si>
  <si>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</si>
  <si>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</si>
  <si>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</si>
  <si>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</si>
  <si>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</si>
  <si>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</si>
  <si>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</si>
  <si>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</si>
  <si>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</si>
  <si>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</si>
  <si>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</si>
  <si>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</si>
  <si>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</si>
  <si>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</si>
  <si>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</si>
  <si>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</si>
  <si>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</si>
  <si>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</si>
  <si>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</si>
  <si>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</si>
  <si>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</si>
  <si>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</si>
  <si>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</si>
  <si>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</si>
  <si>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</si>
  <si>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</si>
  <si>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</si>
  <si>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</si>
  <si>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</si>
  <si>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</si>
  <si>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</si>
  <si>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</si>
  <si>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</si>
  <si>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</si>
  <si>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</si>
  <si>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</si>
  <si>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</si>
  <si>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</si>
  <si>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</si>
  <si>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</si>
  <si>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</si>
  <si>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</si>
  <si>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</si>
  <si>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</si>
  <si>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</si>
  <si>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</si>
  <si>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</si>
  <si>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</si>
  <si>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</si>
  <si>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</si>
  <si>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</si>
  <si>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</si>
  <si>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</si>
  <si>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</si>
  <si>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</si>
  <si>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</si>
  <si>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</si>
  <si>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</si>
  <si>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</si>
  <si>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</si>
  <si>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</si>
  <si>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</si>
  <si>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</si>
  <si>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</si>
  <si>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</si>
  <si>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</si>
  <si>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</si>
  <si>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</si>
  <si>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</si>
  <si>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</si>
  <si>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</si>
  <si>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</si>
  <si>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</si>
  <si>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</si>
  <si>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</si>
  <si>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</si>
  <si>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</si>
  <si>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</si>
  <si>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</si>
  <si>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</si>
  <si>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</si>
  <si>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</si>
  <si>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</si>
  <si>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</si>
  <si>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</si>
  <si>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</si>
  <si>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</si>
  <si>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</si>
  <si>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</si>
  <si>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</si>
  <si>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</si>
  <si>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</si>
  <si>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</si>
  <si>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</si>
  <si>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</si>
  <si>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</si>
  <si>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</si>
  <si>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</si>
  <si>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</si>
  <si>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</si>
  <si>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</si>
  <si>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</si>
  <si>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</si>
  <si>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</si>
  <si>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</si>
  <si>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</si>
  <si>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</si>
  <si>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</si>
  <si>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</si>
  <si>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</si>
  <si>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</si>
  <si>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</si>
  <si>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</si>
  <si>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</si>
  <si>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</si>
  <si>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</si>
  <si>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</si>
  <si>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</si>
  <si>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</si>
  <si>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</si>
  <si>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</si>
  <si>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</si>
  <si>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</si>
  <si>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</si>
  <si>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</si>
  <si>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</si>
  <si>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</si>
  <si>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</si>
  <si>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</si>
  <si>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</si>
  <si>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</si>
  <si>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</si>
  <si>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</si>
  <si>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</si>
  <si>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</si>
  <si>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</si>
  <si>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</si>
  <si>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</si>
  <si>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</si>
  <si>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</si>
  <si>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</si>
  <si>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</si>
  <si>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</si>
  <si>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</si>
  <si>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</si>
  <si>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</si>
  <si>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</si>
  <si>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</si>
  <si>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</si>
  <si>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</si>
  <si>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</si>
  <si>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</si>
  <si>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</si>
  <si>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</si>
  <si>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</si>
  <si>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</si>
  <si>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</si>
  <si>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</si>
  <si>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</si>
  <si>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</si>
  <si>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</si>
  <si>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</si>
  <si>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</si>
  <si>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</si>
  <si>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</si>
  <si>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</si>
  <si>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</si>
  <si>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</si>
  <si>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</si>
  <si>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</si>
  <si>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</si>
  <si>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</si>
  <si>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</si>
  <si>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</si>
  <si>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</si>
  <si>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</si>
  <si>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</si>
  <si>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</si>
  <si>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</si>
  <si>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</si>
  <si>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</si>
  <si>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</si>
  <si>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</si>
  <si>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</si>
  <si>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</si>
  <si>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</si>
  <si>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</si>
  <si>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</si>
  <si>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</si>
  <si>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</si>
  <si>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</si>
  <si>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</si>
  <si>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</si>
  <si>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</si>
  <si>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</si>
  <si>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</si>
  <si>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</si>
  <si>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</si>
  <si>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</si>
  <si>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</si>
  <si>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</si>
  <si>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</si>
  <si>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</si>
  <si>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</si>
  <si>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</si>
  <si>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</si>
  <si>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</si>
  <si>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</si>
  <si>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</si>
  <si>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</si>
  <si>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</si>
  <si>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</si>
  <si>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</si>
  <si>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</si>
  <si>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</si>
  <si>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</si>
  <si>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</si>
  <si>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</si>
  <si>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</si>
  <si>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</si>
  <si>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</si>
  <si>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</si>
  <si>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</si>
  <si>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</si>
  <si>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</si>
  <si>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</si>
  <si>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</si>
  <si>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</si>
  <si>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</si>
  <si>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</si>
  <si>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</si>
  <si>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</si>
  <si>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</si>
  <si>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</si>
  <si>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</si>
  <si>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</si>
  <si>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</si>
  <si>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</si>
  <si>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</si>
  <si>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</si>
  <si>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</si>
  <si>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</si>
  <si>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</si>
  <si>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</si>
  <si>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</si>
  <si>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</si>
  <si>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</si>
  <si>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</si>
  <si>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</si>
  <si>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</si>
  <si>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</si>
  <si>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</si>
  <si>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</si>
  <si>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</si>
  <si>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</si>
  <si>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</si>
  <si>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</si>
  <si>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</si>
  <si>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</si>
  <si>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</si>
  <si>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</si>
  <si>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</si>
  <si>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</si>
  <si>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</si>
  <si>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</si>
  <si>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</si>
  <si>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</si>
  <si>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</si>
  <si>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</si>
  <si>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</si>
  <si>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</si>
  <si>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</si>
  <si>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</si>
  <si>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</si>
  <si>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</si>
  <si>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</si>
  <si>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</si>
  <si>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</si>
  <si>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</si>
  <si>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505</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</si>
  <si>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</si>
  <si>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</si>
  <si>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</si>
  <si>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</si>
  <si>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</si>
  <si>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</si>
  <si>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</si>
  <si>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</si>
  <si>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</si>
  <si>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</si>
  <si>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</si>
  <si>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</si>
  <si>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</si>
  <si>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</si>
  <si>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</si>
  <si>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</si>
  <si>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</si>
  <si>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</si>
  <si>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</si>
  <si>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</si>
  <si>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</si>
  <si>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</si>
  <si>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</si>
  <si>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</si>
  <si>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</si>
  <si>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</si>
  <si>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</si>
  <si>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</si>
  <si>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</si>
  <si>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</si>
  <si>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</si>
  <si>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</si>
  <si>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</si>
  <si>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</si>
  <si>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</si>
  <si>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</si>
  <si>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</si>
  <si>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</si>
  <si>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</si>
  <si>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</si>
  <si>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</si>
  <si>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</si>
  <si>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</si>
  <si>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</si>
  <si>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</si>
  <si>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</si>
  <si>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</si>
  <si>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</si>
  <si>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</si>
  <si>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</si>
  <si>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</si>
  <si>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</si>
  <si>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</si>
  <si>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</si>
  <si>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</si>
  <si>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</si>
  <si>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</si>
  <si>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</si>
  <si>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</si>
  <si>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</si>
  <si>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</si>
  <si>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</si>
  <si>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</si>
  <si>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</si>
  <si>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</si>
  <si>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</si>
  <si>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</si>
  <si>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</si>
  <si>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</si>
  <si>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</si>
  <si>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</si>
  <si>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</si>
  <si>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</si>
  <si>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</si>
  <si>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</si>
  <si>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</si>
  <si>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</si>
  <si>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392</t>
  </si>
  <si>
    <t>43.56</t>
  </si>
  <si>
    <t>21.22</t>
  </si>
  <si>
    <t>1:03.93</t>
  </si>
  <si>
    <t>39.90</t>
  </si>
  <si>
    <t>1:01.84</t>
  </si>
  <si>
    <t>1:20.69</t>
  </si>
  <si>
    <t>37.23</t>
  </si>
  <si>
    <t>1:11.89</t>
  </si>
  <si>
    <t>33.30</t>
  </si>
  <si>
    <t>22.38</t>
  </si>
  <si>
    <t>57.92</t>
  </si>
  <si>
    <t>2:00.74</t>
  </si>
  <si>
    <t>FLUDDKoopa64</t>
  </si>
  <si>
    <t>397</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</si>
  <si>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</si>
  <si>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</si>
  <si>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</si>
  <si>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</si>
  <si>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</si>
  <si>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</si>
  <si>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</si>
  <si>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</si>
  <si>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</si>
  <si>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</si>
  <si>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</si>
  <si>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</si>
  <si>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</si>
  <si>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</si>
  <si>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</si>
  <si>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</si>
  <si>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</si>
  <si>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</si>
  <si>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</si>
  <si>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</si>
  <si>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</si>
  <si>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</si>
  <si>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</si>
  <si>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</si>
  <si>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</si>
  <si>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</si>
  <si>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</si>
  <si>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</si>
  <si>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</si>
  <si>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</si>
  <si>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</si>
  <si>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</si>
  <si>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</si>
  <si>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</si>
  <si>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</si>
  <si>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</si>
  <si>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</si>
  <si>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</si>
  <si>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</si>
  <si>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</si>
  <si>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</si>
  <si>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</si>
  <si>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</si>
  <si>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</si>
  <si>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</si>
  <si>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</si>
  <si>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</si>
  <si>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</si>
  <si>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</si>
  <si>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</si>
  <si>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</si>
  <si>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</si>
  <si>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</si>
  <si>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</si>
  <si>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</si>
  <si>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</si>
  <si>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</si>
  <si>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</si>
  <si>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</si>
  <si>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</si>
  <si>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</si>
  <si>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</si>
  <si>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</si>
  <si>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</si>
  <si>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</si>
  <si>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</si>
  <si>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</si>
  <si>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</si>
  <si>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</si>
  <si>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</si>
  <si>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</si>
  <si>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</si>
  <si>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</si>
  <si>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</si>
  <si>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</si>
  <si>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</si>
  <si>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</si>
  <si>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</si>
  <si>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</si>
  <si>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</si>
  <si>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</si>
  <si>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</si>
  <si>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</si>
  <si>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</si>
  <si>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</si>
  <si>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</si>
  <si>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</si>
  <si>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</si>
  <si>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</si>
  <si>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</si>
  <si>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</si>
  <si>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</si>
  <si>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</si>
  <si>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</si>
  <si>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</si>
  <si>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</si>
  <si>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</si>
  <si>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</si>
  <si>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</si>
  <si>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</si>
  <si>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</si>
  <si>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</si>
  <si>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</si>
  <si>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</si>
  <si>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</si>
  <si>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</si>
  <si>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</si>
  <si>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</si>
  <si>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</si>
  <si>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</si>
  <si>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</si>
  <si>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</si>
  <si>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</si>
  <si>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</si>
  <si>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</si>
  <si>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</si>
  <si>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</si>
  <si>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</si>
  <si>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</si>
  <si>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</si>
  <si>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</si>
  <si>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</si>
  <si>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</si>
  <si>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</si>
  <si>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</si>
  <si>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</si>
  <si>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</si>
  <si>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</si>
  <si>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</si>
  <si>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</si>
  <si>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</si>
  <si>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</si>
  <si>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</si>
  <si>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</si>
  <si>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</si>
  <si>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</si>
  <si>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</si>
  <si>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</si>
  <si>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</si>
  <si>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</si>
  <si>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</si>
  <si>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</si>
  <si>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</si>
  <si>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</si>
  <si>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</si>
  <si>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</si>
  <si>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</si>
  <si>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</si>
  <si>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</si>
  <si>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</si>
  <si>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</si>
  <si>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</si>
  <si>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</si>
  <si>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</si>
  <si>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</si>
  <si>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</si>
  <si>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</si>
  <si>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</si>
  <si>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</si>
  <si>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</si>
  <si>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</si>
  <si>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</si>
  <si>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</si>
  <si>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</si>
  <si>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</si>
  <si>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</si>
  <si>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</si>
  <si>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</si>
  <si>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</si>
  <si>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</si>
  <si>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</si>
  <si>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</si>
  <si>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</si>
  <si>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</si>
  <si>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</si>
  <si>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</si>
  <si>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</si>
  <si>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</si>
  <si>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</si>
  <si>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</si>
  <si>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</si>
  <si>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</si>
  <si>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</si>
  <si>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</si>
  <si>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</si>
  <si>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</si>
  <si>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</si>
  <si>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</si>
  <si>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</si>
  <si>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</si>
  <si>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</si>
  <si>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</si>
  <si>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</si>
  <si>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</si>
  <si>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</si>
  <si>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</si>
  <si>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</si>
  <si>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</si>
  <si>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</si>
  <si>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</si>
  <si>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</si>
  <si>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</si>
  <si>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</si>
  <si>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</si>
  <si>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</si>
  <si>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</si>
  <si>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</si>
  <si>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</si>
  <si>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</si>
  <si>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</si>
  <si>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</si>
  <si>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</si>
  <si>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</si>
  <si>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</si>
  <si>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</si>
  <si>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</si>
  <si>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</si>
  <si>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</si>
  <si>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</si>
  <si>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</si>
  <si>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</si>
  <si>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</si>
  <si>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</si>
  <si>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</si>
  <si>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</si>
  <si>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</si>
  <si>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</si>
  <si>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</si>
  <si>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</si>
  <si>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</si>
  <si>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</si>
  <si>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</si>
  <si>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</si>
  <si>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</si>
  <si>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</si>
  <si>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</si>
  <si>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</si>
  <si>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</si>
  <si>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</si>
  <si>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</si>
  <si>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</si>
  <si>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</si>
  <si>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</si>
  <si>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</si>
  <si>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</si>
  <si>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</si>
  <si>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</si>
  <si>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</si>
  <si>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</si>
  <si>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</si>
  <si>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</si>
  <si>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</si>
  <si>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</si>
  <si>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</si>
  <si>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</si>
  <si>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</si>
  <si>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</si>
  <si>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</si>
  <si>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</si>
  <si>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</si>
  <si>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</si>
  <si>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</si>
  <si>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</si>
  <si>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</si>
  <si>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</si>
  <si>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</si>
  <si>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</si>
  <si>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</si>
  <si>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</si>
  <si>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</si>
  <si>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</si>
  <si>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</si>
  <si>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</si>
  <si>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</si>
  <si>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</si>
  <si>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</si>
  <si>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</si>
  <si>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</si>
  <si>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</si>
  <si>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</si>
  <si>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</si>
  <si>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</si>
  <si>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</si>
  <si>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</si>
  <si>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</si>
  <si>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</si>
  <si>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</si>
  <si>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</si>
  <si>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</si>
  <si>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</si>
  <si>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</si>
  <si>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</si>
  <si>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</si>
  <si>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</si>
  <si>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</si>
  <si>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</si>
  <si>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</si>
  <si>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</si>
  <si>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</si>
  <si>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</si>
  <si>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</si>
  <si>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</si>
  <si>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</si>
  <si>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</si>
  <si>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</si>
  <si>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</si>
  <si>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</si>
  <si>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</si>
  <si>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</si>
  <si>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</si>
  <si>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</si>
  <si>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</si>
  <si>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</si>
  <si>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</si>
  <si>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</si>
  <si>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</si>
  <si>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</si>
  <si>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</si>
  <si>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</si>
  <si>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</si>
  <si>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</si>
  <si>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</si>
  <si>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</si>
  <si>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</si>
  <si>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</si>
  <si>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</si>
  <si>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</si>
  <si>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</si>
  <si>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</si>
  <si>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</si>
  <si>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</si>
  <si>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</si>
  <si>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</si>
  <si>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</si>
  <si>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</si>
  <si>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</si>
  <si>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</si>
  <si>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</si>
  <si>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</si>
  <si>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</si>
  <si>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</si>
  <si>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</si>
  <si>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</si>
  <si>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</si>
  <si>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</si>
  <si>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</si>
  <si>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</si>
  <si>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</si>
  <si>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</si>
  <si>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</si>
  <si>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</si>
  <si>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</si>
  <si>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</si>
  <si>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</si>
  <si>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</si>
  <si>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</si>
  <si>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</si>
  <si>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</si>
  <si>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</si>
  <si>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</si>
  <si>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</si>
  <si>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</si>
  <si>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</si>
  <si>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</si>
  <si>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</si>
  <si>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</si>
  <si>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</si>
  <si>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</si>
  <si>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</si>
  <si>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</si>
  <si>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</si>
  <si>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</si>
  <si>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</si>
  <si>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</si>
  <si>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</si>
  <si>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</si>
  <si>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</si>
  <si>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</si>
  <si>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</si>
  <si>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</si>
  <si>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</si>
  <si>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</si>
  <si>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</si>
  <si>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</si>
  <si>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</si>
  <si>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</si>
  <si>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</si>
  <si>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</si>
  <si>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</si>
  <si>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</si>
  <si>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</si>
  <si>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</si>
  <si>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</si>
  <si>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</si>
  <si>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</si>
  <si>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</si>
  <si>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</si>
  <si>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</si>
  <si>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</si>
  <si>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</si>
  <si>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</si>
  <si>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</si>
  <si>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</si>
  <si>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</si>
  <si>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</si>
  <si>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</si>
  <si>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</si>
  <si>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</si>
  <si>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</si>
  <si>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</si>
  <si>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</si>
  <si>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</si>
  <si>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</si>
  <si>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</si>
  <si>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</si>
  <si>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</si>
  <si>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</si>
  <si>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</si>
  <si>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</si>
  <si>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</si>
  <si>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</si>
  <si>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</si>
  <si>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</si>
  <si>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</si>
  <si>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</si>
  <si>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</si>
  <si>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</si>
  <si>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</si>
  <si>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</si>
  <si>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</si>
  <si>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</si>
  <si>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</si>
  <si>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</si>
  <si>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</si>
  <si>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</si>
  <si>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</si>
  <si>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</si>
  <si>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</si>
  <si>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</si>
  <si>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</si>
  <si>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</si>
  <si>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</si>
  <si>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</si>
  <si>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</si>
  <si>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</si>
  <si>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</si>
  <si>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</si>
  <si>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</si>
  <si>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</si>
  <si>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</si>
  <si>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</si>
  <si>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</si>
  <si>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</si>
  <si>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</si>
  <si>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</si>
  <si>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</si>
  <si>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</si>
  <si>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</si>
  <si>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</si>
  <si>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</si>
  <si>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</si>
  <si>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</si>
  <si>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</si>
  <si>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</si>
  <si>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</si>
  <si>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</si>
  <si>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</si>
  <si>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</si>
  <si>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</si>
  <si>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</si>
  <si>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</si>
  <si>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</si>
  <si>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</si>
  <si>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</si>
  <si>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</si>
  <si>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</si>
  <si>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</si>
  <si>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</si>
  <si>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</si>
  <si>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</si>
  <si>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</si>
  <si>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</si>
  <si>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</si>
  <si>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</si>
  <si>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</si>
  <si>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</si>
  <si>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</si>
  <si>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</si>
  <si>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</si>
  <si>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</si>
  <si>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</si>
  <si>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</si>
  <si>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</si>
  <si>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</si>
  <si>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</si>
  <si>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</si>
  <si>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</si>
  <si>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</si>
  <si>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</si>
  <si>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</si>
  <si>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</si>
  <si>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</si>
  <si>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</si>
  <si>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</si>
  <si>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</si>
  <si>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</si>
  <si>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</si>
  <si>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</si>
  <si>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</si>
  <si>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</si>
  <si>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</si>
  <si>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</si>
  <si>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</si>
  <si>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</si>
  <si>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</si>
  <si>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</si>
  <si>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</si>
  <si>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</si>
  <si>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</si>
  <si>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</si>
  <si>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</si>
  <si>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</si>
  <si>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</si>
  <si>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</si>
  <si>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</si>
  <si>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</si>
  <si>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</si>
  <si>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</si>
  <si>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</si>
  <si>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</si>
  <si>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</si>
  <si>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</si>
  <si>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</si>
  <si>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</si>
  <si>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</si>
  <si>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</si>
  <si>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</si>
  <si>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</si>
  <si>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</si>
  <si>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</si>
  <si>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</si>
  <si>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</si>
  <si>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</si>
  <si>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</si>
  <si>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</si>
  <si>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</si>
  <si>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</si>
  <si>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</si>
  <si>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</si>
  <si>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</si>
  <si>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</si>
  <si>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</si>
  <si>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</si>
  <si>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</si>
  <si>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</si>
  <si>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</si>
  <si>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</si>
  <si>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</si>
  <si>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</si>
  <si>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</si>
  <si>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</si>
  <si>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</si>
  <si>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</si>
  <si>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</si>
  <si>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</si>
  <si>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</si>
  <si>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</si>
  <si>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</si>
  <si>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</si>
  <si>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</si>
  <si>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</si>
  <si>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</si>
  <si>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</si>
  <si>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</si>
  <si>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</si>
  <si>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</si>
  <si>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</si>
  <si>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</si>
  <si>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</si>
  <si>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</si>
  <si>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</si>
  <si>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</si>
  <si>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</si>
  <si>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</si>
  <si>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</si>
  <si>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</si>
  <si>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</si>
  <si>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</si>
  <si>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</si>
  <si>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</si>
  <si>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</si>
  <si>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</si>
  <si>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</si>
  <si>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</si>
  <si>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</si>
  <si>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</si>
  <si>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</si>
  <si>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</si>
  <si>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</si>
  <si>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</si>
  <si>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</si>
  <si>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</si>
  <si>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</si>
  <si>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</si>
  <si>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</si>
  <si>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</si>
  <si>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</si>
  <si>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</si>
  <si>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</si>
  <si>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</si>
  <si>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</si>
  <si>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</si>
  <si>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</si>
  <si>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</si>
  <si>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</si>
  <si>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</si>
  <si>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</si>
  <si>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</si>
  <si>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</si>
  <si>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</si>
  <si>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</si>
  <si>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</si>
  <si>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</si>
  <si>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</si>
  <si>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</si>
  <si>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</si>
  <si>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</si>
  <si>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</si>
  <si>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</si>
  <si>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</si>
  <si>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</si>
  <si>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</si>
  <si>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</si>
  <si>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</si>
  <si>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</si>
  <si>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</si>
  <si>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</si>
  <si>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</si>
  <si>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</si>
  <si>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</si>
  <si>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</si>
  <si>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</si>
  <si>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</si>
  <si>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</si>
  <si>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</si>
  <si>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</si>
  <si>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</si>
  <si>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</si>
  <si>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</si>
  <si>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</si>
  <si>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</si>
  <si>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</si>
  <si>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</si>
  <si>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</si>
  <si>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</si>
  <si>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</si>
  <si>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</si>
  <si>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</si>
  <si>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</si>
  <si>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</si>
  <si>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</si>
  <si>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</si>
  <si>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</si>
  <si>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</si>
  <si>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</si>
  <si>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</si>
  <si>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</si>
  <si>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</si>
  <si>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</si>
  <si>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</si>
  <si>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</si>
  <si>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</si>
  <si>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</si>
  <si>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</si>
  <si>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</si>
  <si>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</si>
  <si>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</si>
  <si>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</si>
  <si>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</si>
  <si>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</si>
  <si>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</si>
  <si>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</si>
  <si>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</si>
  <si>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</si>
  <si>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</si>
  <si>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</si>
  <si>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</si>
  <si>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</si>
  <si>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</si>
  <si>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</si>
  <si>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</si>
  <si>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</si>
  <si>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</si>
  <si>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</si>
  <si>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</si>
  <si>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</si>
  <si>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</si>
  <si>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</si>
  <si>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</si>
  <si>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</si>
  <si>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</si>
  <si>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</si>
  <si>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</si>
  <si>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</si>
  <si>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</si>
  <si>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</si>
  <si>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</si>
  <si>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</si>
  <si>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</si>
  <si>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</si>
  <si>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</si>
  <si>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</si>
  <si>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</si>
  <si>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</si>
  <si>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</si>
  <si>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</si>
  <si>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</si>
  <si>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</si>
  <si>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</si>
  <si>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</si>
  <si>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</si>
  <si>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</si>
  <si>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</si>
  <si>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</si>
  <si>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</si>
  <si>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</si>
  <si>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</si>
  <si>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</si>
  <si>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</si>
  <si>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</si>
  <si>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</si>
  <si>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</si>
  <si>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</si>
  <si>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</si>
  <si>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</si>
  <si>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</si>
  <si>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</si>
  <si>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</si>
  <si>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</si>
  <si>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</si>
  <si>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</si>
  <si>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</si>
  <si>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</si>
  <si>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</si>
  <si>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</si>
  <si>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</si>
  <si>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</si>
  <si>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</si>
  <si>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</si>
  <si>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</si>
  <si>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</si>
  <si>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</si>
  <si>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</si>
  <si>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</si>
  <si>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</si>
  <si>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</si>
  <si>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</si>
  <si>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</si>
  <si>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</si>
  <si>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</si>
  <si>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</si>
  <si>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</si>
  <si>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</si>
  <si>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</si>
  <si>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</si>
  <si>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</si>
  <si>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</si>
  <si>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</si>
  <si>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</si>
  <si>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</si>
  <si>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</si>
  <si>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</si>
  <si>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</si>
  <si>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</si>
  <si>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</si>
  <si>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</si>
  <si>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</si>
  <si>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</si>
  <si>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</si>
  <si>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</si>
  <si>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</si>
  <si>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</si>
  <si>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</si>
  <si>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</si>
  <si>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</si>
  <si>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</si>
  <si>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</si>
  <si>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</si>
  <si>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</si>
  <si>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</si>
  <si>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</si>
  <si>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</si>
  <si>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</si>
  <si>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</si>
  <si>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</si>
  <si>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</si>
  <si>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</si>
  <si>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</si>
  <si>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</si>
  <si>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</si>
  <si>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</si>
  <si>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</si>
  <si>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</si>
  <si>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</si>
  <si>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</si>
  <si>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</si>
  <si>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</si>
  <si>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</si>
  <si>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</si>
  <si>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</si>
  <si>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</si>
  <si>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</si>
  <si>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</si>
  <si>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</si>
  <si>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</si>
  <si>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</si>
  <si>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</si>
  <si>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</si>
  <si>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</si>
  <si>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</si>
  <si>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</si>
  <si>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</si>
  <si>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</si>
  <si>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</si>
  <si>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</si>
  <si>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</si>
  <si>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</si>
  <si>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</si>
  <si>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</si>
  <si>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</si>
  <si>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</si>
  <si>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</si>
  <si>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</si>
  <si>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</si>
  <si>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</si>
  <si>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</si>
  <si>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</si>
  <si>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</si>
  <si>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</si>
  <si>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</si>
  <si>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</si>
  <si>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</si>
  <si>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</si>
  <si>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</si>
  <si>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</si>
  <si>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</si>
  <si>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</si>
  <si>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</si>
  <si>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</si>
  <si>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</si>
  <si>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</si>
  <si>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</si>
  <si>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</si>
  <si>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</si>
  <si>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</si>
  <si>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</si>
  <si>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</si>
  <si>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</si>
  <si>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</si>
  <si>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</si>
  <si>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</si>
  <si>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</si>
  <si>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</si>
  <si>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</si>
  <si>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</si>
  <si>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</si>
  <si>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</si>
  <si>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</si>
  <si>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</si>
  <si>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</si>
  <si>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</si>
  <si>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</si>
  <si>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</si>
  <si>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</si>
  <si>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</si>
  <si>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</si>
  <si>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</si>
  <si>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</si>
  <si>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</si>
  <si>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</si>
  <si>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</si>
  <si>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</si>
  <si>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</si>
  <si>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</si>
  <si>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</si>
  <si>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</si>
  <si>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</si>
  <si>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</si>
  <si>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</si>
  <si>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</si>
  <si>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</si>
  <si>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</si>
  <si>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</si>
  <si>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</si>
  <si>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</si>
  <si>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</si>
  <si>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</si>
  <si>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</si>
  <si>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</si>
  <si>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</si>
  <si>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</si>
  <si>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</si>
  <si>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</si>
  <si>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</si>
  <si>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</si>
  <si>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</si>
  <si>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</si>
  <si>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</si>
  <si>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</si>
  <si>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</si>
  <si>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</si>
  <si>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</si>
  <si>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</si>
  <si>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</si>
  <si>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</si>
  <si>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</si>
  <si>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</si>
  <si>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</si>
  <si>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</si>
  <si>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</si>
  <si>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</si>
  <si>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</si>
  <si>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</si>
  <si>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</si>
  <si>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</si>
  <si>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</si>
  <si>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</si>
  <si>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</si>
  <si>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</si>
  <si>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</si>
  <si>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</si>
  <si>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</si>
  <si>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</si>
  <si>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</si>
  <si>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</si>
  <si>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</si>
  <si>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</si>
  <si>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</si>
  <si>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</si>
  <si>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</si>
  <si>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</si>
  <si>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</si>
  <si>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</si>
  <si>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</si>
  <si>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</si>
  <si>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</si>
  <si>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</si>
  <si>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</si>
  <si>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</si>
  <si>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</si>
  <si>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</si>
  <si>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</si>
  <si>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</si>
  <si>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</si>
  <si>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</si>
  <si>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</si>
  <si>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</si>
  <si>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</si>
  <si>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</si>
  <si>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</si>
  <si>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</si>
  <si>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</si>
  <si>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</si>
  <si>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</si>
  <si>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</si>
  <si>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</si>
  <si>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</si>
  <si>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</si>
  <si>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</si>
  <si>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</si>
  <si>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</si>
  <si>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</si>
  <si>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</si>
  <si>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</si>
  <si>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</si>
  <si>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</si>
  <si>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</si>
  <si>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</si>
  <si>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</si>
  <si>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</si>
  <si>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</si>
  <si>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</si>
  <si>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</si>
  <si>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</si>
  <si>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</si>
  <si>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</si>
  <si>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</si>
  <si>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</si>
  <si>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</si>
  <si>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</si>
  <si>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</si>
  <si>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</si>
  <si>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</si>
  <si>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</si>
  <si>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</si>
  <si>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</si>
  <si>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</si>
  <si>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</si>
  <si>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</si>
  <si>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</si>
  <si>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</si>
  <si>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</si>
  <si>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</si>
  <si>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</si>
  <si>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</si>
  <si>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</si>
  <si>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</si>
  <si>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</si>
  <si>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</si>
  <si>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</si>
  <si>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</si>
  <si>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</si>
  <si>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</si>
  <si>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</si>
  <si>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</si>
  <si>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</si>
  <si>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</si>
  <si>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</si>
  <si>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</si>
  <si>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</si>
  <si>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</si>
  <si>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</si>
  <si>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</si>
  <si>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</si>
  <si>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</si>
  <si>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</si>
  <si>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</si>
  <si>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</si>
  <si>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</si>
  <si>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</si>
  <si>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</si>
  <si>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</si>
  <si>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</si>
  <si>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</si>
  <si>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</si>
  <si>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</si>
  <si>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</si>
  <si>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</si>
  <si>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</si>
  <si>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</si>
  <si>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</si>
  <si>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</si>
  <si>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</si>
  <si>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</si>
  <si>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</si>
  <si>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</si>
  <si>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</si>
  <si>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</si>
  <si>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</si>
  <si>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</si>
  <si>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</si>
  <si>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</si>
  <si>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</si>
  <si>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</si>
  <si>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</si>
  <si>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</si>
  <si>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</si>
  <si>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</si>
  <si>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</si>
  <si>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</si>
  <si>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</si>
  <si>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</si>
  <si>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</si>
  <si>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</si>
  <si>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</si>
  <si>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</si>
  <si>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</si>
  <si>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</si>
  <si>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</si>
  <si>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</si>
  <si>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</si>
  <si>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</si>
  <si>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</si>
  <si>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</si>
  <si>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</si>
  <si>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</si>
  <si>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</si>
  <si>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</si>
  <si>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</si>
  <si>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</si>
  <si>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</si>
  <si>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</si>
  <si>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</si>
  <si>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</si>
  <si>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</si>
  <si>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</si>
  <si>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</si>
  <si>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</si>
  <si>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</si>
  <si>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</si>
  <si>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</si>
  <si>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</si>
  <si>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</si>
  <si>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</si>
  <si>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</si>
  <si>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</si>
  <si>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</si>
  <si>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</si>
  <si>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</si>
  <si>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</si>
  <si>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</si>
  <si>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</si>
  <si>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</si>
  <si>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</si>
  <si>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</si>
  <si>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</si>
  <si>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</si>
  <si>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</si>
  <si>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</si>
  <si>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</si>
  <si>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</si>
  <si>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</si>
  <si>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</si>
  <si>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</si>
  <si>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</si>
  <si>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</si>
  <si>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</si>
  <si>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</si>
  <si>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</si>
  <si>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</si>
  <si>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</si>
  <si>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</si>
  <si>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</si>
  <si>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</si>
  <si>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</si>
  <si>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</si>
  <si>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</si>
  <si>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</si>
  <si>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</si>
  <si>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</si>
  <si>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</si>
  <si>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</si>
  <si>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</si>
  <si>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</si>
  <si>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</si>
  <si>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</si>
  <si>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</si>
  <si>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</si>
  <si>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</si>
  <si>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</si>
  <si>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</si>
  <si>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</si>
  <si>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</si>
  <si>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</si>
  <si>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</si>
  <si>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</si>
  <si>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</si>
  <si>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</si>
  <si>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</si>
  <si>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</si>
  <si>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</si>
  <si>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</si>
  <si>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</si>
  <si>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</si>
  <si>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</si>
  <si>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</si>
  <si>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</si>
  <si>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</si>
  <si>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</si>
  <si>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</si>
  <si>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</si>
  <si>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</si>
  <si>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</si>
  <si>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</si>
  <si>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</si>
  <si>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</si>
  <si>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</si>
  <si>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</si>
  <si>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</si>
  <si>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</si>
  <si>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</si>
  <si>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</si>
  <si>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</si>
  <si>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</si>
  <si>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</si>
  <si>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</si>
  <si>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</si>
  <si>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</si>
  <si>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</si>
  <si>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</si>
  <si>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</si>
  <si>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</si>
  <si>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</si>
  <si>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</si>
  <si>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</si>
  <si>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</si>
  <si>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</si>
  <si>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</si>
  <si>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</si>
  <si>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</si>
  <si>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</si>
  <si>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</si>
  <si>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</si>
  <si>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</si>
  <si>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</si>
  <si>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</si>
  <si>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</si>
  <si>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</si>
  <si>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</si>
  <si>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</si>
  <si>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</si>
  <si>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</si>
  <si>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</si>
  <si>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</si>
  <si>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</si>
  <si>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</si>
  <si>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</si>
  <si>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</si>
  <si>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</si>
  <si>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</si>
  <si>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</si>
  <si>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</si>
  <si>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</si>
  <si>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</si>
  <si>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</si>
  <si>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</si>
  <si>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</si>
  <si>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</si>
  <si>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</si>
  <si>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</si>
  <si>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</si>
  <si>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</si>
  <si>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</si>
  <si>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</si>
  <si>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</si>
  <si>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</si>
  <si>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</si>
  <si>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</si>
  <si>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</si>
  <si>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</si>
  <si>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</si>
  <si>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</si>
  <si>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</si>
  <si>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</si>
  <si>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</si>
  <si>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</si>
  <si>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</si>
  <si>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</si>
  <si>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</si>
  <si>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</si>
  <si>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</si>
  <si>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</si>
  <si>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</si>
  <si>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</si>
  <si>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</si>
  <si>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</si>
  <si>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</si>
  <si>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</si>
  <si>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</si>
  <si>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</si>
  <si>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</si>
  <si>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</si>
  <si>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</si>
  <si>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</si>
  <si>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</si>
  <si>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</si>
  <si>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</si>
  <si>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</si>
  <si>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</si>
  <si>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</si>
  <si>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</si>
  <si>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</si>
  <si>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</si>
  <si>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</si>
  <si>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</si>
  <si>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</si>
  <si>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</si>
  <si>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</si>
  <si>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</si>
  <si>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</si>
  <si>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</si>
  <si>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</si>
  <si>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</si>
  <si>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</si>
  <si>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</si>
  <si>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</si>
  <si>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</si>
  <si>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</si>
  <si>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</si>
  <si>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</si>
  <si>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</si>
  <si>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</si>
  <si>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</si>
  <si>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</si>
  <si>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</si>
  <si>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</si>
  <si>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</si>
  <si>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</si>
  <si>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</si>
  <si>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</si>
  <si>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</si>
  <si>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</si>
  <si>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</si>
  <si>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</si>
  <si>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</si>
  <si>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</si>
  <si>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</si>
  <si>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</si>
  <si>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</si>
  <si>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</si>
  <si>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</si>
  <si>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</si>
  <si>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</si>
  <si>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</si>
  <si>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</si>
  <si>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</si>
  <si>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</si>
  <si>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</si>
  <si>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</si>
  <si>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</si>
  <si>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</si>
  <si>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</si>
  <si>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</si>
  <si>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</si>
  <si>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</si>
  <si>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</si>
  <si>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</si>
  <si>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</si>
  <si>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</si>
  <si>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</si>
  <si>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</si>
  <si>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</si>
  <si>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</si>
  <si>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</si>
  <si>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</si>
  <si>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</si>
  <si>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</si>
  <si>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</si>
  <si>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</si>
  <si>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</si>
  <si>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</si>
  <si>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</si>
  <si>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</si>
  <si>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</si>
  <si>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</si>
  <si>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</si>
  <si>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</si>
  <si>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</si>
  <si>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</si>
  <si>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</si>
  <si>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</si>
  <si>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</si>
  <si>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</si>
  <si>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</si>
  <si>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</si>
  <si>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</si>
  <si>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</si>
  <si>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</si>
  <si>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</si>
  <si>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</si>
  <si>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</si>
  <si>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</si>
  <si>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</si>
  <si>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</si>
  <si>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</si>
  <si>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</si>
  <si>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</si>
  <si>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</si>
  <si>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</si>
  <si>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</si>
  <si>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</si>
  <si>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</si>
  <si>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</si>
  <si>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</si>
  <si>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</si>
  <si>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</si>
  <si>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</si>
  <si>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</si>
  <si>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</si>
  <si>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</si>
  <si>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</si>
  <si>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</si>
  <si>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</si>
  <si>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</si>
  <si>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</si>
  <si>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</si>
  <si>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</si>
  <si>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</si>
  <si>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</si>
  <si>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</si>
  <si>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</si>
  <si>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</si>
  <si>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</si>
  <si>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</si>
  <si>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</si>
  <si>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</si>
  <si>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</si>
  <si>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</si>
  <si>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</si>
  <si>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</si>
  <si>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</si>
  <si>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</si>
  <si>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</si>
  <si>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</si>
  <si>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</si>
  <si>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15.315</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</si>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</sst>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27"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www.twitch.tv/videos/215747014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405504398544513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LWnZ7IkyuVg"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tJyF6A_P4cw"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youtu.be/Q6MfUYaIsQ8" TargetMode="External"/><Relationship Id="rId395" Type="http://schemas.openxmlformats.org/officeDocument/2006/relationships/hyperlink" Target="https://clips.twitch.tv/AlertDistinctAniseFeelsBadMan-H0m9VrGJgE1HsWfv" TargetMode="External"/><Relationship Id="rId394" Type="http://schemas.openxmlformats.org/officeDocument/2006/relationships/hyperlink" Target="https://clips.twitch.tv/ComfortableAmorphousReindeerShazBotstix-wHF6gyV4iRvB2YCw" TargetMode="External"/><Relationship Id="rId393" Type="http://schemas.openxmlformats.org/officeDocument/2006/relationships/hyperlink" Target="https://youtu.be/dDiol5m4OFw" TargetMode="External"/><Relationship Id="rId399" Type="http://schemas.openxmlformats.org/officeDocument/2006/relationships/hyperlink" Target="https://twitter.com/Qbe_Root/status/1407173593981652993" TargetMode="External"/><Relationship Id="rId398" Type="http://schemas.openxmlformats.org/officeDocument/2006/relationships/hyperlink" Target="https://youtu.be/lbpf60bY-Yg" TargetMode="External"/><Relationship Id="rId397" Type="http://schemas.openxmlformats.org/officeDocument/2006/relationships/hyperlink" Target="https://youtu.be/rS1P4GYv0oY"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DirtyThankfulBasenjiSoBayed-nhy_jX9qq5W1SNyY"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NggDKh_3G24" TargetMode="External"/><Relationship Id="rId220" Type="http://schemas.openxmlformats.org/officeDocument/2006/relationships/hyperlink" Target="https://youtu.be/qW2i6vDQtB4" TargetMode="External"/><Relationship Id="rId1051" Type="http://schemas.openxmlformats.org/officeDocument/2006/relationships/hyperlink" Target="https://www.youtube.com/watch?v=IVppjA2JcIM" TargetMode="External"/><Relationship Id="rId1052" Type="http://schemas.openxmlformats.org/officeDocument/2006/relationships/hyperlink" Target="https://youtu.be/TimHtxCkrCY" TargetMode="External"/><Relationship Id="rId1053" Type="http://schemas.openxmlformats.org/officeDocument/2006/relationships/hyperlink" Target="https://youtu.be/diXmhH7mF-s" TargetMode="External"/><Relationship Id="rId1054" Type="http://schemas.openxmlformats.org/officeDocument/2006/relationships/hyperlink" Target="https://youtu.be/IGtEc4Md5A0" TargetMode="External"/><Relationship Id="rId224" Type="http://schemas.openxmlformats.org/officeDocument/2006/relationships/hyperlink" Target="https://youtu.be/Nagk5HrRwYQ" TargetMode="External"/><Relationship Id="rId1055" Type="http://schemas.openxmlformats.org/officeDocument/2006/relationships/hyperlink" Target="https://youtu.be/ryV_LdGnQ1Q" TargetMode="External"/><Relationship Id="rId223" Type="http://schemas.openxmlformats.org/officeDocument/2006/relationships/hyperlink" Target="https://youtu.be/VcmrtRGQjL0" TargetMode="External"/><Relationship Id="rId1056" Type="http://schemas.openxmlformats.org/officeDocument/2006/relationships/hyperlink" Target="https://clips.twitch.tv/KawaiiPlacidMonitorPJSalt-mhKC6iRjJ5hOMC48" TargetMode="External"/><Relationship Id="rId222" Type="http://schemas.openxmlformats.org/officeDocument/2006/relationships/hyperlink" Target="https://youtu.be/uD9RRsYVkJ4" TargetMode="External"/><Relationship Id="rId1057" Type="http://schemas.openxmlformats.org/officeDocument/2006/relationships/hyperlink" Target="https://youtu.be/gz3vByPTKuo"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GiftedNaiveSrirachaBibleThump" TargetMode="External"/><Relationship Id="rId1048" Type="http://schemas.openxmlformats.org/officeDocument/2006/relationships/hyperlink" Target="https://www.youtube.com/watch?v=IVppjA2JcIM" TargetMode="External"/><Relationship Id="rId1049" Type="http://schemas.openxmlformats.org/officeDocument/2006/relationships/hyperlink" Target="https://youtu.be/VO2ADXYrIF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qCzEexPhnKQ" TargetMode="External"/><Relationship Id="rId1041" Type="http://schemas.openxmlformats.org/officeDocument/2006/relationships/hyperlink" Target="https://youtu.be/qCzEexPhnKQ" TargetMode="External"/><Relationship Id="rId1042" Type="http://schemas.openxmlformats.org/officeDocument/2006/relationships/hyperlink" Target="https://youtu.be/sEI2c0TH8WQ" TargetMode="External"/><Relationship Id="rId1043" Type="http://schemas.openxmlformats.org/officeDocument/2006/relationships/hyperlink" Target="https://youtu.be/pCbtVM3MKc0"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yMa3qFDjhe8"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HGHAevcTYJA" TargetMode="External"/><Relationship Id="rId211" Type="http://schemas.openxmlformats.org/officeDocument/2006/relationships/hyperlink" Target="https://youtu.be/wHIseB7YqdE" TargetMode="External"/><Relationship Id="rId1046" Type="http://schemas.openxmlformats.org/officeDocument/2006/relationships/hyperlink" Target="https://www.twitch.tv/shadowmario27/clip/SarcasticAgitatedNostrilRickroll-7DAp447grWNpKNt4"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9zcYL-iOPw?si=Y2fzadksMt3rvn2h"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SweetDeafHumanTwitchRPG" TargetMode="External"/><Relationship Id="rId1071" Type="http://schemas.openxmlformats.org/officeDocument/2006/relationships/hyperlink" Target="https://youtu.be/f_8GqHaONtY" TargetMode="External"/><Relationship Id="rId1072" Type="http://schemas.openxmlformats.org/officeDocument/2006/relationships/hyperlink" Target="https://youtu.be/xPsv1plmq-E" TargetMode="External"/><Relationship Id="rId242" Type="http://schemas.openxmlformats.org/officeDocument/2006/relationships/hyperlink" Target="https://youtu.be/hz2unkDO8uk" TargetMode="External"/><Relationship Id="rId1073" Type="http://schemas.openxmlformats.org/officeDocument/2006/relationships/hyperlink" Target="https://youtu.be/fWubNtmkL1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cJ-pBJL4zaI"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www.twitch.tv/aether10n/clip/BlatantSmellyGrouseFailFish-IjnL5ivaGsg-1jqc" TargetMode="External"/><Relationship Id="rId1076" Type="http://schemas.openxmlformats.org/officeDocument/2006/relationships/hyperlink" Target="https://clips.twitch.tv/ArborealAgileGalagoPipeHype-NapmxC-S3q11Jt3_"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rTAY7UEVBC0"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lluringBovineRingNomNom"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PleasantSwissOctopusHassanChop-2s8gFKDvZu4e8IlS"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XynaSDqhMI" TargetMode="External"/><Relationship Id="rId1061" Type="http://schemas.openxmlformats.org/officeDocument/2006/relationships/hyperlink" Target="https://youtu.be/2NGdCcueesk" TargetMode="External"/><Relationship Id="rId231" Type="http://schemas.openxmlformats.org/officeDocument/2006/relationships/hyperlink" Target="https://youtu.be/YSIJt-HfJWg" TargetMode="External"/><Relationship Id="rId1062" Type="http://schemas.openxmlformats.org/officeDocument/2006/relationships/hyperlink" Target="https://youtu.be/lYUHLdDB-m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PlainYummyKuduDeIlluminati" TargetMode="External"/><Relationship Id="rId1064" Type="http://schemas.openxmlformats.org/officeDocument/2006/relationships/hyperlink" Target="https://youtu.be/piKroXFDh_g" TargetMode="External"/><Relationship Id="rId1065" Type="http://schemas.openxmlformats.org/officeDocument/2006/relationships/hyperlink" Target="https://youtu.be/GoFK2SUM8wY"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54K6UmBq0H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ConcernedGloriousShrimpBudBlast-r9tB7gQiY9FEuOJo"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Mq0IH4pIWKY" TargetMode="External"/><Relationship Id="rId1015" Type="http://schemas.openxmlformats.org/officeDocument/2006/relationships/hyperlink" Target="https://www.youtube.com/watch?v=vwsNeVrYny8" TargetMode="External"/><Relationship Id="rId1016" Type="http://schemas.openxmlformats.org/officeDocument/2006/relationships/hyperlink" Target="https://twitter.com/Qbe_Root/status/1242199278610788353" TargetMode="External"/><Relationship Id="rId1017" Type="http://schemas.openxmlformats.org/officeDocument/2006/relationships/hyperlink" Target="https://youtu.be/_U38RXAaHgY" TargetMode="External"/><Relationship Id="rId1018" Type="http://schemas.openxmlformats.org/officeDocument/2006/relationships/hyperlink" Target="https://youtu.be/G-3wIeZGwFY" TargetMode="External"/><Relationship Id="rId1019" Type="http://schemas.openxmlformats.org/officeDocument/2006/relationships/hyperlink" Target="https://youtu.be/dGOJ4BXi2j4" TargetMode="External"/><Relationship Id="rId1010" Type="http://schemas.openxmlformats.org/officeDocument/2006/relationships/hyperlink" Target="https://youtu.be/p9cibphshqo" TargetMode="External"/><Relationship Id="rId1011" Type="http://schemas.openxmlformats.org/officeDocument/2006/relationships/hyperlink" Target="https://youtu.be/B420px-FJoY" TargetMode="External"/><Relationship Id="rId1012" Type="http://schemas.openxmlformats.org/officeDocument/2006/relationships/hyperlink" Target="https://youtu.be/DqT1pQ2LpeI" TargetMode="External"/><Relationship Id="rId1013" Type="http://schemas.openxmlformats.org/officeDocument/2006/relationships/hyperlink" Target="https://youtu.be/VW9PaRDbOTk" TargetMode="External"/><Relationship Id="rId1014" Type="http://schemas.openxmlformats.org/officeDocument/2006/relationships/hyperlink" Target="https://www.twitch.tv/aether10n/clip/TastyHelplessDuckCopyThis-HE7wl9otZ4DSSSYf" TargetMode="External"/><Relationship Id="rId1004" Type="http://schemas.openxmlformats.org/officeDocument/2006/relationships/hyperlink" Target="https://youtu.be/hKfJ2tYwrhw" TargetMode="External"/><Relationship Id="rId1005" Type="http://schemas.openxmlformats.org/officeDocument/2006/relationships/hyperlink" Target="https://twitter.com/Qbe_Root/status/1404248275818061826" TargetMode="External"/><Relationship Id="rId1006" Type="http://schemas.openxmlformats.org/officeDocument/2006/relationships/hyperlink" Target="https://www.youtube.com/watch?v=iwKvAUOwQRk" TargetMode="External"/><Relationship Id="rId1007" Type="http://schemas.openxmlformats.org/officeDocument/2006/relationships/hyperlink" Target="https://youtu.be/oxzyRCiJT4U" TargetMode="External"/><Relationship Id="rId1008" Type="http://schemas.openxmlformats.org/officeDocument/2006/relationships/hyperlink" Target="https://clips.twitch.tv/VastDirtyNuggetsChocolateRain-ZLxE4oGsUNm4b5MN" TargetMode="External"/><Relationship Id="rId1009" Type="http://schemas.openxmlformats.org/officeDocument/2006/relationships/hyperlink" Target="https://youtu.be/TO-ktEzmvf4" TargetMode="External"/><Relationship Id="rId1000" Type="http://schemas.openxmlformats.org/officeDocument/2006/relationships/hyperlink" Target="https://youtu.be/rqsZQs7Rkes" TargetMode="External"/><Relationship Id="rId1001" Type="http://schemas.openxmlformats.org/officeDocument/2006/relationships/hyperlink" Target="https://youtu.be/KOYyQ7fWnCc" TargetMode="External"/><Relationship Id="rId1002" Type="http://schemas.openxmlformats.org/officeDocument/2006/relationships/hyperlink" Target="https://www.youtube.com/watch?v=s8L_TFur0KM&amp;feature=youtu.be&amp;ab_channel=SMSArchives" TargetMode="External"/><Relationship Id="rId1003" Type="http://schemas.openxmlformats.org/officeDocument/2006/relationships/hyperlink" Target="https://youtu.be/KOYyQ7fWnCc"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nLiLd6_bPzk"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77VtvQsu_l4" TargetMode="External"/><Relationship Id="rId1031" Type="http://schemas.openxmlformats.org/officeDocument/2006/relationships/hyperlink" Target="https://www.youtube.com/watch?v=XDB0Q-95aYQ" TargetMode="External"/><Relationship Id="rId1032" Type="http://schemas.openxmlformats.org/officeDocument/2006/relationships/hyperlink" Target="https://clips.twitch.tv/JollyHeartlessRadicchioYouDontSay-DnTtZQb3yYj2G9y0"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_HQgQjbTLjM" TargetMode="External"/><Relationship Id="rId201" Type="http://schemas.openxmlformats.org/officeDocument/2006/relationships/hyperlink" Target="https://youtu.be/HX4QZeY51fg" TargetMode="External"/><Relationship Id="rId1034" Type="http://schemas.openxmlformats.org/officeDocument/2006/relationships/hyperlink" Target="https://x.com/175akane/status/1895102522722791579" TargetMode="External"/><Relationship Id="rId200" Type="http://schemas.openxmlformats.org/officeDocument/2006/relationships/hyperlink" Target="https://youtu.be/GijhM4FiDgE" TargetMode="External"/><Relationship Id="rId1035" Type="http://schemas.openxmlformats.org/officeDocument/2006/relationships/hyperlink" Target="https://youtu.be/9io9LJ1awUw" TargetMode="External"/><Relationship Id="rId1036" Type="http://schemas.openxmlformats.org/officeDocument/2006/relationships/hyperlink" Target="https://www.youtube.com/watch?v=O-X1HBQPGGE" TargetMode="External"/><Relationship Id="rId1026" Type="http://schemas.openxmlformats.org/officeDocument/2006/relationships/hyperlink" Target="https://youtu.be/JLmadWZDG3c"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www.youtube.com/watch?v=M79AHF5qCvY" TargetMode="External"/><Relationship Id="rId1029" Type="http://schemas.openxmlformats.org/officeDocument/2006/relationships/hyperlink" Target="https://www.youtube.com/watch?v=VMuEtyCscuM" TargetMode="External"/><Relationship Id="rId1020" Type="http://schemas.openxmlformats.org/officeDocument/2006/relationships/hyperlink" Target="https://youtu.be/nxGLMDXr0XA" TargetMode="External"/><Relationship Id="rId1021" Type="http://schemas.openxmlformats.org/officeDocument/2006/relationships/hyperlink" Target="https://youtu.be/HJCHtf50t14" TargetMode="External"/><Relationship Id="rId1022" Type="http://schemas.openxmlformats.org/officeDocument/2006/relationships/hyperlink" Target="https://youtu.be/YgCTRfuRDaA" TargetMode="External"/><Relationship Id="rId1023" Type="http://schemas.openxmlformats.org/officeDocument/2006/relationships/hyperlink" Target="https://youtu.be/YG0aj2XJ_zk" TargetMode="External"/><Relationship Id="rId1024" Type="http://schemas.openxmlformats.org/officeDocument/2006/relationships/hyperlink" Target="https://www.youtube.com/watch?v=CZssXRsQhI4" TargetMode="External"/><Relationship Id="rId1025" Type="http://schemas.openxmlformats.org/officeDocument/2006/relationships/hyperlink" Target="https://www.youtube.com/watch?v=YsdtURJn1xU&amp;feature=youtu.be&amp;ab_channel=SMSArchives" TargetMode="External"/><Relationship Id="rId1090" Type="http://schemas.openxmlformats.org/officeDocument/2006/relationships/hyperlink" Target="https://youtu.be/dsfx15_DZFk" TargetMode="External"/><Relationship Id="rId1091" Type="http://schemas.openxmlformats.org/officeDocument/2006/relationships/hyperlink" Target="https://www.twitch.tv/videos/869291377" TargetMode="External"/><Relationship Id="rId1092" Type="http://schemas.openxmlformats.org/officeDocument/2006/relationships/hyperlink" Target="https://youtu.be/jFqmAvCUMNo" TargetMode="External"/><Relationship Id="rId1093" Type="http://schemas.openxmlformats.org/officeDocument/2006/relationships/hyperlink" Target="https://youtu.be/yGcUiqA0QE4" TargetMode="External"/><Relationship Id="rId1094" Type="http://schemas.openxmlformats.org/officeDocument/2006/relationships/hyperlink" Target="https://www.youtube.com/watch?v=bDft59WCb6A&amp;ab_channel=BlazeRol"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twitch.tv/videos/808225933" TargetMode="External"/><Relationship Id="rId1097" Type="http://schemas.openxmlformats.org/officeDocument/2006/relationships/hyperlink" Target="https://youtu.be/6dZGaGMo8gE" TargetMode="External"/><Relationship Id="rId1098" Type="http://schemas.openxmlformats.org/officeDocument/2006/relationships/hyperlink" Target="https://youtu.be/YWMdgPCpRyc" TargetMode="External"/><Relationship Id="rId1099" Type="http://schemas.openxmlformats.org/officeDocument/2006/relationships/hyperlink" Target="https://www.twitch.tv/videos/1809192497" TargetMode="External"/><Relationship Id="rId1080" Type="http://schemas.openxmlformats.org/officeDocument/2006/relationships/hyperlink" Target="https://youtu.be/GuoEdRqCJUA" TargetMode="External"/><Relationship Id="rId1081" Type="http://schemas.openxmlformats.org/officeDocument/2006/relationships/hyperlink" Target="https://youtu.be/pjuSqRrbQw0" TargetMode="External"/><Relationship Id="rId1082" Type="http://schemas.openxmlformats.org/officeDocument/2006/relationships/hyperlink" Target="https://www.twitch.tv/aether10n/clip/RefinedBeautifulApeMikeHogu-z83zAzqrYEdyG5ni" TargetMode="External"/><Relationship Id="rId1083" Type="http://schemas.openxmlformats.org/officeDocument/2006/relationships/hyperlink" Target="https://youtu.be/tqJiUe6JxZ8" TargetMode="External"/><Relationship Id="rId1084" Type="http://schemas.openxmlformats.org/officeDocument/2006/relationships/hyperlink" Target="https://youtu.be/QutJOE7YxzU" TargetMode="External"/><Relationship Id="rId1085" Type="http://schemas.openxmlformats.org/officeDocument/2006/relationships/hyperlink" Target="https://youtu.be/JmmZFbgP4ps" TargetMode="External"/><Relationship Id="rId1086" Type="http://schemas.openxmlformats.org/officeDocument/2006/relationships/hyperlink" Target="https://youtu.be/tqJiUe6JxZ8" TargetMode="External"/><Relationship Id="rId1087" Type="http://schemas.openxmlformats.org/officeDocument/2006/relationships/hyperlink" Target="https://youtu.be/yGcUiqA0QE4" TargetMode="External"/><Relationship Id="rId1088" Type="http://schemas.openxmlformats.org/officeDocument/2006/relationships/hyperlink" Target="https://youtu.be/-kB5hGjfQSU" TargetMode="External"/><Relationship Id="rId1089" Type="http://schemas.openxmlformats.org/officeDocument/2006/relationships/hyperlink" Target="https://youtu.be/fLuUbbUxI24" TargetMode="External"/><Relationship Id="rId509" Type="http://schemas.openxmlformats.org/officeDocument/2006/relationships/hyperlink" Target="https://www.youtube.com/watch?v=bQXX4EJ04rY" TargetMode="External"/><Relationship Id="rId508" Type="http://schemas.openxmlformats.org/officeDocument/2006/relationships/hyperlink" Target="https://www.youtube.com/watch?v=8BrDAvD-IV4" TargetMode="External"/><Relationship Id="rId503" Type="http://schemas.openxmlformats.org/officeDocument/2006/relationships/hyperlink" Target="https://www.youtube.com/watch?v=hNOd6v4dfiA" TargetMode="External"/><Relationship Id="rId502" Type="http://schemas.openxmlformats.org/officeDocument/2006/relationships/hyperlink" Target="https://youtu.be/tJkEfz431oM" TargetMode="External"/><Relationship Id="rId501" Type="http://schemas.openxmlformats.org/officeDocument/2006/relationships/hyperlink" Target="https://youtu.be/DMmQF4bfdXk" TargetMode="External"/><Relationship Id="rId500" Type="http://schemas.openxmlformats.org/officeDocument/2006/relationships/hyperlink" Target="https://youtu.be/DMmQF4bfdXk"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4aqw-ew_sN0" TargetMode="External"/><Relationship Id="rId505" Type="http://schemas.openxmlformats.org/officeDocument/2006/relationships/hyperlink" Target="https://youtu.be/eCqXZSJbD5M" TargetMode="External"/><Relationship Id="rId504" Type="http://schemas.openxmlformats.org/officeDocument/2006/relationships/hyperlink" Target="https://youtu.be/mybjZ1zHSGk" TargetMode="External"/><Relationship Id="rId1114" Type="http://schemas.openxmlformats.org/officeDocument/2006/relationships/hyperlink" Target="https://www.youtube.com/watch?v=ktspqYDiUWU&amp;ab_channel=BlazeAlt" TargetMode="External"/><Relationship Id="rId1115" Type="http://schemas.openxmlformats.org/officeDocument/2006/relationships/hyperlink" Target="https://youtu.be/3_nPcJFpNh4" TargetMode="External"/><Relationship Id="rId1116" Type="http://schemas.openxmlformats.org/officeDocument/2006/relationships/hyperlink" Target="https://youtu.be/1_5JGmRlN6w" TargetMode="External"/><Relationship Id="rId1117" Type="http://schemas.openxmlformats.org/officeDocument/2006/relationships/hyperlink" Target="https://youtu.be/7NJwryCrDdc" TargetMode="External"/><Relationship Id="rId1118" Type="http://schemas.openxmlformats.org/officeDocument/2006/relationships/hyperlink" Target="https://www.youtube.com/watch?v=JaKadV3160s" TargetMode="External"/><Relationship Id="rId1119" Type="http://schemas.openxmlformats.org/officeDocument/2006/relationships/hyperlink" Target="https://www.youtube.com/watch?v=X1Nvz0OVjbo" TargetMode="External"/><Relationship Id="rId525" Type="http://schemas.openxmlformats.org/officeDocument/2006/relationships/hyperlink" Target="https://youtu.be/yKTIjGg13jA" TargetMode="External"/><Relationship Id="rId524" Type="http://schemas.openxmlformats.org/officeDocument/2006/relationships/hyperlink" Target="https://youtu.be/8__y2Qad2Og" TargetMode="External"/><Relationship Id="rId523" Type="http://schemas.openxmlformats.org/officeDocument/2006/relationships/hyperlink" Target="https://youtu.be/f8z9IgcsC3w" TargetMode="External"/><Relationship Id="rId522" Type="http://schemas.openxmlformats.org/officeDocument/2006/relationships/hyperlink" Target="https://youtu.be/4xTf97v4cGY" TargetMode="External"/><Relationship Id="rId529" Type="http://schemas.openxmlformats.org/officeDocument/2006/relationships/hyperlink" Target="https://youtu.be/EaiycbXKao0" TargetMode="External"/><Relationship Id="rId528" Type="http://schemas.openxmlformats.org/officeDocument/2006/relationships/hyperlink" Target="https://youtu.be/3DTdNlTxkEw" TargetMode="External"/><Relationship Id="rId527" Type="http://schemas.openxmlformats.org/officeDocument/2006/relationships/hyperlink" Target="https://youtu.be/psVqdkPdc2Y" TargetMode="External"/><Relationship Id="rId526" Type="http://schemas.openxmlformats.org/officeDocument/2006/relationships/hyperlink" Target="https://youtu.be/t9YQYIfgXoE" TargetMode="External"/><Relationship Id="rId521" Type="http://schemas.openxmlformats.org/officeDocument/2006/relationships/hyperlink" Target="https://clips.twitch.tv/MoistQuaintTruffleDoritosChip" TargetMode="External"/><Relationship Id="rId1110" Type="http://schemas.openxmlformats.org/officeDocument/2006/relationships/hyperlink" Target="https://youtu.be/kCGtwQCkd8M" TargetMode="External"/><Relationship Id="rId520" Type="http://schemas.openxmlformats.org/officeDocument/2006/relationships/hyperlink" Target="https://youtu.be/m45SeeT15mk" TargetMode="External"/><Relationship Id="rId1111" Type="http://schemas.openxmlformats.org/officeDocument/2006/relationships/hyperlink" Target="https://www.twitch.tv/videos/2102431211" TargetMode="External"/><Relationship Id="rId1112" Type="http://schemas.openxmlformats.org/officeDocument/2006/relationships/hyperlink" Target="https://www.youtube.com/watch?v=PAhmHx8a5HI"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pH_L2HTbpSw" TargetMode="External"/><Relationship Id="rId1104" Type="http://schemas.openxmlformats.org/officeDocument/2006/relationships/hyperlink" Target="https://x.com/inkstarLum/status/1768171081377136966?s=20" TargetMode="External"/><Relationship Id="rId1105" Type="http://schemas.openxmlformats.org/officeDocument/2006/relationships/hyperlink" Target="https://youtu.be/FAOHSZG4Ahg"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www.youtube.com/watch?v=gtrWpTdNVUg&amp;ab_channel=BlazeAlt" TargetMode="External"/><Relationship Id="rId1108" Type="http://schemas.openxmlformats.org/officeDocument/2006/relationships/hyperlink" Target="https://youtu.be/d4K-W3OcMiQ" TargetMode="External"/><Relationship Id="rId1109" Type="http://schemas.openxmlformats.org/officeDocument/2006/relationships/hyperlink" Target="https://youtu.be/Q_V-NqI0qKI" TargetMode="External"/><Relationship Id="rId519" Type="http://schemas.openxmlformats.org/officeDocument/2006/relationships/hyperlink" Target="https://youtu.be/CGy2fVWesj0" TargetMode="External"/><Relationship Id="rId514" Type="http://schemas.openxmlformats.org/officeDocument/2006/relationships/hyperlink" Target="https://youtu.be/KrettlTfhBY" TargetMode="External"/><Relationship Id="rId513" Type="http://schemas.openxmlformats.org/officeDocument/2006/relationships/hyperlink" Target="https://youtu.be/dcNViWNsH1A" TargetMode="External"/><Relationship Id="rId512" Type="http://schemas.openxmlformats.org/officeDocument/2006/relationships/hyperlink" Target="https://youtu.be/ddeEFsCOm9Q" TargetMode="External"/><Relationship Id="rId511" Type="http://schemas.openxmlformats.org/officeDocument/2006/relationships/hyperlink" Target="https://youtu.be/9MA0wssCE4w" TargetMode="External"/><Relationship Id="rId518" Type="http://schemas.openxmlformats.org/officeDocument/2006/relationships/hyperlink" Target="https://youtu.be/xknzl-aZiJ0" TargetMode="External"/><Relationship Id="rId517" Type="http://schemas.openxmlformats.org/officeDocument/2006/relationships/hyperlink" Target="https://youtu.be/dyMv749BLQ0" TargetMode="External"/><Relationship Id="rId516" Type="http://schemas.openxmlformats.org/officeDocument/2006/relationships/hyperlink" Target="https://youtu.be/KrettlTfhBY" TargetMode="External"/><Relationship Id="rId515" Type="http://schemas.openxmlformats.org/officeDocument/2006/relationships/hyperlink" Target="https://youtu.be/jUoN6om1PxE" TargetMode="External"/><Relationship Id="rId510" Type="http://schemas.openxmlformats.org/officeDocument/2006/relationships/hyperlink" Target="https://www.youtube.com/watch?v=jH2L4juA1t4&amp;ab_channel=SMSArchives" TargetMode="External"/><Relationship Id="rId1100" Type="http://schemas.openxmlformats.org/officeDocument/2006/relationships/hyperlink" Target="https://www.youtube.com/watch?v=EK8_-Ah8QII" TargetMode="External"/><Relationship Id="rId1101" Type="http://schemas.openxmlformats.org/officeDocument/2006/relationships/hyperlink" Target="https://youtu.be/f4AreuHKFlM?si=th9x5nJrRudH4ENQ" TargetMode="External"/><Relationship Id="rId1102" Type="http://schemas.openxmlformats.org/officeDocument/2006/relationships/hyperlink" Target="https://youtu.be/pH_L2HTbpSw" TargetMode="External"/><Relationship Id="rId590" Type="http://schemas.openxmlformats.org/officeDocument/2006/relationships/hyperlink" Target="https://youtu.be/zcG6KElMBT4" TargetMode="External"/><Relationship Id="rId589" Type="http://schemas.openxmlformats.org/officeDocument/2006/relationships/hyperlink" Target="https://clips.twitch.tv/PricklyHelpfulOrangeRlyTho-klp6JQH6Wt_q38gr" TargetMode="External"/><Relationship Id="rId588" Type="http://schemas.openxmlformats.org/officeDocument/2006/relationships/hyperlink" Target="https://youtu.be/qnF0xdadvQY" TargetMode="External"/><Relationship Id="rId1170" Type="http://schemas.openxmlformats.org/officeDocument/2006/relationships/hyperlink" Target="https://youtu.be/xOek-DUeh94?t=7" TargetMode="External"/><Relationship Id="rId1171" Type="http://schemas.openxmlformats.org/officeDocument/2006/relationships/hyperlink" Target="https://youtu.be/D2-wF0sDV0U"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www.twitch.tv/aether10n/clip/CrazyPuzzledGuanacoYouWHY-MXJO81Azr6ySA-zX" TargetMode="External"/><Relationship Id="rId582" Type="http://schemas.openxmlformats.org/officeDocument/2006/relationships/hyperlink" Target="https://youtu.be/tcRMlaWH3Fk" TargetMode="External"/><Relationship Id="rId1173" Type="http://schemas.openxmlformats.org/officeDocument/2006/relationships/hyperlink" Target="https://www.youtube.com/watch?v=BxN9IYgkrlk" TargetMode="External"/><Relationship Id="rId581" Type="http://schemas.openxmlformats.org/officeDocument/2006/relationships/hyperlink" Target="https://youtu.be/ValV62Hjv28" TargetMode="External"/><Relationship Id="rId1174" Type="http://schemas.openxmlformats.org/officeDocument/2006/relationships/hyperlink" Target="https://www.youtube.com/watch?v=vye8WFMG2MY&amp;feature=youtu.be&amp;ab_channel=SMSArchives" TargetMode="External"/><Relationship Id="rId580" Type="http://schemas.openxmlformats.org/officeDocument/2006/relationships/hyperlink" Target="https://youtu.be/CpkY5Gke1Fs"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www.youtube.com/watch?v=meO_eJZ3GXQ" TargetMode="External"/><Relationship Id="rId1176" Type="http://schemas.openxmlformats.org/officeDocument/2006/relationships/hyperlink" Target="https://www.twitch.tv/inkstar/clip/SeductiveWonderfulFungusNotATK-_5nVhVUpxAADgmaq" TargetMode="External"/><Relationship Id="rId586" Type="http://schemas.openxmlformats.org/officeDocument/2006/relationships/hyperlink" Target="https://clips.twitch.tv/GlutenFreeNaiveMoonNerfBlueBlaster-zwl3N2FIDvdOzgkC" TargetMode="External"/><Relationship Id="rId1177" Type="http://schemas.openxmlformats.org/officeDocument/2006/relationships/hyperlink" Target="https://youtu.be/BRYGZD8Aw8Q" TargetMode="External"/><Relationship Id="rId585" Type="http://schemas.openxmlformats.org/officeDocument/2006/relationships/hyperlink" Target="https://www.twitch.tv/videos/780053930" TargetMode="External"/><Relationship Id="rId1178" Type="http://schemas.openxmlformats.org/officeDocument/2006/relationships/hyperlink" Target="https://youtu.be/sGpE0IBf-cg" TargetMode="External"/><Relationship Id="rId584" Type="http://schemas.openxmlformats.org/officeDocument/2006/relationships/hyperlink" Target="https://youtu.be/Ek3-OIBbd_s" TargetMode="External"/><Relationship Id="rId1179" Type="http://schemas.openxmlformats.org/officeDocument/2006/relationships/hyperlink" Target="https://youtu.be/i4SOT8lEbJ8" TargetMode="External"/><Relationship Id="rId1169" Type="http://schemas.openxmlformats.org/officeDocument/2006/relationships/hyperlink" Target="https://clips.twitch.tv/FantasticSleepyCourgetteDatSheffy" TargetMode="External"/><Relationship Id="rId579" Type="http://schemas.openxmlformats.org/officeDocument/2006/relationships/hyperlink" Target="https://clips.twitch.tv/FaithfulDeterminedPeanutAsianGlow-K87dbZLe5-UZ8WRH" TargetMode="External"/><Relationship Id="rId578" Type="http://schemas.openxmlformats.org/officeDocument/2006/relationships/hyperlink" Target="https://www.youtube.com/watch?v=oCo7JR3BcuI" TargetMode="External"/><Relationship Id="rId577" Type="http://schemas.openxmlformats.org/officeDocument/2006/relationships/hyperlink" Target="https://www.twitch.tv/videos/780053931" TargetMode="External"/><Relationship Id="rId1160" Type="http://schemas.openxmlformats.org/officeDocument/2006/relationships/hyperlink" Target="https://clips.twitch.tv/FantasticSleepyCourgetteDatSheffy" TargetMode="External"/><Relationship Id="rId572" Type="http://schemas.openxmlformats.org/officeDocument/2006/relationships/hyperlink" Target="https://clips.twitch.tv/FairColorfulRaisinImGlitch" TargetMode="External"/><Relationship Id="rId1161" Type="http://schemas.openxmlformats.org/officeDocument/2006/relationships/hyperlink" Target="https://youtu.be/gRYcsS32LEE" TargetMode="External"/><Relationship Id="rId571" Type="http://schemas.openxmlformats.org/officeDocument/2006/relationships/hyperlink" Target="https://youtu.be/gfmGQXdEiW8" TargetMode="External"/><Relationship Id="rId1162" Type="http://schemas.openxmlformats.org/officeDocument/2006/relationships/hyperlink" Target="https://youtu.be/9WK317cn5xo" TargetMode="External"/><Relationship Id="rId570" Type="http://schemas.openxmlformats.org/officeDocument/2006/relationships/hyperlink" Target="https://youtu.be/CJ-XiNXqLXA" TargetMode="External"/><Relationship Id="rId1163" Type="http://schemas.openxmlformats.org/officeDocument/2006/relationships/hyperlink" Target="https://clips.twitch.tv/HardColdWatercressKappa-JBoKqGvZ-Zv53GMh" TargetMode="External"/><Relationship Id="rId1164" Type="http://schemas.openxmlformats.org/officeDocument/2006/relationships/hyperlink" Target="https://youtu.be/pnewRURW5ps" TargetMode="External"/><Relationship Id="rId576" Type="http://schemas.openxmlformats.org/officeDocument/2006/relationships/hyperlink" Target="https://youtu.be/PjCd_IhCqcs" TargetMode="External"/><Relationship Id="rId1165" Type="http://schemas.openxmlformats.org/officeDocument/2006/relationships/hyperlink" Target="https://youtu.be/DKv_4rurSS0" TargetMode="External"/><Relationship Id="rId575" Type="http://schemas.openxmlformats.org/officeDocument/2006/relationships/hyperlink" Target="https://youtu.be/ZqjYKjHRiQ4" TargetMode="External"/><Relationship Id="rId1166" Type="http://schemas.openxmlformats.org/officeDocument/2006/relationships/hyperlink" Target="https://youtu.be/W2qcH9W0i-s" TargetMode="External"/><Relationship Id="rId574" Type="http://schemas.openxmlformats.org/officeDocument/2006/relationships/hyperlink" Target="https://youtu.be/NraFiFbLSIc" TargetMode="External"/><Relationship Id="rId1167" Type="http://schemas.openxmlformats.org/officeDocument/2006/relationships/hyperlink" Target="https://youtu.be/uNx6NSup6aM" TargetMode="External"/><Relationship Id="rId573" Type="http://schemas.openxmlformats.org/officeDocument/2006/relationships/hyperlink" Target="https://youtu.be/PU5uEqDv0vQ" TargetMode="External"/><Relationship Id="rId1168" Type="http://schemas.openxmlformats.org/officeDocument/2006/relationships/hyperlink" Target="https://youtu.be/a2MRHB-JXU0" TargetMode="External"/><Relationship Id="rId1190" Type="http://schemas.openxmlformats.org/officeDocument/2006/relationships/hyperlink" Target="https://youtu.be/dEDkFfC3I-A" TargetMode="External"/><Relationship Id="rId1191" Type="http://schemas.openxmlformats.org/officeDocument/2006/relationships/hyperlink" Target="https://youtu.be/SBmIdDRShp4" TargetMode="External"/><Relationship Id="rId1192" Type="http://schemas.openxmlformats.org/officeDocument/2006/relationships/hyperlink" Target="https://youtu.be/yfazR8c_Jpw" TargetMode="External"/><Relationship Id="rId1193" Type="http://schemas.openxmlformats.org/officeDocument/2006/relationships/hyperlink" Target="https://www.twitch.tv/aether10n/clip/SteamyDeliciousSagePogChamp-MI3FWidpBfWzXOpU"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youtu.be/8-hWzmC6QZY" TargetMode="External"/><Relationship Id="rId1196" Type="http://schemas.openxmlformats.org/officeDocument/2006/relationships/hyperlink" Target="https://clips.twitch.tv/FaintFitOstrichKeepo-L3yy2Sj35Eq1RYLP" TargetMode="External"/><Relationship Id="rId1197" Type="http://schemas.openxmlformats.org/officeDocument/2006/relationships/hyperlink" Target="https://www.youtube.com/watch?v=cBP-KfubET4&amp;feature=youtu.be&amp;ab_channel=SMSArchives" TargetMode="External"/><Relationship Id="rId1198" Type="http://schemas.openxmlformats.org/officeDocument/2006/relationships/hyperlink" Target="https://youtu.be/VU76y1qot-A"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eqBfv6kOuq0" TargetMode="External"/><Relationship Id="rId1180" Type="http://schemas.openxmlformats.org/officeDocument/2006/relationships/hyperlink" Target="https://youtu.be/PKy8Rx4VBs4" TargetMode="External"/><Relationship Id="rId1181" Type="http://schemas.openxmlformats.org/officeDocument/2006/relationships/hyperlink" Target="https://www.youtube.com/watch?v=WtYDIiRwpow" TargetMode="External"/><Relationship Id="rId1182" Type="http://schemas.openxmlformats.org/officeDocument/2006/relationships/hyperlink" Target="https://www.youtube.com/watch?v=Ln4jjibr1K0" TargetMode="External"/><Relationship Id="rId594" Type="http://schemas.openxmlformats.org/officeDocument/2006/relationships/hyperlink" Target="https://youtu.be/vNhatPMB6m8" TargetMode="External"/><Relationship Id="rId1183" Type="http://schemas.openxmlformats.org/officeDocument/2006/relationships/hyperlink" Target="https://www.youtube.com/watch?v=RNAqhWK9Ins" TargetMode="External"/><Relationship Id="rId593" Type="http://schemas.openxmlformats.org/officeDocument/2006/relationships/hyperlink" Target="https://www.youtube.com/watch?v=l8w62fXge88" TargetMode="External"/><Relationship Id="rId1184" Type="http://schemas.openxmlformats.org/officeDocument/2006/relationships/hyperlink" Target="https://youtu.be/PblheYQD9qM" TargetMode="External"/><Relationship Id="rId592" Type="http://schemas.openxmlformats.org/officeDocument/2006/relationships/hyperlink" Target="https://www.youtube.com/watch?v=QhAGIDRaOXM" TargetMode="External"/><Relationship Id="rId1185" Type="http://schemas.openxmlformats.org/officeDocument/2006/relationships/hyperlink" Target="https://youtu.be/PblheYQD9qM" TargetMode="External"/><Relationship Id="rId591" Type="http://schemas.openxmlformats.org/officeDocument/2006/relationships/hyperlink" Target="https://www.twitch.tv/videos/1062261583" TargetMode="External"/><Relationship Id="rId1186" Type="http://schemas.openxmlformats.org/officeDocument/2006/relationships/hyperlink" Target="https://youtu.be/sD-nP1XZk-I" TargetMode="External"/><Relationship Id="rId598" Type="http://schemas.openxmlformats.org/officeDocument/2006/relationships/hyperlink" Target="https://youtu.be/4SFPJQOfmYE" TargetMode="External"/><Relationship Id="rId1187" Type="http://schemas.openxmlformats.org/officeDocument/2006/relationships/hyperlink" Target="https://www.youtube.com/watch?v=EkyD3UJG5FA" TargetMode="External"/><Relationship Id="rId597" Type="http://schemas.openxmlformats.org/officeDocument/2006/relationships/hyperlink" Target="https://youtu.be/vTpWxxEdx-8" TargetMode="External"/><Relationship Id="rId1188" Type="http://schemas.openxmlformats.org/officeDocument/2006/relationships/hyperlink" Target="https://www.youtube.com/watch?v=n7lzjZ9mb4k" TargetMode="External"/><Relationship Id="rId596" Type="http://schemas.openxmlformats.org/officeDocument/2006/relationships/hyperlink" Target="https://youtu.be/RMKSoa356Sg" TargetMode="External"/><Relationship Id="rId1189" Type="http://schemas.openxmlformats.org/officeDocument/2006/relationships/hyperlink" Target="https://youtu.be/RcFElzSKBCE" TargetMode="External"/><Relationship Id="rId595" Type="http://schemas.openxmlformats.org/officeDocument/2006/relationships/hyperlink" Target="https://youtu.be/vTpWxxEdx-8" TargetMode="External"/><Relationship Id="rId1136" Type="http://schemas.openxmlformats.org/officeDocument/2006/relationships/hyperlink" Target="https://youtu.be/qVPBC4Ih0h8" TargetMode="External"/><Relationship Id="rId1137" Type="http://schemas.openxmlformats.org/officeDocument/2006/relationships/hyperlink" Target="https://youtu.be/mhrWJKYZoko" TargetMode="External"/><Relationship Id="rId1138" Type="http://schemas.openxmlformats.org/officeDocument/2006/relationships/hyperlink" Target="https://www.youtube.com/watch?v=KBQE1RNMXCk" TargetMode="External"/><Relationship Id="rId1139" Type="http://schemas.openxmlformats.org/officeDocument/2006/relationships/hyperlink" Target="https://youtu.be/bvT2H20WTh4" TargetMode="External"/><Relationship Id="rId547" Type="http://schemas.openxmlformats.org/officeDocument/2006/relationships/hyperlink" Target="https://youtu.be/zX6u_Z7hoEc" TargetMode="External"/><Relationship Id="rId546" Type="http://schemas.openxmlformats.org/officeDocument/2006/relationships/hyperlink" Target="https://www.twitch.tv/videos/1024638839" TargetMode="External"/><Relationship Id="rId545" Type="http://schemas.openxmlformats.org/officeDocument/2006/relationships/hyperlink" Target="https://www.youtube.com/watch?v=4McFQ7EXzkk" TargetMode="External"/><Relationship Id="rId544" Type="http://schemas.openxmlformats.org/officeDocument/2006/relationships/hyperlink" Target="https://www.twitch.tv/videos/856673687" TargetMode="External"/><Relationship Id="rId549" Type="http://schemas.openxmlformats.org/officeDocument/2006/relationships/hyperlink" Target="https://www.youtube.com/watch?v=7fiUAbn1pfI" TargetMode="External"/><Relationship Id="rId548" Type="http://schemas.openxmlformats.org/officeDocument/2006/relationships/hyperlink" Target="https://youtu.be/V6sH7WJTO5Y" TargetMode="External"/><Relationship Id="rId1130" Type="http://schemas.openxmlformats.org/officeDocument/2006/relationships/hyperlink" Target="https://youtu.be/fKJtOX5VTVs" TargetMode="External"/><Relationship Id="rId1131" Type="http://schemas.openxmlformats.org/officeDocument/2006/relationships/hyperlink" Target="https://youtu.be/_8mHUGcCLXk" TargetMode="External"/><Relationship Id="rId543" Type="http://schemas.openxmlformats.org/officeDocument/2006/relationships/hyperlink" Target="https://youtu.be/0kHrRzKBn6g"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d1pIDOnKiNA" TargetMode="External"/><Relationship Id="rId541" Type="http://schemas.openxmlformats.org/officeDocument/2006/relationships/hyperlink" Target="https://youtu.be/qOGRg7jwEbU" TargetMode="External"/><Relationship Id="rId1134" Type="http://schemas.openxmlformats.org/officeDocument/2006/relationships/hyperlink" Target="https://youtu.be/qhsk0_xApu4" TargetMode="External"/><Relationship Id="rId540" Type="http://schemas.openxmlformats.org/officeDocument/2006/relationships/hyperlink" Target="https://youtu.be/oac-PkrzALo" TargetMode="External"/><Relationship Id="rId1135" Type="http://schemas.openxmlformats.org/officeDocument/2006/relationships/hyperlink" Target="https://youtu.be/SwOZUM215a4" TargetMode="External"/><Relationship Id="rId1125" Type="http://schemas.openxmlformats.org/officeDocument/2006/relationships/hyperlink" Target="https://youtu.be/NL7vDlxqFC4" TargetMode="External"/><Relationship Id="rId1126" Type="http://schemas.openxmlformats.org/officeDocument/2006/relationships/hyperlink" Target="https://youtu.be/yHmKt-zuhNU" TargetMode="External"/><Relationship Id="rId1127" Type="http://schemas.openxmlformats.org/officeDocument/2006/relationships/hyperlink" Target="https://youtu.be/xOek-DUeh94?t=7" TargetMode="External"/><Relationship Id="rId1128" Type="http://schemas.openxmlformats.org/officeDocument/2006/relationships/hyperlink" Target="https://clips.twitch.tv/GenerousSaltySoybeanVoHiYo-zcwH8eSvkOHDfK7t" TargetMode="External"/><Relationship Id="rId1129" Type="http://schemas.openxmlformats.org/officeDocument/2006/relationships/hyperlink" Target="https://twitter.com/Qbe_Root/status/1338624368889516033" TargetMode="External"/><Relationship Id="rId536" Type="http://schemas.openxmlformats.org/officeDocument/2006/relationships/hyperlink" Target="https://youtu.be/vDXyRMvfnaU" TargetMode="External"/><Relationship Id="rId535" Type="http://schemas.openxmlformats.org/officeDocument/2006/relationships/hyperlink" Target="https://www.twitch.tv/videos/890369851" TargetMode="External"/><Relationship Id="rId534" Type="http://schemas.openxmlformats.org/officeDocument/2006/relationships/hyperlink" Target="https://youtu.be/SVybssrepNo" TargetMode="External"/><Relationship Id="rId533" Type="http://schemas.openxmlformats.org/officeDocument/2006/relationships/hyperlink" Target="https://youtu.be/azoZh1WaTVs"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1-eSJVzzM0s" TargetMode="External"/><Relationship Id="rId537" Type="http://schemas.openxmlformats.org/officeDocument/2006/relationships/hyperlink" Target="https://www.youtube.com/watch?v=GxNlLITW9h8"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SVybssrepNo" TargetMode="External"/><Relationship Id="rId1121" Type="http://schemas.openxmlformats.org/officeDocument/2006/relationships/hyperlink" Target="https://youtu.be/o8vEvZIvDbg" TargetMode="External"/><Relationship Id="rId531" Type="http://schemas.openxmlformats.org/officeDocument/2006/relationships/hyperlink" Target="https://youtu.be/yKTIjGg13jA" TargetMode="External"/><Relationship Id="rId1122" Type="http://schemas.openxmlformats.org/officeDocument/2006/relationships/hyperlink" Target="https://youtu.be/o8vEvZIvDbg" TargetMode="External"/><Relationship Id="rId530" Type="http://schemas.openxmlformats.org/officeDocument/2006/relationships/hyperlink" Target="https://youtu.be/QQ_jJmzpcYE" TargetMode="External"/><Relationship Id="rId1123" Type="http://schemas.openxmlformats.org/officeDocument/2006/relationships/hyperlink" Target="https://youtu.be/D7QvsLp60gM" TargetMode="External"/><Relationship Id="rId1124" Type="http://schemas.openxmlformats.org/officeDocument/2006/relationships/hyperlink" Target="https://youtu.be/ABAwt06qHCA" TargetMode="External"/><Relationship Id="rId1158" Type="http://schemas.openxmlformats.org/officeDocument/2006/relationships/hyperlink" Target="https://clips.twitch.tv/CautiousFriendlyFrogTheThing-6Jrgc8jtaiq8q8CQ" TargetMode="External"/><Relationship Id="rId1159" Type="http://schemas.openxmlformats.org/officeDocument/2006/relationships/hyperlink" Target="https://youtu.be/LSvQoslgvzg" TargetMode="External"/><Relationship Id="rId569" Type="http://schemas.openxmlformats.org/officeDocument/2006/relationships/hyperlink" Target="https://www.youtube.com/watch?v=VSdxDKNpZ70&amp;feature=youtu.be&amp;ab_channel=SMSArchives" TargetMode="External"/><Relationship Id="rId568" Type="http://schemas.openxmlformats.org/officeDocument/2006/relationships/hyperlink" Target="https://www.youtube.com/watch?v=-hkKJhM7MPg" TargetMode="External"/><Relationship Id="rId567" Type="http://schemas.openxmlformats.org/officeDocument/2006/relationships/hyperlink" Target="https://www.twitch.tv/aether10n/clip/MiniatureFineShrewDoubleRainbow-K28IJIIvZv3-6VJD" TargetMode="External"/><Relationship Id="rId566" Type="http://schemas.openxmlformats.org/officeDocument/2006/relationships/hyperlink" Target="https://youtu.be/TwBlTaxo2n0" TargetMode="External"/><Relationship Id="rId561" Type="http://schemas.openxmlformats.org/officeDocument/2006/relationships/hyperlink" Target="https://youtu.be/U1NfQesgLXk" TargetMode="External"/><Relationship Id="rId1150" Type="http://schemas.openxmlformats.org/officeDocument/2006/relationships/hyperlink" Target="https://youtu.be/zw7IMG-cM2U" TargetMode="External"/><Relationship Id="rId560" Type="http://schemas.openxmlformats.org/officeDocument/2006/relationships/hyperlink" Target="https://www.twitch.tv/videos/1463163448" TargetMode="External"/><Relationship Id="rId1151" Type="http://schemas.openxmlformats.org/officeDocument/2006/relationships/hyperlink" Target="https://www.youtube.com/watch?v=WPlkURzFGl4"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youtu.be/mN__5d2W06g" TargetMode="External"/><Relationship Id="rId565" Type="http://schemas.openxmlformats.org/officeDocument/2006/relationships/hyperlink" Target="https://youtu.be/O5y2VBcztV8" TargetMode="External"/><Relationship Id="rId1154" Type="http://schemas.openxmlformats.org/officeDocument/2006/relationships/hyperlink" Target="https://youtu.be/xMNY-4KA8TA" TargetMode="External"/><Relationship Id="rId564" Type="http://schemas.openxmlformats.org/officeDocument/2006/relationships/hyperlink" Target="https://youtu.be/pfhIHpIZbko" TargetMode="External"/><Relationship Id="rId1155" Type="http://schemas.openxmlformats.org/officeDocument/2006/relationships/hyperlink" Target="https://youtu.be/g0TzG3AIDzM" TargetMode="External"/><Relationship Id="rId563" Type="http://schemas.openxmlformats.org/officeDocument/2006/relationships/hyperlink" Target="https://youtu.be/O5y2VBcztV8" TargetMode="External"/><Relationship Id="rId1156" Type="http://schemas.openxmlformats.org/officeDocument/2006/relationships/hyperlink" Target="https://youtu.be/pLwKgRC1wcQ?si=MiabHgRiAXN8vLHS" TargetMode="External"/><Relationship Id="rId562" Type="http://schemas.openxmlformats.org/officeDocument/2006/relationships/hyperlink" Target="https://youtu.be/KqbN_8JLv5c" TargetMode="External"/><Relationship Id="rId1157" Type="http://schemas.openxmlformats.org/officeDocument/2006/relationships/hyperlink" Target="https://youtu.be/6gDUknvuEMg" TargetMode="External"/><Relationship Id="rId1147" Type="http://schemas.openxmlformats.org/officeDocument/2006/relationships/hyperlink" Target="https://www.youtube.com/watch?v=qKpHpTvJ0CE&amp;feature=youtu.be&amp;ab_channel=SMSArchives" TargetMode="External"/><Relationship Id="rId1148" Type="http://schemas.openxmlformats.org/officeDocument/2006/relationships/hyperlink" Target="https://youtu.be/2WfyXESh6_g" TargetMode="External"/><Relationship Id="rId1149" Type="http://schemas.openxmlformats.org/officeDocument/2006/relationships/hyperlink" Target="https://www.youtube.com/watch?v=j6qBJ-9nvnE" TargetMode="External"/><Relationship Id="rId558" Type="http://schemas.openxmlformats.org/officeDocument/2006/relationships/hyperlink" Target="https://youtu.be/U1NfQesgLXk" TargetMode="External"/><Relationship Id="rId557" Type="http://schemas.openxmlformats.org/officeDocument/2006/relationships/hyperlink" Target="https://www.twitch.tv/videos/1264188127" TargetMode="External"/><Relationship Id="rId556" Type="http://schemas.openxmlformats.org/officeDocument/2006/relationships/hyperlink" Target="https://twitter.com/Reed_QT/status/1212701917551497216?s=20" TargetMode="External"/><Relationship Id="rId555" Type="http://schemas.openxmlformats.org/officeDocument/2006/relationships/hyperlink" Target="https://youtu.be/itp-7tbNTFk" TargetMode="External"/><Relationship Id="rId559" Type="http://schemas.openxmlformats.org/officeDocument/2006/relationships/hyperlink" Target="https://youtu.be/5dMNpk8GIXE" TargetMode="External"/><Relationship Id="rId550" Type="http://schemas.openxmlformats.org/officeDocument/2006/relationships/hyperlink" Target="https://youtu.be/itp-7tbNTFk" TargetMode="External"/><Relationship Id="rId1140" Type="http://schemas.openxmlformats.org/officeDocument/2006/relationships/hyperlink" Target="https://youtu.be/BG1DNUReLzg" TargetMode="External"/><Relationship Id="rId1141" Type="http://schemas.openxmlformats.org/officeDocument/2006/relationships/hyperlink" Target="https://youtu.be/i3fo9ed4F_o" TargetMode="External"/><Relationship Id="rId1142" Type="http://schemas.openxmlformats.org/officeDocument/2006/relationships/hyperlink" Target="https://youtu.be/BG1DNUReLzg" TargetMode="External"/><Relationship Id="rId554" Type="http://schemas.openxmlformats.org/officeDocument/2006/relationships/hyperlink" Target="https://youtu.be/pKukn4aCQng" TargetMode="External"/><Relationship Id="rId1143" Type="http://schemas.openxmlformats.org/officeDocument/2006/relationships/hyperlink" Target="https://www.youtube.com/watch?v=LnGiZJF2iY8" TargetMode="External"/><Relationship Id="rId553" Type="http://schemas.openxmlformats.org/officeDocument/2006/relationships/hyperlink" Target="https://www.twitch.tv/videos/1264390392" TargetMode="External"/><Relationship Id="rId1144" Type="http://schemas.openxmlformats.org/officeDocument/2006/relationships/hyperlink" Target="https://youtu.be/_oPoBaLf3yU" TargetMode="External"/><Relationship Id="rId552" Type="http://schemas.openxmlformats.org/officeDocument/2006/relationships/hyperlink" Target="https://youtu.be/FRkMJt_hjwQ" TargetMode="External"/><Relationship Id="rId1145" Type="http://schemas.openxmlformats.org/officeDocument/2006/relationships/hyperlink" Target="https://youtu.be/JMsQZoMRIjA?si=4sEEE698Hkz2n34y" TargetMode="External"/><Relationship Id="rId551" Type="http://schemas.openxmlformats.org/officeDocument/2006/relationships/hyperlink" Target="https://youtu.be/KHD8om8X8e8" TargetMode="External"/><Relationship Id="rId1146" Type="http://schemas.openxmlformats.org/officeDocument/2006/relationships/hyperlink" Target="https://youtu.be/zw7IMG-cM2U" TargetMode="External"/><Relationship Id="rId495" Type="http://schemas.openxmlformats.org/officeDocument/2006/relationships/hyperlink" Target="https://youtu.be/JhVWra7g52o" TargetMode="External"/><Relationship Id="rId494" Type="http://schemas.openxmlformats.org/officeDocument/2006/relationships/hyperlink" Target="https://clips.twitch.tv/SmoggySplendidRavenDogFace-tmlMoCV-g_6KtMSK" TargetMode="External"/><Relationship Id="rId493" Type="http://schemas.openxmlformats.org/officeDocument/2006/relationships/hyperlink" Target="https://youtu.be/lI720L0pgPs" TargetMode="External"/><Relationship Id="rId492" Type="http://schemas.openxmlformats.org/officeDocument/2006/relationships/hyperlink" Target="https://youtu.be/thAQ0QN9CCI" TargetMode="External"/><Relationship Id="rId499" Type="http://schemas.openxmlformats.org/officeDocument/2006/relationships/hyperlink" Target="https://youtu.be/kgdFo-Rr8zE" TargetMode="External"/><Relationship Id="rId498" Type="http://schemas.openxmlformats.org/officeDocument/2006/relationships/hyperlink" Target="https://youtu.be/HWTfLToZMEw" TargetMode="External"/><Relationship Id="rId497" Type="http://schemas.openxmlformats.org/officeDocument/2006/relationships/hyperlink" Target="https://youtu.be/oqSoo8shf5E" TargetMode="External"/><Relationship Id="rId496" Type="http://schemas.openxmlformats.org/officeDocument/2006/relationships/hyperlink" Target="https://www.youtube.com/watch?v=3sIlIgRGsO4" TargetMode="External"/><Relationship Id="rId1213" Type="http://schemas.openxmlformats.org/officeDocument/2006/relationships/hyperlink" Target="https://youtu.be/TOopvpfnb90" TargetMode="External"/><Relationship Id="rId1214" Type="http://schemas.openxmlformats.org/officeDocument/2006/relationships/hyperlink" Target="https://www.youtube.com/watch?v=x2-SXpYJI6M" TargetMode="External"/><Relationship Id="rId1215" Type="http://schemas.openxmlformats.org/officeDocument/2006/relationships/hyperlink" Target="https://clips.twitch.tv/TriangularLuckyPepperoniDxCat-knGjDZY028Z5_WR-" TargetMode="External"/><Relationship Id="rId1216" Type="http://schemas.openxmlformats.org/officeDocument/2006/relationships/hyperlink" Target="https://youtu.be/1XmqPaMOiiY" TargetMode="External"/><Relationship Id="rId1217" Type="http://schemas.openxmlformats.org/officeDocument/2006/relationships/hyperlink" Target="https://youtu.be/OwsTTjQaO3w" TargetMode="External"/><Relationship Id="rId1218" Type="http://schemas.openxmlformats.org/officeDocument/2006/relationships/hyperlink" Target="https://www.twitch.tv/aether10n/clip/LightBashfulRamenFutureMan-A9OUDttYahXDNux7" TargetMode="External"/><Relationship Id="rId1219" Type="http://schemas.openxmlformats.org/officeDocument/2006/relationships/hyperlink" Target="https://clips.twitch.tv/PlainEntertainingMartenFunRun-JV2tg9yRROTkgLJp" TargetMode="External"/><Relationship Id="rId1210" Type="http://schemas.openxmlformats.org/officeDocument/2006/relationships/hyperlink" Target="https://youtu.be/8Y5Ph2vnEBE" TargetMode="External"/><Relationship Id="rId1211" Type="http://schemas.openxmlformats.org/officeDocument/2006/relationships/hyperlink" Target="https://youtu.be/31iGg6JwVD0"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YKhYKlk0DN4" TargetMode="External"/><Relationship Id="rId1203" Type="http://schemas.openxmlformats.org/officeDocument/2006/relationships/hyperlink" Target="https://clips.twitch.tv/AmericanSmoggyMeerkatWholeWheat-ZCu1oZIXMktbs8CL" TargetMode="External"/><Relationship Id="rId1204" Type="http://schemas.openxmlformats.org/officeDocument/2006/relationships/hyperlink" Target="https://www.youtube.com/watch?v=Pnj2t4CQGiM&amp;feature=youtu.be&amp;ab_channel=SMSArchives"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twitch.tv/aether10n/clip/FlirtySuperCarrotArsonNoSexy-X-Z05RzutkIUJueU" TargetMode="External"/><Relationship Id="rId1207" Type="http://schemas.openxmlformats.org/officeDocument/2006/relationships/hyperlink" Target="https://youtu.be/D725_B1n0GM" TargetMode="External"/><Relationship Id="rId1208" Type="http://schemas.openxmlformats.org/officeDocument/2006/relationships/hyperlink" Target="https://clips.twitch.tv/DepressedMiniaturePotatoBigBrother-BMOL-MO0RjCxjoI4" TargetMode="External"/><Relationship Id="rId1209" Type="http://schemas.openxmlformats.org/officeDocument/2006/relationships/hyperlink" Target="https://www.youtube.com/watch?v=hRCDsXj44WI" TargetMode="External"/><Relationship Id="rId1200" Type="http://schemas.openxmlformats.org/officeDocument/2006/relationships/hyperlink" Target="https://www.twitch.tv/aether10n/clip/EncouragingPeppyEggJKanStyle-Rz-2K29Jgbv0uXz-" TargetMode="External"/><Relationship Id="rId1201" Type="http://schemas.openxmlformats.org/officeDocument/2006/relationships/hyperlink" Target="https://youtu.be/H36MF9fXNek" TargetMode="External"/><Relationship Id="rId1235" Type="http://schemas.openxmlformats.org/officeDocument/2006/relationships/hyperlink" Target="https://youtu.be/lYi4TdoiTuI" TargetMode="External"/><Relationship Id="rId1236" Type="http://schemas.openxmlformats.org/officeDocument/2006/relationships/hyperlink" Target="https://youtu.be/saeB2BJyl3w" TargetMode="External"/><Relationship Id="rId1237" Type="http://schemas.openxmlformats.org/officeDocument/2006/relationships/hyperlink" Target="https://youtu.be/cTFRTeFZ_J8" TargetMode="External"/><Relationship Id="rId1238" Type="http://schemas.openxmlformats.org/officeDocument/2006/relationships/hyperlink" Target="https://youtu.be/9xdcEVyiBHI" TargetMode="External"/><Relationship Id="rId1239" Type="http://schemas.openxmlformats.org/officeDocument/2006/relationships/hyperlink" Target="https://clips.twitch.tv/FaithfulAgitatedSardineSeemsGood-k1jxuaQOQXlfuVn-" TargetMode="External"/><Relationship Id="rId409" Type="http://schemas.openxmlformats.org/officeDocument/2006/relationships/hyperlink" Target="https://clips.twitch.tv/AbrasiveFaintWalrusDeIlluminati-Ui-LhTee6YXHRMeJ" TargetMode="External"/><Relationship Id="rId404" Type="http://schemas.openxmlformats.org/officeDocument/2006/relationships/hyperlink" Target="https://youtu.be/j3XBEoJRtLY" TargetMode="External"/><Relationship Id="rId403" Type="http://schemas.openxmlformats.org/officeDocument/2006/relationships/hyperlink" Target="https://youtu.be/ndEtha1Ip-w" TargetMode="External"/><Relationship Id="rId402" Type="http://schemas.openxmlformats.org/officeDocument/2006/relationships/hyperlink" Target="https://youtu.be/j3XBEoJRtLY"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7u4eEbgGsiU" TargetMode="External"/><Relationship Id="rId407" Type="http://schemas.openxmlformats.org/officeDocument/2006/relationships/hyperlink" Target="https://youtu.be/opifkfe-dIg" TargetMode="External"/><Relationship Id="rId406" Type="http://schemas.openxmlformats.org/officeDocument/2006/relationships/hyperlink" Target="https://youtu.be/5jJnXigEYDQ" TargetMode="External"/><Relationship Id="rId405" Type="http://schemas.openxmlformats.org/officeDocument/2006/relationships/hyperlink" Target="https://www.youtube.com/watch?v=uvqnls4dHKg" TargetMode="External"/><Relationship Id="rId1230" Type="http://schemas.openxmlformats.org/officeDocument/2006/relationships/hyperlink" Target="https://www.youtube.com/watch?v=Ji5c99CvARE" TargetMode="External"/><Relationship Id="rId400" Type="http://schemas.openxmlformats.org/officeDocument/2006/relationships/hyperlink" Target="https://www.youtube.com/watch?v=SpbulNjmJbo" TargetMode="External"/><Relationship Id="rId1231" Type="http://schemas.openxmlformats.org/officeDocument/2006/relationships/hyperlink" Target="https://youtu.be/5vUNzwaesc8" TargetMode="External"/><Relationship Id="rId1232" Type="http://schemas.openxmlformats.org/officeDocument/2006/relationships/hyperlink" Target="https://x.com/175akane/status/189509861776704325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youtu.be/lYi4TdoiTuI" TargetMode="External"/><Relationship Id="rId1224" Type="http://schemas.openxmlformats.org/officeDocument/2006/relationships/hyperlink" Target="https://youtu.be/ZD38xZvhuTY" TargetMode="External"/><Relationship Id="rId1225" Type="http://schemas.openxmlformats.org/officeDocument/2006/relationships/hyperlink" Target="https://youtu.be/DTClS_qtBNg" TargetMode="External"/><Relationship Id="rId1226" Type="http://schemas.openxmlformats.org/officeDocument/2006/relationships/hyperlink" Target="https://youtu.be/8Hf-tUfqgeg" TargetMode="External"/><Relationship Id="rId1227" Type="http://schemas.openxmlformats.org/officeDocument/2006/relationships/hyperlink" Target="https://youtu.be/q3IUc8chiVo" TargetMode="External"/><Relationship Id="rId1228" Type="http://schemas.openxmlformats.org/officeDocument/2006/relationships/hyperlink" Target="https://youtu.be/tatoriHF17g" TargetMode="External"/><Relationship Id="rId1229" Type="http://schemas.openxmlformats.org/officeDocument/2006/relationships/hyperlink" Target="https://youtu.be/b_fjcdwVo9c" TargetMode="External"/><Relationship Id="rId1220" Type="http://schemas.openxmlformats.org/officeDocument/2006/relationships/hyperlink" Target="https://youtu.be/ue06_CM8LBI"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www.twitch.tv/aether10n/clip/DaintyGleamingPlumageOptimizePrime-3wbUx7aq_a_aktOD" TargetMode="External"/><Relationship Id="rId1223" Type="http://schemas.openxmlformats.org/officeDocument/2006/relationships/hyperlink" Target="https://youtu.be/8Hf-tUfqgeg" TargetMode="External"/><Relationship Id="rId469" Type="http://schemas.openxmlformats.org/officeDocument/2006/relationships/hyperlink" Target="https://youtu.be/kpxMbm8UtAw" TargetMode="External"/><Relationship Id="rId468" Type="http://schemas.openxmlformats.org/officeDocument/2006/relationships/hyperlink" Target="https://www.twitch.tv/inkstaralt/clip/ColdRichWoodpeckerSSSsss-B0VUsT_Llk23zo7l" TargetMode="External"/><Relationship Id="rId467" Type="http://schemas.openxmlformats.org/officeDocument/2006/relationships/hyperlink" Target="https://youtu.be/oMs4H6G26mY" TargetMode="External"/><Relationship Id="rId1290" Type="http://schemas.openxmlformats.org/officeDocument/2006/relationships/hyperlink" Target="https://youtu.be/ZuU1SRn-vGM" TargetMode="External"/><Relationship Id="rId1291" Type="http://schemas.openxmlformats.org/officeDocument/2006/relationships/hyperlink" Target="https://youtu.be/7mi3rKCeBsI" TargetMode="External"/><Relationship Id="rId1292" Type="http://schemas.openxmlformats.org/officeDocument/2006/relationships/hyperlink" Target="https://youtu.be/M822PVs1H2w" TargetMode="External"/><Relationship Id="rId462" Type="http://schemas.openxmlformats.org/officeDocument/2006/relationships/hyperlink" Target="https://youtu.be/UgoWmGFAS9M" TargetMode="External"/><Relationship Id="rId1293" Type="http://schemas.openxmlformats.org/officeDocument/2006/relationships/hyperlink" Target="https://youtu.be/ZuU1SRn-vGM" TargetMode="External"/><Relationship Id="rId461" Type="http://schemas.openxmlformats.org/officeDocument/2006/relationships/hyperlink" Target="https://youtu.be/aksFqSaiyV8" TargetMode="External"/><Relationship Id="rId1294" Type="http://schemas.openxmlformats.org/officeDocument/2006/relationships/hyperlink" Target="https://youtu.be/elaYSWhDvFA" TargetMode="External"/><Relationship Id="rId460" Type="http://schemas.openxmlformats.org/officeDocument/2006/relationships/hyperlink" Target="https://youtu.be/yM7eFNu04pY" TargetMode="External"/><Relationship Id="rId1295" Type="http://schemas.openxmlformats.org/officeDocument/2006/relationships/hyperlink" Target="https://youtu.be/U0nS3g0zOvI" TargetMode="External"/><Relationship Id="rId1296" Type="http://schemas.openxmlformats.org/officeDocument/2006/relationships/hyperlink" Target="https://youtu.be/Vix-gMQfukI?si=6dlzLJh2a-1zjeG8" TargetMode="External"/><Relationship Id="rId466" Type="http://schemas.openxmlformats.org/officeDocument/2006/relationships/hyperlink" Target="https://clips.twitch.tv/CrepuscularTriangularWallabyMikeHogu-QbB5xBhygnGb8czG" TargetMode="External"/><Relationship Id="rId1297" Type="http://schemas.openxmlformats.org/officeDocument/2006/relationships/hyperlink" Target="https://youtu.be/U0nS3g0zOvI" TargetMode="External"/><Relationship Id="rId465" Type="http://schemas.openxmlformats.org/officeDocument/2006/relationships/hyperlink" Target="https://youtu.be/yM7eFNu04pY" TargetMode="External"/><Relationship Id="rId1298" Type="http://schemas.openxmlformats.org/officeDocument/2006/relationships/hyperlink" Target="https://twitter.com/Qbe_Root/status/1267201521541959680" TargetMode="External"/><Relationship Id="rId464" Type="http://schemas.openxmlformats.org/officeDocument/2006/relationships/hyperlink" Target="https://youtu.be/y2ToyAmG1Z0" TargetMode="External"/><Relationship Id="rId1299" Type="http://schemas.openxmlformats.org/officeDocument/2006/relationships/hyperlink" Target="https://youtu.be/Un8GBYhUU3E?si=_9oMA0fSL4zoQw4f" TargetMode="External"/><Relationship Id="rId463" Type="http://schemas.openxmlformats.org/officeDocument/2006/relationships/hyperlink" Target="https://www.twitch.tv/videos/1810124946" TargetMode="External"/><Relationship Id="rId459" Type="http://schemas.openxmlformats.org/officeDocument/2006/relationships/hyperlink" Target="https://youtu.be/ypNscnGduFI" TargetMode="External"/><Relationship Id="rId458" Type="http://schemas.openxmlformats.org/officeDocument/2006/relationships/hyperlink" Target="https://www.youtube.com/watch?v=n9upMOsSvj4" TargetMode="External"/><Relationship Id="rId457" Type="http://schemas.openxmlformats.org/officeDocument/2006/relationships/hyperlink" Target="https://www.youtube.com/watch?v=hIhcHQYrlXA" TargetMode="External"/><Relationship Id="rId456" Type="http://schemas.openxmlformats.org/officeDocument/2006/relationships/hyperlink" Target="https://www.youtube.com/watch?v=-wVESQbymOo"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Bz_l6_86h-Q" TargetMode="External"/><Relationship Id="rId451" Type="http://schemas.openxmlformats.org/officeDocument/2006/relationships/hyperlink" Target="https://www.twitch.tv/videos/856683769" TargetMode="External"/><Relationship Id="rId1282" Type="http://schemas.openxmlformats.org/officeDocument/2006/relationships/hyperlink" Target="https://youtu.be/KXv-tmNS8TM" TargetMode="External"/><Relationship Id="rId450" Type="http://schemas.openxmlformats.org/officeDocument/2006/relationships/hyperlink" Target="https://www.youtube.com/watch?v=nlpVGIHQnu0&amp;feature=youtu.be&amp;ab_channel=SMSArchives" TargetMode="External"/><Relationship Id="rId1283" Type="http://schemas.openxmlformats.org/officeDocument/2006/relationships/hyperlink" Target="https://youtu.be/tcfld4v8t2Q" TargetMode="External"/><Relationship Id="rId1284" Type="http://schemas.openxmlformats.org/officeDocument/2006/relationships/hyperlink" Target="https://youtu.be/Bz_l6_86h-Q" TargetMode="External"/><Relationship Id="rId1285" Type="http://schemas.openxmlformats.org/officeDocument/2006/relationships/hyperlink" Target="https://youtu.be/4cDf1smVSUE" TargetMode="External"/><Relationship Id="rId455" Type="http://schemas.openxmlformats.org/officeDocument/2006/relationships/hyperlink" Target="https://youtu.be/KAw299EzsTw" TargetMode="External"/><Relationship Id="rId1286" Type="http://schemas.openxmlformats.org/officeDocument/2006/relationships/hyperlink" Target="https://youtu.be/kvu97FX2j0I" TargetMode="External"/><Relationship Id="rId454" Type="http://schemas.openxmlformats.org/officeDocument/2006/relationships/hyperlink" Target="https://youtu.be/LaMvBuhMiVE" TargetMode="External"/><Relationship Id="rId1287" Type="http://schemas.openxmlformats.org/officeDocument/2006/relationships/hyperlink" Target="https://youtu.be/BwT0G0Js7bA" TargetMode="External"/><Relationship Id="rId453" Type="http://schemas.openxmlformats.org/officeDocument/2006/relationships/hyperlink" Target="https://youtu.be/LaMvBuhMiVE" TargetMode="External"/><Relationship Id="rId1288" Type="http://schemas.openxmlformats.org/officeDocument/2006/relationships/hyperlink" Target="https://youtu.be/WxhdtLEsUR0" TargetMode="External"/><Relationship Id="rId452" Type="http://schemas.openxmlformats.org/officeDocument/2006/relationships/hyperlink" Target="https://www.youtube.com/watch?v=TchMnAGP8Bk" TargetMode="External"/><Relationship Id="rId1289" Type="http://schemas.openxmlformats.org/officeDocument/2006/relationships/hyperlink" Target="https://youtu.be/WxhdtLEsUR0" TargetMode="External"/><Relationship Id="rId491" Type="http://schemas.openxmlformats.org/officeDocument/2006/relationships/hyperlink" Target="https://clips.twitch.tv/SmoggySplendidRavenDogFace-tmlMoCV-g_6KtMSK" TargetMode="External"/><Relationship Id="rId490" Type="http://schemas.openxmlformats.org/officeDocument/2006/relationships/hyperlink" Target="https://youtu.be/N9_Ir9Dilcc?t=154" TargetMode="External"/><Relationship Id="rId489" Type="http://schemas.openxmlformats.org/officeDocument/2006/relationships/hyperlink" Target="https://youtu.be/skcVI4_NGxk" TargetMode="External"/><Relationship Id="rId484" Type="http://schemas.openxmlformats.org/officeDocument/2006/relationships/hyperlink" Target="https://clips.twitch.tv/SpotlessTriumphantGaurBudStar--xpKsXkMvpl2e0RE"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www.youtube.com/watch?v=a1XOO8sZNYE&amp;feature=youtu.be&amp;ab_channel=SMSArchives" TargetMode="External"/><Relationship Id="rId481" Type="http://schemas.openxmlformats.org/officeDocument/2006/relationships/hyperlink" Target="https://youtu.be/Ppzp61W2pkw" TargetMode="External"/><Relationship Id="rId488" Type="http://schemas.openxmlformats.org/officeDocument/2006/relationships/hyperlink" Target="https://www.youtube.com/watch?v=9Mg_6zbqw68&amp;feature=youtu.be&amp;ab_channel=SMSArchives" TargetMode="External"/><Relationship Id="rId487" Type="http://schemas.openxmlformats.org/officeDocument/2006/relationships/hyperlink" Target="https://www.youtube.com/watch?v=skcVI4_NGxk&amp;ab_channel=InkstarTwo" TargetMode="External"/><Relationship Id="rId486" Type="http://schemas.openxmlformats.org/officeDocument/2006/relationships/hyperlink" Target="https://www.youtube.com/watch?v=A6BicvgEOJc" TargetMode="External"/><Relationship Id="rId485" Type="http://schemas.openxmlformats.org/officeDocument/2006/relationships/hyperlink" Target="https://clips.twitch.tv/GoodNurturingMeerkatFeelsBadMan" TargetMode="External"/><Relationship Id="rId480" Type="http://schemas.openxmlformats.org/officeDocument/2006/relationships/hyperlink" Target="https://www.youtube.com/watch?v=j6VrOuXBUnA" TargetMode="External"/><Relationship Id="rId479" Type="http://schemas.openxmlformats.org/officeDocument/2006/relationships/hyperlink" Target="https://clips.twitch.tv/StrongPrettyDeerLeeroyJenkins-L18Iq20VbprK73-p"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youtube.com/watch?v=kpxMbm8UtAw" TargetMode="External"/><Relationship Id="rId472" Type="http://schemas.openxmlformats.org/officeDocument/2006/relationships/hyperlink" Target="https://www.twitch.tv/inkstaralt/clip/OptimisticDeafRabbitDogFace-0UQzeRJJYqmEjDd2" TargetMode="External"/><Relationship Id="rId471" Type="http://schemas.openxmlformats.org/officeDocument/2006/relationships/hyperlink" Target="https://www.twitch.tv/inkstaralt/clip/ColdRichWoodpeckerSSSsss-B0VUsT_Llk23zo7l" TargetMode="External"/><Relationship Id="rId470" Type="http://schemas.openxmlformats.org/officeDocument/2006/relationships/hyperlink" Target="https://youtu.be/BlmG6AjRpsM" TargetMode="External"/><Relationship Id="rId477" Type="http://schemas.openxmlformats.org/officeDocument/2006/relationships/hyperlink" Target="https://www.youtube.com/watch?v=_0rcL0hLJRI&amp;ab_channel=SMSArchives" TargetMode="External"/><Relationship Id="rId476" Type="http://schemas.openxmlformats.org/officeDocument/2006/relationships/hyperlink" Target="https://youtu.be/0W5pWtLW_m0" TargetMode="External"/><Relationship Id="rId475" Type="http://schemas.openxmlformats.org/officeDocument/2006/relationships/hyperlink" Target="https://www.twitch.tv/inkstaralt/clip/OptimisticDeafRabbitDogFace-0UQzeRJJYqmEjDd2" TargetMode="External"/><Relationship Id="rId474" Type="http://schemas.openxmlformats.org/officeDocument/2006/relationships/hyperlink" Target="https://youtu.be/RwKVvVVtiZo" TargetMode="External"/><Relationship Id="rId1257" Type="http://schemas.openxmlformats.org/officeDocument/2006/relationships/hyperlink" Target="https://youtu.be/f3lYWpZEEgI?si=M_bvwPGHYXWFfha4&amp;t=24" TargetMode="External"/><Relationship Id="rId1258" Type="http://schemas.openxmlformats.org/officeDocument/2006/relationships/hyperlink" Target="https://youtu.be/Viy4GiOKJXw" TargetMode="External"/><Relationship Id="rId1259" Type="http://schemas.openxmlformats.org/officeDocument/2006/relationships/hyperlink" Target="https://youtu.be/_ZkoUbYRWrk" TargetMode="External"/><Relationship Id="rId426" Type="http://schemas.openxmlformats.org/officeDocument/2006/relationships/hyperlink" Target="https://www.twitch.tv/aether10n/clip/AlertPeacefulWasabiNononoCat-08996oDwELHvoZkv" TargetMode="External"/><Relationship Id="rId425" Type="http://schemas.openxmlformats.org/officeDocument/2006/relationships/hyperlink" Target="https://youtu.be/IHfq0qyUhxY" TargetMode="External"/><Relationship Id="rId424" Type="http://schemas.openxmlformats.org/officeDocument/2006/relationships/hyperlink" Target="https://youtu.be/o55fBVwFGds" TargetMode="External"/><Relationship Id="rId423" Type="http://schemas.openxmlformats.org/officeDocument/2006/relationships/hyperlink" Target="https://www.youtube.com/watch?v=NZZVHtzpGf8&amp;feature=youtu.be" TargetMode="External"/><Relationship Id="rId429" Type="http://schemas.openxmlformats.org/officeDocument/2006/relationships/hyperlink" Target="https://youtu.be/qbES-1fpez4" TargetMode="External"/><Relationship Id="rId428" Type="http://schemas.openxmlformats.org/officeDocument/2006/relationships/hyperlink" Target="https://www.youtube.com/watch?v=Q8qm2_AF_dQ" TargetMode="External"/><Relationship Id="rId427" Type="http://schemas.openxmlformats.org/officeDocument/2006/relationships/hyperlink" Target="https://www.youtube.com/watch?v=NI-NJqZps9Q" TargetMode="External"/><Relationship Id="rId1250" Type="http://schemas.openxmlformats.org/officeDocument/2006/relationships/hyperlink" Target="https://www.youtube.com/watch?v=g8xqA7r4r_s"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youtu.be/tJDFV1A7was" TargetMode="External"/><Relationship Id="rId422" Type="http://schemas.openxmlformats.org/officeDocument/2006/relationships/hyperlink" Target="https://www.youtube.com/watch?v=Q8qm2_AF_dQ" TargetMode="External"/><Relationship Id="rId1253" Type="http://schemas.openxmlformats.org/officeDocument/2006/relationships/hyperlink" Target="https://www.youtube.com/watch?v=Z6OBxMRNy1o" TargetMode="External"/><Relationship Id="rId421" Type="http://schemas.openxmlformats.org/officeDocument/2006/relationships/hyperlink" Target="https://www.twitch.tv/aether10n/clip/ShyUnsightlyHedgehogMcaT-F-IpqmhwHXwzGRGe" TargetMode="External"/><Relationship Id="rId1254" Type="http://schemas.openxmlformats.org/officeDocument/2006/relationships/hyperlink" Target="https://www.twitch.tv/aether10n/clip/ArborealHyperTomatoFreakinStinkin-i8cJ2yY4z-aIlgPv" TargetMode="External"/><Relationship Id="rId420" Type="http://schemas.openxmlformats.org/officeDocument/2006/relationships/hyperlink" Target="https://youtu.be/wghWha2LlQw" TargetMode="External"/><Relationship Id="rId1255" Type="http://schemas.openxmlformats.org/officeDocument/2006/relationships/hyperlink" Target="https://youtu.be/Viy4GiOKJXw" TargetMode="External"/><Relationship Id="rId1256" Type="http://schemas.openxmlformats.org/officeDocument/2006/relationships/hyperlink" Target="https://youtu.be/fSPfpmktFMo" TargetMode="External"/><Relationship Id="rId1246" Type="http://schemas.openxmlformats.org/officeDocument/2006/relationships/hyperlink" Target="https://www.twitch.tv/videos/1280710333" TargetMode="External"/><Relationship Id="rId1247" Type="http://schemas.openxmlformats.org/officeDocument/2006/relationships/hyperlink" Target="https://youtu.be/CwbLgREWKVs" TargetMode="External"/><Relationship Id="rId1248" Type="http://schemas.openxmlformats.org/officeDocument/2006/relationships/hyperlink" Target="https://www.youtube.com/watch?v=c99cCXZCmK4" TargetMode="External"/><Relationship Id="rId1249" Type="http://schemas.openxmlformats.org/officeDocument/2006/relationships/hyperlink" Target="https://www.youtube.com/watch?v=prChNmUbKCc" TargetMode="External"/><Relationship Id="rId415" Type="http://schemas.openxmlformats.org/officeDocument/2006/relationships/hyperlink" Target="https://youtu.be/ivUTsBzfDHg" TargetMode="External"/><Relationship Id="rId414" Type="http://schemas.openxmlformats.org/officeDocument/2006/relationships/hyperlink" Target="https://youtu.be/qXTC3c4_020" TargetMode="External"/><Relationship Id="rId413" Type="http://schemas.openxmlformats.org/officeDocument/2006/relationships/hyperlink" Target="https://youtu.be/cyARbOEbcGg" TargetMode="External"/><Relationship Id="rId412" Type="http://schemas.openxmlformats.org/officeDocument/2006/relationships/hyperlink" Target="https://clips.twitch.tv/InventiveEnthusiasticGarageSquadGoals-26jYPHA8EYeT8qir"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www.youtube.com/watch?v=FyBi2NFueT8&amp;feature=youtu.be" TargetMode="External"/><Relationship Id="rId417" Type="http://schemas.openxmlformats.org/officeDocument/2006/relationships/hyperlink" Target="https://youtu.be/OM-F4f6zQao" TargetMode="External"/><Relationship Id="rId416" Type="http://schemas.openxmlformats.org/officeDocument/2006/relationships/hyperlink" Target="https://clips.twitch.tv/DarlingBusyElephantRickroll" TargetMode="External"/><Relationship Id="rId1240" Type="http://schemas.openxmlformats.org/officeDocument/2006/relationships/hyperlink" Target="https://youtu.be/_-CeL_OF9PE" TargetMode="External"/><Relationship Id="rId1241" Type="http://schemas.openxmlformats.org/officeDocument/2006/relationships/hyperlink" Target="https://clips.twitch.tv/VibrantBrightThymeStinkyCheese-x2GYoSaGQWXd9TQP" TargetMode="External"/><Relationship Id="rId411" Type="http://schemas.openxmlformats.org/officeDocument/2006/relationships/hyperlink" Target="https://clips.twitch.tv/OpenSpunkyChipmunkCharlietheUnicorn-RAP3dbZVmU3T3u9N" TargetMode="External"/><Relationship Id="rId1242" Type="http://schemas.openxmlformats.org/officeDocument/2006/relationships/hyperlink" Target="https://youtu.be/U9qXLAXAd7k" TargetMode="External"/><Relationship Id="rId410" Type="http://schemas.openxmlformats.org/officeDocument/2006/relationships/hyperlink" Target="https://youtu.be/Sl0Ip2EdlzE" TargetMode="External"/><Relationship Id="rId1243" Type="http://schemas.openxmlformats.org/officeDocument/2006/relationships/hyperlink" Target="https://youtu.be/MPlNTwHHCGk" TargetMode="External"/><Relationship Id="rId1244" Type="http://schemas.openxmlformats.org/officeDocument/2006/relationships/hyperlink" Target="https://www.youtube.com/watch?v=prChNmUbKCc" TargetMode="External"/><Relationship Id="rId1245" Type="http://schemas.openxmlformats.org/officeDocument/2006/relationships/hyperlink" Target="https://youtu.be/RUEB2vlTuT0" TargetMode="External"/><Relationship Id="rId1279" Type="http://schemas.openxmlformats.org/officeDocument/2006/relationships/hyperlink" Target="https://youtu.be/kHROQLQTclw" TargetMode="External"/><Relationship Id="rId448" Type="http://schemas.openxmlformats.org/officeDocument/2006/relationships/hyperlink" Target="https://youtu.be/zIoDxqcx17s" TargetMode="External"/><Relationship Id="rId447" Type="http://schemas.openxmlformats.org/officeDocument/2006/relationships/hyperlink" Target="https://youtu.be/QvN0zOZzm3E" TargetMode="External"/><Relationship Id="rId446" Type="http://schemas.openxmlformats.org/officeDocument/2006/relationships/hyperlink" Target="https://www.youtube.com/watch?v=mBiqa6naBR0" TargetMode="External"/><Relationship Id="rId445" Type="http://schemas.openxmlformats.org/officeDocument/2006/relationships/hyperlink" Target="https://youtu.be/HhtAzPsIKGw" TargetMode="External"/><Relationship Id="rId449" Type="http://schemas.openxmlformats.org/officeDocument/2006/relationships/hyperlink" Target="https://www.youtube.com/watch?v=TchMnAGP8Bk" TargetMode="External"/><Relationship Id="rId1270" Type="http://schemas.openxmlformats.org/officeDocument/2006/relationships/hyperlink" Target="https://youtu.be/Gqm-krmqD4k" TargetMode="External"/><Relationship Id="rId440" Type="http://schemas.openxmlformats.org/officeDocument/2006/relationships/hyperlink" Target="https://x.com/inkstarLum/status/1776195262429687861" TargetMode="External"/><Relationship Id="rId1271" Type="http://schemas.openxmlformats.org/officeDocument/2006/relationships/hyperlink" Target="https://www.youtube.com/watch?v=TZbdrUxQdY0" TargetMode="External"/><Relationship Id="rId1272" Type="http://schemas.openxmlformats.org/officeDocument/2006/relationships/hyperlink" Target="https://youtu.be/YMXdBLGHEEc" TargetMode="External"/><Relationship Id="rId1273" Type="http://schemas.openxmlformats.org/officeDocument/2006/relationships/hyperlink" Target="https://youtu.be/YMXdBLGHEEc" TargetMode="External"/><Relationship Id="rId1274" Type="http://schemas.openxmlformats.org/officeDocument/2006/relationships/hyperlink" Target="https://youtu.be/WSeZ9m3uFA4"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www.twitch.tv/jjsrl/clip/MuddyRoughGrasshopperOneHand-PfA0nue3cvmB_Jty" TargetMode="External"/><Relationship Id="rId443" Type="http://schemas.openxmlformats.org/officeDocument/2006/relationships/hyperlink" Target="https://youtu.be/rhH-obBC7Xs" TargetMode="External"/><Relationship Id="rId1276" Type="http://schemas.openxmlformats.org/officeDocument/2006/relationships/hyperlink" Target="https://www.youtube.com/watch?v=gGx9lxWwUa0" TargetMode="External"/><Relationship Id="rId442" Type="http://schemas.openxmlformats.org/officeDocument/2006/relationships/hyperlink" Target="https://www.youtube.com/watch?v=fHBpa4uY7Q4&amp;ab_channel=SMSArchives" TargetMode="External"/><Relationship Id="rId1277" Type="http://schemas.openxmlformats.org/officeDocument/2006/relationships/hyperlink" Target="https://youtu.be/_Gl10yuQ8FY" TargetMode="External"/><Relationship Id="rId441" Type="http://schemas.openxmlformats.org/officeDocument/2006/relationships/hyperlink" Target="https://clips.twitch.tv/ProudGorgeousPanJKanStyle-9IQRDaMr0xql6Q4q" TargetMode="External"/><Relationship Id="rId1278" Type="http://schemas.openxmlformats.org/officeDocument/2006/relationships/hyperlink" Target="https://youtu.be/ZczNTkR9KbE" TargetMode="External"/><Relationship Id="rId1268" Type="http://schemas.openxmlformats.org/officeDocument/2006/relationships/hyperlink" Target="https://clips.twitch.tv/GiftedRudeWebThisIsSparta-BzGe-Sy_N0q2Ld62" TargetMode="External"/><Relationship Id="rId1269" Type="http://schemas.openxmlformats.org/officeDocument/2006/relationships/hyperlink" Target="https://youtu.be/2RtyVMkalQs"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youtube.com/watch?v=r_uswKCtAME&amp;ab_channel=SMSArchives" TargetMode="External"/><Relationship Id="rId435" Type="http://schemas.openxmlformats.org/officeDocument/2006/relationships/hyperlink" Target="https://www.twitch.tv/videos/612666609" TargetMode="External"/><Relationship Id="rId434" Type="http://schemas.openxmlformats.org/officeDocument/2006/relationships/hyperlink" Target="https://youtu.be/IykrRIN2X6c" TargetMode="External"/><Relationship Id="rId439" Type="http://schemas.openxmlformats.org/officeDocument/2006/relationships/hyperlink" Target="https://youtu.be/jz0wywOgWQo" TargetMode="External"/><Relationship Id="rId438" Type="http://schemas.openxmlformats.org/officeDocument/2006/relationships/hyperlink" Target="https://clips.twitch.tv/AttractiveSourHorseAliens-8MAdcbWd07IbjGRo" TargetMode="External"/><Relationship Id="rId1260" Type="http://schemas.openxmlformats.org/officeDocument/2006/relationships/hyperlink" Target="https://www.youtube.com/watch?v=Ue1Nbckte5I" TargetMode="External"/><Relationship Id="rId1261" Type="http://schemas.openxmlformats.org/officeDocument/2006/relationships/hyperlink" Target="https://www.twitch.tv/aether10n/clip/RealTolerantEchidnaVoHiYo-Hqg1_-U6ZAgvw4jt" TargetMode="External"/><Relationship Id="rId1262" Type="http://schemas.openxmlformats.org/officeDocument/2006/relationships/hyperlink" Target="https://youtu.be/BO18jxRH70M" TargetMode="External"/><Relationship Id="rId1263" Type="http://schemas.openxmlformats.org/officeDocument/2006/relationships/hyperlink" Target="https://www.youtube.com/watch?v=uEdt3LvXS-I" TargetMode="External"/><Relationship Id="rId433" Type="http://schemas.openxmlformats.org/officeDocument/2006/relationships/hyperlink" Target="https://youtu.be/IykrRIN2X6c" TargetMode="External"/><Relationship Id="rId1264" Type="http://schemas.openxmlformats.org/officeDocument/2006/relationships/hyperlink" Target="https://www.youtube.com/watch?v=OoD4qy-ngWw&amp;feature=youtu.be&amp;ab_channel=SMSArchives" TargetMode="External"/><Relationship Id="rId432" Type="http://schemas.openxmlformats.org/officeDocument/2006/relationships/hyperlink" Target="https://clips.twitch.tv/TolerantProtectiveCobraUWot-kWAtwkWnge7PZSrc" TargetMode="External"/><Relationship Id="rId1265" Type="http://schemas.openxmlformats.org/officeDocument/2006/relationships/hyperlink" Target="https://youtu.be/rNaDwery3FE" TargetMode="External"/><Relationship Id="rId431" Type="http://schemas.openxmlformats.org/officeDocument/2006/relationships/hyperlink" Target="https://youtu.be/qbES-1fpez4" TargetMode="External"/><Relationship Id="rId1266" Type="http://schemas.openxmlformats.org/officeDocument/2006/relationships/hyperlink" Target="https://youtu.be/x7CDVxiIMcw" TargetMode="External"/><Relationship Id="rId430" Type="http://schemas.openxmlformats.org/officeDocument/2006/relationships/hyperlink" Target="https://youtu.be/N2Tx9AVUxJc"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397707786499276801" TargetMode="External"/><Relationship Id="rId807" Type="http://schemas.openxmlformats.org/officeDocument/2006/relationships/hyperlink" Target="https://www.youtube.com/watch?v=AbAClhLPIME" TargetMode="External"/><Relationship Id="rId806" Type="http://schemas.openxmlformats.org/officeDocument/2006/relationships/hyperlink" Target="https://discord.com/channels/83214196182880256/316530740063895554/1462177070359642415" TargetMode="External"/><Relationship Id="rId805" Type="http://schemas.openxmlformats.org/officeDocument/2006/relationships/hyperlink" Target="https://youtu.be/Cke2f2h42Ro" TargetMode="External"/><Relationship Id="rId809" Type="http://schemas.openxmlformats.org/officeDocument/2006/relationships/hyperlink" Target="https://youtu.be/nEeLpTRXpvo" TargetMode="External"/><Relationship Id="rId800" Type="http://schemas.openxmlformats.org/officeDocument/2006/relationships/hyperlink" Target="https://youtu.be/APzKq_CD0q4" TargetMode="External"/><Relationship Id="rId804" Type="http://schemas.openxmlformats.org/officeDocument/2006/relationships/hyperlink" Target="https://clips.twitch.tv/BelovedSpookyJackalKippa-_KkLbwjr3OzVjiF4" TargetMode="External"/><Relationship Id="rId803" Type="http://schemas.openxmlformats.org/officeDocument/2006/relationships/hyperlink" Target="https://youtu.be/SjCEv-auZMc" TargetMode="External"/><Relationship Id="rId802" Type="http://schemas.openxmlformats.org/officeDocument/2006/relationships/hyperlink" Target="https://clips.twitch.tv/NeighborlySuperWoodcockCmonBruh-qeGYsXV1WTlUHtMO" TargetMode="External"/><Relationship Id="rId801" Type="http://schemas.openxmlformats.org/officeDocument/2006/relationships/hyperlink" Target="https://youtu.be/QTpj3zZGHHc" TargetMode="External"/><Relationship Id="rId1334" Type="http://schemas.openxmlformats.org/officeDocument/2006/relationships/hyperlink" Target="https://youtu.be/ymTj7oKg9AA" TargetMode="External"/><Relationship Id="rId1335" Type="http://schemas.openxmlformats.org/officeDocument/2006/relationships/hyperlink" Target="https://www.twitch.tv/videos/1601827892" TargetMode="External"/><Relationship Id="rId1336" Type="http://schemas.openxmlformats.org/officeDocument/2006/relationships/hyperlink" Target="https://youtu.be/ZVx314GtAOQ" TargetMode="External"/><Relationship Id="rId1337" Type="http://schemas.openxmlformats.org/officeDocument/2006/relationships/hyperlink" Target="https://youtu.be/3DqzAPYrpF4" TargetMode="External"/><Relationship Id="rId1338" Type="http://schemas.openxmlformats.org/officeDocument/2006/relationships/hyperlink" Target="https://youtu.be/80CjYSyiwxo" TargetMode="External"/><Relationship Id="rId1339" Type="http://schemas.openxmlformats.org/officeDocument/2006/relationships/hyperlink" Target="https://youtu.be/tbWXxoNI9rc" TargetMode="External"/><Relationship Id="rId745" Type="http://schemas.openxmlformats.org/officeDocument/2006/relationships/hyperlink" Target="https://youtu.be/krPrARIZkpE" TargetMode="External"/><Relationship Id="rId744" Type="http://schemas.openxmlformats.org/officeDocument/2006/relationships/hyperlink" Target="https://www.youtube.com/watch?v=bLntip6c3cM&amp;feature=youtu.be" TargetMode="External"/><Relationship Id="rId743" Type="http://schemas.openxmlformats.org/officeDocument/2006/relationships/hyperlink" Target="https://www.youtube.com/watch?v=bLntip6c3cM"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youtu.be/R1jkpbFra_k" TargetMode="External"/><Relationship Id="rId748" Type="http://schemas.openxmlformats.org/officeDocument/2006/relationships/hyperlink" Target="https://youtu.be/R1jkpbFra_k" TargetMode="External"/><Relationship Id="rId747" Type="http://schemas.openxmlformats.org/officeDocument/2006/relationships/hyperlink" Target="https://www.twitch.tv/videos/858206031" TargetMode="External"/><Relationship Id="rId746" Type="http://schemas.openxmlformats.org/officeDocument/2006/relationships/hyperlink" Target="https://www.youtube.com/watch?v=Xez7zuPnhFs" TargetMode="External"/><Relationship Id="rId741" Type="http://schemas.openxmlformats.org/officeDocument/2006/relationships/hyperlink" Target="https://youtu.be/PeiDodR-cOo" TargetMode="External"/><Relationship Id="rId1330" Type="http://schemas.openxmlformats.org/officeDocument/2006/relationships/hyperlink" Target="https://youtu.be/vhC33um_174" TargetMode="External"/><Relationship Id="rId740" Type="http://schemas.openxmlformats.org/officeDocument/2006/relationships/hyperlink" Target="https://www.youtube.com/watch?v=v_k4PyWa-v8&amp;feature=youtu.be" TargetMode="External"/><Relationship Id="rId1331" Type="http://schemas.openxmlformats.org/officeDocument/2006/relationships/hyperlink" Target="https://youtu.be/Kyud9n21QFM" TargetMode="External"/><Relationship Id="rId1332" Type="http://schemas.openxmlformats.org/officeDocument/2006/relationships/hyperlink" Target="https://youtu.be/zbdC7rooh2Y?si=865g6-C8lEOoEopW"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HyperEvilThymeVoHiYo-po11OK77dQEmShef" TargetMode="External"/><Relationship Id="rId1324" Type="http://schemas.openxmlformats.org/officeDocument/2006/relationships/hyperlink" Target="https://youtu.be/y1GKQSO9qU0" TargetMode="External"/><Relationship Id="rId1325" Type="http://schemas.openxmlformats.org/officeDocument/2006/relationships/hyperlink" Target="https://youtu.be/ZgRlEQwomQ8" TargetMode="External"/><Relationship Id="rId1326" Type="http://schemas.openxmlformats.org/officeDocument/2006/relationships/hyperlink" Target="https://youtu.be/2qsci_GLiAo" TargetMode="External"/><Relationship Id="rId1327" Type="http://schemas.openxmlformats.org/officeDocument/2006/relationships/hyperlink" Target="https://youtu.be/nvtBwUPOOjs" TargetMode="External"/><Relationship Id="rId1328" Type="http://schemas.openxmlformats.org/officeDocument/2006/relationships/hyperlink" Target="https://www.youtube.com/watch?v=kbs-FSaXOdo" TargetMode="External"/><Relationship Id="rId1329" Type="http://schemas.openxmlformats.org/officeDocument/2006/relationships/hyperlink" Target="https://youtu.be/jLVcpoEDE-U" TargetMode="External"/><Relationship Id="rId739" Type="http://schemas.openxmlformats.org/officeDocument/2006/relationships/hyperlink" Target="https://www.youtube.com/watch?v=SaPHT9aS3Zk" TargetMode="External"/><Relationship Id="rId734" Type="http://schemas.openxmlformats.org/officeDocument/2006/relationships/hyperlink" Target="https://youtu.be/ZIFgUlRAmu8" TargetMode="External"/><Relationship Id="rId733" Type="http://schemas.openxmlformats.org/officeDocument/2006/relationships/hyperlink" Target="https://youtu.be/J1J56aATSTk" TargetMode="External"/><Relationship Id="rId732" Type="http://schemas.openxmlformats.org/officeDocument/2006/relationships/hyperlink" Target="https://youtu.be/fNkxLw3fgCI" TargetMode="External"/><Relationship Id="rId731" Type="http://schemas.openxmlformats.org/officeDocument/2006/relationships/hyperlink" Target="https://youtu.be/7OefaDdLpEA" TargetMode="External"/><Relationship Id="rId738" Type="http://schemas.openxmlformats.org/officeDocument/2006/relationships/hyperlink" Target="https://youtu.be/G-wdEZNJzVc" TargetMode="External"/><Relationship Id="rId737" Type="http://schemas.openxmlformats.org/officeDocument/2006/relationships/hyperlink" Target="https://youtu.be/TWoHlQ92h9Q" TargetMode="External"/><Relationship Id="rId736" Type="http://schemas.openxmlformats.org/officeDocument/2006/relationships/hyperlink" Target="https://clips.twitch.tv/FlirtyHandsomeDunlinDendiFace-kJAZpcey5Npw62mo" TargetMode="External"/><Relationship Id="rId735" Type="http://schemas.openxmlformats.org/officeDocument/2006/relationships/hyperlink" Target="https://youtu.be/KeUeFm8pgn4" TargetMode="External"/><Relationship Id="rId730" Type="http://schemas.openxmlformats.org/officeDocument/2006/relationships/hyperlink" Target="https://youtu.be/qgWRAu3ul_c?t=21" TargetMode="External"/><Relationship Id="rId1320" Type="http://schemas.openxmlformats.org/officeDocument/2006/relationships/hyperlink" Target="https://youtu.be/hLSXNf9Tyrs" TargetMode="External"/><Relationship Id="rId1321" Type="http://schemas.openxmlformats.org/officeDocument/2006/relationships/hyperlink" Target="https://youtu.be/2Um5c2WuWvI" TargetMode="External"/><Relationship Id="rId1322" Type="http://schemas.openxmlformats.org/officeDocument/2006/relationships/hyperlink" Target="https://youtu.be/JJujtnxFUXg" TargetMode="External"/><Relationship Id="rId1356" Type="http://schemas.openxmlformats.org/officeDocument/2006/relationships/hyperlink" Target="https://youtu.be/7pMKee3TeoI" TargetMode="External"/><Relationship Id="rId1357" Type="http://schemas.openxmlformats.org/officeDocument/2006/relationships/hyperlink" Target="https://youtu.be/Xo4t95JdZqM" TargetMode="External"/><Relationship Id="rId1358" Type="http://schemas.openxmlformats.org/officeDocument/2006/relationships/hyperlink" Target="https://youtu.be/Wfk3pXadilY" TargetMode="External"/><Relationship Id="rId1359" Type="http://schemas.openxmlformats.org/officeDocument/2006/relationships/hyperlink" Target="https://www.youtube.com/watch?v=6M4ARzKlbFE" TargetMode="External"/><Relationship Id="rId767" Type="http://schemas.openxmlformats.org/officeDocument/2006/relationships/hyperlink" Target="https://x.com/NoVidNoDidNoVid/status/1832344043004506145" TargetMode="External"/><Relationship Id="rId766" Type="http://schemas.openxmlformats.org/officeDocument/2006/relationships/hyperlink" Target="https://www.youtube.com/watch?v=0D1WmuC6U4U" TargetMode="External"/><Relationship Id="rId765" Type="http://schemas.openxmlformats.org/officeDocument/2006/relationships/hyperlink" Target="https://youtu.be/lal_goibTZQ" TargetMode="External"/><Relationship Id="rId764" Type="http://schemas.openxmlformats.org/officeDocument/2006/relationships/hyperlink" Target="https://www.youtube.com/watch?v=lal_goibTZQ"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youtu.be/LVWCQgi0L-o" TargetMode="External"/><Relationship Id="rId1350" Type="http://schemas.openxmlformats.org/officeDocument/2006/relationships/hyperlink" Target="https://youtu.be/RPNLhL9Mwx8" TargetMode="External"/><Relationship Id="rId1351" Type="http://schemas.openxmlformats.org/officeDocument/2006/relationships/hyperlink" Target="https://youtu.be/7pMKee3TeoI"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www.youtube.com/watch?v=_sGFnkXOmWA&amp;feature=youtu.be&amp;ab_channel=SMSArchives" TargetMode="External"/><Relationship Id="rId762" Type="http://schemas.openxmlformats.org/officeDocument/2006/relationships/hyperlink" Target="https://youtu.be/Kj-It4K_OhM" TargetMode="External"/><Relationship Id="rId1353" Type="http://schemas.openxmlformats.org/officeDocument/2006/relationships/hyperlink" Target="https://youtu.be/iDo6x9K8B4I" TargetMode="External"/><Relationship Id="rId761" Type="http://schemas.openxmlformats.org/officeDocument/2006/relationships/hyperlink" Target="https://www.youtube.com/watch?v=O40upq_B08g" TargetMode="External"/><Relationship Id="rId1354" Type="http://schemas.openxmlformats.org/officeDocument/2006/relationships/hyperlink" Target="https://youtu.be/NdyFOs0CNzA" TargetMode="External"/><Relationship Id="rId760" Type="http://schemas.openxmlformats.org/officeDocument/2006/relationships/hyperlink" Target="https://youtu.be/nuCK63baSJE" TargetMode="External"/><Relationship Id="rId1355" Type="http://schemas.openxmlformats.org/officeDocument/2006/relationships/hyperlink" Target="https://youtu.be/bDV8fM7A1eA" TargetMode="External"/><Relationship Id="rId1345" Type="http://schemas.openxmlformats.org/officeDocument/2006/relationships/hyperlink" Target="https://youtu.be/yaUZ7zMs4j0" TargetMode="External"/><Relationship Id="rId1346" Type="http://schemas.openxmlformats.org/officeDocument/2006/relationships/hyperlink" Target="https://youtu.be/xjXFOal4-QE"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uM1I8GG5zVk" TargetMode="External"/><Relationship Id="rId1349" Type="http://schemas.openxmlformats.org/officeDocument/2006/relationships/hyperlink" Target="https://youtu.be/3ASpf58HwCg" TargetMode="External"/><Relationship Id="rId756" Type="http://schemas.openxmlformats.org/officeDocument/2006/relationships/hyperlink" Target="https://youtu.be/0D1WmuC6U4U" TargetMode="External"/><Relationship Id="rId755" Type="http://schemas.openxmlformats.org/officeDocument/2006/relationships/hyperlink" Target="https://youtu.be/yHQXj8dLEcI" TargetMode="External"/><Relationship Id="rId754" Type="http://schemas.openxmlformats.org/officeDocument/2006/relationships/hyperlink" Target="https://youtu.be/NuQnnIyWGNo" TargetMode="External"/><Relationship Id="rId753" Type="http://schemas.openxmlformats.org/officeDocument/2006/relationships/hyperlink" Target="https://www.twitch.tv/videos/2440315971" TargetMode="External"/><Relationship Id="rId759" Type="http://schemas.openxmlformats.org/officeDocument/2006/relationships/hyperlink" Target="https://youtu.be/MuEnxiM27do" TargetMode="External"/><Relationship Id="rId758" Type="http://schemas.openxmlformats.org/officeDocument/2006/relationships/hyperlink" Target="https://www.youtube.com/watch?v=Q2AsFoe34RU" TargetMode="External"/><Relationship Id="rId757" Type="http://schemas.openxmlformats.org/officeDocument/2006/relationships/hyperlink" Target="https://youtu.be/Bv90oc-1vaw" TargetMode="External"/><Relationship Id="rId1340" Type="http://schemas.openxmlformats.org/officeDocument/2006/relationships/hyperlink" Target="https://clips.twitch.tv/NaiveSuperEyeballUWot-FjpYnzacEzYqQuiE" TargetMode="External"/><Relationship Id="rId752" Type="http://schemas.openxmlformats.org/officeDocument/2006/relationships/hyperlink" Target="https://youtu.be/PSzqdjJld2k" TargetMode="External"/><Relationship Id="rId1341" Type="http://schemas.openxmlformats.org/officeDocument/2006/relationships/hyperlink" Target="https://youtu.be/NdyFOs0CNzA" TargetMode="External"/><Relationship Id="rId751" Type="http://schemas.openxmlformats.org/officeDocument/2006/relationships/hyperlink" Target="https://youtu.be/CbOKw_Wf8YY" TargetMode="External"/><Relationship Id="rId1342" Type="http://schemas.openxmlformats.org/officeDocument/2006/relationships/hyperlink" Target="https://youtu.be/bEnkKuin0AU" TargetMode="External"/><Relationship Id="rId750" Type="http://schemas.openxmlformats.org/officeDocument/2006/relationships/hyperlink" Target="https://youtu.be/PSzqdjJld2k" TargetMode="External"/><Relationship Id="rId1343" Type="http://schemas.openxmlformats.org/officeDocument/2006/relationships/hyperlink" Target="https://clips.twitch.tv/SparklingSmilingWallabyCoolStoryBob-_ensxpQ0szxamxyd" TargetMode="External"/><Relationship Id="rId1344" Type="http://schemas.openxmlformats.org/officeDocument/2006/relationships/hyperlink" Target="https://youtu.be/Awt0kRubMRs" TargetMode="External"/><Relationship Id="rId709" Type="http://schemas.openxmlformats.org/officeDocument/2006/relationships/hyperlink" Target="https://www.youtube.com/watch?v=oqAI1AnVGTw" TargetMode="External"/><Relationship Id="rId708" Type="http://schemas.openxmlformats.org/officeDocument/2006/relationships/hyperlink" Target="https://youtu.be/ow4dPH8yC9s" TargetMode="External"/><Relationship Id="rId707" Type="http://schemas.openxmlformats.org/officeDocument/2006/relationships/hyperlink" Target="https://youtu.be/OHyWgRVZf7I" TargetMode="External"/><Relationship Id="rId706" Type="http://schemas.openxmlformats.org/officeDocument/2006/relationships/hyperlink" Target="https://clips.twitch.tv/CooperativeNastyPterodactylWOOP-nlp9xtnzKIkAzJr3" TargetMode="External"/><Relationship Id="rId701" Type="http://schemas.openxmlformats.org/officeDocument/2006/relationships/hyperlink" Target="https://youtu.be/YKbzldVDfBY" TargetMode="External"/><Relationship Id="rId700" Type="http://schemas.openxmlformats.org/officeDocument/2006/relationships/hyperlink" Target="https://www.youtube.com/watch?v=Uv0aJlkhDAY" TargetMode="External"/><Relationship Id="rId705" Type="http://schemas.openxmlformats.org/officeDocument/2006/relationships/hyperlink" Target="https://youtu.be/BrYWarX8tuI" TargetMode="External"/><Relationship Id="rId704" Type="http://schemas.openxmlformats.org/officeDocument/2006/relationships/hyperlink" Target="https://youtu.be/k33m68V_slY" TargetMode="External"/><Relationship Id="rId703" Type="http://schemas.openxmlformats.org/officeDocument/2006/relationships/hyperlink" Target="https://clips.twitch.tv/ExquisiteCourteousFlyUnSane"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youtu.be/KeVM5h8wzD4" TargetMode="External"/><Relationship Id="rId1313" Type="http://schemas.openxmlformats.org/officeDocument/2006/relationships/hyperlink" Target="https://youtu.be/PjJ5qtUp7UA" TargetMode="External"/><Relationship Id="rId1314" Type="http://schemas.openxmlformats.org/officeDocument/2006/relationships/hyperlink" Target="https://youtu.be/Ctn3rI5RKbg" TargetMode="External"/><Relationship Id="rId1315" Type="http://schemas.openxmlformats.org/officeDocument/2006/relationships/hyperlink" Target="https://youtu.be/osb0MUIpTXA" TargetMode="External"/><Relationship Id="rId1316" Type="http://schemas.openxmlformats.org/officeDocument/2006/relationships/hyperlink" Target="https://clips.twitch.tv/UnsightlyEmpathicPineappleBrokeBack--m-hDZdSRLdX1K6b" TargetMode="External"/><Relationship Id="rId1317" Type="http://schemas.openxmlformats.org/officeDocument/2006/relationships/hyperlink" Target="https://youtu.be/_iKhHERDn-k" TargetMode="External"/><Relationship Id="rId1318" Type="http://schemas.openxmlformats.org/officeDocument/2006/relationships/hyperlink" Target="https://youtu.be/JJujtnxFUXg" TargetMode="External"/><Relationship Id="rId1319" Type="http://schemas.openxmlformats.org/officeDocument/2006/relationships/hyperlink" Target="https://youtu.be/oWQXsAIPCvw" TargetMode="External"/><Relationship Id="rId729" Type="http://schemas.openxmlformats.org/officeDocument/2006/relationships/hyperlink" Target="https://youtu.be/wZNEwbgR9dA" TargetMode="External"/><Relationship Id="rId728" Type="http://schemas.openxmlformats.org/officeDocument/2006/relationships/hyperlink" Target="https://youtu.be/NfQkd-C-_aM" TargetMode="External"/><Relationship Id="rId723" Type="http://schemas.openxmlformats.org/officeDocument/2006/relationships/hyperlink" Target="https://youtu.be/rNfnEd8D4rc" TargetMode="External"/><Relationship Id="rId722" Type="http://schemas.openxmlformats.org/officeDocument/2006/relationships/hyperlink" Target="https://youtu.be/cHTgyDs6HJs" TargetMode="External"/><Relationship Id="rId721" Type="http://schemas.openxmlformats.org/officeDocument/2006/relationships/hyperlink" Target="https://youtu.be/cHTgyDs6HJs"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clips.twitch.tv/AntediluvianLachrymoseGazellePlanking-lZ4VqK5mIF7O-HHY" TargetMode="External"/><Relationship Id="rId726" Type="http://schemas.openxmlformats.org/officeDocument/2006/relationships/hyperlink" Target="https://www.twitch.tv/videos/619511051"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www.youtube.com/watch?v=FPAnKKWIYTg&amp;ab_channel=SMSArchives" TargetMode="External"/><Relationship Id="rId1310" Type="http://schemas.openxmlformats.org/officeDocument/2006/relationships/hyperlink" Target="https://www.youtube.com/watch?v=VpV6xsgvGRA" TargetMode="External"/><Relationship Id="rId1311" Type="http://schemas.openxmlformats.org/officeDocument/2006/relationships/hyperlink" Target="https://youtu.be/osb0MUIpTXA" TargetMode="External"/><Relationship Id="rId1301" Type="http://schemas.openxmlformats.org/officeDocument/2006/relationships/hyperlink" Target="https://youtu.be/n9Pgok3_gLk"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YWBDB6jLhH4" TargetMode="External"/><Relationship Id="rId1304" Type="http://schemas.openxmlformats.org/officeDocument/2006/relationships/hyperlink" Target="https://clips.twitch.tv/MildWittyHerbsLitFam-1tUBUJoQnTtzkoSc" TargetMode="External"/><Relationship Id="rId1305" Type="http://schemas.openxmlformats.org/officeDocument/2006/relationships/hyperlink" Target="https://youtu.be/BIwB8aMG3fk" TargetMode="External"/><Relationship Id="rId1306" Type="http://schemas.openxmlformats.org/officeDocument/2006/relationships/hyperlink" Target="https://www.youtube.com/watch?v=4SGAQETyNZ0" TargetMode="External"/><Relationship Id="rId1307" Type="http://schemas.openxmlformats.org/officeDocument/2006/relationships/hyperlink" Target="https://clips.twitch.tv/SweetHonorableFungusThunBeast-EqIPETChLfP9dMVx" TargetMode="External"/><Relationship Id="rId1308" Type="http://schemas.openxmlformats.org/officeDocument/2006/relationships/hyperlink" Target="https://www.twitch.tv/jpeppp/clip/AmericanDoubtfulLadiesPipeHype?filter=clips&amp;range=all&amp;sort=time" TargetMode="External"/><Relationship Id="rId1309" Type="http://schemas.openxmlformats.org/officeDocument/2006/relationships/hyperlink" Target="https://youtu.be/iIxItO2qyp0" TargetMode="External"/><Relationship Id="rId719" Type="http://schemas.openxmlformats.org/officeDocument/2006/relationships/hyperlink" Target="https://youtu.be/X4YBjn8dELU" TargetMode="External"/><Relationship Id="rId718" Type="http://schemas.openxmlformats.org/officeDocument/2006/relationships/hyperlink" Target="https://www.youtube.com/watch?v=W1_DUKh4Uw0" TargetMode="External"/><Relationship Id="rId717" Type="http://schemas.openxmlformats.org/officeDocument/2006/relationships/hyperlink" Target="https://www.youtube.com/watch?v=eo--zL00DgM" TargetMode="External"/><Relationship Id="rId712" Type="http://schemas.openxmlformats.org/officeDocument/2006/relationships/hyperlink" Target="https://youtu.be/A_yQLnPvXXE" TargetMode="External"/><Relationship Id="rId711" Type="http://schemas.openxmlformats.org/officeDocument/2006/relationships/hyperlink" Target="https://www.youtube.com/watch?v=Ysrd_D2YPF0" TargetMode="External"/><Relationship Id="rId710" Type="http://schemas.openxmlformats.org/officeDocument/2006/relationships/hyperlink" Target="https://youtu.be/y_-TwELbUww" TargetMode="External"/><Relationship Id="rId716" Type="http://schemas.openxmlformats.org/officeDocument/2006/relationships/hyperlink" Target="https://youtu.be/T-zfU5tN5_s" TargetMode="External"/><Relationship Id="rId715" Type="http://schemas.openxmlformats.org/officeDocument/2006/relationships/hyperlink" Target="https://youtu.be/IcsxITnRlDI" TargetMode="External"/><Relationship Id="rId714" Type="http://schemas.openxmlformats.org/officeDocument/2006/relationships/hyperlink" Target="https://www.twitch.tv/videos/1094609126" TargetMode="External"/><Relationship Id="rId713" Type="http://schemas.openxmlformats.org/officeDocument/2006/relationships/hyperlink" Target="https://youtu.be/cBK0qQ14qnY" TargetMode="External"/><Relationship Id="rId1300" Type="http://schemas.openxmlformats.org/officeDocument/2006/relationships/hyperlink" Target="https://www.youtube.com/watch?v=7798HAhO4wU&amp;feature=youtu.be&amp;ab_channel=SMSArchives" TargetMode="External"/><Relationship Id="rId1378" Type="http://schemas.openxmlformats.org/officeDocument/2006/relationships/hyperlink" Target="https://www.youtube.com/watch?v=BanNtsjIhb4&amp;feature=youtu.be&amp;ab_channel=SMSArchives" TargetMode="External"/><Relationship Id="rId1379" Type="http://schemas.openxmlformats.org/officeDocument/2006/relationships/hyperlink" Target="https://clips.twitch.tv/ConfidentRelievedGoblinNononoCat-lWNlVySfGUvshW8W" TargetMode="External"/><Relationship Id="rId789" Type="http://schemas.openxmlformats.org/officeDocument/2006/relationships/hyperlink" Target="https://youtu.be/BEA7ZEwgay0" TargetMode="External"/><Relationship Id="rId788" Type="http://schemas.openxmlformats.org/officeDocument/2006/relationships/hyperlink" Target="https://youtu.be/2iLl9FPmb_M" TargetMode="External"/><Relationship Id="rId787" Type="http://schemas.openxmlformats.org/officeDocument/2006/relationships/hyperlink" Target="https://clips.twitch.tv/DeterminedEndearingEggRlyTho-sgKJwt6uN0vG2CCK" TargetMode="External"/><Relationship Id="rId786" Type="http://schemas.openxmlformats.org/officeDocument/2006/relationships/hyperlink" Target="https://youtu.be/12uHMeHcCt0" TargetMode="External"/><Relationship Id="rId781" Type="http://schemas.openxmlformats.org/officeDocument/2006/relationships/hyperlink" Target="https://clips.twitch.tv/ResourcefulResourcefulKaleKeyboardCat-yoF7T0xqz9U5LtK2" TargetMode="External"/><Relationship Id="rId1370" Type="http://schemas.openxmlformats.org/officeDocument/2006/relationships/hyperlink" Target="https://youtu.be/_zy6O8EMW9o" TargetMode="External"/><Relationship Id="rId780" Type="http://schemas.openxmlformats.org/officeDocument/2006/relationships/hyperlink" Target="https://youtu.be/aO2WerGm9Lg" TargetMode="External"/><Relationship Id="rId1371" Type="http://schemas.openxmlformats.org/officeDocument/2006/relationships/hyperlink" Target="https://youtu.be/Vn-avrb6ChU" TargetMode="External"/><Relationship Id="rId1372" Type="http://schemas.openxmlformats.org/officeDocument/2006/relationships/hyperlink" Target="https://clips.twitch.tv/FunFilthyHerringPicoMause-5CS6RTHfNlvZK2Qq" TargetMode="External"/><Relationship Id="rId1373" Type="http://schemas.openxmlformats.org/officeDocument/2006/relationships/hyperlink" Target="https://www.twitch.tv/fech8763/clip/BenevolentEasyWatermelonFailFish?filter=clips&amp;range=all&amp;sort=time" TargetMode="External"/><Relationship Id="rId785" Type="http://schemas.openxmlformats.org/officeDocument/2006/relationships/hyperlink" Target="https://www.youtube.com/watch?v=yacYtuskVso&amp;t=92" TargetMode="External"/><Relationship Id="rId1374" Type="http://schemas.openxmlformats.org/officeDocument/2006/relationships/hyperlink" Target="https://www.twitch.tv/videos/2431608318" TargetMode="External"/><Relationship Id="rId784" Type="http://schemas.openxmlformats.org/officeDocument/2006/relationships/hyperlink" Target="https://youtu.be/O40upq_B08g" TargetMode="External"/><Relationship Id="rId1375" Type="http://schemas.openxmlformats.org/officeDocument/2006/relationships/hyperlink" Target="https://youtu.be/7_TAaxYxttU" TargetMode="External"/><Relationship Id="rId783" Type="http://schemas.openxmlformats.org/officeDocument/2006/relationships/hyperlink" Target="https://youtu.be/AAe-UhT8RE8" TargetMode="External"/><Relationship Id="rId1376" Type="http://schemas.openxmlformats.org/officeDocument/2006/relationships/hyperlink" Target="https://www.twitch.tv/videos/2628389365" TargetMode="External"/><Relationship Id="rId782" Type="http://schemas.openxmlformats.org/officeDocument/2006/relationships/hyperlink" Target="https://youtu.be/r8a_Y7dQwGc" TargetMode="External"/><Relationship Id="rId1377" Type="http://schemas.openxmlformats.org/officeDocument/2006/relationships/hyperlink" Target="https://clips.twitch.tv/ConfidentRelievedGoblinNononoCat-lWNlVySfGUvshW8W" TargetMode="External"/><Relationship Id="rId1367" Type="http://schemas.openxmlformats.org/officeDocument/2006/relationships/hyperlink" Target="https://youtu.be/pXkmcZIsCgA" TargetMode="External"/><Relationship Id="rId1368" Type="http://schemas.openxmlformats.org/officeDocument/2006/relationships/hyperlink" Target="https://youtu.be/Ep8IDi5o2Ec" TargetMode="External"/><Relationship Id="rId1369" Type="http://schemas.openxmlformats.org/officeDocument/2006/relationships/hyperlink" Target="https://youtu.be/gPYL3ON-eEU" TargetMode="External"/><Relationship Id="rId778" Type="http://schemas.openxmlformats.org/officeDocument/2006/relationships/hyperlink" Target="https://youtu.be/mjrN6UHMuWg" TargetMode="External"/><Relationship Id="rId777" Type="http://schemas.openxmlformats.org/officeDocument/2006/relationships/hyperlink" Target="https://www.youtube.com/watch?v=U36Xdyf9eLM" TargetMode="External"/><Relationship Id="rId776" Type="http://schemas.openxmlformats.org/officeDocument/2006/relationships/hyperlink" Target="https://youtu.be/O40upq_B08g" TargetMode="External"/><Relationship Id="rId775" Type="http://schemas.openxmlformats.org/officeDocument/2006/relationships/hyperlink" Target="https://youtu.be/BQCKRfpztFM" TargetMode="External"/><Relationship Id="rId779" Type="http://schemas.openxmlformats.org/officeDocument/2006/relationships/hyperlink" Target="https://www.youtube.com/watch?v=yacYtuskVso&amp;t=92s" TargetMode="External"/><Relationship Id="rId770" Type="http://schemas.openxmlformats.org/officeDocument/2006/relationships/hyperlink" Target="https://www.youtube.com/watch?v=XtM9r8G5uZE" TargetMode="External"/><Relationship Id="rId1360" Type="http://schemas.openxmlformats.org/officeDocument/2006/relationships/hyperlink" Target="https://www.youtube.com/watch?v=etTxUYPYcg4" TargetMode="External"/><Relationship Id="rId1361" Type="http://schemas.openxmlformats.org/officeDocument/2006/relationships/hyperlink" Target="https://youtu.be/XJPRsCvWvWI" TargetMode="External"/><Relationship Id="rId1362" Type="http://schemas.openxmlformats.org/officeDocument/2006/relationships/hyperlink" Target="https://twitter.com/inkstarLum/status/1713868539566899289" TargetMode="External"/><Relationship Id="rId774" Type="http://schemas.openxmlformats.org/officeDocument/2006/relationships/hyperlink" Target="https://youtu.be/br_0gfC2ANk" TargetMode="External"/><Relationship Id="rId1363" Type="http://schemas.openxmlformats.org/officeDocument/2006/relationships/hyperlink" Target="https://youtu.be/IVozaNgTvUE" TargetMode="External"/><Relationship Id="rId773" Type="http://schemas.openxmlformats.org/officeDocument/2006/relationships/hyperlink" Target="https://www.youtube.com/watch?v=98kA5EcsFIk" TargetMode="External"/><Relationship Id="rId1364" Type="http://schemas.openxmlformats.org/officeDocument/2006/relationships/hyperlink" Target="https://www.youtube.com/watch?v=sqTuGwDvVjI&amp;feature=youtu.be&amp;ab_channel=SMSArchives" TargetMode="External"/><Relationship Id="rId772" Type="http://schemas.openxmlformats.org/officeDocument/2006/relationships/hyperlink" Target="https://youtu.be/drrgdFIAhcY" TargetMode="External"/><Relationship Id="rId1365" Type="http://schemas.openxmlformats.org/officeDocument/2006/relationships/hyperlink" Target="https://youtu.be/7_TAaxYxttU" TargetMode="External"/><Relationship Id="rId771" Type="http://schemas.openxmlformats.org/officeDocument/2006/relationships/hyperlink" Target="https://youtu.be/drrgdFIAhcY" TargetMode="External"/><Relationship Id="rId1366" Type="http://schemas.openxmlformats.org/officeDocument/2006/relationships/hyperlink" Target="https://x.com/inkstarLum/status/1713868539566899289?s=20" TargetMode="External"/><Relationship Id="rId1390" Type="http://schemas.openxmlformats.org/officeDocument/2006/relationships/hyperlink" Target="https://www.youtube.com/watch?v=k5V8na3uoBY" TargetMode="External"/><Relationship Id="rId1391" Type="http://schemas.openxmlformats.org/officeDocument/2006/relationships/hyperlink" Target="https://www.youtube.com/watch?v=-QrOv5szwRs&amp;feature=youtu.be&amp;ab_channel=SMSArchives" TargetMode="External"/><Relationship Id="rId1392" Type="http://schemas.openxmlformats.org/officeDocument/2006/relationships/hyperlink" Target="https://youtu.be/O8P9PpENARI" TargetMode="External"/><Relationship Id="rId1393" Type="http://schemas.openxmlformats.org/officeDocument/2006/relationships/hyperlink" Target="https://youtu.be/MHOSL-gR_ZE" TargetMode="External"/><Relationship Id="rId1394" Type="http://schemas.openxmlformats.org/officeDocument/2006/relationships/hyperlink" Target="https://youtu.be/6fp0twJPjPo" TargetMode="External"/><Relationship Id="rId1395" Type="http://schemas.openxmlformats.org/officeDocument/2006/relationships/hyperlink" Target="https://youtu.be/TtbKVZj2o3k" TargetMode="External"/><Relationship Id="rId1396" Type="http://schemas.openxmlformats.org/officeDocument/2006/relationships/hyperlink" Target="https://youtu.be/BQscRiGi4hc" TargetMode="External"/><Relationship Id="rId1397" Type="http://schemas.openxmlformats.org/officeDocument/2006/relationships/hyperlink" Target="https://youtu.be/tFgAtSSQHpQ"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BJNJgSLnXTM" TargetMode="External"/><Relationship Id="rId1389" Type="http://schemas.openxmlformats.org/officeDocument/2006/relationships/hyperlink" Target="https://clips.twitch.tv/FurryThirstyGaurUncleNox-62xsKc6hM-iBI_O-" TargetMode="External"/><Relationship Id="rId799" Type="http://schemas.openxmlformats.org/officeDocument/2006/relationships/hyperlink" Target="https://www.youtube.com/watch?v=5GP15z6C5YY" TargetMode="External"/><Relationship Id="rId798" Type="http://schemas.openxmlformats.org/officeDocument/2006/relationships/hyperlink" Target="https://youtu.be/PSR8d6nBOfQ"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hHITvO7Xue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youtu.be/TX8Oe2Rwyuw" TargetMode="External"/><Relationship Id="rId791" Type="http://schemas.openxmlformats.org/officeDocument/2006/relationships/hyperlink" Target="https://youtu.be/JA2XOvmdhP8" TargetMode="External"/><Relationship Id="rId1382" Type="http://schemas.openxmlformats.org/officeDocument/2006/relationships/hyperlink" Target="https://youtu.be/Ay4FY71sJJo" TargetMode="External"/><Relationship Id="rId790" Type="http://schemas.openxmlformats.org/officeDocument/2006/relationships/hyperlink" Target="https://clips.twitch.tv/AltruisticPunchyTaroDansGame-KyF6ZzcCkPOQUeOP" TargetMode="External"/><Relationship Id="rId1383" Type="http://schemas.openxmlformats.org/officeDocument/2006/relationships/hyperlink" Target="https://youtu.be/fpEEA8nWq0Q" TargetMode="External"/><Relationship Id="rId1384" Type="http://schemas.openxmlformats.org/officeDocument/2006/relationships/hyperlink" Target="https://www.youtube.com/watch?v=BTK27xUh2So&amp;feature=youtu.be&amp;ab_channel=SMSArchives" TargetMode="External"/><Relationship Id="rId796" Type="http://schemas.openxmlformats.org/officeDocument/2006/relationships/hyperlink" Target="https://youtu.be/RzlVqd8meSA" TargetMode="External"/><Relationship Id="rId1385" Type="http://schemas.openxmlformats.org/officeDocument/2006/relationships/hyperlink" Target="https://youtu.be/phvKkRyVEV4" TargetMode="External"/><Relationship Id="rId795" Type="http://schemas.openxmlformats.org/officeDocument/2006/relationships/hyperlink" Target="https://clips.twitch.tv/EnthusiasticBelovedPhoneFunRun-MC7Yp_tJXP_BpWwK" TargetMode="External"/><Relationship Id="rId1386" Type="http://schemas.openxmlformats.org/officeDocument/2006/relationships/hyperlink" Target="https://www.twitch.tv/aether10n/clip/ScaryConsiderateFiddleheadsDxCat-f8GjA5Tm09xtdZUY" TargetMode="External"/><Relationship Id="rId794" Type="http://schemas.openxmlformats.org/officeDocument/2006/relationships/hyperlink" Target="https://clips.twitch.tv/FantasticPoisedPigRiPepperonis-wvZoah9_RniFY7ay" TargetMode="External"/><Relationship Id="rId1387" Type="http://schemas.openxmlformats.org/officeDocument/2006/relationships/hyperlink" Target="https://www.youtube.com/watch?v=4YO7lfEtNd8" TargetMode="External"/><Relationship Id="rId793" Type="http://schemas.openxmlformats.org/officeDocument/2006/relationships/hyperlink" Target="https://youtu.be/lal_goibTZQ" TargetMode="External"/><Relationship Id="rId1388" Type="http://schemas.openxmlformats.org/officeDocument/2006/relationships/hyperlink" Target="https://youtu.be/Ay4FY71sJJo" TargetMode="External"/><Relationship Id="rId1455" Type="http://schemas.openxmlformats.org/officeDocument/2006/relationships/hyperlink" Target="https://youtu.be/eiCkNYWehy4" TargetMode="External"/><Relationship Id="rId1456" Type="http://schemas.openxmlformats.org/officeDocument/2006/relationships/hyperlink" Target="https://www.youtube.com/watch?v=hcTcNFer4OU&amp;feature=youtu.be" TargetMode="External"/><Relationship Id="rId1457" Type="http://schemas.openxmlformats.org/officeDocument/2006/relationships/hyperlink" Target="https://www.youtube.com/watch?v=ZkG3KBpCrzc&amp;feature=youtu.be&amp;ab_channel=SMSArchives"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WiA_s8jlj7A" TargetMode="External"/><Relationship Id="rId629" Type="http://schemas.openxmlformats.org/officeDocument/2006/relationships/hyperlink" Target="https://youtu.be/2ED26P-b1Nw" TargetMode="External"/><Relationship Id="rId624" Type="http://schemas.openxmlformats.org/officeDocument/2006/relationships/hyperlink" Target="https://youtu.be/dPF00ycInFI" TargetMode="External"/><Relationship Id="rId623" Type="http://schemas.openxmlformats.org/officeDocument/2006/relationships/hyperlink" Target="https://youtu.be/uokFysnxkns" TargetMode="External"/><Relationship Id="rId622" Type="http://schemas.openxmlformats.org/officeDocument/2006/relationships/hyperlink" Target="https://youtu.be/CGnFPQNDQfo" TargetMode="External"/><Relationship Id="rId621" Type="http://schemas.openxmlformats.org/officeDocument/2006/relationships/hyperlink" Target="https://youtu.be/dPF00ycInFI" TargetMode="External"/><Relationship Id="rId628" Type="http://schemas.openxmlformats.org/officeDocument/2006/relationships/hyperlink" Target="https://youtu.be/g4IOPGi3Z78" TargetMode="External"/><Relationship Id="rId627" Type="http://schemas.openxmlformats.org/officeDocument/2006/relationships/hyperlink" Target="https://youtu.be/x-k4Bjyv388" TargetMode="External"/><Relationship Id="rId626" Type="http://schemas.openxmlformats.org/officeDocument/2006/relationships/hyperlink" Target="https://youtu.be/x-k4Bjyv388" TargetMode="External"/><Relationship Id="rId625" Type="http://schemas.openxmlformats.org/officeDocument/2006/relationships/hyperlink" Target="https://youtu.be/YDxrxFj0Jv0" TargetMode="External"/><Relationship Id="rId1450" Type="http://schemas.openxmlformats.org/officeDocument/2006/relationships/hyperlink" Target="https://www.youtube.com/watch?v=9kxYuxGiQNM" TargetMode="External"/><Relationship Id="rId620" Type="http://schemas.openxmlformats.org/officeDocument/2006/relationships/hyperlink" Target="https://youtu.be/sU4vaAxT7UM" TargetMode="External"/><Relationship Id="rId1451" Type="http://schemas.openxmlformats.org/officeDocument/2006/relationships/hyperlink" Target="https://youtu.be/6BHwPzwPmWQ" TargetMode="External"/><Relationship Id="rId1452" Type="http://schemas.openxmlformats.org/officeDocument/2006/relationships/hyperlink" Target="https://youtu.be/6BHwPzwPmWQ" TargetMode="External"/><Relationship Id="rId1453" Type="http://schemas.openxmlformats.org/officeDocument/2006/relationships/hyperlink" Target="https://youtu.be/iLGsEwZu7rM" TargetMode="External"/><Relationship Id="rId1454" Type="http://schemas.openxmlformats.org/officeDocument/2006/relationships/hyperlink" Target="https://www.youtube.com/watch?v=hcTcNFer4OU&amp;feature=youtu.be" TargetMode="External"/><Relationship Id="rId1444" Type="http://schemas.openxmlformats.org/officeDocument/2006/relationships/hyperlink" Target="https://youtu.be/8mtRTj2BYn0" TargetMode="External"/><Relationship Id="rId1445" Type="http://schemas.openxmlformats.org/officeDocument/2006/relationships/hyperlink" Target="https://youtu.be/v7YmhszjVIs" TargetMode="External"/><Relationship Id="rId1446" Type="http://schemas.openxmlformats.org/officeDocument/2006/relationships/hyperlink" Target="https://clips.twitch.tv/RelatedCoyWaspOhMyDog-Jn-IO2hOlpCeg8LO" TargetMode="External"/><Relationship Id="rId1447" Type="http://schemas.openxmlformats.org/officeDocument/2006/relationships/hyperlink" Target="https://youtu.be/84gmAUcAD6Y" TargetMode="External"/><Relationship Id="rId1448" Type="http://schemas.openxmlformats.org/officeDocument/2006/relationships/hyperlink" Target="https://youtu.be/Kk8g_-PNVdk" TargetMode="External"/><Relationship Id="rId1449" Type="http://schemas.openxmlformats.org/officeDocument/2006/relationships/hyperlink" Target="https://youtu.be/foVg2cBpyeA" TargetMode="External"/><Relationship Id="rId619" Type="http://schemas.openxmlformats.org/officeDocument/2006/relationships/hyperlink" Target="https://youtu.be/KjNogRhrE7o" TargetMode="External"/><Relationship Id="rId618" Type="http://schemas.openxmlformats.org/officeDocument/2006/relationships/hyperlink" Target="https://www.youtube.com/watch?v=cuxp4og-e9I" TargetMode="External"/><Relationship Id="rId613" Type="http://schemas.openxmlformats.org/officeDocument/2006/relationships/hyperlink" Target="https://youtu.be/WjT8sgQZIU0" TargetMode="External"/><Relationship Id="rId612" Type="http://schemas.openxmlformats.org/officeDocument/2006/relationships/hyperlink" Target="https://www.youtube.com/watch?v=H4iAqO54Z9k&amp;t=182s" TargetMode="External"/><Relationship Id="rId611" Type="http://schemas.openxmlformats.org/officeDocument/2006/relationships/hyperlink" Target="https://www.youtube.com/watch?v=RqAsb8giAqw" TargetMode="External"/><Relationship Id="rId610" Type="http://schemas.openxmlformats.org/officeDocument/2006/relationships/hyperlink" Target="https://youtu.be/Vaz9RLUdUKI" TargetMode="External"/><Relationship Id="rId617" Type="http://schemas.openxmlformats.org/officeDocument/2006/relationships/hyperlink" Target="https://youtu.be/azAp4GAinUA" TargetMode="External"/><Relationship Id="rId616" Type="http://schemas.openxmlformats.org/officeDocument/2006/relationships/hyperlink" Target="https://www.youtube.com/watch?v=tVg0AtjUCLU&amp;feature=youtu.be" TargetMode="External"/><Relationship Id="rId615" Type="http://schemas.openxmlformats.org/officeDocument/2006/relationships/hyperlink" Target="https://youtu.be/Q_MyVwQo4yM" TargetMode="External"/><Relationship Id="rId614" Type="http://schemas.openxmlformats.org/officeDocument/2006/relationships/hyperlink" Target="https://youtu.be/fEVEtyTrceo" TargetMode="External"/><Relationship Id="rId1440" Type="http://schemas.openxmlformats.org/officeDocument/2006/relationships/hyperlink" Target="https://youtu.be/nO0zfCsMG4c" TargetMode="External"/><Relationship Id="rId1441" Type="http://schemas.openxmlformats.org/officeDocument/2006/relationships/hyperlink" Target="https://youtu.be/tbvTUyC2vMc" TargetMode="External"/><Relationship Id="rId1442" Type="http://schemas.openxmlformats.org/officeDocument/2006/relationships/hyperlink" Target="https://youtu.be/foVg2cBpyeA" TargetMode="External"/><Relationship Id="rId1443" Type="http://schemas.openxmlformats.org/officeDocument/2006/relationships/hyperlink" Target="https://youtu.be/zDa47CZ6kZE" TargetMode="External"/><Relationship Id="rId1477" Type="http://schemas.openxmlformats.org/officeDocument/2006/relationships/hyperlink" Target="https://youtu.be/GMvPH3mzKms" TargetMode="External"/><Relationship Id="rId1478" Type="http://schemas.openxmlformats.org/officeDocument/2006/relationships/hyperlink" Target="https://youtu.be/kKX5vObntZM" TargetMode="External"/><Relationship Id="rId1479" Type="http://schemas.openxmlformats.org/officeDocument/2006/relationships/hyperlink" Target="https://youtu.be/0LjLuRGKBuU" TargetMode="External"/><Relationship Id="rId646" Type="http://schemas.openxmlformats.org/officeDocument/2006/relationships/hyperlink" Target="https://youtu.be/mQcB8t9PNLk" TargetMode="External"/><Relationship Id="rId645" Type="http://schemas.openxmlformats.org/officeDocument/2006/relationships/hyperlink" Target="https://www.youtube.com/watch?v=gkNrjiU7IqM"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WsC9mdp15iA"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youtu.be/SdpYg6f9g1I" TargetMode="External"/><Relationship Id="rId647" Type="http://schemas.openxmlformats.org/officeDocument/2006/relationships/hyperlink" Target="https://clips.twitch.tv/LazyBombasticGarbageAMPEnergyCherry-5lqKrR82MALq2b-v" TargetMode="External"/><Relationship Id="rId1470" Type="http://schemas.openxmlformats.org/officeDocument/2006/relationships/hyperlink" Target="https://www.youtube.com/watch?v=OpTA_7UxBBY&amp;feature=youtu.be&amp;ab_channel=SMSArchives" TargetMode="External"/><Relationship Id="rId1471" Type="http://schemas.openxmlformats.org/officeDocument/2006/relationships/hyperlink" Target="https://www.twitch.tv/inkstar/clip/SeductiveAbnegateFiddleheadsMoreCowbell-x_2PMJnytMc-LQlp" TargetMode="External"/><Relationship Id="rId1472" Type="http://schemas.openxmlformats.org/officeDocument/2006/relationships/hyperlink" Target="https://www.youtube.com/watch?v=OpTA_7UxBBY&amp;feature=youtu.be&amp;ab_channel=SMSArchives" TargetMode="External"/><Relationship Id="rId642" Type="http://schemas.openxmlformats.org/officeDocument/2006/relationships/hyperlink" Target="https://clips.twitch.tv/EagerArbitraryWatercressWholeWheat-gtoSHimDN1AEPZcW" TargetMode="External"/><Relationship Id="rId1473" Type="http://schemas.openxmlformats.org/officeDocument/2006/relationships/hyperlink" Target="https://www.youtube.com/watch?v=s6IL-ns6Ls4&amp;feature=youtu.be&amp;ab_channel=SMSArchives" TargetMode="External"/><Relationship Id="rId641" Type="http://schemas.openxmlformats.org/officeDocument/2006/relationships/hyperlink" Target="https://youtu.be/33j_ITo0EQ0"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twitter.com/Qbe_Root/status/1401171758330355718" TargetMode="External"/><Relationship Id="rId1475" Type="http://schemas.openxmlformats.org/officeDocument/2006/relationships/hyperlink" Target="https://youtu.be/UAaPTc80xqw?t=8" TargetMode="External"/><Relationship Id="rId1476" Type="http://schemas.openxmlformats.org/officeDocument/2006/relationships/hyperlink" Target="https://youtu.be/GMvPH3mzKms" TargetMode="External"/><Relationship Id="rId1466" Type="http://schemas.openxmlformats.org/officeDocument/2006/relationships/hyperlink" Target="https://www.twitch.tv/inkstar/clip/VastCrepuscularSushiPipeHype-Imd_diqh-fCie2-P" TargetMode="External"/><Relationship Id="rId1467" Type="http://schemas.openxmlformats.org/officeDocument/2006/relationships/hyperlink" Target="https://clips.twitch.tv/AdorableStupidBobaCoolStoryBob-1Ku-LnXmTl-vKKP1" TargetMode="External"/><Relationship Id="rId1468" Type="http://schemas.openxmlformats.org/officeDocument/2006/relationships/hyperlink" Target="https://www.twitch.tv/inkstar/clip/VastCrepuscularSushiPipeHype-Imd_diqh-fCie2-P" TargetMode="External"/><Relationship Id="rId1469" Type="http://schemas.openxmlformats.org/officeDocument/2006/relationships/hyperlink" Target="https://www.youtube.com/watch?v=kQj1nHa8jcM&amp;ab_channel=SMSArchives" TargetMode="External"/><Relationship Id="rId635" Type="http://schemas.openxmlformats.org/officeDocument/2006/relationships/hyperlink" Target="https://x.com/inkstarLum/status/1805002791716528633" TargetMode="External"/><Relationship Id="rId634" Type="http://schemas.openxmlformats.org/officeDocument/2006/relationships/hyperlink" Target="https://clips.twitch.tv/AntsyUnsightlyAntelopeNotATK" TargetMode="External"/><Relationship Id="rId633" Type="http://schemas.openxmlformats.org/officeDocument/2006/relationships/hyperlink" Target="https://clips.twitch.tv/ColorfulInterestingEmuRitzMitz" TargetMode="External"/><Relationship Id="rId632" Type="http://schemas.openxmlformats.org/officeDocument/2006/relationships/hyperlink" Target="https://youtu.be/uCjc_GJny4I" TargetMode="External"/><Relationship Id="rId639" Type="http://schemas.openxmlformats.org/officeDocument/2006/relationships/hyperlink" Target="https://www.youtube.com/watch?v=-aqgEfzkVAg&amp;ab_channel=frededish" TargetMode="External"/><Relationship Id="rId638" Type="http://schemas.openxmlformats.org/officeDocument/2006/relationships/hyperlink" Target="https://youtu.be/Ev_tzMFl7Mo"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youtu.be/tDqVCEpZM_s" TargetMode="External"/><Relationship Id="rId1460" Type="http://schemas.openxmlformats.org/officeDocument/2006/relationships/hyperlink" Target="https://www.twitch.tv/inkstar/clip/CrispyCulturedPandaStoneLightning-lyWta_WLqXhBTwAt" TargetMode="External"/><Relationship Id="rId1461" Type="http://schemas.openxmlformats.org/officeDocument/2006/relationships/hyperlink" Target="https://youtu.be/ONge9Un7EcM" TargetMode="External"/><Relationship Id="rId631" Type="http://schemas.openxmlformats.org/officeDocument/2006/relationships/hyperlink" Target="https://youtu.be/2ED26P-b1Nw" TargetMode="External"/><Relationship Id="rId1462" Type="http://schemas.openxmlformats.org/officeDocument/2006/relationships/hyperlink" Target="https://www.twitch.tv/inkstar/clip/CrispyCulturedPandaStoneLightning-lyWta_WLqXhBTwAt" TargetMode="External"/><Relationship Id="rId630" Type="http://schemas.openxmlformats.org/officeDocument/2006/relationships/hyperlink" Target="https://youtu.be/H1gHKKF0jUU" TargetMode="External"/><Relationship Id="rId1463" Type="http://schemas.openxmlformats.org/officeDocument/2006/relationships/hyperlink" Target="https://youtu.be/wUbxoT-_Ka4?si=ya6MiO3ekHO5i1aD" TargetMode="External"/><Relationship Id="rId1464" Type="http://schemas.openxmlformats.org/officeDocument/2006/relationships/hyperlink" Target="https://www.youtube.com/watch?v=x9C3Vksljgg"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4AA621TpKiM" TargetMode="External"/><Relationship Id="rId1412" Type="http://schemas.openxmlformats.org/officeDocument/2006/relationships/hyperlink" Target="https://youtu.be/qQm2BH-evQ0" TargetMode="External"/><Relationship Id="rId1413" Type="http://schemas.openxmlformats.org/officeDocument/2006/relationships/hyperlink" Target="https://youtu.be/WpmrZiHdUmg" TargetMode="External"/><Relationship Id="rId1414" Type="http://schemas.openxmlformats.org/officeDocument/2006/relationships/hyperlink" Target="https://youtu.be/8WTflQ-UW8o" TargetMode="External"/><Relationship Id="rId1415" Type="http://schemas.openxmlformats.org/officeDocument/2006/relationships/hyperlink" Target="https://youtu.be/7487BVlZ3jQ" TargetMode="External"/><Relationship Id="rId1416" Type="http://schemas.openxmlformats.org/officeDocument/2006/relationships/hyperlink" Target="https://www.twitch.tv/videos/805711247" TargetMode="External"/><Relationship Id="rId1417" Type="http://schemas.openxmlformats.org/officeDocument/2006/relationships/hyperlink" Target="https://youtu.be/7487BVlZ3jQ" TargetMode="External"/><Relationship Id="rId1418" Type="http://schemas.openxmlformats.org/officeDocument/2006/relationships/hyperlink" Target="https://www.youtube.com/watch?v=fZ8dHKCXFgA&amp;feature=youtu.be&amp;ab_channel=SMSArchives"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www.youtube.com/watch?v=BMSXJYuCAok" TargetMode="External"/><Relationship Id="rId1400" Type="http://schemas.openxmlformats.org/officeDocument/2006/relationships/hyperlink" Target="https://youtu.be/vRTP-4qZ-TE" TargetMode="External"/><Relationship Id="rId1401" Type="http://schemas.openxmlformats.org/officeDocument/2006/relationships/hyperlink" Target="https://youtu.be/dpYU8IDFLKY" TargetMode="External"/><Relationship Id="rId1402" Type="http://schemas.openxmlformats.org/officeDocument/2006/relationships/hyperlink" Target="https://x.com/175akane/status/1895098244394316126"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www.twitch.tv/inkstar/clip/MotionlessMildFennelBibleThump-uP9k_t7gPZiBywfx"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youtu.be/4oISpHWupWc" TargetMode="External"/><Relationship Id="rId1407" Type="http://schemas.openxmlformats.org/officeDocument/2006/relationships/hyperlink" Target="https://www.youtube.com/watch?v=NVot0WUxsoM&amp;feature=youtu.be&amp;ab_channel=SMSArchives" TargetMode="External"/><Relationship Id="rId1408" Type="http://schemas.openxmlformats.org/officeDocument/2006/relationships/hyperlink" Target="https://www.youtube.com/watch?v=fcbTy4CZXv4" TargetMode="External"/><Relationship Id="rId1409" Type="http://schemas.openxmlformats.org/officeDocument/2006/relationships/hyperlink" Target="https://youtu.be/BnHhD0LrPMw" TargetMode="External"/><Relationship Id="rId1433" Type="http://schemas.openxmlformats.org/officeDocument/2006/relationships/hyperlink" Target="https://youtu.be/3QYNV827jxk" TargetMode="External"/><Relationship Id="rId1434" Type="http://schemas.openxmlformats.org/officeDocument/2006/relationships/hyperlink" Target="https://www.youtube.com/watch?v=_x8uBJYB3rw" TargetMode="External"/><Relationship Id="rId1435" Type="http://schemas.openxmlformats.org/officeDocument/2006/relationships/hyperlink" Target="https://youtu.be/-UCXhbcQfkQ" TargetMode="External"/><Relationship Id="rId1436" Type="http://schemas.openxmlformats.org/officeDocument/2006/relationships/hyperlink" Target="https://youtu.be/F_b2Hy-bsn8" TargetMode="External"/><Relationship Id="rId1437" Type="http://schemas.openxmlformats.org/officeDocument/2006/relationships/hyperlink" Target="https://youtu.be/3QYNV827jxk" TargetMode="External"/><Relationship Id="rId1438" Type="http://schemas.openxmlformats.org/officeDocument/2006/relationships/hyperlink" Target="https://youtu.be/j8LdFygZFfU" TargetMode="External"/><Relationship Id="rId1439" Type="http://schemas.openxmlformats.org/officeDocument/2006/relationships/hyperlink" Target="https://youtu.be/nO0zfCsMG4c" TargetMode="External"/><Relationship Id="rId609" Type="http://schemas.openxmlformats.org/officeDocument/2006/relationships/hyperlink" Target="https://youtu.be/9W_8SvkVmls" TargetMode="External"/><Relationship Id="rId608" Type="http://schemas.openxmlformats.org/officeDocument/2006/relationships/hyperlink" Target="https://www.youtube.com/watch?v=Vaz9RLUdUKI" TargetMode="External"/><Relationship Id="rId607" Type="http://schemas.openxmlformats.org/officeDocument/2006/relationships/hyperlink" Target="https://www.youtube.com/watch?v=YgJo9NzadSQ" TargetMode="External"/><Relationship Id="rId602" Type="http://schemas.openxmlformats.org/officeDocument/2006/relationships/hyperlink" Target="https://youtu.be/BRXVvNWBHQM" TargetMode="External"/><Relationship Id="rId601" Type="http://schemas.openxmlformats.org/officeDocument/2006/relationships/hyperlink" Target="https://youtu.be/Xu8Ao983E4A" TargetMode="External"/><Relationship Id="rId600" Type="http://schemas.openxmlformats.org/officeDocument/2006/relationships/hyperlink" Target="https://youtu.be/iBxubJeUngI" TargetMode="External"/><Relationship Id="rId606" Type="http://schemas.openxmlformats.org/officeDocument/2006/relationships/hyperlink" Target="https://youtu.be/qcfVmgA2Lvs" TargetMode="External"/><Relationship Id="rId605" Type="http://schemas.openxmlformats.org/officeDocument/2006/relationships/hyperlink" Target="https://clips.twitch.tv/CallousGleamingCakeNomNom" TargetMode="External"/><Relationship Id="rId604" Type="http://schemas.openxmlformats.org/officeDocument/2006/relationships/hyperlink" Target="https://youtu.be/OebPbR5cDM4" TargetMode="External"/><Relationship Id="rId603" Type="http://schemas.openxmlformats.org/officeDocument/2006/relationships/hyperlink" Target="https://youtu.be/Cgbw0t2unaM" TargetMode="External"/><Relationship Id="rId1430" Type="http://schemas.openxmlformats.org/officeDocument/2006/relationships/hyperlink" Target="https://www.youtube.com/watch?v=pSdduI28TV0" TargetMode="External"/><Relationship Id="rId1431" Type="http://schemas.openxmlformats.org/officeDocument/2006/relationships/hyperlink" Target="https://www.youtube.com/watch?v=3F2muoR_V9w" TargetMode="External"/><Relationship Id="rId1432" Type="http://schemas.openxmlformats.org/officeDocument/2006/relationships/hyperlink" Target="https://youtu.be/VbQuQcZvtbo" TargetMode="External"/><Relationship Id="rId1422" Type="http://schemas.openxmlformats.org/officeDocument/2006/relationships/hyperlink" Target="https://youtu.be/Xy-2rHEx6Kk" TargetMode="External"/><Relationship Id="rId1423" Type="http://schemas.openxmlformats.org/officeDocument/2006/relationships/hyperlink" Target="https://youtu.be/CS3VSnhR56g" TargetMode="External"/><Relationship Id="rId1424" Type="http://schemas.openxmlformats.org/officeDocument/2006/relationships/hyperlink" Target="https://www.twitch.tv/videos/2030169824" TargetMode="External"/><Relationship Id="rId1425" Type="http://schemas.openxmlformats.org/officeDocument/2006/relationships/hyperlink" Target="https://youtu.be/tAAvzoOfUkg" TargetMode="External"/><Relationship Id="rId1426" Type="http://schemas.openxmlformats.org/officeDocument/2006/relationships/hyperlink" Target="https://youtu.be/rAB7TqLFJuw?si=TDTsZP6wLrlhUNzX" TargetMode="External"/><Relationship Id="rId1427" Type="http://schemas.openxmlformats.org/officeDocument/2006/relationships/hyperlink" Target="https://youtu.be/n5s23mXJ58o" TargetMode="External"/><Relationship Id="rId1428" Type="http://schemas.openxmlformats.org/officeDocument/2006/relationships/hyperlink" Target="https://youtu.be/lks9ErI0TtM" TargetMode="External"/><Relationship Id="rId1429" Type="http://schemas.openxmlformats.org/officeDocument/2006/relationships/hyperlink" Target="https://www.youtube.com/watch?v=Gtva9pJkYT8" TargetMode="External"/><Relationship Id="rId1420" Type="http://schemas.openxmlformats.org/officeDocument/2006/relationships/hyperlink" Target="https://youtu.be/Xy-2rHEx6Kk" TargetMode="External"/><Relationship Id="rId1421" Type="http://schemas.openxmlformats.org/officeDocument/2006/relationships/hyperlink" Target="https://youtu.be/UkJdOKDmTO4" TargetMode="External"/><Relationship Id="rId699" Type="http://schemas.openxmlformats.org/officeDocument/2006/relationships/hyperlink" Target="https://www.youtube.com/watch?v=-HXrRIdElHs" TargetMode="External"/><Relationship Id="rId698" Type="http://schemas.openxmlformats.org/officeDocument/2006/relationships/hyperlink" Target="https://youtu.be/7ufGKXIomdw" TargetMode="External"/><Relationship Id="rId693" Type="http://schemas.openxmlformats.org/officeDocument/2006/relationships/hyperlink" Target="https://youtu.be/vbzDX09kUEo" TargetMode="External"/><Relationship Id="rId692" Type="http://schemas.openxmlformats.org/officeDocument/2006/relationships/hyperlink" Target="https://youtu.be/gEY-LOqHxXg" TargetMode="External"/><Relationship Id="rId691" Type="http://schemas.openxmlformats.org/officeDocument/2006/relationships/hyperlink" Target="https://youtu.be/6vU227TStFg" TargetMode="External"/><Relationship Id="rId690" Type="http://schemas.openxmlformats.org/officeDocument/2006/relationships/hyperlink" Target="https://youtu.be/Tb1UuARxtkA" TargetMode="External"/><Relationship Id="rId697" Type="http://schemas.openxmlformats.org/officeDocument/2006/relationships/hyperlink" Target="https://clips.twitch.tv/ArtsyOddSowKlappa-Q5bwhL96fj9B2j_I" TargetMode="External"/><Relationship Id="rId696" Type="http://schemas.openxmlformats.org/officeDocument/2006/relationships/hyperlink" Target="https://youtu.be/Rh3IMEE-cI8" TargetMode="External"/><Relationship Id="rId695" Type="http://schemas.openxmlformats.org/officeDocument/2006/relationships/hyperlink" Target="https://www.youtube.com/watch?v=-HXrRIdElHs" TargetMode="External"/><Relationship Id="rId694" Type="http://schemas.openxmlformats.org/officeDocument/2006/relationships/hyperlink" Target="https://www.youtube.com/watch?v=0xab_hR2IwQ" TargetMode="External"/><Relationship Id="rId1499" Type="http://schemas.openxmlformats.org/officeDocument/2006/relationships/hyperlink" Target="https://x.com/inkstarLum/status/1746791604630028327?s=20"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ovvys5XDMuY&amp;feature=youtu.be&amp;ab_channel=SMSArchives" TargetMode="External"/><Relationship Id="rId666" Type="http://schemas.openxmlformats.org/officeDocument/2006/relationships/hyperlink" Target="https://www.youtube.com/watch?v=qoDHZCUcBhQ" TargetMode="External"/><Relationship Id="rId665" Type="http://schemas.openxmlformats.org/officeDocument/2006/relationships/hyperlink" Target="https://youtu.be/ejR-jSUrN78" TargetMode="External"/><Relationship Id="rId669" Type="http://schemas.openxmlformats.org/officeDocument/2006/relationships/hyperlink" Target="https://youtu.be/xzjv5OEdLbs" TargetMode="External"/><Relationship Id="rId1490" Type="http://schemas.openxmlformats.org/officeDocument/2006/relationships/hyperlink" Target="https://youtu.be/S2iLJ4lyzlA" TargetMode="External"/><Relationship Id="rId660" Type="http://schemas.openxmlformats.org/officeDocument/2006/relationships/hyperlink" Target="https://youtu.be/sDPkawvhuRo" TargetMode="External"/><Relationship Id="rId1491" Type="http://schemas.openxmlformats.org/officeDocument/2006/relationships/hyperlink" Target="https://youtu.be/G2rw4aWcpxY" TargetMode="External"/><Relationship Id="rId1492" Type="http://schemas.openxmlformats.org/officeDocument/2006/relationships/hyperlink" Target="https://www.youtube.com/watch?v=3cokSh5LaVs" TargetMode="External"/><Relationship Id="rId1493" Type="http://schemas.openxmlformats.org/officeDocument/2006/relationships/hyperlink" Target="https://www.youtube.com/watch?v=m-NJgNhWbUg" TargetMode="External"/><Relationship Id="rId1494" Type="http://schemas.openxmlformats.org/officeDocument/2006/relationships/hyperlink" Target="https://www.youtube.com/watch?v=FJcnBQ2EAE8" TargetMode="External"/><Relationship Id="rId664" Type="http://schemas.openxmlformats.org/officeDocument/2006/relationships/hyperlink" Target="https://youtu.be/-cZziOaZ-0M" TargetMode="External"/><Relationship Id="rId1495" Type="http://schemas.openxmlformats.org/officeDocument/2006/relationships/hyperlink" Target="https://youtu.be/wcEM9uE522w" TargetMode="External"/><Relationship Id="rId663" Type="http://schemas.openxmlformats.org/officeDocument/2006/relationships/hyperlink" Target="https://youtu.be/7CUKmCF5tCE" TargetMode="External"/><Relationship Id="rId1496" Type="http://schemas.openxmlformats.org/officeDocument/2006/relationships/hyperlink" Target="https://youtu.be/RnHq15Mi-BA" TargetMode="External"/><Relationship Id="rId662" Type="http://schemas.openxmlformats.org/officeDocument/2006/relationships/hyperlink" Target="https://clips.twitch.tv/DifferentHeadstrongOtterTheRinger-Lc-AwESx1kJLCz3w" TargetMode="External"/><Relationship Id="rId1497" Type="http://schemas.openxmlformats.org/officeDocument/2006/relationships/hyperlink" Target="https://youtu.be/Muxnsa6HyOg" TargetMode="External"/><Relationship Id="rId661" Type="http://schemas.openxmlformats.org/officeDocument/2006/relationships/hyperlink" Target="https://youtu.be/YD-o9RHPZWo" TargetMode="External"/><Relationship Id="rId1498" Type="http://schemas.openxmlformats.org/officeDocument/2006/relationships/hyperlink" Target="https://youtu.be/RnHq15Mi-BA" TargetMode="External"/><Relationship Id="rId1488" Type="http://schemas.openxmlformats.org/officeDocument/2006/relationships/hyperlink" Target="https://youtu.be/G2rw4aWcpxY" TargetMode="External"/><Relationship Id="rId1489" Type="http://schemas.openxmlformats.org/officeDocument/2006/relationships/hyperlink" Target="https://youtu.be/NH0ahwsf718" TargetMode="External"/><Relationship Id="rId657" Type="http://schemas.openxmlformats.org/officeDocument/2006/relationships/hyperlink" Target="https://www.twitch.tv/aether10n/clip/CloudyFrailWolverineVoteNay-D8PLB5mnKR_MxdyX"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0SdmxBStK6Q" TargetMode="External"/><Relationship Id="rId654" Type="http://schemas.openxmlformats.org/officeDocument/2006/relationships/hyperlink" Target="https://clips.twitch.tv/CloudyEnergeticNoodleNononoCat-n2VDdiE0bRYiT4LY" TargetMode="External"/><Relationship Id="rId659" Type="http://schemas.openxmlformats.org/officeDocument/2006/relationships/hyperlink" Target="https://youtu.be/yqqNoT2MORg" TargetMode="External"/><Relationship Id="rId658" Type="http://schemas.openxmlformats.org/officeDocument/2006/relationships/hyperlink" Target="https://youtu.be/t7D3CoBhB2Q" TargetMode="External"/><Relationship Id="rId1480" Type="http://schemas.openxmlformats.org/officeDocument/2006/relationships/hyperlink" Target="https://youtu.be/9ZyY3FpK88M" TargetMode="External"/><Relationship Id="rId1481" Type="http://schemas.openxmlformats.org/officeDocument/2006/relationships/hyperlink" Target="https://youtu.be/T51w4EliQe0" TargetMode="External"/><Relationship Id="rId1482" Type="http://schemas.openxmlformats.org/officeDocument/2006/relationships/hyperlink" Target="https://www.youtube.com/watch?v=OzWJBH1XaE8" TargetMode="External"/><Relationship Id="rId1483" Type="http://schemas.openxmlformats.org/officeDocument/2006/relationships/hyperlink" Target="https://youtu.be/kKX5vObntZM" TargetMode="External"/><Relationship Id="rId653" Type="http://schemas.openxmlformats.org/officeDocument/2006/relationships/hyperlink" Target="https://youtu.be/LN4qCj9UWyY" TargetMode="External"/><Relationship Id="rId1484" Type="http://schemas.openxmlformats.org/officeDocument/2006/relationships/hyperlink" Target="https://www.youtube.com/watch?v=oZbSXPTi3Bs" TargetMode="External"/><Relationship Id="rId652" Type="http://schemas.openxmlformats.org/officeDocument/2006/relationships/hyperlink" Target="https://youtu.be/ab2UyJcvuFI" TargetMode="External"/><Relationship Id="rId1485" Type="http://schemas.openxmlformats.org/officeDocument/2006/relationships/hyperlink" Target="https://youtu.be/T0A9oRMEdno" TargetMode="External"/><Relationship Id="rId651" Type="http://schemas.openxmlformats.org/officeDocument/2006/relationships/hyperlink" Target="https://youtu.be/XMGmoWpoTVg" TargetMode="External"/><Relationship Id="rId1486" Type="http://schemas.openxmlformats.org/officeDocument/2006/relationships/hyperlink" Target="https://youtu.be/Zt72DgCMRr4"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Zt72DgCMRr4" TargetMode="External"/><Relationship Id="rId689" Type="http://schemas.openxmlformats.org/officeDocument/2006/relationships/hyperlink" Target="https://youtu.be/En4P9k1DYGM" TargetMode="External"/><Relationship Id="rId688" Type="http://schemas.openxmlformats.org/officeDocument/2006/relationships/hyperlink" Target="https://youtu.be/NGaRQQz-bvE" TargetMode="External"/><Relationship Id="rId687" Type="http://schemas.openxmlformats.org/officeDocument/2006/relationships/hyperlink" Target="https://www.twitch.tv/videos/1001046282"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1_5L-Qvj2KI" TargetMode="External"/><Relationship Id="rId680" Type="http://schemas.openxmlformats.org/officeDocument/2006/relationships/hyperlink" Target="https://www.youtube.com/watch?v=xSTMLY2u_-Q&amp;feature=youtu.be" TargetMode="External"/><Relationship Id="rId686" Type="http://schemas.openxmlformats.org/officeDocument/2006/relationships/hyperlink" Target="https://youtu.be/VM8_lqlADB0" TargetMode="External"/><Relationship Id="rId685" Type="http://schemas.openxmlformats.org/officeDocument/2006/relationships/hyperlink" Target="https://youtu.be/UNibrH7ZgHQ" TargetMode="External"/><Relationship Id="rId684" Type="http://schemas.openxmlformats.org/officeDocument/2006/relationships/hyperlink" Target="https://youtu.be/8uRf1H32Zmc" TargetMode="External"/><Relationship Id="rId683" Type="http://schemas.openxmlformats.org/officeDocument/2006/relationships/hyperlink" Target="https://youtu.be/UNibrH7ZgHQ" TargetMode="External"/><Relationship Id="rId679" Type="http://schemas.openxmlformats.org/officeDocument/2006/relationships/hyperlink" Target="https://youtu.be/FwuSAFWHkkw" TargetMode="External"/><Relationship Id="rId678" Type="http://schemas.openxmlformats.org/officeDocument/2006/relationships/hyperlink" Target="https://clips.twitch.tv/WrongVenomousWebArgieB8-R1ntVzqX_RbcPyMz" TargetMode="External"/><Relationship Id="rId677" Type="http://schemas.openxmlformats.org/officeDocument/2006/relationships/hyperlink" Target="https://clips.twitch.tv/SparklingGracefulGoblinPartyTime-7n1EsEuLDgbrzEkD" TargetMode="External"/><Relationship Id="rId676" Type="http://schemas.openxmlformats.org/officeDocument/2006/relationships/hyperlink" Target="https://www.twitch.tv/aether10n/clip/SullenDelightfulDugongANELE-vjxbW8_Uiv2Qu8b6" TargetMode="External"/><Relationship Id="rId671" Type="http://schemas.openxmlformats.org/officeDocument/2006/relationships/hyperlink" Target="https://www.youtube.com/watch?v=sEMBQnszKug" TargetMode="External"/><Relationship Id="rId670" Type="http://schemas.openxmlformats.org/officeDocument/2006/relationships/hyperlink" Target="https://youtu.be/hDajJn8KKwQ" TargetMode="External"/><Relationship Id="rId675" Type="http://schemas.openxmlformats.org/officeDocument/2006/relationships/hyperlink" Target="https://clips.twitch.tv/BusySavoryRatMcaT" TargetMode="External"/><Relationship Id="rId674" Type="http://schemas.openxmlformats.org/officeDocument/2006/relationships/hyperlink" Target="https://www.youtube.com/watch?v=c7AI7nh75kI" TargetMode="External"/><Relationship Id="rId673" Type="http://schemas.openxmlformats.org/officeDocument/2006/relationships/hyperlink" Target="https://youtu.be/RJhU8EtjKgg" TargetMode="External"/><Relationship Id="rId672" Type="http://schemas.openxmlformats.org/officeDocument/2006/relationships/hyperlink" Target="https://www.twitch.tv/videos/1082848802?filter=highlights&amp;sort=time"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z9Cply6-a14" TargetMode="External"/><Relationship Id="rId1511" Type="http://schemas.openxmlformats.org/officeDocument/2006/relationships/hyperlink" Target="https://youtu.be/zwUKiy2wr3A" TargetMode="External"/><Relationship Id="rId1512" Type="http://schemas.openxmlformats.org/officeDocument/2006/relationships/hyperlink" Target="https://youtu.be/zwUKiy2wr3A" TargetMode="External"/><Relationship Id="rId1513" Type="http://schemas.openxmlformats.org/officeDocument/2006/relationships/hyperlink" Target="https://youtu.be/J4BzX00buXY" TargetMode="External"/><Relationship Id="rId1514" Type="http://schemas.openxmlformats.org/officeDocument/2006/relationships/hyperlink" Target="https://youtu.be/J4BzX00buXY" TargetMode="External"/><Relationship Id="rId1515" Type="http://schemas.openxmlformats.org/officeDocument/2006/relationships/hyperlink" Target="https://youtu.be/mtPLaPYM5bE" TargetMode="External"/><Relationship Id="rId1516" Type="http://schemas.openxmlformats.org/officeDocument/2006/relationships/hyperlink" Target="https://youtu.be/mtPLaPYM5bE" TargetMode="External"/><Relationship Id="rId1517" Type="http://schemas.openxmlformats.org/officeDocument/2006/relationships/hyperlink" Target="https://youtu.be/3e65Ym3gNJQ" TargetMode="External"/><Relationship Id="rId1518" Type="http://schemas.openxmlformats.org/officeDocument/2006/relationships/hyperlink" Target="https://youtu.be/3e65Ym3gNJQ" TargetMode="External"/><Relationship Id="rId1519" Type="http://schemas.openxmlformats.org/officeDocument/2006/relationships/hyperlink" Target="https://youtu.be/2w3KSdOuDXQ" TargetMode="External"/><Relationship Id="rId1500" Type="http://schemas.openxmlformats.org/officeDocument/2006/relationships/hyperlink" Target="https://youtu.be/ohXH1vfTvII" TargetMode="External"/><Relationship Id="rId1501" Type="http://schemas.openxmlformats.org/officeDocument/2006/relationships/hyperlink" Target="https://clips.twitch.tv/PlayfulBoredSalamanderWholeWheat" TargetMode="External"/><Relationship Id="rId1502" Type="http://schemas.openxmlformats.org/officeDocument/2006/relationships/hyperlink" Target="https://youtu.be/zVBF9xHkT10" TargetMode="External"/><Relationship Id="rId1503" Type="http://schemas.openxmlformats.org/officeDocument/2006/relationships/hyperlink" Target="https://www.youtube.com/watch?v=s4sYOmDATnE" TargetMode="External"/><Relationship Id="rId1504" Type="http://schemas.openxmlformats.org/officeDocument/2006/relationships/hyperlink" Target="https://www.youtube.com/watch?v=umdkqOKct6s" TargetMode="External"/><Relationship Id="rId1505" Type="http://schemas.openxmlformats.org/officeDocument/2006/relationships/hyperlink" Target="https://youtu.be/MjxV6lP4DeM" TargetMode="External"/><Relationship Id="rId1506" Type="http://schemas.openxmlformats.org/officeDocument/2006/relationships/hyperlink" Target="https://youtu.be/MjxV6lP4DeM" TargetMode="External"/><Relationship Id="rId1507" Type="http://schemas.openxmlformats.org/officeDocument/2006/relationships/hyperlink" Target="https://youtu.be/C1hWokBPYPE" TargetMode="External"/><Relationship Id="rId1508" Type="http://schemas.openxmlformats.org/officeDocument/2006/relationships/hyperlink" Target="https://youtu.be/RBbHHzCiO54" TargetMode="External"/><Relationship Id="rId1509" Type="http://schemas.openxmlformats.org/officeDocument/2006/relationships/hyperlink" Target="https://youtu.be/C1hWokBPYPE" TargetMode="External"/><Relationship Id="rId987" Type="http://schemas.openxmlformats.org/officeDocument/2006/relationships/hyperlink" Target="https://youtu.be/UC_4dhW19Zo" TargetMode="External"/><Relationship Id="rId986" Type="http://schemas.openxmlformats.org/officeDocument/2006/relationships/hyperlink" Target="https://www.youtube.com/watch?v=-AUXBW8KSPY&amp;ab_channel=BlazeAlt"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www.youtube.com/watch?v=a46h4NnnmFE" TargetMode="External"/><Relationship Id="rId989" Type="http://schemas.openxmlformats.org/officeDocument/2006/relationships/hyperlink" Target="https://youtu.be/6OZ9Tus20Ug" TargetMode="External"/><Relationship Id="rId988" Type="http://schemas.openxmlformats.org/officeDocument/2006/relationships/hyperlink" Target="https://youtu.be/eh_--IjQfIM" TargetMode="External"/><Relationship Id="rId983" Type="http://schemas.openxmlformats.org/officeDocument/2006/relationships/hyperlink" Target="https://youtu.be/fSXdWR563nk" TargetMode="External"/><Relationship Id="rId982" Type="http://schemas.openxmlformats.org/officeDocument/2006/relationships/hyperlink" Target="https://youtu.be/VEf959-p1qM" TargetMode="External"/><Relationship Id="rId981" Type="http://schemas.openxmlformats.org/officeDocument/2006/relationships/hyperlink" Target="https://youtu.be/pLeVLw7ZCi4" TargetMode="External"/><Relationship Id="rId980" Type="http://schemas.openxmlformats.org/officeDocument/2006/relationships/hyperlink" Target="https://clips.twitch.tv/MistySuspiciousGarlicStoneLightning" TargetMode="External"/><Relationship Id="rId1565" Type="http://schemas.openxmlformats.org/officeDocument/2006/relationships/hyperlink" Target="https://www.youtube.com/watch?v=cIP9ywhJs_M" TargetMode="External"/><Relationship Id="rId1566" Type="http://schemas.openxmlformats.org/officeDocument/2006/relationships/hyperlink" Target="https://youtu.be/3J55s_mLgKM" TargetMode="External"/><Relationship Id="rId1567" Type="http://schemas.openxmlformats.org/officeDocument/2006/relationships/hyperlink" Target="https://youtu.be/3J55s_mLgKM" TargetMode="External"/><Relationship Id="rId1568" Type="http://schemas.openxmlformats.org/officeDocument/2006/relationships/drawing" Target="../drawings/drawing5.xml"/><Relationship Id="rId1569" Type="http://schemas.openxmlformats.org/officeDocument/2006/relationships/vmlDrawing" Target="../drawings/vmlDrawing4.vml"/><Relationship Id="rId976" Type="http://schemas.openxmlformats.org/officeDocument/2006/relationships/hyperlink" Target="https://youtu.be/pp0KPykSZDA" TargetMode="External"/><Relationship Id="rId975" Type="http://schemas.openxmlformats.org/officeDocument/2006/relationships/hyperlink" Target="https://youtu.be/xljwjDCRCWE" TargetMode="External"/><Relationship Id="rId974" Type="http://schemas.openxmlformats.org/officeDocument/2006/relationships/hyperlink" Target="https://clips.twitch.tv/HumbleArborealSkunkImGlitch-6sreVUGb13ce_XAt" TargetMode="External"/><Relationship Id="rId973" Type="http://schemas.openxmlformats.org/officeDocument/2006/relationships/hyperlink" Target="https://www.youtube.com/watch?v=QoOYXS2lpB4" TargetMode="External"/><Relationship Id="rId979" Type="http://schemas.openxmlformats.org/officeDocument/2006/relationships/hyperlink" Target="https://youtu.be/fd7WpviGvAE" TargetMode="External"/><Relationship Id="rId978" Type="http://schemas.openxmlformats.org/officeDocument/2006/relationships/hyperlink" Target="https://youtu.be/kqGNTr0zSXU" TargetMode="External"/><Relationship Id="rId977" Type="http://schemas.openxmlformats.org/officeDocument/2006/relationships/hyperlink" Target="https://youtu.be/iS_g58YJeeM"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ouAjCLePjc" TargetMode="External"/><Relationship Id="rId1561" Type="http://schemas.openxmlformats.org/officeDocument/2006/relationships/hyperlink" Target="https://clips.twitch.tv/ImpossibleProtectiveZucchiniTTours-xaEMi-6kkVi1P-4h" TargetMode="External"/><Relationship Id="rId971" Type="http://schemas.openxmlformats.org/officeDocument/2006/relationships/hyperlink" Target="https://youtu.be/XpNHHc2UYro" TargetMode="External"/><Relationship Id="rId1562" Type="http://schemas.openxmlformats.org/officeDocument/2006/relationships/hyperlink" Target="https://youtu.be/LwzmBPAiIMk" TargetMode="External"/><Relationship Id="rId970" Type="http://schemas.openxmlformats.org/officeDocument/2006/relationships/hyperlink" Target="https://youtu.be/XpNHHc2UYro" TargetMode="External"/><Relationship Id="rId1563" Type="http://schemas.openxmlformats.org/officeDocument/2006/relationships/hyperlink" Target="https://clips.twitch.tv/ImpossibleProtectiveZucchiniTTours-xaEMi-6kkVi1P-4h" TargetMode="External"/><Relationship Id="rId1564" Type="http://schemas.openxmlformats.org/officeDocument/2006/relationships/hyperlink" Target="https://youtu.be/vLYGP3AR_5M" TargetMode="External"/><Relationship Id="rId1587" Type="http://schemas.openxmlformats.org/officeDocument/2006/relationships/table" Target="../tables/table30.xml"/><Relationship Id="rId1588" Type="http://schemas.openxmlformats.org/officeDocument/2006/relationships/table" Target="../tables/table31.xml"/><Relationship Id="rId1589" Type="http://schemas.openxmlformats.org/officeDocument/2006/relationships/table" Target="../tables/table32.xml"/><Relationship Id="rId998" Type="http://schemas.openxmlformats.org/officeDocument/2006/relationships/hyperlink" Target="https://www.youtube.com/watch?v=5MyAV76XpjE&amp;feature=youtu.be&amp;ab_channel=SMSArchives" TargetMode="External"/><Relationship Id="rId997" Type="http://schemas.openxmlformats.org/officeDocument/2006/relationships/hyperlink" Target="https://youtu.be/qNKf5o4ujCw&amp;t=2154" TargetMode="External"/><Relationship Id="rId996" Type="http://schemas.openxmlformats.org/officeDocument/2006/relationships/hyperlink" Target="https://youtu.be/34f0axSWzxw" TargetMode="External"/><Relationship Id="rId995" Type="http://schemas.openxmlformats.org/officeDocument/2006/relationships/hyperlink" Target="https://youtu.be/LeYXoTjngGk" TargetMode="External"/><Relationship Id="rId999" Type="http://schemas.openxmlformats.org/officeDocument/2006/relationships/hyperlink" Target="https://youtu.be/34f0axSWzxw" TargetMode="External"/><Relationship Id="rId990" Type="http://schemas.openxmlformats.org/officeDocument/2006/relationships/hyperlink" Target="https://youtu.be/ZuAxFGqWwxw" TargetMode="External"/><Relationship Id="rId1580" Type="http://schemas.openxmlformats.org/officeDocument/2006/relationships/table" Target="../tables/table23.xml"/><Relationship Id="rId1581" Type="http://schemas.openxmlformats.org/officeDocument/2006/relationships/table" Target="../tables/table24.xml"/><Relationship Id="rId1582" Type="http://schemas.openxmlformats.org/officeDocument/2006/relationships/table" Target="../tables/table25.xml"/><Relationship Id="rId994" Type="http://schemas.openxmlformats.org/officeDocument/2006/relationships/hyperlink" Target="https://youtu.be/twQiyzzweO0" TargetMode="External"/><Relationship Id="rId1583" Type="http://schemas.openxmlformats.org/officeDocument/2006/relationships/table" Target="../tables/table26.xml"/><Relationship Id="rId993" Type="http://schemas.openxmlformats.org/officeDocument/2006/relationships/hyperlink" Target="https://youtu.be/UC_4dhW19Zo?t=17" TargetMode="External"/><Relationship Id="rId1584" Type="http://schemas.openxmlformats.org/officeDocument/2006/relationships/table" Target="../tables/table27.xml"/><Relationship Id="rId992" Type="http://schemas.openxmlformats.org/officeDocument/2006/relationships/hyperlink" Target="https://youtu.be/UC_4dhW19Zo?t=17" TargetMode="External"/><Relationship Id="rId1585" Type="http://schemas.openxmlformats.org/officeDocument/2006/relationships/table" Target="../tables/table28.xml"/><Relationship Id="rId991" Type="http://schemas.openxmlformats.org/officeDocument/2006/relationships/hyperlink" Target="https://www.youtube.com/watch?v=-AUXBW8KSPY&amp;ab_channel=BlazeAlt" TargetMode="External"/><Relationship Id="rId1586" Type="http://schemas.openxmlformats.org/officeDocument/2006/relationships/table" Target="../tables/table29.xml"/><Relationship Id="rId1532" Type="http://schemas.openxmlformats.org/officeDocument/2006/relationships/hyperlink" Target="https://youtu.be/3A4fRuy_uQ8" TargetMode="External"/><Relationship Id="rId1533" Type="http://schemas.openxmlformats.org/officeDocument/2006/relationships/hyperlink" Target="https://www.twitch.tv/inkslop/clip/GloriousIntelligentCroissantDatBoi-rgbrV7PzIHnzIP4w" TargetMode="External"/><Relationship Id="rId1534" Type="http://schemas.openxmlformats.org/officeDocument/2006/relationships/hyperlink" Target="https://youtu.be/r3QCIKx-vOk" TargetMode="External"/><Relationship Id="rId1535" Type="http://schemas.openxmlformats.org/officeDocument/2006/relationships/hyperlink" Target="https://www.youtube.com/watch?v=glGhyszoz8s" TargetMode="External"/><Relationship Id="rId1536" Type="http://schemas.openxmlformats.org/officeDocument/2006/relationships/hyperlink" Target="https://clips.twitch.tv/MoistSuperDonkeyPhilosoraptor-jrGYmeVt_OOP23B-" TargetMode="External"/><Relationship Id="rId1537" Type="http://schemas.openxmlformats.org/officeDocument/2006/relationships/hyperlink" Target="https://youtu.be/kHU3tgqVirw" TargetMode="External"/><Relationship Id="rId1538" Type="http://schemas.openxmlformats.org/officeDocument/2006/relationships/hyperlink" Target="https://youtu.be/kHU3tgqVirw" TargetMode="External"/><Relationship Id="rId1539" Type="http://schemas.openxmlformats.org/officeDocument/2006/relationships/hyperlink" Target="https://www.twitch.tv/warspyking/clip/FuriousTallMouseWoofer--MIhtu8T8HnCKxHM"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www.youtube.com/watch?v=Iuk5KARA-1o&amp;feature=youtu.be&amp;ab_channel=SMSArchives" TargetMode="External"/><Relationship Id="rId943" Type="http://schemas.openxmlformats.org/officeDocument/2006/relationships/hyperlink" Target="https://youtu.be/b8zw6bYdtBM" TargetMode="External"/><Relationship Id="rId942" Type="http://schemas.openxmlformats.org/officeDocument/2006/relationships/hyperlink" Target="https://youtu.be/luFsHTw66HQ?t=6" TargetMode="External"/><Relationship Id="rId941" Type="http://schemas.openxmlformats.org/officeDocument/2006/relationships/hyperlink" Target="https://www.youtube.com/watch?v=nD6fxOMLxLA&amp;ab_channel=BlazeAlt" TargetMode="External"/><Relationship Id="rId940" Type="http://schemas.openxmlformats.org/officeDocument/2006/relationships/hyperlink" Target="https://youtu.be/U1s7iyFeDYw" TargetMode="External"/><Relationship Id="rId947" Type="http://schemas.openxmlformats.org/officeDocument/2006/relationships/hyperlink" Target="https://clips.twitch.tv/UgliestResilientLampBIRB-qySPQsjLil7DSM4h" TargetMode="External"/><Relationship Id="rId946" Type="http://schemas.openxmlformats.org/officeDocument/2006/relationships/hyperlink" Target="https://youtu.be/LH1QFjM2AZ4" TargetMode="External"/><Relationship Id="rId945" Type="http://schemas.openxmlformats.org/officeDocument/2006/relationships/hyperlink" Target="https://youtu.be/aj2X7eIdy4o" TargetMode="External"/><Relationship Id="rId944" Type="http://schemas.openxmlformats.org/officeDocument/2006/relationships/hyperlink" Target="https://youtu.be/FUOJ9T_mei0"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3A4fRuy_uQ8" TargetMode="External"/><Relationship Id="rId1521" Type="http://schemas.openxmlformats.org/officeDocument/2006/relationships/hyperlink" Target="https://youtu.be/7LclDQkIkYU" TargetMode="External"/><Relationship Id="rId1522" Type="http://schemas.openxmlformats.org/officeDocument/2006/relationships/hyperlink" Target="https://youtu.be/VlGSJ7oj0LY" TargetMode="External"/><Relationship Id="rId1523" Type="http://schemas.openxmlformats.org/officeDocument/2006/relationships/hyperlink" Target="https://youtu.be/zM-W6S4Pv9g" TargetMode="External"/><Relationship Id="rId1524" Type="http://schemas.openxmlformats.org/officeDocument/2006/relationships/hyperlink" Target="https://youtu.be/7LclDQkIkYU" TargetMode="External"/><Relationship Id="rId1525" Type="http://schemas.openxmlformats.org/officeDocument/2006/relationships/hyperlink" Target="https://www.youtube.com/watch?v=vf0VNnfO3Ak" TargetMode="External"/><Relationship Id="rId1526" Type="http://schemas.openxmlformats.org/officeDocument/2006/relationships/hyperlink" Target="https://youtu.be/rNp-Y-kiYlw" TargetMode="External"/><Relationship Id="rId1527" Type="http://schemas.openxmlformats.org/officeDocument/2006/relationships/hyperlink" Target="https://clips.twitch.tv/JollySilkyAniseTBTacoLeft-J6HX7xY5l-8m9d60" TargetMode="External"/><Relationship Id="rId1528" Type="http://schemas.openxmlformats.org/officeDocument/2006/relationships/hyperlink" Target="https://www.youtube.com/watch?v=bygDghuzAGQ" TargetMode="External"/><Relationship Id="rId1529" Type="http://schemas.openxmlformats.org/officeDocument/2006/relationships/hyperlink" Target="https://www.youtube.com/watch?v=iSi_quRJz2g&amp;ab_channel=SMSArchives" TargetMode="External"/><Relationship Id="rId939" Type="http://schemas.openxmlformats.org/officeDocument/2006/relationships/hyperlink" Target="https://youtu.be/Knwid1zyTpk" TargetMode="External"/><Relationship Id="rId938" Type="http://schemas.openxmlformats.org/officeDocument/2006/relationships/hyperlink" Target="https://youtu.be/U1s7iyFeDYw" TargetMode="External"/><Relationship Id="rId937" Type="http://schemas.openxmlformats.org/officeDocument/2006/relationships/hyperlink" Target="https://youtu.be/s3KIbAx9-jI" TargetMode="External"/><Relationship Id="rId932" Type="http://schemas.openxmlformats.org/officeDocument/2006/relationships/hyperlink" Target="https://youtu.be/Ee1Aib7esKk" TargetMode="External"/><Relationship Id="rId931" Type="http://schemas.openxmlformats.org/officeDocument/2006/relationships/hyperlink" Target="https://youtu.be/1SWv-HdCZwI" TargetMode="External"/><Relationship Id="rId930" Type="http://schemas.openxmlformats.org/officeDocument/2006/relationships/hyperlink" Target="https://youtu.be/-mHdWlySoq4" TargetMode="External"/><Relationship Id="rId936" Type="http://schemas.openxmlformats.org/officeDocument/2006/relationships/hyperlink" Target="https://youtu.be/blF2ZjQva2g?t=5" TargetMode="External"/><Relationship Id="rId935" Type="http://schemas.openxmlformats.org/officeDocument/2006/relationships/hyperlink" Target="https://youtu.be/0ZLzPKq1T3g" TargetMode="External"/><Relationship Id="rId934" Type="http://schemas.openxmlformats.org/officeDocument/2006/relationships/hyperlink" Target="https://clips.twitch.tv/ImportantOilyNightingalePupper" TargetMode="External"/><Relationship Id="rId933" Type="http://schemas.openxmlformats.org/officeDocument/2006/relationships/hyperlink" Target="https://youtu.be/_HULD2HMJ-o" TargetMode="External"/><Relationship Id="rId1520" Type="http://schemas.openxmlformats.org/officeDocument/2006/relationships/hyperlink" Target="https://youtu.be/2w3KSdOuDXQ" TargetMode="External"/><Relationship Id="rId1554" Type="http://schemas.openxmlformats.org/officeDocument/2006/relationships/hyperlink" Target="https://www.twitch.tv/inkslop/clip/SpotlessYummyTrayANELE-C4dSpDfowShbFbqm"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clips.twitch.tv/ArtisticTenuousCoffeeKAPOW-EM938bYJ2R6vJ3X3"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youtu.be/bUDUMMtDllA" TargetMode="External"/><Relationship Id="rId1559" Type="http://schemas.openxmlformats.org/officeDocument/2006/relationships/hyperlink" Target="https://clips.twitch.tv/GoodAssiduousAlpacaSeemsGood-TGnbvZPx9mWxkLeW" TargetMode="External"/><Relationship Id="rId965" Type="http://schemas.openxmlformats.org/officeDocument/2006/relationships/hyperlink" Target="https://youtu.be/Fmm9XbXbi7Y?t=8" TargetMode="External"/><Relationship Id="rId964" Type="http://schemas.openxmlformats.org/officeDocument/2006/relationships/hyperlink" Target="https://youtu.be/YC80n-RLn3s" TargetMode="External"/><Relationship Id="rId963" Type="http://schemas.openxmlformats.org/officeDocument/2006/relationships/hyperlink" Target="https://youtu.be/RNntRlUJgdU" TargetMode="External"/><Relationship Id="rId962" Type="http://schemas.openxmlformats.org/officeDocument/2006/relationships/hyperlink" Target="https://www.youtube.com/watch?v=jUZqyIEcO0I" TargetMode="External"/><Relationship Id="rId969" Type="http://schemas.openxmlformats.org/officeDocument/2006/relationships/hyperlink" Target="https://youtu.be/6IWpCSzymnA" TargetMode="External"/><Relationship Id="rId968" Type="http://schemas.openxmlformats.org/officeDocument/2006/relationships/hyperlink" Target="https://www.twitch.tv/aether10n/clip/TenderCrowdedSpindleTooSpicy-MXhyz4TkHK0K5E8j" TargetMode="External"/><Relationship Id="rId967" Type="http://schemas.openxmlformats.org/officeDocument/2006/relationships/hyperlink" Target="https://youtu.be/KfOcx0LBP6E" TargetMode="External"/><Relationship Id="rId966" Type="http://schemas.openxmlformats.org/officeDocument/2006/relationships/hyperlink" Target="https://youtu.be/Rm2vpxvRIZ8" TargetMode="External"/><Relationship Id="rId961" Type="http://schemas.openxmlformats.org/officeDocument/2006/relationships/hyperlink" Target="https://youtu.be/e4WB_48pwMw" TargetMode="External"/><Relationship Id="rId1550" Type="http://schemas.openxmlformats.org/officeDocument/2006/relationships/hyperlink" Target="https://youtu.be/B7EdTLDF-w8" TargetMode="External"/><Relationship Id="rId960" Type="http://schemas.openxmlformats.org/officeDocument/2006/relationships/hyperlink" Target="https://www.youtube.com/watch?v=QOQaL1VwzRA" TargetMode="External"/><Relationship Id="rId1551" Type="http://schemas.openxmlformats.org/officeDocument/2006/relationships/hyperlink" Target="https://youtu.be/KyXyCDQolGI" TargetMode="External"/><Relationship Id="rId1552" Type="http://schemas.openxmlformats.org/officeDocument/2006/relationships/hyperlink" Target="https://www.youtube.com/watch?v=PyOjKtmMa0k" TargetMode="External"/><Relationship Id="rId1553" Type="http://schemas.openxmlformats.org/officeDocument/2006/relationships/hyperlink" Target="https://www.youtube.com/watch?v=q8_1FvsuuYE" TargetMode="External"/><Relationship Id="rId1543" Type="http://schemas.openxmlformats.org/officeDocument/2006/relationships/hyperlink" Target="https://www.twitch.tv/warspyking/clip/ClumsyTubularCookieThunBeast-80Rz2XlR1horOklq"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youtu.be/uI-xscpEras" TargetMode="External"/><Relationship Id="rId1546" Type="http://schemas.openxmlformats.org/officeDocument/2006/relationships/hyperlink" Target="https://youtu.be/7765pkYAkJg" TargetMode="External"/><Relationship Id="rId1547" Type="http://schemas.openxmlformats.org/officeDocument/2006/relationships/hyperlink" Target="https://youtu.be/uI-xscpEras" TargetMode="External"/><Relationship Id="rId1548" Type="http://schemas.openxmlformats.org/officeDocument/2006/relationships/hyperlink" Target="https://www.youtube.com/watch?v=-VCTQ99kxFM" TargetMode="External"/><Relationship Id="rId1549" Type="http://schemas.openxmlformats.org/officeDocument/2006/relationships/hyperlink" Target="https://www.youtube.com/watch?v=q8_1FvsuuYE"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l1oHkskow4M" TargetMode="External"/><Relationship Id="rId953" Type="http://schemas.openxmlformats.org/officeDocument/2006/relationships/hyperlink" Target="https://www.youtube.com/watch?v=TQawjRliIAg" TargetMode="External"/><Relationship Id="rId952" Type="http://schemas.openxmlformats.org/officeDocument/2006/relationships/hyperlink" Target="https://youtu.be/3nrQUBAa2uU" TargetMode="External"/><Relationship Id="rId951" Type="http://schemas.openxmlformats.org/officeDocument/2006/relationships/hyperlink" Target="https://youtu.be/mAUm7J2ETQE" TargetMode="External"/><Relationship Id="rId958" Type="http://schemas.openxmlformats.org/officeDocument/2006/relationships/hyperlink" Target="https://www.youtube.com/watch?v=6y2SP-DSf5Q" TargetMode="External"/><Relationship Id="rId957" Type="http://schemas.openxmlformats.org/officeDocument/2006/relationships/hyperlink" Target="https://clips.twitch.tv/GlamorousLovelyDadBigBrother-RCxKPG5AZigTfqbl" TargetMode="External"/><Relationship Id="rId956" Type="http://schemas.openxmlformats.org/officeDocument/2006/relationships/hyperlink" Target="https://youtu.be/IzvKi65Ag5g" TargetMode="External"/><Relationship Id="rId955" Type="http://schemas.openxmlformats.org/officeDocument/2006/relationships/hyperlink" Target="https://youtu.be/ecKz1OkF8sU" TargetMode="External"/><Relationship Id="rId950" Type="http://schemas.openxmlformats.org/officeDocument/2006/relationships/hyperlink" Target="https://youtu.be/mAUm7J2ETQE" TargetMode="External"/><Relationship Id="rId1540" Type="http://schemas.openxmlformats.org/officeDocument/2006/relationships/hyperlink" Target="https://youtu.be/KWNTLN9BQZ8" TargetMode="External"/><Relationship Id="rId1541" Type="http://schemas.openxmlformats.org/officeDocument/2006/relationships/hyperlink" Target="https://youtu.be/vBxvh2XXMoQ" TargetMode="External"/><Relationship Id="rId1542" Type="http://schemas.openxmlformats.org/officeDocument/2006/relationships/hyperlink" Target="https://www.youtube.com/watch?v=b5XLa5pW6m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www.twitch.tv/pumpsovergains/clip/ExpensiveStormyCatCoolStoryBob-xBWdRcJiSesiyTTm?filter=clips&amp;range=7d&amp;sort=time" TargetMode="External"/><Relationship Id="rId905" Type="http://schemas.openxmlformats.org/officeDocument/2006/relationships/hyperlink" Target="https://www.youtube.com/watch?v=A-mpCdEtOo4" TargetMode="External"/><Relationship Id="rId904" Type="http://schemas.openxmlformats.org/officeDocument/2006/relationships/hyperlink" Target="https://youtu.be/uootZr0Klvc?si=GnCY-JH_9fLWEh6Z" TargetMode="External"/><Relationship Id="rId909" Type="http://schemas.openxmlformats.org/officeDocument/2006/relationships/hyperlink" Target="https://youtu.be/SF450e0O65I" TargetMode="External"/><Relationship Id="rId908" Type="http://schemas.openxmlformats.org/officeDocument/2006/relationships/hyperlink" Target="https://youtu.be/85ZtdZ99JSM" TargetMode="External"/><Relationship Id="rId903" Type="http://schemas.openxmlformats.org/officeDocument/2006/relationships/hyperlink" Target="https://youtu.be/Vco4hwHBWBI"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dUstevAtnQ" TargetMode="External"/><Relationship Id="rId900" Type="http://schemas.openxmlformats.org/officeDocument/2006/relationships/hyperlink" Target="https://youtu.be/Y1PakxBY1VU" TargetMode="External"/><Relationship Id="rId929" Type="http://schemas.openxmlformats.org/officeDocument/2006/relationships/hyperlink" Target="https://clips.twitch.tv/ExpensiveColdDurianHeyGuys--6sIzzZ4T4U5AePj" TargetMode="External"/><Relationship Id="rId928" Type="http://schemas.openxmlformats.org/officeDocument/2006/relationships/hyperlink" Target="https://youtu.be/V240YyJFaEI" TargetMode="External"/><Relationship Id="rId927" Type="http://schemas.openxmlformats.org/officeDocument/2006/relationships/hyperlink" Target="https://youtu.be/8m7lmwTbuQw" TargetMode="External"/><Relationship Id="rId926" Type="http://schemas.openxmlformats.org/officeDocument/2006/relationships/hyperlink" Target="https://youtu.be/ypvpZ6zCblI" TargetMode="External"/><Relationship Id="rId921" Type="http://schemas.openxmlformats.org/officeDocument/2006/relationships/hyperlink" Target="https://youtu.be/PoXy5LvAYjE" TargetMode="External"/><Relationship Id="rId920" Type="http://schemas.openxmlformats.org/officeDocument/2006/relationships/hyperlink" Target="https://youtu.be/adTpGTFXkN4" TargetMode="External"/><Relationship Id="rId925" Type="http://schemas.openxmlformats.org/officeDocument/2006/relationships/hyperlink" Target="https://youtu.be/wfiuMImDFXU" TargetMode="External"/><Relationship Id="rId924" Type="http://schemas.openxmlformats.org/officeDocument/2006/relationships/hyperlink" Target="https://youtu.be/Ee1Aib7esKk" TargetMode="External"/><Relationship Id="rId923" Type="http://schemas.openxmlformats.org/officeDocument/2006/relationships/hyperlink" Target="https://clips.twitch.tv/ProtectiveColorfulWebTTours-3LEDJsbJ-gLcIaxD" TargetMode="External"/><Relationship Id="rId922" Type="http://schemas.openxmlformats.org/officeDocument/2006/relationships/hyperlink" Target="https://clips.twitch.tv/WealthyNiceSalamanderOpieOP" TargetMode="External"/><Relationship Id="rId918" Type="http://schemas.openxmlformats.org/officeDocument/2006/relationships/hyperlink" Target="https://www.youtube.com/watch?v=OBKF_vxU_Cw" TargetMode="External"/><Relationship Id="rId917" Type="http://schemas.openxmlformats.org/officeDocument/2006/relationships/hyperlink" Target="https://twitter.com/Qbe_Root/status/1246830752987308033"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twitch.tv/inkstar/clip/BoringAliveLeopardYee-RvhtjaEfIhmxDBbu" TargetMode="External"/><Relationship Id="rId919" Type="http://schemas.openxmlformats.org/officeDocument/2006/relationships/hyperlink" Target="https://youtu.be/2sfFBuyhVzo" TargetMode="External"/><Relationship Id="rId910" Type="http://schemas.openxmlformats.org/officeDocument/2006/relationships/hyperlink" Target="https://youtu.be/jsIQ0vhHCCs" TargetMode="External"/><Relationship Id="rId914" Type="http://schemas.openxmlformats.org/officeDocument/2006/relationships/hyperlink" Target="https://www.youtube.com/watch?v=JxOEAkgM3KQ" TargetMode="External"/><Relationship Id="rId913" Type="http://schemas.openxmlformats.org/officeDocument/2006/relationships/hyperlink" Target="https://youtu.be/y53Fs4k6xnA" TargetMode="External"/><Relationship Id="rId912" Type="http://schemas.openxmlformats.org/officeDocument/2006/relationships/hyperlink" Target="https://youtu.be/y53Fs4k6xnA" TargetMode="External"/><Relationship Id="rId911" Type="http://schemas.openxmlformats.org/officeDocument/2006/relationships/hyperlink" Target="https://www.youtube.com/watch?v=PitIqcA7J30" TargetMode="External"/><Relationship Id="rId866" Type="http://schemas.openxmlformats.org/officeDocument/2006/relationships/hyperlink" Target="https://youtu.be/cAt3G2Ycy8A" TargetMode="External"/><Relationship Id="rId865" Type="http://schemas.openxmlformats.org/officeDocument/2006/relationships/hyperlink" Target="https://youtu.be/j6T5dBzLJQc"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twitter.com/Qbe_Root/status/1404248275818061826"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www.youtube.com/watch?v=b6aUCV1EJJc" TargetMode="External"/><Relationship Id="rId867" Type="http://schemas.openxmlformats.org/officeDocument/2006/relationships/hyperlink" Target="https://youtu.be/j6T5dBzLJQc" TargetMode="External"/><Relationship Id="rId862" Type="http://schemas.openxmlformats.org/officeDocument/2006/relationships/hyperlink" Target="https://youtu.be/xc3Z1ebr3Vw" TargetMode="External"/><Relationship Id="rId861" Type="http://schemas.openxmlformats.org/officeDocument/2006/relationships/hyperlink" Target="https://youtu.be/o7ERiclTF6s" TargetMode="External"/><Relationship Id="rId860" Type="http://schemas.openxmlformats.org/officeDocument/2006/relationships/hyperlink" Target="https://www.youtube.com/watch?v=FzDKDXTxIF4&amp;feature=youtu.be&amp;ab_channel=SMSArchives" TargetMode="External"/><Relationship Id="rId855" Type="http://schemas.openxmlformats.org/officeDocument/2006/relationships/hyperlink" Target="https://x.com/inkstarLum/status/1807522604842193205" TargetMode="External"/><Relationship Id="rId854" Type="http://schemas.openxmlformats.org/officeDocument/2006/relationships/hyperlink" Target="https://www.youtube.com/watch?v=afmk_kr71ko" TargetMode="External"/><Relationship Id="rId853" Type="http://schemas.openxmlformats.org/officeDocument/2006/relationships/hyperlink" Target="https://www.youtube.com/watch?v=oYyV4G_HB7w&amp;ab_channel=BlazeAlt" TargetMode="External"/><Relationship Id="rId852" Type="http://schemas.openxmlformats.org/officeDocument/2006/relationships/hyperlink" Target="https://twitter.com/Qbe_Root/status/1404251571966328832" TargetMode="External"/><Relationship Id="rId859" Type="http://schemas.openxmlformats.org/officeDocument/2006/relationships/hyperlink" Target="https://www.youtube.com/watch?v=JBcbuHHG8XU&amp;ab_channel=BlazeAlt" TargetMode="External"/><Relationship Id="rId858" Type="http://schemas.openxmlformats.org/officeDocument/2006/relationships/hyperlink" Target="https://clips.twitch.tv/VenomousLachrymoseSkunkMoreCowbell"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youtu.be/_KW0uTwWX7U" TargetMode="External"/><Relationship Id="rId851" Type="http://schemas.openxmlformats.org/officeDocument/2006/relationships/hyperlink" Target="https://clips.twitch.tv/AverageCrunchyCattleHeyGirl-I1-DzZfWoUgs66Sn" TargetMode="External"/><Relationship Id="rId850" Type="http://schemas.openxmlformats.org/officeDocument/2006/relationships/hyperlink" Target="https://youtu.be/47FTWeFTY78" TargetMode="External"/><Relationship Id="rId888" Type="http://schemas.openxmlformats.org/officeDocument/2006/relationships/hyperlink" Target="https://youtu.be/yLJr0yYVVxI" TargetMode="External"/><Relationship Id="rId887" Type="http://schemas.openxmlformats.org/officeDocument/2006/relationships/hyperlink" Target="https://clips.twitch.tv/AverageInexpensivePlumberTwitchRPG-KqG7b_u4MkB4IKiJ" TargetMode="External"/><Relationship Id="rId886" Type="http://schemas.openxmlformats.org/officeDocument/2006/relationships/hyperlink" Target="https://youtu.be/R5YCV-rEwyc"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PrettiestHyperPassionfruitPhilosoraptor-zgIpEATPca60AcdA" TargetMode="External"/><Relationship Id="rId880" Type="http://schemas.openxmlformats.org/officeDocument/2006/relationships/hyperlink" Target="https://youtu.be/Is8NqhibN8U" TargetMode="External"/><Relationship Id="rId884" Type="http://schemas.openxmlformats.org/officeDocument/2006/relationships/hyperlink" Target="https://youtu.be/jYp1YA6aYEI" TargetMode="External"/><Relationship Id="rId883" Type="http://schemas.openxmlformats.org/officeDocument/2006/relationships/hyperlink" Target="https://youtu.be/wnFz7_SR_wA" TargetMode="External"/><Relationship Id="rId882" Type="http://schemas.openxmlformats.org/officeDocument/2006/relationships/hyperlink" Target="https://www.twitch.tv/aether10n/clip/MistyFragileGrassNerfBlueBlaster-PaZH608EL9bDX8nI" TargetMode="External"/><Relationship Id="rId881" Type="http://schemas.openxmlformats.org/officeDocument/2006/relationships/hyperlink" Target="https://www.youtube.com/watch?v=S17TMSeaNTM" TargetMode="External"/><Relationship Id="rId877" Type="http://schemas.openxmlformats.org/officeDocument/2006/relationships/hyperlink" Target="https://youtu.be/1g-6FMuEbKo" TargetMode="External"/><Relationship Id="rId876" Type="http://schemas.openxmlformats.org/officeDocument/2006/relationships/hyperlink" Target="https://clips.twitch.tv/HomelyAnnoyingGaragePlanking-MF1j1_aC2S-6-UOm" TargetMode="External"/><Relationship Id="rId875" Type="http://schemas.openxmlformats.org/officeDocument/2006/relationships/hyperlink" Target="https://clips.twitch.tv/RacyLaconicDumplingsUncleNox-_SP4ET9Bken7MYDb" TargetMode="External"/><Relationship Id="rId874" Type="http://schemas.openxmlformats.org/officeDocument/2006/relationships/hyperlink" Target="https://youtu.be/FAK9lsxbQhY" TargetMode="External"/><Relationship Id="rId879" Type="http://schemas.openxmlformats.org/officeDocument/2006/relationships/hyperlink" Target="https://youtu.be/cFAGM_tkFfQ" TargetMode="External"/><Relationship Id="rId878" Type="http://schemas.openxmlformats.org/officeDocument/2006/relationships/hyperlink" Target="https://www.youtube.com/watch?v=ieByzYZpBvM" TargetMode="External"/><Relationship Id="rId873" Type="http://schemas.openxmlformats.org/officeDocument/2006/relationships/hyperlink" Target="https://youtu.be/iHzY7gDup4c" TargetMode="External"/><Relationship Id="rId872" Type="http://schemas.openxmlformats.org/officeDocument/2006/relationships/hyperlink" Target="https://youtu.be/Rn7yvpNUrrk" TargetMode="External"/><Relationship Id="rId871" Type="http://schemas.openxmlformats.org/officeDocument/2006/relationships/hyperlink" Target="https://youtu.be/o-H2DTwTB0k" TargetMode="External"/><Relationship Id="rId870" Type="http://schemas.openxmlformats.org/officeDocument/2006/relationships/hyperlink" Target="https://youtu.be/Rn7yvpNUrrk" TargetMode="External"/><Relationship Id="rId829" Type="http://schemas.openxmlformats.org/officeDocument/2006/relationships/hyperlink" Target="https://youtu.be/WXAd-urRBGY" TargetMode="External"/><Relationship Id="rId828" Type="http://schemas.openxmlformats.org/officeDocument/2006/relationships/hyperlink" Target="https://youtu.be/hG_ot6lap08" TargetMode="External"/><Relationship Id="rId827" Type="http://schemas.openxmlformats.org/officeDocument/2006/relationships/hyperlink" Target="https://youtu.be/WXAd-urRBGY" TargetMode="External"/><Relationship Id="rId822" Type="http://schemas.openxmlformats.org/officeDocument/2006/relationships/hyperlink" Target="https://youtu.be/VgV7nF9TyBI" TargetMode="External"/><Relationship Id="rId821" Type="http://schemas.openxmlformats.org/officeDocument/2006/relationships/hyperlink" Target="https://youtu.be/i9mYDPZfNqQ" TargetMode="External"/><Relationship Id="rId820" Type="http://schemas.openxmlformats.org/officeDocument/2006/relationships/hyperlink" Target="https://youtu.be/f6AGBG-zDuA" TargetMode="External"/><Relationship Id="rId826" Type="http://schemas.openxmlformats.org/officeDocument/2006/relationships/hyperlink" Target="https://youtu.be/-zgunwYMEvE" TargetMode="External"/><Relationship Id="rId825" Type="http://schemas.openxmlformats.org/officeDocument/2006/relationships/hyperlink" Target="https://youtu.be/txUsEqcaBoQ" TargetMode="External"/><Relationship Id="rId824" Type="http://schemas.openxmlformats.org/officeDocument/2006/relationships/hyperlink" Target="https://youtu.be/DCVSHisD9Qg" TargetMode="External"/><Relationship Id="rId823" Type="http://schemas.openxmlformats.org/officeDocument/2006/relationships/hyperlink" Target="https://youtu.be/f6AGBG-zDuA" TargetMode="External"/><Relationship Id="rId819" Type="http://schemas.openxmlformats.org/officeDocument/2006/relationships/hyperlink" Target="https://www.youtube.com/watch?v=RUgqny8h0sQ" TargetMode="External"/><Relationship Id="rId818" Type="http://schemas.openxmlformats.org/officeDocument/2006/relationships/hyperlink" Target="https://youtu.be/2Jw4VLpW0j0" TargetMode="External"/><Relationship Id="rId817" Type="http://schemas.openxmlformats.org/officeDocument/2006/relationships/hyperlink" Target="https://youtu.be/HG3hv0ssIsE?si=owrXympLAXpc-o60" TargetMode="External"/><Relationship Id="rId816" Type="http://schemas.openxmlformats.org/officeDocument/2006/relationships/hyperlink" Target="https://www.youtube.com/watch?v=-2zUSpdrK8M" TargetMode="External"/><Relationship Id="rId811" Type="http://schemas.openxmlformats.org/officeDocument/2006/relationships/hyperlink" Target="https://youtu.be/C5p48IfRW8A" TargetMode="External"/><Relationship Id="rId810" Type="http://schemas.openxmlformats.org/officeDocument/2006/relationships/hyperlink" Target="https://youtu.be/8V-QD8QCveU" TargetMode="External"/><Relationship Id="rId815" Type="http://schemas.openxmlformats.org/officeDocument/2006/relationships/hyperlink" Target="https://youtu.be/4fEdYZFxuP8" TargetMode="External"/><Relationship Id="rId814" Type="http://schemas.openxmlformats.org/officeDocument/2006/relationships/hyperlink" Target="https://www.youtube.com/watch?v=wDCLEN8_slI&amp;feature=youtu.be&amp;ab_channel=SMSArchives" TargetMode="External"/><Relationship Id="rId813" Type="http://schemas.openxmlformats.org/officeDocument/2006/relationships/hyperlink" Target="https://youtu.be/LNkZPZUIAkw" TargetMode="External"/><Relationship Id="rId812" Type="http://schemas.openxmlformats.org/officeDocument/2006/relationships/hyperlink" Target="https://www.youtube.com/watch?v=M_TEDO1EzXc" TargetMode="External"/><Relationship Id="rId849" Type="http://schemas.openxmlformats.org/officeDocument/2006/relationships/hyperlink" Target="https://clips.twitch.tv/BadObedientDovePicoMause-R8eTabHgjJpoeuW3"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youtu.be/mjRN8CUWyiA" TargetMode="External"/><Relationship Id="rId842" Type="http://schemas.openxmlformats.org/officeDocument/2006/relationships/hyperlink" Target="https://www.youtube.com/watch?v=p4yVIAcOVZo" TargetMode="External"/><Relationship Id="rId841" Type="http://schemas.openxmlformats.org/officeDocument/2006/relationships/hyperlink" Target="https://youtu.be/GSc6VtIUdK8" TargetMode="External"/><Relationship Id="rId848" Type="http://schemas.openxmlformats.org/officeDocument/2006/relationships/hyperlink" Target="https://www.youtube.com/watch?v=YtydVV2eG8U" TargetMode="External"/><Relationship Id="rId847" Type="http://schemas.openxmlformats.org/officeDocument/2006/relationships/hyperlink" Target="https://youtu.be/kbSFJmvFmYw" TargetMode="External"/><Relationship Id="rId846" Type="http://schemas.openxmlformats.org/officeDocument/2006/relationships/hyperlink" Target="https://youtu.be/c6EhE4xRT_A" TargetMode="External"/><Relationship Id="rId845" Type="http://schemas.openxmlformats.org/officeDocument/2006/relationships/hyperlink" Target="https://youtu.be/pgzyaXmzsKs" TargetMode="External"/><Relationship Id="rId840" Type="http://schemas.openxmlformats.org/officeDocument/2006/relationships/hyperlink" Target="https://youtu.be/g2MZrCUee-s" TargetMode="External"/><Relationship Id="rId839" Type="http://schemas.openxmlformats.org/officeDocument/2006/relationships/hyperlink" Target="https://www.youtube.com/watch?v=p4yVIAcOVZo" TargetMode="External"/><Relationship Id="rId838" Type="http://schemas.openxmlformats.org/officeDocument/2006/relationships/hyperlink" Target="https://youtu.be/MIksklPl0zc?si=8-tEr9Kiau6M-IAv" TargetMode="External"/><Relationship Id="rId833" Type="http://schemas.openxmlformats.org/officeDocument/2006/relationships/hyperlink" Target="https://youtu.be/VOb_HIsYMEk" TargetMode="External"/><Relationship Id="rId832" Type="http://schemas.openxmlformats.org/officeDocument/2006/relationships/hyperlink" Target="https://youtu.be/uy9rheWl06I?si=_xn1ai-mSLZfMXCC" TargetMode="External"/><Relationship Id="rId831" Type="http://schemas.openxmlformats.org/officeDocument/2006/relationships/hyperlink" Target="https://www.youtube.com/watch?v=tOde7xFobrg&amp;feature=youtu.be&amp;ab_channel=SMSArchives" TargetMode="External"/><Relationship Id="rId830" Type="http://schemas.openxmlformats.org/officeDocument/2006/relationships/hyperlink" Target="https://clips.twitch.tv/PreciousCrepuscularHamCharlieBitMe" TargetMode="External"/><Relationship Id="rId837" Type="http://schemas.openxmlformats.org/officeDocument/2006/relationships/hyperlink" Target="https://youtu.be/VOb_HIsYMEk"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x.com/175akane/status/1895101140779286799"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KyLpq9PHrRo" TargetMode="External"/><Relationship Id="rId898" Type="http://schemas.openxmlformats.org/officeDocument/2006/relationships/hyperlink" Target="https://youtu.be/TsQqqpW92RA" TargetMode="External"/><Relationship Id="rId897" Type="http://schemas.openxmlformats.org/officeDocument/2006/relationships/hyperlink" Target="https://youtu.be/2iD0cMJxAZQ" TargetMode="External"/><Relationship Id="rId896" Type="http://schemas.openxmlformats.org/officeDocument/2006/relationships/hyperlink" Target="https://youtu.be/MaVR6cozgeg" TargetMode="External"/><Relationship Id="rId891" Type="http://schemas.openxmlformats.org/officeDocument/2006/relationships/hyperlink" Target="https://youtu.be/obM0WDl_1s4" TargetMode="External"/><Relationship Id="rId890" Type="http://schemas.openxmlformats.org/officeDocument/2006/relationships/hyperlink" Target="https://clips.twitch.tv/RoundKitschyCrabJonCarnage" TargetMode="External"/><Relationship Id="rId895" Type="http://schemas.openxmlformats.org/officeDocument/2006/relationships/hyperlink" Target="https://youtu.be/MaVR6cozgeg" TargetMode="External"/><Relationship Id="rId894" Type="http://schemas.openxmlformats.org/officeDocument/2006/relationships/hyperlink" Target="https://www.twitch.tv/aether10n/clip/SnappyDifficultLettucePeteZarollTie-OViNSZx4TB0-R4hy" TargetMode="External"/><Relationship Id="rId893" Type="http://schemas.openxmlformats.org/officeDocument/2006/relationships/hyperlink" Target="https://youtu.be/pg2U4CLwDnE" TargetMode="External"/><Relationship Id="rId892" Type="http://schemas.openxmlformats.org/officeDocument/2006/relationships/hyperlink" Target="https://youtu.be/AEgBM31Inm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1260</v>
      </c>
      <c r="D24" s="106" t="s">
        <v>1260</v>
      </c>
      <c r="E24" s="107" t="s">
        <v>547</v>
      </c>
      <c r="F24" s="108" t="s">
        <v>1810</v>
      </c>
      <c r="G24" s="104" t="s">
        <v>1811</v>
      </c>
      <c r="H24" s="112" t="s">
        <v>1812</v>
      </c>
      <c r="I24" s="112" t="s">
        <v>1813</v>
      </c>
      <c r="J24" s="112" t="s">
        <v>1814</v>
      </c>
      <c r="K24" s="112" t="s">
        <v>1815</v>
      </c>
      <c r="L24" s="112" t="s">
        <v>1816</v>
      </c>
      <c r="M24" s="259" t="s">
        <v>989</v>
      </c>
      <c r="N24" s="112" t="s">
        <v>1817</v>
      </c>
      <c r="O24" s="167" t="s">
        <v>1818</v>
      </c>
      <c r="P24" s="293" t="s">
        <v>1562</v>
      </c>
      <c r="Q24" s="167" t="s">
        <v>1819</v>
      </c>
      <c r="R24" s="242"/>
      <c r="S24" s="112" t="s">
        <v>1820</v>
      </c>
      <c r="T24" s="242"/>
      <c r="U24" s="167" t="s">
        <v>1538</v>
      </c>
      <c r="V24" s="242"/>
      <c r="W24" s="92"/>
      <c r="X24" s="116" t="s">
        <v>1821</v>
      </c>
      <c r="Y24" s="198"/>
      <c r="Z24" s="116" t="s">
        <v>1822</v>
      </c>
      <c r="AA24" s="296" t="s">
        <v>1823</v>
      </c>
      <c r="AB24" s="116" t="s">
        <v>1824</v>
      </c>
      <c r="AC24" s="116" t="s">
        <v>1123</v>
      </c>
      <c r="AD24" s="116" t="s">
        <v>1825</v>
      </c>
      <c r="AE24" s="116" t="s">
        <v>1826</v>
      </c>
      <c r="AF24" s="198" t="s">
        <v>965</v>
      </c>
      <c r="AG24" s="198" t="s">
        <v>1827</v>
      </c>
      <c r="AH24" s="198" t="s">
        <v>1828</v>
      </c>
      <c r="AI24" s="198"/>
      <c r="AJ24" s="198" t="s">
        <v>1829</v>
      </c>
      <c r="AK24" s="244"/>
      <c r="AL24" s="97"/>
      <c r="AM24" s="121" t="s">
        <v>1830</v>
      </c>
      <c r="AN24" s="168" t="s">
        <v>1831</v>
      </c>
      <c r="AO24" s="168" t="s">
        <v>1832</v>
      </c>
      <c r="AP24" s="168" t="s">
        <v>1833</v>
      </c>
      <c r="AQ24" s="245"/>
      <c r="AR24" s="121" t="s">
        <v>1834</v>
      </c>
      <c r="AS24" s="245"/>
      <c r="AT24" s="245"/>
      <c r="AU24" s="121" t="s">
        <v>678</v>
      </c>
      <c r="AV24" s="279" t="s">
        <v>1835</v>
      </c>
      <c r="AW24" s="121" t="s">
        <v>1836</v>
      </c>
      <c r="AX24" s="245"/>
      <c r="AY24" s="121" t="s">
        <v>1837</v>
      </c>
      <c r="AZ24" s="245"/>
      <c r="BA24" s="245"/>
      <c r="BB24" s="174" t="s">
        <v>860</v>
      </c>
      <c r="BC24" s="303" t="s">
        <v>1449</v>
      </c>
      <c r="BD24" s="174" t="s">
        <v>1838</v>
      </c>
      <c r="BE24" s="174" t="s">
        <v>1839</v>
      </c>
      <c r="BF24" s="126" t="s">
        <v>1840</v>
      </c>
      <c r="BG24" s="174" t="s">
        <v>1841</v>
      </c>
      <c r="BH24" s="173"/>
      <c r="BI24" s="174" t="s">
        <v>1842</v>
      </c>
      <c r="BJ24" s="173"/>
      <c r="BK24" s="174" t="s">
        <v>1843</v>
      </c>
      <c r="BL24" s="126" t="s">
        <v>319</v>
      </c>
      <c r="BM24" s="173"/>
      <c r="BN24" s="174" t="s">
        <v>371</v>
      </c>
      <c r="BO24" s="126" t="s">
        <v>1302</v>
      </c>
      <c r="BP24" s="173"/>
      <c r="BQ24" s="247"/>
      <c r="BR24" s="304" t="s">
        <v>1844</v>
      </c>
      <c r="BS24" s="129" t="s">
        <v>1845</v>
      </c>
      <c r="BT24" s="175" t="s">
        <v>1846</v>
      </c>
      <c r="BU24" s="129" t="s">
        <v>1797</v>
      </c>
      <c r="BV24" s="129" t="s">
        <v>1847</v>
      </c>
      <c r="BW24" s="175" t="s">
        <v>162</v>
      </c>
      <c r="BX24" s="304" t="s">
        <v>1848</v>
      </c>
      <c r="BY24" s="249"/>
      <c r="BZ24" s="129" t="s">
        <v>1849</v>
      </c>
      <c r="CA24" s="129" t="s">
        <v>1850</v>
      </c>
      <c r="CB24" s="175" t="s">
        <v>1851</v>
      </c>
      <c r="CC24" s="175" t="s">
        <v>1852</v>
      </c>
      <c r="CD24" s="129" t="s">
        <v>1699</v>
      </c>
      <c r="CE24" s="129" t="s">
        <v>1853</v>
      </c>
      <c r="CF24" s="251"/>
      <c r="CG24" s="135" t="s">
        <v>1854</v>
      </c>
      <c r="CH24" s="135" t="s">
        <v>933</v>
      </c>
      <c r="CI24" s="177" t="s">
        <v>1855</v>
      </c>
      <c r="CJ24" s="135" t="s">
        <v>1856</v>
      </c>
      <c r="CK24" s="135" t="s">
        <v>1857</v>
      </c>
      <c r="CL24" s="135" t="s">
        <v>1472</v>
      </c>
      <c r="CM24" s="135" t="s">
        <v>939</v>
      </c>
      <c r="CN24" s="135" t="s">
        <v>354</v>
      </c>
      <c r="CO24" s="177" t="s">
        <v>511</v>
      </c>
      <c r="CP24" s="252"/>
      <c r="CQ24" s="177" t="s">
        <v>1547</v>
      </c>
      <c r="CR24" s="252"/>
      <c r="CS24" s="177" t="s">
        <v>1858</v>
      </c>
      <c r="CT24" s="252"/>
      <c r="CU24" s="92"/>
      <c r="CV24" s="140" t="s">
        <v>1859</v>
      </c>
      <c r="CW24" s="204" t="s">
        <v>1860</v>
      </c>
      <c r="CX24" s="140" t="s">
        <v>475</v>
      </c>
      <c r="CY24" s="140" t="s">
        <v>189</v>
      </c>
      <c r="CZ24" s="140" t="s">
        <v>1861</v>
      </c>
      <c r="DA24" s="301" t="s">
        <v>1862</v>
      </c>
      <c r="DB24" s="140" t="s">
        <v>1863</v>
      </c>
      <c r="DC24" s="204" t="s">
        <v>1702</v>
      </c>
      <c r="DD24" s="301" t="s">
        <v>1864</v>
      </c>
      <c r="DE24" s="301" t="s">
        <v>1865</v>
      </c>
      <c r="DF24" s="204" t="s">
        <v>1866</v>
      </c>
      <c r="DG24" s="253"/>
      <c r="DH24" s="263"/>
      <c r="DI24" s="205" t="s">
        <v>1867</v>
      </c>
      <c r="DJ24" s="205"/>
      <c r="DK24" s="205" t="s">
        <v>1868</v>
      </c>
      <c r="DL24" s="205" t="s">
        <v>1869</v>
      </c>
      <c r="DM24" s="205" t="s">
        <v>511</v>
      </c>
      <c r="DN24" s="145" t="s">
        <v>1098</v>
      </c>
      <c r="DO24" s="255"/>
      <c r="DP24" s="255"/>
      <c r="DQ24" s="255"/>
      <c r="DR24" s="145" t="s">
        <v>1870</v>
      </c>
      <c r="DS24" s="145" t="s">
        <v>1871</v>
      </c>
      <c r="DT24" s="145" t="s">
        <v>1872</v>
      </c>
      <c r="DU24" s="145" t="s">
        <v>208</v>
      </c>
      <c r="DV24" s="145" t="s">
        <v>1507</v>
      </c>
      <c r="DW24" s="145" t="s">
        <v>1802</v>
      </c>
      <c r="DX24" s="205" t="s">
        <v>1873</v>
      </c>
      <c r="DY24" s="145" t="s">
        <v>1874</v>
      </c>
      <c r="DZ24" s="145" t="s">
        <v>1875</v>
      </c>
      <c r="EA24" s="205" t="s">
        <v>1328</v>
      </c>
      <c r="EB24" s="145" t="s">
        <v>1876</v>
      </c>
      <c r="EC24" s="145" t="s">
        <v>216</v>
      </c>
      <c r="ED24" s="305" t="s">
        <v>1877</v>
      </c>
    </row>
    <row r="25">
      <c r="A25" s="81" t="s">
        <v>1878</v>
      </c>
      <c r="B25" s="82" t="s">
        <v>1879</v>
      </c>
      <c r="C25" s="83" t="s">
        <v>547</v>
      </c>
      <c r="D25" s="84" t="s">
        <v>650</v>
      </c>
      <c r="E25" s="85" t="s">
        <v>650</v>
      </c>
      <c r="F25" s="86" t="s">
        <v>1880</v>
      </c>
      <c r="G25" s="82" t="s">
        <v>1881</v>
      </c>
      <c r="H25" s="88" t="s">
        <v>1812</v>
      </c>
      <c r="I25" s="88" t="s">
        <v>1882</v>
      </c>
      <c r="J25" s="88" t="s">
        <v>1814</v>
      </c>
      <c r="K25" s="88" t="s">
        <v>104</v>
      </c>
      <c r="L25" s="88" t="s">
        <v>1883</v>
      </c>
      <c r="M25" s="94" t="s">
        <v>1884</v>
      </c>
      <c r="N25" s="88" t="s">
        <v>1885</v>
      </c>
      <c r="O25" s="88" t="s">
        <v>1886</v>
      </c>
      <c r="P25" s="88" t="s">
        <v>109</v>
      </c>
      <c r="Q25" s="94" t="s">
        <v>1887</v>
      </c>
      <c r="R25" s="99"/>
      <c r="S25" s="99"/>
      <c r="T25" s="99"/>
      <c r="U25" s="99"/>
      <c r="V25" s="94" t="s">
        <v>1888</v>
      </c>
      <c r="W25" s="92"/>
      <c r="X25" s="88" t="s">
        <v>1889</v>
      </c>
      <c r="Y25" s="95"/>
      <c r="Z25" s="98" t="s">
        <v>118</v>
      </c>
      <c r="AA25" s="94" t="s">
        <v>1890</v>
      </c>
      <c r="AB25" s="94" t="s">
        <v>1891</v>
      </c>
      <c r="AC25" s="88" t="s">
        <v>1892</v>
      </c>
      <c r="AD25" s="89" t="s">
        <v>288</v>
      </c>
      <c r="AE25" s="94"/>
      <c r="AF25" s="88" t="s">
        <v>1893</v>
      </c>
      <c r="AG25" s="258" t="s">
        <v>1894</v>
      </c>
      <c r="AH25" s="99"/>
      <c r="AI25" s="94"/>
      <c r="AJ25" s="94" t="s">
        <v>1895</v>
      </c>
      <c r="AK25" s="94" t="s">
        <v>1896</v>
      </c>
      <c r="AL25" s="97"/>
      <c r="AM25" s="99"/>
      <c r="AN25" s="94" t="s">
        <v>1897</v>
      </c>
      <c r="AO25" s="88" t="s">
        <v>1898</v>
      </c>
      <c r="AP25" s="94" t="s">
        <v>1899</v>
      </c>
      <c r="AQ25" s="94" t="s">
        <v>1900</v>
      </c>
      <c r="AR25" s="94" t="s">
        <v>1901</v>
      </c>
      <c r="AS25" s="99"/>
      <c r="AT25" s="99"/>
      <c r="AU25" s="98" t="s">
        <v>1540</v>
      </c>
      <c r="AV25" s="93" t="s">
        <v>1902</v>
      </c>
      <c r="AW25" s="94" t="s">
        <v>1017</v>
      </c>
      <c r="AX25" s="99"/>
      <c r="AY25" s="99"/>
      <c r="AZ25" s="94" t="s">
        <v>1903</v>
      </c>
      <c r="BA25" s="94"/>
      <c r="BB25" s="94" t="s">
        <v>1904</v>
      </c>
      <c r="BC25" s="94" t="s">
        <v>1670</v>
      </c>
      <c r="BD25" s="258" t="s">
        <v>1450</v>
      </c>
      <c r="BE25" s="93" t="s">
        <v>776</v>
      </c>
      <c r="BF25" s="266" t="s">
        <v>1905</v>
      </c>
      <c r="BG25" s="94" t="s">
        <v>1906</v>
      </c>
      <c r="BH25" s="99"/>
      <c r="BI25" s="94" t="s">
        <v>1289</v>
      </c>
      <c r="BJ25" s="94" t="s">
        <v>1907</v>
      </c>
      <c r="BK25" s="94" t="s">
        <v>1908</v>
      </c>
      <c r="BL25" s="94" t="s">
        <v>1909</v>
      </c>
      <c r="BM25" s="99"/>
      <c r="BN25" s="88" t="s">
        <v>1221</v>
      </c>
      <c r="BO25" s="94" t="s">
        <v>1910</v>
      </c>
      <c r="BP25" s="266" t="s">
        <v>1911</v>
      </c>
      <c r="BQ25" s="237"/>
      <c r="BR25" s="101" t="s">
        <v>1912</v>
      </c>
      <c r="BS25" s="88" t="s">
        <v>1913</v>
      </c>
      <c r="BT25" s="88" t="s">
        <v>1914</v>
      </c>
      <c r="BU25" s="306" t="s">
        <v>1915</v>
      </c>
      <c r="BV25" s="88" t="s">
        <v>1916</v>
      </c>
      <c r="BW25" s="93" t="s">
        <v>1487</v>
      </c>
      <c r="BX25" s="99"/>
      <c r="BY25" s="99"/>
      <c r="BZ25" s="266" t="s">
        <v>1917</v>
      </c>
      <c r="CA25" s="94" t="s">
        <v>1797</v>
      </c>
      <c r="CB25" s="94" t="s">
        <v>1918</v>
      </c>
      <c r="CC25" s="88" t="s">
        <v>168</v>
      </c>
      <c r="CD25" s="88" t="s">
        <v>1919</v>
      </c>
      <c r="CE25" s="94" t="s">
        <v>1920</v>
      </c>
      <c r="CF25" s="100"/>
      <c r="CG25" s="88" t="s">
        <v>1157</v>
      </c>
      <c r="CH25" s="88" t="s">
        <v>1921</v>
      </c>
      <c r="CI25" s="94" t="s">
        <v>1922</v>
      </c>
      <c r="CJ25" s="88" t="s">
        <v>1923</v>
      </c>
      <c r="CK25" s="93"/>
      <c r="CL25" s="93"/>
      <c r="CM25" s="87" t="s">
        <v>1924</v>
      </c>
      <c r="CN25" s="90" t="s">
        <v>410</v>
      </c>
      <c r="CO25" s="94" t="s">
        <v>1925</v>
      </c>
      <c r="CP25" s="99"/>
      <c r="CQ25" s="94" t="s">
        <v>636</v>
      </c>
      <c r="CR25" s="94"/>
      <c r="CS25" s="94" t="s">
        <v>1926</v>
      </c>
      <c r="CT25" s="89" t="s">
        <v>1234</v>
      </c>
      <c r="CU25" s="92"/>
      <c r="CV25" s="88" t="s">
        <v>1927</v>
      </c>
      <c r="CW25" s="94" t="s">
        <v>1928</v>
      </c>
      <c r="CX25" s="93" t="s">
        <v>1180</v>
      </c>
      <c r="CY25" s="88" t="s">
        <v>1929</v>
      </c>
      <c r="CZ25" s="88" t="s">
        <v>1930</v>
      </c>
      <c r="DA25" s="150" t="s">
        <v>1931</v>
      </c>
      <c r="DB25" s="91" t="s">
        <v>1932</v>
      </c>
      <c r="DC25" s="88" t="s">
        <v>1933</v>
      </c>
      <c r="DD25" s="94" t="s">
        <v>1934</v>
      </c>
      <c r="DE25" s="94" t="s">
        <v>1741</v>
      </c>
      <c r="DF25" s="94" t="s">
        <v>1935</v>
      </c>
      <c r="DG25" s="94" t="s">
        <v>1936</v>
      </c>
      <c r="DH25" s="100"/>
      <c r="DI25" s="94" t="s">
        <v>141</v>
      </c>
      <c r="DJ25" s="99"/>
      <c r="DK25" s="99"/>
      <c r="DL25" s="99"/>
      <c r="DM25" s="90" t="s">
        <v>179</v>
      </c>
      <c r="DN25" s="94" t="s">
        <v>1937</v>
      </c>
      <c r="DO25" s="94" t="s">
        <v>1938</v>
      </c>
      <c r="DP25" s="99"/>
      <c r="DQ25" s="99"/>
      <c r="DR25" s="88" t="s">
        <v>1939</v>
      </c>
      <c r="DS25" s="94" t="s">
        <v>1940</v>
      </c>
      <c r="DT25" s="94" t="s">
        <v>1068</v>
      </c>
      <c r="DU25" s="222"/>
      <c r="DV25" s="99"/>
      <c r="DW25" s="94" t="s">
        <v>1941</v>
      </c>
      <c r="DX25" s="99"/>
      <c r="DY25" s="94" t="s">
        <v>1804</v>
      </c>
      <c r="DZ25" s="94" t="s">
        <v>1942</v>
      </c>
      <c r="EA25" s="94" t="s">
        <v>1943</v>
      </c>
      <c r="EB25" s="88" t="s">
        <v>1944</v>
      </c>
      <c r="EC25" s="94" t="s">
        <v>1945</v>
      </c>
      <c r="ED25" s="258"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1822</v>
      </c>
      <c r="AA26" s="198" t="s">
        <v>1959</v>
      </c>
      <c r="AB26" s="198" t="s">
        <v>1960</v>
      </c>
      <c r="AC26" s="116" t="s">
        <v>1961</v>
      </c>
      <c r="AD26" s="198" t="s">
        <v>1962</v>
      </c>
      <c r="AE26" s="198" t="s">
        <v>1963</v>
      </c>
      <c r="AF26" s="116" t="s">
        <v>760</v>
      </c>
      <c r="AG26" s="198" t="s">
        <v>125</v>
      </c>
      <c r="AH26" s="307" t="s">
        <v>1964</v>
      </c>
      <c r="AI26" s="308"/>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3" t="s">
        <v>1065</v>
      </c>
      <c r="BO26" s="174" t="s">
        <v>1985</v>
      </c>
      <c r="BP26" s="174" t="s">
        <v>1986</v>
      </c>
      <c r="BQ26" s="297"/>
      <c r="BR26" s="175"/>
      <c r="BS26" s="175" t="s">
        <v>1987</v>
      </c>
      <c r="BT26" s="175" t="s">
        <v>1988</v>
      </c>
      <c r="BU26" s="175" t="s">
        <v>698</v>
      </c>
      <c r="BV26" s="129" t="s">
        <v>1989</v>
      </c>
      <c r="BW26" s="175" t="s">
        <v>1990</v>
      </c>
      <c r="BX26" s="175" t="s">
        <v>1991</v>
      </c>
      <c r="BY26" s="309"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1" t="s">
        <v>2027</v>
      </c>
      <c r="B27" s="82" t="s">
        <v>2028</v>
      </c>
      <c r="C27" s="83" t="s">
        <v>1260</v>
      </c>
      <c r="D27" s="84" t="s">
        <v>1260</v>
      </c>
      <c r="E27" s="85" t="s">
        <v>547</v>
      </c>
      <c r="F27" s="86" t="s">
        <v>2029</v>
      </c>
      <c r="G27" s="82" t="s">
        <v>2030</v>
      </c>
      <c r="H27" s="312" t="s">
        <v>1606</v>
      </c>
      <c r="I27" s="313" t="s">
        <v>2031</v>
      </c>
      <c r="J27" s="313" t="s">
        <v>2032</v>
      </c>
      <c r="K27" s="313" t="s">
        <v>444</v>
      </c>
      <c r="L27" s="313" t="s">
        <v>384</v>
      </c>
      <c r="M27" s="314" t="s">
        <v>601</v>
      </c>
      <c r="N27" s="312" t="s">
        <v>2033</v>
      </c>
      <c r="O27" s="313" t="s">
        <v>2034</v>
      </c>
      <c r="P27" s="313" t="s">
        <v>109</v>
      </c>
      <c r="Q27" s="315" t="s">
        <v>2035</v>
      </c>
      <c r="R27" s="312" t="s">
        <v>2036</v>
      </c>
      <c r="S27" s="312" t="s">
        <v>772</v>
      </c>
      <c r="T27" s="313" t="s">
        <v>2037</v>
      </c>
      <c r="U27" s="313" t="s">
        <v>2038</v>
      </c>
      <c r="V27" s="314" t="s">
        <v>2039</v>
      </c>
      <c r="W27" s="154"/>
      <c r="X27" s="316" t="s">
        <v>2040</v>
      </c>
      <c r="Y27" s="314"/>
      <c r="Z27" s="314" t="s">
        <v>2041</v>
      </c>
      <c r="AA27" s="313" t="s">
        <v>2042</v>
      </c>
      <c r="AB27" s="313" t="s">
        <v>2043</v>
      </c>
      <c r="AC27" s="312" t="str">
        <f>HYPERLINK("https://youtu.be/uGMxtAWodvo","30.22")</f>
        <v>30.22</v>
      </c>
      <c r="AD27" s="312" t="s">
        <v>2044</v>
      </c>
      <c r="AE27" s="314"/>
      <c r="AF27" s="313" t="s">
        <v>965</v>
      </c>
      <c r="AG27" s="312" t="str">
        <f>HYPERLINK("https://www.youtube.com/watch?v=EdK5oJYC1tk","15.10")</f>
        <v>15.10</v>
      </c>
      <c r="AH27" s="313" t="s">
        <v>458</v>
      </c>
      <c r="AI27" s="313" t="s">
        <v>571</v>
      </c>
      <c r="AJ27" s="312" t="str">
        <f>HYPERLINK("https://youtu.be/ZXRdUyO-EWA","1:01.11")</f>
        <v>1:01.11</v>
      </c>
      <c r="AK27" s="316" t="s">
        <v>2045</v>
      </c>
      <c r="AL27" s="317"/>
      <c r="AM27" s="316" t="s">
        <v>2046</v>
      </c>
      <c r="AN27" s="313" t="s">
        <v>1831</v>
      </c>
      <c r="AO27" s="314" t="s">
        <v>2047</v>
      </c>
      <c r="AP27" s="313" t="s">
        <v>2048</v>
      </c>
      <c r="AQ27" s="314"/>
      <c r="AR27" s="314"/>
      <c r="AS27" s="313" t="s">
        <v>2049</v>
      </c>
      <c r="AT27" s="312" t="s">
        <v>2050</v>
      </c>
      <c r="AU27" s="313" t="s">
        <v>845</v>
      </c>
      <c r="AV27" s="313" t="s">
        <v>2051</v>
      </c>
      <c r="AW27" s="318" t="s">
        <v>145</v>
      </c>
      <c r="AX27" s="312" t="str">
        <f>HYPERLINK("https://youtu.be/LGq_coDO1t0","41.89")</f>
        <v>41.89</v>
      </c>
      <c r="AY27" s="313" t="s">
        <v>1372</v>
      </c>
      <c r="AZ27" s="314" t="s">
        <v>2052</v>
      </c>
      <c r="BA27" s="314"/>
      <c r="BB27" s="312" t="s">
        <v>2053</v>
      </c>
      <c r="BC27" s="313" t="s">
        <v>144</v>
      </c>
      <c r="BD27" s="313" t="s">
        <v>145</v>
      </c>
      <c r="BE27" s="312" t="s">
        <v>2054</v>
      </c>
      <c r="BF27" s="314" t="s">
        <v>793</v>
      </c>
      <c r="BG27" s="312" t="s">
        <v>476</v>
      </c>
      <c r="BH27" s="312" t="str">
        <f>HYPERLINK("https://youtu.be/SCwM4I4j6-A","50.19")</f>
        <v>50.19</v>
      </c>
      <c r="BI27" s="312" t="s">
        <v>2055</v>
      </c>
      <c r="BJ27" s="314"/>
      <c r="BK27" s="312" t="str">
        <f>HYPERLINK("https://youtu.be/1ecLZd2x6O4","1:28.27")</f>
        <v>1:28.27</v>
      </c>
      <c r="BL27" s="312" t="s">
        <v>2056</v>
      </c>
      <c r="BM27" s="314" t="s">
        <v>2057</v>
      </c>
      <c r="BN27" s="313" t="s">
        <v>155</v>
      </c>
      <c r="BO27" s="312" t="str">
        <f>HYPERLINK("https://youtu.be/tUFd3-e8u0s","1:27.08")</f>
        <v>1:27.08</v>
      </c>
      <c r="BP27" s="314" t="s">
        <v>2058</v>
      </c>
      <c r="BQ27" s="319"/>
      <c r="BR27" s="314" t="s">
        <v>1072</v>
      </c>
      <c r="BS27" s="312" t="str">
        <f>HYPERLINK("https://youtu.be/sYs50tvUHuo","52.01")</f>
        <v>52.01</v>
      </c>
      <c r="BT27" s="313" t="s">
        <v>2059</v>
      </c>
      <c r="BU27" s="312" t="s">
        <v>1044</v>
      </c>
      <c r="BV27" s="314" t="s">
        <v>1828</v>
      </c>
      <c r="BW27" s="312" t="str">
        <f>HYPERLINK("https://youtu.be/n7zdK3H7Bag","22.27")</f>
        <v>22.27</v>
      </c>
      <c r="BX27" s="314"/>
      <c r="BY27" s="314" t="s">
        <v>2060</v>
      </c>
      <c r="BZ27" s="312" t="s">
        <v>1240</v>
      </c>
      <c r="CA27" s="313" t="s">
        <v>868</v>
      </c>
      <c r="CB27" s="313" t="s">
        <v>2061</v>
      </c>
      <c r="CC27" s="313" t="s">
        <v>2062</v>
      </c>
      <c r="CD27" s="312" t="s">
        <v>2063</v>
      </c>
      <c r="CE27" s="314" t="s">
        <v>2064</v>
      </c>
      <c r="CF27" s="319"/>
      <c r="CG27" s="313" t="s">
        <v>2065</v>
      </c>
      <c r="CH27" s="313" t="s">
        <v>1469</v>
      </c>
      <c r="CI27" s="313" t="s">
        <v>2066</v>
      </c>
      <c r="CJ27" s="312" t="s">
        <v>783</v>
      </c>
      <c r="CK27" s="320"/>
      <c r="CL27" s="312" t="s">
        <v>2067</v>
      </c>
      <c r="CM27" s="313" t="s">
        <v>2068</v>
      </c>
      <c r="CN27" s="312" t="s">
        <v>510</v>
      </c>
      <c r="CO27" s="313" t="s">
        <v>2069</v>
      </c>
      <c r="CP27" s="314"/>
      <c r="CQ27" s="314" t="s">
        <v>426</v>
      </c>
      <c r="CR27" s="314"/>
      <c r="CS27" s="314" t="s">
        <v>2070</v>
      </c>
      <c r="CT27" s="314"/>
      <c r="CU27" s="154"/>
      <c r="CV27" s="316" t="s">
        <v>2071</v>
      </c>
      <c r="CW27" s="312" t="str">
        <f>HYPERLINK("https://www.youtube.com/watch?v=wOcz6idXkPk","13.28")</f>
        <v>13.28</v>
      </c>
      <c r="CX27" s="313" t="s">
        <v>719</v>
      </c>
      <c r="CY27" s="314" t="s">
        <v>2072</v>
      </c>
      <c r="CZ27" s="312" t="s">
        <v>2073</v>
      </c>
      <c r="DA27" s="313" t="s">
        <v>933</v>
      </c>
      <c r="DB27" s="313" t="s">
        <v>2074</v>
      </c>
      <c r="DC27" s="313" t="s">
        <v>2075</v>
      </c>
      <c r="DD27" s="314" t="s">
        <v>2076</v>
      </c>
      <c r="DE27" s="314" t="s">
        <v>2077</v>
      </c>
      <c r="DF27" s="313" t="s">
        <v>2078</v>
      </c>
      <c r="DG27" s="312" t="str">
        <f>HYPERLINK("https://youtu.be/1RIW6L86hD0","1:39.58")</f>
        <v>1:39.58</v>
      </c>
      <c r="DH27" s="319"/>
      <c r="DI27" s="314" t="s">
        <v>1919</v>
      </c>
      <c r="DJ27" s="312" t="str">
        <f>HYPERLINK("https://youtu.be/0qbQjk4eFZ4","1:30.01")</f>
        <v>1:30.01</v>
      </c>
      <c r="DK27" s="312" t="str">
        <f>HYPERLINK("https://youtu.be/KytqO9xTGZE","1:28.71")</f>
        <v>1:28.71</v>
      </c>
      <c r="DL27" s="314"/>
      <c r="DM27" s="314" t="s">
        <v>530</v>
      </c>
      <c r="DN27" s="314" t="s">
        <v>974</v>
      </c>
      <c r="DO27" s="312" t="s">
        <v>2079</v>
      </c>
      <c r="DP27" s="312" t="s">
        <v>2080</v>
      </c>
      <c r="DQ27" s="312" t="s">
        <v>2081</v>
      </c>
      <c r="DR27" s="312" t="str">
        <f>HYPERLINK("https://youtu.be/ZcgmlQvaJlw","1:20.73")</f>
        <v>1:20.73</v>
      </c>
      <c r="DS27" s="316" t="s">
        <v>2082</v>
      </c>
      <c r="DT27" s="312" t="str">
        <f>HYPERLINK("https://youtu.be/dmtW9oWPfEA","13.00")</f>
        <v>13.00</v>
      </c>
      <c r="DU27" s="313" t="s">
        <v>2083</v>
      </c>
      <c r="DV27" s="314" t="s">
        <v>1024</v>
      </c>
      <c r="DW27" s="313" t="s">
        <v>538</v>
      </c>
      <c r="DX27" s="314" t="s">
        <v>596</v>
      </c>
      <c r="DY27" s="314" t="s">
        <v>1108</v>
      </c>
      <c r="DZ27" s="312" t="s">
        <v>2084</v>
      </c>
      <c r="EA27" s="312" t="s">
        <v>2085</v>
      </c>
      <c r="EB27" s="314" t="s">
        <v>2086</v>
      </c>
      <c r="EC27" s="314" t="s">
        <v>2087</v>
      </c>
      <c r="ED27" s="312" t="str">
        <f>HYPERLINK("https://youtu.be/Oh1CRK6fpa4","6.59")</f>
        <v>6.59</v>
      </c>
    </row>
    <row r="28">
      <c r="A28" s="166" t="s">
        <v>2088</v>
      </c>
      <c r="B28" s="104" t="s">
        <v>2089</v>
      </c>
      <c r="C28" s="105" t="s">
        <v>547</v>
      </c>
      <c r="D28" s="106" t="s">
        <v>332</v>
      </c>
      <c r="E28" s="107" t="s">
        <v>438</v>
      </c>
      <c r="F28" s="108" t="s">
        <v>2090</v>
      </c>
      <c r="G28" s="104" t="s">
        <v>2091</v>
      </c>
      <c r="H28" s="167" t="s">
        <v>2092</v>
      </c>
      <c r="I28" s="321"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1"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1825</v>
      </c>
      <c r="AE28" s="244"/>
      <c r="AF28" s="114" t="str">
        <f>HYPERLINK("https://clips.twitch.tv/TransparentFragileSwordLitty","1:33.78")</f>
        <v>1:33.78</v>
      </c>
      <c r="AG28" s="118" t="str">
        <f>HYPERLINK("https://clips.twitch.tv/TameArbitraryBurritoYouDontSay","15.00")</f>
        <v>15.00</v>
      </c>
      <c r="AH28" s="116" t="s">
        <v>2096</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4"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2106</v>
      </c>
      <c r="B29" s="82" t="s">
        <v>2107</v>
      </c>
      <c r="C29" s="83" t="s">
        <v>1260</v>
      </c>
      <c r="D29" s="84" t="s">
        <v>650</v>
      </c>
      <c r="E29" s="85" t="s">
        <v>1260</v>
      </c>
      <c r="F29" s="86" t="s">
        <v>2108</v>
      </c>
      <c r="G29" s="82" t="s">
        <v>2109</v>
      </c>
      <c r="H29" s="326" t="s">
        <v>1812</v>
      </c>
      <c r="I29" s="313" t="s">
        <v>2110</v>
      </c>
      <c r="J29" s="313" t="s">
        <v>2111</v>
      </c>
      <c r="K29" s="313" t="s">
        <v>2112</v>
      </c>
      <c r="L29" s="313" t="s">
        <v>1208</v>
      </c>
      <c r="M29" s="313" t="s">
        <v>2113</v>
      </c>
      <c r="N29" s="156" t="s">
        <v>2114</v>
      </c>
      <c r="O29" s="313" t="s">
        <v>2036</v>
      </c>
      <c r="P29" s="313" t="s">
        <v>343</v>
      </c>
      <c r="Q29" s="316" t="s">
        <v>2115</v>
      </c>
      <c r="R29" s="314"/>
      <c r="S29" s="316" t="s">
        <v>2116</v>
      </c>
      <c r="T29" s="314"/>
      <c r="U29" s="316" t="s">
        <v>225</v>
      </c>
      <c r="V29" s="94" t="s">
        <v>2117</v>
      </c>
      <c r="W29" s="154"/>
      <c r="X29" s="313" t="s">
        <v>225</v>
      </c>
      <c r="Y29" s="326"/>
      <c r="Z29" s="326" t="s">
        <v>1822</v>
      </c>
      <c r="AA29" s="326" t="s">
        <v>2118</v>
      </c>
      <c r="AB29" s="313" t="s">
        <v>2119</v>
      </c>
      <c r="AC29" s="313" t="s">
        <v>2120</v>
      </c>
      <c r="AD29" s="313" t="s">
        <v>2121</v>
      </c>
      <c r="AE29" s="316" t="s">
        <v>2122</v>
      </c>
      <c r="AF29" s="313" t="s">
        <v>965</v>
      </c>
      <c r="AG29" s="313" t="s">
        <v>1280</v>
      </c>
      <c r="AH29" s="223" t="s">
        <v>2120</v>
      </c>
      <c r="AI29" s="314"/>
      <c r="AJ29" s="314"/>
      <c r="AK29" s="314"/>
      <c r="AL29" s="159"/>
      <c r="AM29" s="313" t="s">
        <v>1226</v>
      </c>
      <c r="AN29" s="313" t="s">
        <v>919</v>
      </c>
      <c r="AO29" s="314"/>
      <c r="AP29" s="314"/>
      <c r="AQ29" s="314"/>
      <c r="AR29" s="314"/>
      <c r="AS29" s="313" t="s">
        <v>136</v>
      </c>
      <c r="AT29" s="314"/>
      <c r="AU29" s="313" t="s">
        <v>678</v>
      </c>
      <c r="AV29" s="313" t="s">
        <v>2123</v>
      </c>
      <c r="AW29" s="316" t="s">
        <v>2124</v>
      </c>
      <c r="AX29" s="314"/>
      <c r="AY29" s="313" t="s">
        <v>2125</v>
      </c>
      <c r="AZ29" s="314"/>
      <c r="BA29" s="314"/>
      <c r="BB29" s="313" t="s">
        <v>2126</v>
      </c>
      <c r="BC29" s="313" t="s">
        <v>2098</v>
      </c>
      <c r="BD29" s="313" t="s">
        <v>145</v>
      </c>
      <c r="BE29" s="313" t="s">
        <v>1156</v>
      </c>
      <c r="BF29" s="313" t="s">
        <v>2127</v>
      </c>
      <c r="BG29" s="326" t="s">
        <v>2128</v>
      </c>
      <c r="BH29" s="314"/>
      <c r="BI29" s="313" t="s">
        <v>2129</v>
      </c>
      <c r="BJ29" s="316"/>
      <c r="BK29" s="326" t="s">
        <v>2130</v>
      </c>
      <c r="BL29" s="313" t="s">
        <v>2131</v>
      </c>
      <c r="BM29" s="314"/>
      <c r="BN29" s="314"/>
      <c r="BO29" s="314"/>
      <c r="BP29" s="314"/>
      <c r="BQ29" s="327"/>
      <c r="BR29" s="326" t="s">
        <v>2132</v>
      </c>
      <c r="BS29" s="326" t="s">
        <v>2133</v>
      </c>
      <c r="BT29" s="313" t="s">
        <v>2134</v>
      </c>
      <c r="BU29" s="313" t="s">
        <v>2135</v>
      </c>
      <c r="BV29" s="313" t="s">
        <v>2053</v>
      </c>
      <c r="BW29" s="326" t="s">
        <v>1307</v>
      </c>
      <c r="BX29" s="313" t="s">
        <v>2136</v>
      </c>
      <c r="BY29" s="316" t="s">
        <v>2137</v>
      </c>
      <c r="BZ29" s="326" t="s">
        <v>2138</v>
      </c>
      <c r="CA29" s="223" t="s">
        <v>2139</v>
      </c>
      <c r="CB29" s="314"/>
      <c r="CC29" s="314"/>
      <c r="CD29" s="314"/>
      <c r="CE29" s="314"/>
      <c r="CF29" s="327"/>
      <c r="CG29" s="313" t="s">
        <v>2140</v>
      </c>
      <c r="CH29" s="326" t="s">
        <v>2141</v>
      </c>
      <c r="CI29" s="313" t="s">
        <v>1104</v>
      </c>
      <c r="CJ29" s="326" t="s">
        <v>2142</v>
      </c>
      <c r="CK29" s="326"/>
      <c r="CL29" s="328" t="s">
        <v>2143</v>
      </c>
      <c r="CM29" s="326" t="s">
        <v>2001</v>
      </c>
      <c r="CN29" s="326" t="s">
        <v>1144</v>
      </c>
      <c r="CO29" s="313" t="s">
        <v>2144</v>
      </c>
      <c r="CP29" s="314"/>
      <c r="CQ29" s="326" t="s">
        <v>354</v>
      </c>
      <c r="CR29" s="314"/>
      <c r="CS29" s="314"/>
      <c r="CT29" s="314"/>
      <c r="CU29" s="154"/>
      <c r="CV29" s="313" t="s">
        <v>850</v>
      </c>
      <c r="CW29" s="313" t="s">
        <v>2145</v>
      </c>
      <c r="CX29" s="313" t="s">
        <v>188</v>
      </c>
      <c r="CY29" s="313" t="s">
        <v>2146</v>
      </c>
      <c r="CZ29" s="313" t="s">
        <v>2147</v>
      </c>
      <c r="DA29" s="326" t="s">
        <v>2148</v>
      </c>
      <c r="DB29" s="156" t="s">
        <v>192</v>
      </c>
      <c r="DC29" s="223" t="s">
        <v>305</v>
      </c>
      <c r="DD29" s="314"/>
      <c r="DE29" s="314"/>
      <c r="DF29" s="314"/>
      <c r="DG29" s="314"/>
      <c r="DH29" s="327"/>
      <c r="DI29" s="326" t="s">
        <v>628</v>
      </c>
      <c r="DJ29" s="314"/>
      <c r="DK29" s="314"/>
      <c r="DL29" s="314"/>
      <c r="DM29" s="313" t="s">
        <v>530</v>
      </c>
      <c r="DN29" s="313" t="s">
        <v>2149</v>
      </c>
      <c r="DO29" s="313" t="s">
        <v>633</v>
      </c>
      <c r="DP29" s="313" t="s">
        <v>2150</v>
      </c>
      <c r="DQ29" s="314"/>
      <c r="DR29" s="326" t="s">
        <v>2151</v>
      </c>
      <c r="DS29" s="313" t="s">
        <v>2152</v>
      </c>
      <c r="DT29" s="314"/>
      <c r="DU29" s="313" t="s">
        <v>1086</v>
      </c>
      <c r="DV29" s="314"/>
      <c r="DW29" s="313" t="s">
        <v>641</v>
      </c>
      <c r="DX29" s="314"/>
      <c r="DY29" s="314"/>
      <c r="DZ29" s="314"/>
      <c r="EA29" s="314"/>
      <c r="EB29" s="314"/>
      <c r="EC29" s="314"/>
      <c r="ED29" s="156" t="s">
        <v>2153</v>
      </c>
    </row>
    <row r="30">
      <c r="A30" s="329"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2165</v>
      </c>
      <c r="Y30" s="270"/>
      <c r="Z30" s="116" t="s">
        <v>1141</v>
      </c>
      <c r="AA30" s="116" t="s">
        <v>2166</v>
      </c>
      <c r="AB30" s="116" t="s">
        <v>2167</v>
      </c>
      <c r="AC30" s="116" t="s">
        <v>2168</v>
      </c>
      <c r="AD30" s="116" t="s">
        <v>2169</v>
      </c>
      <c r="AE30" s="198"/>
      <c r="AF30" s="116" t="s">
        <v>357</v>
      </c>
      <c r="AG30" s="116" t="s">
        <v>358</v>
      </c>
      <c r="AH30" s="244"/>
      <c r="AI30" s="244"/>
      <c r="AJ30" s="244"/>
      <c r="AK30" s="244"/>
      <c r="AL30" s="97"/>
      <c r="AM30" s="245"/>
      <c r="AN30" s="168"/>
      <c r="AO30" s="245"/>
      <c r="AP30" s="245"/>
      <c r="AQ30" s="245"/>
      <c r="AR30" s="245"/>
      <c r="AS30" s="245"/>
      <c r="AT30" s="245"/>
      <c r="AU30" s="121" t="s">
        <v>473</v>
      </c>
      <c r="AV30" s="121" t="s">
        <v>2170</v>
      </c>
      <c r="AW30" s="245"/>
      <c r="AX30" s="245"/>
      <c r="AY30" s="245"/>
      <c r="AZ30" s="245"/>
      <c r="BA30" s="245"/>
      <c r="BB30" s="126" t="s">
        <v>1930</v>
      </c>
      <c r="BC30" s="126" t="s">
        <v>683</v>
      </c>
      <c r="BD30" s="126" t="s">
        <v>1314</v>
      </c>
      <c r="BE30" s="127" t="s">
        <v>643</v>
      </c>
      <c r="BF30" s="126" t="s">
        <v>1376</v>
      </c>
      <c r="BG30" s="173"/>
      <c r="BH30" s="173"/>
      <c r="BI30" s="126" t="s">
        <v>2171</v>
      </c>
      <c r="BJ30" s="126" t="s">
        <v>2172</v>
      </c>
      <c r="BK30" s="174"/>
      <c r="BL30" s="126" t="s">
        <v>2173</v>
      </c>
      <c r="BM30" s="173"/>
      <c r="BN30" s="173"/>
      <c r="BO30" s="173"/>
      <c r="BP30" s="173"/>
      <c r="BQ30" s="247"/>
      <c r="BR30" s="129" t="s">
        <v>2174</v>
      </c>
      <c r="BS30" s="261" t="s">
        <v>2175</v>
      </c>
      <c r="BT30" s="130" t="s">
        <v>2176</v>
      </c>
      <c r="BU30" s="129" t="s">
        <v>941</v>
      </c>
      <c r="BV30" s="129" t="s">
        <v>2177</v>
      </c>
      <c r="BW30" s="129" t="s">
        <v>1098</v>
      </c>
      <c r="BX30" s="129" t="s">
        <v>2178</v>
      </c>
      <c r="BY30" s="129" t="s">
        <v>702</v>
      </c>
      <c r="BZ30" s="249"/>
      <c r="CA30" s="129" t="s">
        <v>1594</v>
      </c>
      <c r="CB30" s="249"/>
      <c r="CC30" s="249"/>
      <c r="CD30" s="249"/>
      <c r="CE30" s="249"/>
      <c r="CF30" s="251"/>
      <c r="CG30" s="135" t="s">
        <v>504</v>
      </c>
      <c r="CH30" s="135" t="s">
        <v>1842</v>
      </c>
      <c r="CI30" s="135" t="s">
        <v>2179</v>
      </c>
      <c r="CJ30" s="135" t="s">
        <v>2180</v>
      </c>
      <c r="CK30" s="135" t="s">
        <v>175</v>
      </c>
      <c r="CL30" s="135" t="s">
        <v>2181</v>
      </c>
      <c r="CM30" s="135" t="s">
        <v>2182</v>
      </c>
      <c r="CN30" s="135" t="s">
        <v>877</v>
      </c>
      <c r="CO30" s="135" t="s">
        <v>2183</v>
      </c>
      <c r="CP30" s="252"/>
      <c r="CQ30" s="252"/>
      <c r="CR30" s="252"/>
      <c r="CS30" s="252"/>
      <c r="CT30" s="252"/>
      <c r="CU30" s="92"/>
      <c r="CV30" s="140" t="s">
        <v>409</v>
      </c>
      <c r="CW30" s="204" t="s">
        <v>2184</v>
      </c>
      <c r="CX30" s="140" t="s">
        <v>2185</v>
      </c>
      <c r="CY30" s="140" t="s">
        <v>2186</v>
      </c>
      <c r="CZ30" s="140" t="s">
        <v>1183</v>
      </c>
      <c r="DA30" s="140" t="s">
        <v>2187</v>
      </c>
      <c r="DB30" s="140" t="s">
        <v>2188</v>
      </c>
      <c r="DC30" s="140" t="s">
        <v>2189</v>
      </c>
      <c r="DD30" s="253"/>
      <c r="DE30" s="204"/>
      <c r="DF30" s="253"/>
      <c r="DG30" s="253"/>
      <c r="DH30" s="263"/>
      <c r="DI30" s="145" t="s">
        <v>198</v>
      </c>
      <c r="DJ30" s="255"/>
      <c r="DK30" s="255"/>
      <c r="DL30" s="205"/>
      <c r="DM30" s="205"/>
      <c r="DN30" s="205"/>
      <c r="DO30" s="255"/>
      <c r="DP30" s="255"/>
      <c r="DQ30" s="255"/>
      <c r="DR30" s="145" t="s">
        <v>2190</v>
      </c>
      <c r="DS30" s="145" t="s">
        <v>206</v>
      </c>
      <c r="DT30" s="255"/>
      <c r="DU30" s="255"/>
      <c r="DV30" s="255"/>
      <c r="DW30" s="255"/>
      <c r="DX30" s="255"/>
      <c r="DY30" s="255"/>
      <c r="DZ30" s="255"/>
      <c r="EA30" s="255"/>
      <c r="EB30" s="255"/>
      <c r="EC30" s="255"/>
      <c r="ED30" s="287"/>
    </row>
    <row r="31">
      <c r="A31" s="330" t="s">
        <v>2191</v>
      </c>
      <c r="B31" s="82" t="s">
        <v>2192</v>
      </c>
      <c r="C31" s="83" t="s">
        <v>1260</v>
      </c>
      <c r="D31" s="84" t="s">
        <v>1260</v>
      </c>
      <c r="E31" s="85" t="s">
        <v>1260</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1692</v>
      </c>
      <c r="Y31" s="102"/>
      <c r="Z31" s="88" t="s">
        <v>2204</v>
      </c>
      <c r="AA31" s="88" t="s">
        <v>2205</v>
      </c>
      <c r="AB31" s="266"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1750</v>
      </c>
      <c r="AO31" s="162" t="s">
        <v>2214</v>
      </c>
      <c r="AP31" s="88" t="s">
        <v>133</v>
      </c>
      <c r="AQ31" s="88" t="s">
        <v>2215</v>
      </c>
      <c r="AR31" s="88" t="s">
        <v>1624</v>
      </c>
      <c r="AS31" s="94" t="s">
        <v>401</v>
      </c>
      <c r="AT31" s="88" t="s">
        <v>2216</v>
      </c>
      <c r="AU31" s="88" t="s">
        <v>2217</v>
      </c>
      <c r="AV31" s="88" t="s">
        <v>2218</v>
      </c>
      <c r="AW31" s="88" t="s">
        <v>2219</v>
      </c>
      <c r="AX31" s="94" t="s">
        <v>2220</v>
      </c>
      <c r="AY31" s="94" t="s">
        <v>2221</v>
      </c>
      <c r="AZ31" s="162" t="s">
        <v>2222</v>
      </c>
      <c r="BA31" s="331"/>
      <c r="BB31" s="94" t="s">
        <v>1889</v>
      </c>
      <c r="BC31" s="88" t="s">
        <v>2223</v>
      </c>
      <c r="BD31" s="88" t="s">
        <v>2224</v>
      </c>
      <c r="BE31" s="88" t="s">
        <v>1295</v>
      </c>
      <c r="BF31" s="88" t="s">
        <v>1468</v>
      </c>
      <c r="BG31" s="94" t="s">
        <v>2225</v>
      </c>
      <c r="BH31" s="88" t="s">
        <v>1679</v>
      </c>
      <c r="BI31" s="88" t="s">
        <v>1998</v>
      </c>
      <c r="BJ31" s="88" t="s">
        <v>2226</v>
      </c>
      <c r="BK31" s="94"/>
      <c r="BL31" s="88" t="s">
        <v>2056</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1941</v>
      </c>
      <c r="CB31" s="88" t="s">
        <v>2237</v>
      </c>
      <c r="CC31" s="88" t="s">
        <v>2238</v>
      </c>
      <c r="CD31" s="88" t="s">
        <v>260</v>
      </c>
      <c r="CE31" s="88" t="s">
        <v>1888</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2160</v>
      </c>
      <c r="DG31" s="88" t="s">
        <v>408</v>
      </c>
      <c r="DH31" s="88"/>
      <c r="DI31" s="88" t="s">
        <v>628</v>
      </c>
      <c r="DJ31" s="94" t="s">
        <v>2256</v>
      </c>
      <c r="DK31" s="94" t="s">
        <v>2257</v>
      </c>
      <c r="DL31" s="88" t="s">
        <v>2258</v>
      </c>
      <c r="DM31" s="88" t="s">
        <v>530</v>
      </c>
      <c r="DN31" s="88" t="s">
        <v>862</v>
      </c>
      <c r="DO31" s="94" t="s">
        <v>2259</v>
      </c>
      <c r="DP31" s="94" t="s">
        <v>1543</v>
      </c>
      <c r="DQ31" s="94" t="s">
        <v>731</v>
      </c>
      <c r="DR31" s="88" t="s">
        <v>2093</v>
      </c>
      <c r="DS31" s="88" t="s">
        <v>2260</v>
      </c>
      <c r="DT31" s="93" t="s">
        <v>187</v>
      </c>
      <c r="DU31" s="94" t="s">
        <v>2261</v>
      </c>
      <c r="DV31" s="88" t="s">
        <v>2262</v>
      </c>
      <c r="DW31" s="88" t="s">
        <v>1941</v>
      </c>
      <c r="DX31" s="94" t="s">
        <v>1314</v>
      </c>
      <c r="DY31" s="94" t="s">
        <v>2263</v>
      </c>
      <c r="DZ31" s="88" t="s">
        <v>1363</v>
      </c>
      <c r="EA31" s="88" t="s">
        <v>2264</v>
      </c>
      <c r="EB31" s="94" t="s">
        <v>1159</v>
      </c>
      <c r="EC31" s="94" t="s">
        <v>139</v>
      </c>
      <c r="ED31" s="258" t="s">
        <v>2265</v>
      </c>
    </row>
    <row r="32">
      <c r="A32" s="334" t="s">
        <v>2266</v>
      </c>
      <c r="B32" s="104" t="s">
        <v>2267</v>
      </c>
      <c r="C32" s="105" t="s">
        <v>1260</v>
      </c>
      <c r="D32" s="106" t="s">
        <v>438</v>
      </c>
      <c r="E32" s="107" t="s">
        <v>1260</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1450</v>
      </c>
      <c r="BE32" s="174" t="s">
        <v>2300</v>
      </c>
      <c r="BF32" s="174" t="s">
        <v>2301</v>
      </c>
      <c r="BG32" s="174" t="s">
        <v>2302</v>
      </c>
      <c r="BH32" s="174" t="s">
        <v>2303</v>
      </c>
      <c r="BI32" s="126" t="s">
        <v>1578</v>
      </c>
      <c r="BJ32" s="173"/>
      <c r="BK32" s="126" t="s">
        <v>2304</v>
      </c>
      <c r="BL32" s="174" t="s">
        <v>2056</v>
      </c>
      <c r="BM32" s="173"/>
      <c r="BN32" s="174" t="s">
        <v>1820</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1698</v>
      </c>
      <c r="CM32" s="177" t="s">
        <v>2308</v>
      </c>
      <c r="CN32" s="177" t="s">
        <v>2323</v>
      </c>
      <c r="CO32" s="132" t="str">
        <f>HYPERLINK("https://youtu.be/eT1ltwCFNY0","15.59")</f>
        <v>15.59</v>
      </c>
      <c r="CP32" s="252"/>
      <c r="CQ32" s="177" t="s">
        <v>1547</v>
      </c>
      <c r="CR32" s="132" t="s">
        <v>182</v>
      </c>
      <c r="CS32" s="336"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1301</v>
      </c>
      <c r="DG32" s="204" t="s">
        <v>2332</v>
      </c>
      <c r="DH32" s="263"/>
      <c r="DI32" s="205" t="s">
        <v>141</v>
      </c>
      <c r="DJ32" s="255"/>
      <c r="DK32" s="205" t="s">
        <v>2333</v>
      </c>
      <c r="DL32" s="255"/>
      <c r="DM32" s="205" t="s">
        <v>530</v>
      </c>
      <c r="DN32" s="205" t="s">
        <v>2334</v>
      </c>
      <c r="DO32" s="205" t="s">
        <v>2335</v>
      </c>
      <c r="DP32" s="179" t="s">
        <v>1256</v>
      </c>
      <c r="DQ32" s="179" t="s">
        <v>1191</v>
      </c>
      <c r="DR32" s="205" t="s">
        <v>2336</v>
      </c>
      <c r="DS32" s="205" t="s">
        <v>2096</v>
      </c>
      <c r="DT32" s="205" t="s">
        <v>2337</v>
      </c>
      <c r="DU32" s="205" t="s">
        <v>684</v>
      </c>
      <c r="DV32" s="255"/>
      <c r="DW32" s="205" t="s">
        <v>1715</v>
      </c>
      <c r="DX32" s="205" t="s">
        <v>2338</v>
      </c>
      <c r="DY32" s="205" t="s">
        <v>2339</v>
      </c>
      <c r="DZ32" s="205" t="s">
        <v>2340</v>
      </c>
      <c r="EA32" s="205" t="s">
        <v>1176</v>
      </c>
      <c r="EB32" s="205" t="s">
        <v>2341</v>
      </c>
      <c r="EC32" s="205" t="s">
        <v>2342</v>
      </c>
      <c r="ED32" s="287" t="s">
        <v>2343</v>
      </c>
    </row>
    <row r="33">
      <c r="A33" s="337" t="s">
        <v>2344</v>
      </c>
      <c r="B33" s="82" t="s">
        <v>2345</v>
      </c>
      <c r="C33" s="83" t="s">
        <v>547</v>
      </c>
      <c r="D33" s="84" t="s">
        <v>1260</v>
      </c>
      <c r="E33" s="85" t="s">
        <v>547</v>
      </c>
      <c r="F33" s="86" t="s">
        <v>2346</v>
      </c>
      <c r="G33" s="82" t="s">
        <v>2346</v>
      </c>
      <c r="H33" s="94"/>
      <c r="I33" s="88" t="s">
        <v>2347</v>
      </c>
      <c r="J33" s="88" t="s">
        <v>2348</v>
      </c>
      <c r="K33" s="88" t="s">
        <v>1639</v>
      </c>
      <c r="L33" s="88" t="s">
        <v>1404</v>
      </c>
      <c r="M33" s="88" t="s">
        <v>2349</v>
      </c>
      <c r="N33" s="88" t="s">
        <v>2350</v>
      </c>
      <c r="O33" s="88" t="s">
        <v>1837</v>
      </c>
      <c r="P33" s="88" t="s">
        <v>109</v>
      </c>
      <c r="Q33" s="88" t="s">
        <v>2351</v>
      </c>
      <c r="R33" s="99"/>
      <c r="S33" s="88" t="s">
        <v>2116</v>
      </c>
      <c r="T33" s="99"/>
      <c r="U33" s="99"/>
      <c r="V33" s="99"/>
      <c r="W33" s="92"/>
      <c r="X33" s="88" t="s">
        <v>2352</v>
      </c>
      <c r="Y33" s="93"/>
      <c r="Z33" s="88" t="s">
        <v>564</v>
      </c>
      <c r="AA33" s="88" t="s">
        <v>2353</v>
      </c>
      <c r="AB33" s="88" t="s">
        <v>566</v>
      </c>
      <c r="AC33" s="88" t="s">
        <v>1973</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1538</v>
      </c>
      <c r="BC33" s="88" t="s">
        <v>683</v>
      </c>
      <c r="BD33" s="88" t="s">
        <v>2357</v>
      </c>
      <c r="BE33" s="89" t="s">
        <v>2358</v>
      </c>
      <c r="BF33" s="88" t="s">
        <v>2359</v>
      </c>
      <c r="BG33" s="99"/>
      <c r="BH33" s="99"/>
      <c r="BI33" s="88" t="s">
        <v>399</v>
      </c>
      <c r="BJ33" s="93"/>
      <c r="BK33" s="88" t="s">
        <v>2360</v>
      </c>
      <c r="BL33" s="88" t="s">
        <v>1589</v>
      </c>
      <c r="BM33" s="99"/>
      <c r="BN33" s="88" t="s">
        <v>155</v>
      </c>
      <c r="BO33" s="88" t="s">
        <v>2361</v>
      </c>
      <c r="BP33" s="99"/>
      <c r="BQ33" s="237"/>
      <c r="BR33" s="88" t="s">
        <v>2362</v>
      </c>
      <c r="BS33" s="88" t="s">
        <v>1679</v>
      </c>
      <c r="BT33" s="88" t="s">
        <v>2340</v>
      </c>
      <c r="BU33" s="88" t="s">
        <v>1681</v>
      </c>
      <c r="BV33" s="88" t="s">
        <v>1747</v>
      </c>
      <c r="BW33" s="88" t="s">
        <v>2363</v>
      </c>
      <c r="BX33" s="99"/>
      <c r="BY33" s="99"/>
      <c r="BZ33" s="88" t="s">
        <v>2364</v>
      </c>
      <c r="CA33" s="88" t="s">
        <v>1686</v>
      </c>
      <c r="CB33" s="88" t="s">
        <v>2365</v>
      </c>
      <c r="CC33" s="99"/>
      <c r="CD33" s="99"/>
      <c r="CE33" s="99"/>
      <c r="CF33" s="237"/>
      <c r="CG33" s="87" t="s">
        <v>1840</v>
      </c>
      <c r="CH33" s="88" t="s">
        <v>952</v>
      </c>
      <c r="CI33" s="88" t="s">
        <v>2366</v>
      </c>
      <c r="CJ33" s="88" t="s">
        <v>2367</v>
      </c>
      <c r="CK33" s="93"/>
      <c r="CL33" s="93"/>
      <c r="CM33" s="88" t="s">
        <v>1107</v>
      </c>
      <c r="CN33" s="88" t="s">
        <v>1450</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1901</v>
      </c>
      <c r="EB33" s="99"/>
      <c r="EC33" s="99"/>
      <c r="ED33" s="338"/>
    </row>
    <row r="34">
      <c r="A34" s="166" t="s">
        <v>2376</v>
      </c>
      <c r="B34" s="104" t="s">
        <v>2377</v>
      </c>
      <c r="C34" s="105" t="s">
        <v>1260</v>
      </c>
      <c r="D34" s="106" t="s">
        <v>438</v>
      </c>
      <c r="E34" s="107" t="s">
        <v>1260</v>
      </c>
      <c r="F34" s="108" t="s">
        <v>2378</v>
      </c>
      <c r="G34" s="104" t="s">
        <v>829</v>
      </c>
      <c r="H34" s="167" t="s">
        <v>2379</v>
      </c>
      <c r="I34" s="167" t="s">
        <v>2380</v>
      </c>
      <c r="J34" s="112" t="s">
        <v>2381</v>
      </c>
      <c r="K34" s="112" t="s">
        <v>2382</v>
      </c>
      <c r="L34" s="112" t="s">
        <v>2383</v>
      </c>
      <c r="M34" s="112" t="s">
        <v>2384</v>
      </c>
      <c r="N34" s="167" t="s">
        <v>2385</v>
      </c>
      <c r="O34" s="167" t="s">
        <v>1837</v>
      </c>
      <c r="P34" s="112" t="s">
        <v>657</v>
      </c>
      <c r="Q34" s="242"/>
      <c r="R34" s="242"/>
      <c r="S34" s="112" t="s">
        <v>1207</v>
      </c>
      <c r="T34" s="112" t="s">
        <v>2013</v>
      </c>
      <c r="U34" s="167" t="s">
        <v>2386</v>
      </c>
      <c r="V34" s="242"/>
      <c r="W34" s="92"/>
      <c r="X34" s="116" t="s">
        <v>2387</v>
      </c>
      <c r="Y34" s="270"/>
      <c r="Z34" s="116" t="s">
        <v>2388</v>
      </c>
      <c r="AA34" s="116" t="s">
        <v>2389</v>
      </c>
      <c r="AB34" s="198" t="s">
        <v>2390</v>
      </c>
      <c r="AC34" s="116" t="s">
        <v>1973</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1450</v>
      </c>
      <c r="AW34" s="168" t="s">
        <v>1007</v>
      </c>
      <c r="AX34" s="245"/>
      <c r="AY34" s="245"/>
      <c r="AZ34" s="245"/>
      <c r="BA34" s="245"/>
      <c r="BB34" s="126" t="s">
        <v>2400</v>
      </c>
      <c r="BC34" s="174" t="s">
        <v>2401</v>
      </c>
      <c r="BD34" s="126" t="s">
        <v>2328</v>
      </c>
      <c r="BE34" s="174" t="s">
        <v>1988</v>
      </c>
      <c r="BF34" s="174" t="s">
        <v>244</v>
      </c>
      <c r="BG34" s="174" t="s">
        <v>1326</v>
      </c>
      <c r="BH34" s="173"/>
      <c r="BI34" s="174" t="s">
        <v>2402</v>
      </c>
      <c r="BJ34" s="174" t="s">
        <v>2403</v>
      </c>
      <c r="BK34" s="174"/>
      <c r="BL34" s="174" t="s">
        <v>2404</v>
      </c>
      <c r="BM34" s="174" t="s">
        <v>2405</v>
      </c>
      <c r="BN34" s="126" t="s">
        <v>2406</v>
      </c>
      <c r="BO34" s="174" t="s">
        <v>2407</v>
      </c>
      <c r="BP34" s="174" t="s">
        <v>2058</v>
      </c>
      <c r="BQ34" s="247"/>
      <c r="BR34" s="175" t="s">
        <v>2408</v>
      </c>
      <c r="BS34" s="175" t="s">
        <v>2409</v>
      </c>
      <c r="BT34" s="129" t="s">
        <v>2134</v>
      </c>
      <c r="BU34" s="129" t="s">
        <v>211</v>
      </c>
      <c r="BV34" s="129" t="s">
        <v>2410</v>
      </c>
      <c r="BW34" s="129" t="s">
        <v>166</v>
      </c>
      <c r="BX34" s="175" t="s">
        <v>2411</v>
      </c>
      <c r="BY34" s="175" t="s">
        <v>2412</v>
      </c>
      <c r="BZ34" s="175" t="s">
        <v>2413</v>
      </c>
      <c r="CA34" s="129" t="s">
        <v>1797</v>
      </c>
      <c r="CB34" s="175" t="s">
        <v>2414</v>
      </c>
      <c r="CC34" s="175" t="s">
        <v>2415</v>
      </c>
      <c r="CD34" s="129" t="s">
        <v>1446</v>
      </c>
      <c r="CE34" s="249"/>
      <c r="CF34" s="251"/>
      <c r="CG34" s="177" t="s">
        <v>1825</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1605</v>
      </c>
      <c r="CX34" s="253"/>
      <c r="CY34" s="204" t="s">
        <v>2418</v>
      </c>
      <c r="CZ34" s="204" t="s">
        <v>1621</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1624</v>
      </c>
      <c r="DT34" s="145" t="s">
        <v>2427</v>
      </c>
      <c r="DU34" s="145" t="s">
        <v>2428</v>
      </c>
      <c r="DV34" s="145" t="s">
        <v>2429</v>
      </c>
      <c r="DW34" s="145" t="s">
        <v>203</v>
      </c>
      <c r="DX34" s="255"/>
      <c r="DY34" s="255"/>
      <c r="DZ34" s="145" t="s">
        <v>1086</v>
      </c>
      <c r="EA34" s="205" t="s">
        <v>2055</v>
      </c>
      <c r="EB34" s="145" t="s">
        <v>2430</v>
      </c>
      <c r="EC34" s="145" t="s">
        <v>2431</v>
      </c>
      <c r="ED34" s="142" t="s">
        <v>1721</v>
      </c>
    </row>
    <row r="35">
      <c r="A35" s="339" t="s">
        <v>2432</v>
      </c>
      <c r="B35" s="82" t="s">
        <v>2433</v>
      </c>
      <c r="C35" s="83" t="s">
        <v>1260</v>
      </c>
      <c r="D35" s="84" t="s">
        <v>1260</v>
      </c>
      <c r="E35" s="85" t="s">
        <v>1260</v>
      </c>
      <c r="F35" s="86" t="s">
        <v>1810</v>
      </c>
      <c r="G35" s="82" t="s">
        <v>2346</v>
      </c>
      <c r="H35" s="88" t="s">
        <v>2434</v>
      </c>
      <c r="I35" s="88" t="s">
        <v>2435</v>
      </c>
      <c r="J35" s="88" t="s">
        <v>1814</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1973</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1875</v>
      </c>
      <c r="AW35" s="94"/>
      <c r="AX35" s="99"/>
      <c r="AY35" s="99"/>
      <c r="AZ35" s="99"/>
      <c r="BA35" s="94"/>
      <c r="BB35" s="88" t="s">
        <v>335</v>
      </c>
      <c r="BC35" s="88" t="s">
        <v>683</v>
      </c>
      <c r="BD35" s="88" t="s">
        <v>145</v>
      </c>
      <c r="BE35" s="88" t="s">
        <v>2444</v>
      </c>
      <c r="BF35" s="88" t="s">
        <v>1327</v>
      </c>
      <c r="BG35" s="99"/>
      <c r="BH35" s="99"/>
      <c r="BI35" s="88" t="s">
        <v>1616</v>
      </c>
      <c r="BJ35" s="99"/>
      <c r="BK35" s="94" t="s">
        <v>2445</v>
      </c>
      <c r="BL35" s="88" t="s">
        <v>2446</v>
      </c>
      <c r="BM35" s="99"/>
      <c r="BN35" s="99"/>
      <c r="BO35" s="99"/>
      <c r="BP35" s="99"/>
      <c r="BQ35" s="237"/>
      <c r="BR35" s="94" t="s">
        <v>2447</v>
      </c>
      <c r="BS35" s="88" t="s">
        <v>2448</v>
      </c>
      <c r="BT35" s="88" t="s">
        <v>1385</v>
      </c>
      <c r="BU35" s="88" t="s">
        <v>2232</v>
      </c>
      <c r="BV35" s="88" t="s">
        <v>2449</v>
      </c>
      <c r="BW35" s="88" t="s">
        <v>2450</v>
      </c>
      <c r="BX35" s="94" t="s">
        <v>2451</v>
      </c>
      <c r="BY35" s="94" t="s">
        <v>2452</v>
      </c>
      <c r="BZ35" s="88" t="s">
        <v>2453</v>
      </c>
      <c r="CA35" s="88" t="s">
        <v>790</v>
      </c>
      <c r="CB35" s="99"/>
      <c r="CC35" s="99"/>
      <c r="CD35" s="99"/>
      <c r="CE35" s="99"/>
      <c r="CF35" s="237"/>
      <c r="CG35" s="88" t="s">
        <v>567</v>
      </c>
      <c r="CH35" s="88" t="s">
        <v>1921</v>
      </c>
      <c r="CI35" s="88" t="s">
        <v>2454</v>
      </c>
      <c r="CJ35" s="94" t="s">
        <v>2455</v>
      </c>
      <c r="CK35" s="94"/>
      <c r="CL35" s="94" t="s">
        <v>1324</v>
      </c>
      <c r="CM35" s="88" t="s">
        <v>922</v>
      </c>
      <c r="CN35" s="88" t="s">
        <v>178</v>
      </c>
      <c r="CO35" s="88" t="s">
        <v>1532</v>
      </c>
      <c r="CP35" s="99"/>
      <c r="CQ35" s="99"/>
      <c r="CR35" s="99"/>
      <c r="CS35" s="99"/>
      <c r="CT35" s="99"/>
      <c r="CU35" s="92"/>
      <c r="CV35" s="88" t="s">
        <v>1649</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2346</v>
      </c>
      <c r="G36" s="104" t="s">
        <v>1724</v>
      </c>
      <c r="H36" s="112" t="s">
        <v>2463</v>
      </c>
      <c r="I36" s="226" t="s">
        <v>2464</v>
      </c>
      <c r="J36" s="112" t="s">
        <v>2465</v>
      </c>
      <c r="K36" s="112" t="s">
        <v>1953</v>
      </c>
      <c r="L36" s="112" t="s">
        <v>2302</v>
      </c>
      <c r="M36" s="112" t="s">
        <v>2466</v>
      </c>
      <c r="N36" s="112" t="s">
        <v>2467</v>
      </c>
      <c r="O36" s="110" t="s">
        <v>2164</v>
      </c>
      <c r="P36" s="239" t="s">
        <v>557</v>
      </c>
      <c r="Q36" s="340" t="s">
        <v>2468</v>
      </c>
      <c r="R36" s="112" t="s">
        <v>2469</v>
      </c>
      <c r="S36" s="340" t="s">
        <v>1063</v>
      </c>
      <c r="T36" s="112" t="s">
        <v>2470</v>
      </c>
      <c r="U36" s="110" t="s">
        <v>2471</v>
      </c>
      <c r="V36" s="226" t="s">
        <v>2472</v>
      </c>
      <c r="W36" s="227"/>
      <c r="X36" s="270" t="s">
        <v>2001</v>
      </c>
      <c r="Y36" s="115"/>
      <c r="Z36" s="114" t="s">
        <v>1566</v>
      </c>
      <c r="AA36" s="197" t="s">
        <v>2473</v>
      </c>
      <c r="AB36" s="116" t="s">
        <v>1755</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1984</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1820</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2067</v>
      </c>
      <c r="CM36" s="135" t="s">
        <v>2518</v>
      </c>
      <c r="CN36" s="135" t="s">
        <v>2519</v>
      </c>
      <c r="CO36" s="135" t="s">
        <v>2069</v>
      </c>
      <c r="CP36" s="282" t="s">
        <v>2520</v>
      </c>
      <c r="CQ36" s="132" t="s">
        <v>1123</v>
      </c>
      <c r="CR36" s="135" t="s">
        <v>2521</v>
      </c>
      <c r="CS36" s="135" t="s">
        <v>2522</v>
      </c>
      <c r="CT36" s="177" t="s">
        <v>2523</v>
      </c>
      <c r="CU36" s="92"/>
      <c r="CV36" s="233" t="s">
        <v>2524</v>
      </c>
      <c r="CW36" s="204" t="s">
        <v>2067</v>
      </c>
      <c r="CX36" s="137" t="s">
        <v>2525</v>
      </c>
      <c r="CY36" s="233" t="s">
        <v>2526</v>
      </c>
      <c r="CZ36" s="233" t="s">
        <v>2527</v>
      </c>
      <c r="DA36" s="140" t="s">
        <v>2528</v>
      </c>
      <c r="DB36" s="233" t="s">
        <v>787</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495</v>
      </c>
      <c r="DP36" s="145" t="s">
        <v>2535</v>
      </c>
      <c r="DQ36" s="145" t="s">
        <v>1256</v>
      </c>
      <c r="DR36" s="205" t="s">
        <v>152</v>
      </c>
      <c r="DS36" s="145" t="s">
        <v>2536</v>
      </c>
      <c r="DT36" s="145" t="s">
        <v>2537</v>
      </c>
      <c r="DU36" s="145" t="s">
        <v>2538</v>
      </c>
      <c r="DV36" s="145" t="s">
        <v>2539</v>
      </c>
      <c r="DW36" s="145" t="s">
        <v>1715</v>
      </c>
      <c r="DX36" s="145" t="s">
        <v>2540</v>
      </c>
      <c r="DY36" s="145" t="s">
        <v>2541</v>
      </c>
      <c r="DZ36" s="145" t="s">
        <v>585</v>
      </c>
      <c r="EA36" s="145" t="s">
        <v>2542</v>
      </c>
      <c r="EB36" s="145" t="s">
        <v>974</v>
      </c>
      <c r="EC36" s="145" t="s">
        <v>2543</v>
      </c>
      <c r="ED36" s="142" t="s">
        <v>2544</v>
      </c>
    </row>
    <row r="37">
      <c r="A37" s="344" t="s">
        <v>2545</v>
      </c>
      <c r="B37" s="82" t="s">
        <v>2546</v>
      </c>
      <c r="C37" s="83" t="s">
        <v>650</v>
      </c>
      <c r="D37" s="84" t="s">
        <v>1260</v>
      </c>
      <c r="E37" s="85" t="s">
        <v>650</v>
      </c>
      <c r="F37" s="86" t="s">
        <v>2547</v>
      </c>
      <c r="G37" s="82" t="s">
        <v>2547</v>
      </c>
      <c r="H37" s="345"/>
      <c r="I37" s="313" t="s">
        <v>2548</v>
      </c>
      <c r="J37" s="313" t="s">
        <v>2549</v>
      </c>
      <c r="K37" s="313" t="s">
        <v>2550</v>
      </c>
      <c r="L37" s="313" t="s">
        <v>2551</v>
      </c>
      <c r="M37" s="313" t="s">
        <v>2162</v>
      </c>
      <c r="N37" s="313" t="s">
        <v>2552</v>
      </c>
      <c r="O37" s="313" t="s">
        <v>2553</v>
      </c>
      <c r="P37" s="346" t="s">
        <v>2554</v>
      </c>
      <c r="Q37" s="345"/>
      <c r="R37" s="345"/>
      <c r="S37" s="345"/>
      <c r="T37" s="345"/>
      <c r="U37" s="345"/>
      <c r="V37" s="345"/>
      <c r="W37" s="347"/>
      <c r="X37" s="224" t="s">
        <v>2555</v>
      </c>
      <c r="Y37" s="224" t="s">
        <v>2556</v>
      </c>
      <c r="Z37" s="313" t="s">
        <v>1141</v>
      </c>
      <c r="AA37" s="346" t="s">
        <v>1648</v>
      </c>
      <c r="AB37" s="313" t="s">
        <v>359</v>
      </c>
      <c r="AC37" s="313" t="s">
        <v>1123</v>
      </c>
      <c r="AD37" s="224" t="s">
        <v>2133</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1616</v>
      </c>
      <c r="BJ37" s="345"/>
      <c r="BK37" s="313" t="s">
        <v>2565</v>
      </c>
      <c r="BL37" s="313" t="s">
        <v>2566</v>
      </c>
      <c r="BM37" s="345"/>
      <c r="BN37" s="345"/>
      <c r="BO37" s="345"/>
      <c r="BP37" s="345"/>
      <c r="BQ37" s="349"/>
      <c r="BR37" s="313" t="s">
        <v>1302</v>
      </c>
      <c r="BS37" s="313" t="s">
        <v>1261</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1925</v>
      </c>
      <c r="CP37" s="345"/>
      <c r="CQ37" s="345"/>
      <c r="CR37" s="345"/>
      <c r="CS37" s="345"/>
      <c r="CT37" s="345"/>
      <c r="CU37" s="348"/>
      <c r="CV37" s="313" t="s">
        <v>2577</v>
      </c>
      <c r="CW37" s="345"/>
      <c r="CX37" s="313" t="s">
        <v>2528</v>
      </c>
      <c r="CY37" s="313" t="s">
        <v>566</v>
      </c>
      <c r="CZ37" s="318" t="s">
        <v>2578</v>
      </c>
      <c r="DA37" s="313" t="s">
        <v>1578</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1260</v>
      </c>
      <c r="F38" s="108" t="s">
        <v>2585</v>
      </c>
      <c r="G38" s="104" t="s">
        <v>1131</v>
      </c>
      <c r="H38" s="112" t="s">
        <v>1801</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1429</v>
      </c>
      <c r="AA38" s="116" t="s">
        <v>2244</v>
      </c>
      <c r="AB38" s="116" t="s">
        <v>2594</v>
      </c>
      <c r="AC38" s="116" t="s">
        <v>1255</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1281</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1836</v>
      </c>
      <c r="CI38" s="177" t="s">
        <v>2626</v>
      </c>
      <c r="CJ38" s="135" t="s">
        <v>2627</v>
      </c>
      <c r="CK38" s="136"/>
      <c r="CL38" s="135" t="s">
        <v>2628</v>
      </c>
      <c r="CM38" s="135" t="s">
        <v>2121</v>
      </c>
      <c r="CN38" s="135" t="s">
        <v>2629</v>
      </c>
      <c r="CO38" s="135" t="s">
        <v>1944</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1334</v>
      </c>
      <c r="DJ38" s="179" t="s">
        <v>2640</v>
      </c>
      <c r="DK38" s="255"/>
      <c r="DL38" s="145" t="s">
        <v>2641</v>
      </c>
      <c r="DM38" s="142" t="s">
        <v>2642</v>
      </c>
      <c r="DN38" s="205" t="s">
        <v>2643</v>
      </c>
      <c r="DO38" s="255"/>
      <c r="DP38" s="255"/>
      <c r="DQ38" s="255"/>
      <c r="DR38" s="145" t="s">
        <v>2644</v>
      </c>
      <c r="DS38" s="287" t="s">
        <v>1714</v>
      </c>
      <c r="DT38" s="354" t="str">
        <f>HYPERLINK("https://twitter.com/Qbe_Root/status/1241798344797798402","11.27")</f>
        <v>11.27</v>
      </c>
      <c r="DU38" s="205" t="s">
        <v>2645</v>
      </c>
      <c r="DV38" s="145" t="s">
        <v>2646</v>
      </c>
      <c r="DW38" s="255"/>
      <c r="DX38" s="145" t="s">
        <v>1681</v>
      </c>
      <c r="DY38" s="205" t="s">
        <v>1921</v>
      </c>
      <c r="DZ38" s="205" t="s">
        <v>2647</v>
      </c>
      <c r="EA38" s="145" t="s">
        <v>2648</v>
      </c>
      <c r="EB38" s="205" t="s">
        <v>379</v>
      </c>
      <c r="EC38" s="205" t="s">
        <v>1115</v>
      </c>
      <c r="ED38" s="287" t="s">
        <v>2649</v>
      </c>
    </row>
    <row r="39">
      <c r="A39" s="81" t="s">
        <v>2650</v>
      </c>
      <c r="B39" s="82" t="s">
        <v>2651</v>
      </c>
      <c r="C39" s="83" t="s">
        <v>1260</v>
      </c>
      <c r="D39" s="84" t="s">
        <v>1260</v>
      </c>
      <c r="E39" s="85" t="s">
        <v>1260</v>
      </c>
      <c r="F39" s="86" t="s">
        <v>2652</v>
      </c>
      <c r="G39" s="82" t="s">
        <v>1810</v>
      </c>
      <c r="H39" s="99"/>
      <c r="I39" s="94" t="s">
        <v>1203</v>
      </c>
      <c r="J39" s="88" t="s">
        <v>2653</v>
      </c>
      <c r="K39" s="266" t="s">
        <v>1639</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1720</v>
      </c>
      <c r="BJ39" s="88" t="s">
        <v>1089</v>
      </c>
      <c r="BK39" s="99"/>
      <c r="BL39" s="88" t="s">
        <v>2666</v>
      </c>
      <c r="BM39" s="99"/>
      <c r="BN39" s="99"/>
      <c r="BO39" s="99"/>
      <c r="BP39" s="99"/>
      <c r="BQ39" s="237"/>
      <c r="BR39" s="88" t="s">
        <v>2667</v>
      </c>
      <c r="BS39" s="88" t="s">
        <v>2668</v>
      </c>
      <c r="BT39" s="266" t="s">
        <v>2669</v>
      </c>
      <c r="BU39" s="88" t="s">
        <v>1681</v>
      </c>
      <c r="BV39" s="94" t="s">
        <v>699</v>
      </c>
      <c r="BW39" s="94" t="s">
        <v>1990</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2326</v>
      </c>
      <c r="CZ39" s="88" t="s">
        <v>663</v>
      </c>
      <c r="DA39" s="94" t="s">
        <v>1378</v>
      </c>
      <c r="DB39" s="88" t="s">
        <v>2678</v>
      </c>
      <c r="DC39" s="94" t="s">
        <v>2011</v>
      </c>
      <c r="DD39" s="99"/>
      <c r="DE39" s="99"/>
      <c r="DF39" s="99"/>
      <c r="DG39" s="99"/>
      <c r="DH39" s="237"/>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1260</v>
      </c>
      <c r="D40" s="106" t="s">
        <v>1260</v>
      </c>
      <c r="E40" s="107" t="s">
        <v>1260</v>
      </c>
      <c r="F40" s="108" t="s">
        <v>2683</v>
      </c>
      <c r="G40" s="104" t="s">
        <v>2684</v>
      </c>
      <c r="H40" s="167" t="s">
        <v>348</v>
      </c>
      <c r="I40" s="112" t="s">
        <v>2685</v>
      </c>
      <c r="J40" s="167" t="s">
        <v>2686</v>
      </c>
      <c r="K40" s="167" t="s">
        <v>1557</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1586</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1928</v>
      </c>
      <c r="CM40" s="177" t="s">
        <v>930</v>
      </c>
      <c r="CN40" s="177" t="s">
        <v>2327</v>
      </c>
      <c r="CO40" s="177" t="s">
        <v>2069</v>
      </c>
      <c r="CP40" s="252"/>
      <c r="CQ40" s="252"/>
      <c r="CR40" s="252"/>
      <c r="CS40" s="252"/>
      <c r="CT40" s="252"/>
      <c r="CU40" s="92"/>
      <c r="CV40" s="140" t="s">
        <v>2710</v>
      </c>
      <c r="CW40" s="204" t="s">
        <v>2711</v>
      </c>
      <c r="CX40" s="204" t="s">
        <v>243</v>
      </c>
      <c r="CY40" s="204" t="s">
        <v>2712</v>
      </c>
      <c r="CZ40" s="204" t="s">
        <v>1478</v>
      </c>
      <c r="DA40" s="204" t="s">
        <v>2051</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1260</v>
      </c>
      <c r="D41" s="84" t="s">
        <v>1260</v>
      </c>
      <c r="E41" s="85" t="s">
        <v>1260</v>
      </c>
      <c r="F41" s="86" t="s">
        <v>2717</v>
      </c>
      <c r="G41" s="82" t="s">
        <v>2717</v>
      </c>
      <c r="H41" s="357" t="s">
        <v>101</v>
      </c>
      <c r="I41" s="357" t="s">
        <v>1843</v>
      </c>
      <c r="J41" s="357" t="s">
        <v>656</v>
      </c>
      <c r="K41" s="357" t="s">
        <v>2718</v>
      </c>
      <c r="L41" s="357" t="s">
        <v>353</v>
      </c>
      <c r="M41" s="357" t="s">
        <v>2719</v>
      </c>
      <c r="N41" s="357" t="s">
        <v>2720</v>
      </c>
      <c r="O41" s="357" t="s">
        <v>1561</v>
      </c>
      <c r="P41" s="357" t="s">
        <v>2554</v>
      </c>
      <c r="Q41" s="357" t="s">
        <v>341</v>
      </c>
      <c r="R41" s="358"/>
      <c r="S41" s="359" t="s">
        <v>2721</v>
      </c>
      <c r="T41" s="358"/>
      <c r="U41" s="358"/>
      <c r="V41" s="357" t="s">
        <v>2722</v>
      </c>
      <c r="W41" s="187"/>
      <c r="X41" s="357" t="s">
        <v>2068</v>
      </c>
      <c r="Y41" s="357" t="s">
        <v>117</v>
      </c>
      <c r="Z41" s="357" t="s">
        <v>2723</v>
      </c>
      <c r="AA41" s="357" t="s">
        <v>358</v>
      </c>
      <c r="AB41" s="357" t="s">
        <v>2724</v>
      </c>
      <c r="AC41" s="357" t="s">
        <v>2417</v>
      </c>
      <c r="AD41" s="357" t="s">
        <v>2725</v>
      </c>
      <c r="AE41" s="88" t="s">
        <v>1612</v>
      </c>
      <c r="AF41" s="357" t="s">
        <v>2726</v>
      </c>
      <c r="AG41" s="359" t="s">
        <v>2727</v>
      </c>
      <c r="AH41" s="358"/>
      <c r="AI41" s="358"/>
      <c r="AJ41" s="88" t="s">
        <v>1732</v>
      </c>
      <c r="AK41" s="88" t="s">
        <v>2728</v>
      </c>
      <c r="AL41" s="190"/>
      <c r="AM41" s="88" t="s">
        <v>2729</v>
      </c>
      <c r="AN41" s="88" t="s">
        <v>1897</v>
      </c>
      <c r="AO41" s="88" t="s">
        <v>2730</v>
      </c>
      <c r="AP41" s="88" t="s">
        <v>2731</v>
      </c>
      <c r="AQ41" s="88" t="s">
        <v>2732</v>
      </c>
      <c r="AR41" s="88" t="s">
        <v>2733</v>
      </c>
      <c r="AS41" s="88" t="s">
        <v>1219</v>
      </c>
      <c r="AT41" s="88" t="s">
        <v>2734</v>
      </c>
      <c r="AU41" s="357" t="s">
        <v>2735</v>
      </c>
      <c r="AV41" s="357" t="s">
        <v>1394</v>
      </c>
      <c r="AW41" s="359" t="s">
        <v>2736</v>
      </c>
      <c r="AX41" s="358"/>
      <c r="AY41" s="358"/>
      <c r="AZ41" s="88" t="s">
        <v>2737</v>
      </c>
      <c r="BA41" s="192"/>
      <c r="BB41" s="357" t="s">
        <v>2738</v>
      </c>
      <c r="BC41" s="357" t="s">
        <v>1189</v>
      </c>
      <c r="BD41" s="357" t="s">
        <v>2739</v>
      </c>
      <c r="BE41" s="357" t="s">
        <v>290</v>
      </c>
      <c r="BF41" s="357" t="s">
        <v>2169</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1850</v>
      </c>
      <c r="BX41" s="357" t="s">
        <v>2750</v>
      </c>
      <c r="BY41" s="192"/>
      <c r="BZ41" s="357" t="s">
        <v>2751</v>
      </c>
      <c r="CA41" s="357" t="s">
        <v>1256</v>
      </c>
      <c r="CB41" s="88" t="s">
        <v>2752</v>
      </c>
      <c r="CC41" s="88" t="s">
        <v>2753</v>
      </c>
      <c r="CD41" s="88" t="s">
        <v>144</v>
      </c>
      <c r="CE41" s="88" t="s">
        <v>2754</v>
      </c>
      <c r="CF41" s="193"/>
      <c r="CG41" s="357" t="s">
        <v>2661</v>
      </c>
      <c r="CH41" s="357" t="s">
        <v>2755</v>
      </c>
      <c r="CI41" s="357" t="s">
        <v>1295</v>
      </c>
      <c r="CJ41" s="357" t="s">
        <v>2756</v>
      </c>
      <c r="CK41" s="357" t="s">
        <v>2757</v>
      </c>
      <c r="CL41" s="357" t="s">
        <v>2758</v>
      </c>
      <c r="CM41" s="357" t="s">
        <v>2759</v>
      </c>
      <c r="CN41" s="357" t="s">
        <v>1607</v>
      </c>
      <c r="CO41" s="357" t="s">
        <v>2760</v>
      </c>
      <c r="CP41" s="358"/>
      <c r="CQ41" s="358"/>
      <c r="CR41" s="358"/>
      <c r="CS41" s="88" t="s">
        <v>2761</v>
      </c>
      <c r="CT41" s="88" t="s">
        <v>2762</v>
      </c>
      <c r="CU41" s="187"/>
      <c r="CV41" s="357" t="s">
        <v>654</v>
      </c>
      <c r="CW41" s="357" t="s">
        <v>2184</v>
      </c>
      <c r="CX41" s="357" t="s">
        <v>2002</v>
      </c>
      <c r="CY41" s="357" t="s">
        <v>1037</v>
      </c>
      <c r="CZ41" s="357" t="s">
        <v>1071</v>
      </c>
      <c r="DA41" s="357" t="s">
        <v>2185</v>
      </c>
      <c r="DB41" s="357" t="s">
        <v>2763</v>
      </c>
      <c r="DC41" s="357" t="s">
        <v>2764</v>
      </c>
      <c r="DD41" s="88" t="s">
        <v>593</v>
      </c>
      <c r="DE41" s="88" t="s">
        <v>1854</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2059</v>
      </c>
      <c r="DV41" s="88" t="s">
        <v>662</v>
      </c>
      <c r="DW41" s="88" t="s">
        <v>1626</v>
      </c>
      <c r="DX41" s="358"/>
      <c r="DY41" s="358"/>
      <c r="DZ41" s="358"/>
      <c r="EA41" s="357" t="s">
        <v>2771</v>
      </c>
      <c r="EB41" s="88" t="s">
        <v>2430</v>
      </c>
      <c r="EC41" s="88" t="s">
        <v>1048</v>
      </c>
      <c r="ED41" s="88" t="s">
        <v>217</v>
      </c>
    </row>
    <row r="42">
      <c r="A42" s="361" t="s">
        <v>2772</v>
      </c>
      <c r="B42" s="104" t="s">
        <v>2773</v>
      </c>
      <c r="C42" s="105" t="s">
        <v>1260</v>
      </c>
      <c r="D42" s="106" t="s">
        <v>1260</v>
      </c>
      <c r="E42" s="107" t="s">
        <v>1260</v>
      </c>
      <c r="F42" s="108" t="s">
        <v>2774</v>
      </c>
      <c r="G42" s="104" t="s">
        <v>2109</v>
      </c>
      <c r="H42" s="167" t="s">
        <v>2775</v>
      </c>
      <c r="I42" s="112" t="s">
        <v>2776</v>
      </c>
      <c r="J42" s="167" t="s">
        <v>2777</v>
      </c>
      <c r="K42" s="167" t="s">
        <v>1815</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1842</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1260</v>
      </c>
      <c r="D43" s="84" t="s">
        <v>1260</v>
      </c>
      <c r="E43" s="85" t="s">
        <v>1260</v>
      </c>
      <c r="F43" s="86" t="s">
        <v>2193</v>
      </c>
      <c r="G43" s="82" t="s">
        <v>2585</v>
      </c>
      <c r="H43" s="99"/>
      <c r="I43" s="88" t="s">
        <v>2826</v>
      </c>
      <c r="J43" s="88" t="s">
        <v>2827</v>
      </c>
      <c r="K43" s="88" t="s">
        <v>1557</v>
      </c>
      <c r="L43" s="88" t="s">
        <v>2828</v>
      </c>
      <c r="M43" s="88" t="s">
        <v>2829</v>
      </c>
      <c r="N43" s="88" t="s">
        <v>2830</v>
      </c>
      <c r="O43" s="88" t="s">
        <v>2831</v>
      </c>
      <c r="P43" s="88" t="s">
        <v>2554</v>
      </c>
      <c r="Q43" s="99"/>
      <c r="R43" s="88" t="s">
        <v>2832</v>
      </c>
      <c r="S43" s="88" t="s">
        <v>1366</v>
      </c>
      <c r="T43" s="99"/>
      <c r="U43" s="99"/>
      <c r="V43" s="88" t="s">
        <v>2833</v>
      </c>
      <c r="W43" s="92"/>
      <c r="X43" s="88" t="s">
        <v>2834</v>
      </c>
      <c r="Y43" s="93"/>
      <c r="Z43" s="88" t="s">
        <v>2835</v>
      </c>
      <c r="AA43" s="88" t="s">
        <v>2836</v>
      </c>
      <c r="AB43" s="88" t="s">
        <v>2837</v>
      </c>
      <c r="AC43" s="88" t="s">
        <v>2540</v>
      </c>
      <c r="AD43" s="88" t="s">
        <v>1825</v>
      </c>
      <c r="AE43" s="99"/>
      <c r="AF43" s="162" t="s">
        <v>1190</v>
      </c>
      <c r="AG43" s="88" t="s">
        <v>2727</v>
      </c>
      <c r="AH43" s="99"/>
      <c r="AI43" s="99"/>
      <c r="AJ43" s="94" t="s">
        <v>1790</v>
      </c>
      <c r="AK43" s="88" t="s">
        <v>2838</v>
      </c>
      <c r="AL43" s="97"/>
      <c r="AM43" s="99"/>
      <c r="AN43" s="88" t="s">
        <v>2839</v>
      </c>
      <c r="AO43" s="99"/>
      <c r="AP43" s="99"/>
      <c r="AQ43" s="99"/>
      <c r="AR43" s="99"/>
      <c r="AS43" s="99"/>
      <c r="AT43" s="99"/>
      <c r="AU43" s="88" t="s">
        <v>362</v>
      </c>
      <c r="AV43" s="88" t="s">
        <v>2840</v>
      </c>
      <c r="AW43" s="88" t="s">
        <v>2124</v>
      </c>
      <c r="AX43" s="99"/>
      <c r="AY43" s="88" t="s">
        <v>1425</v>
      </c>
      <c r="AZ43" s="99"/>
      <c r="BA43" s="99"/>
      <c r="BB43" s="88" t="s">
        <v>2841</v>
      </c>
      <c r="BC43" s="88" t="s">
        <v>2401</v>
      </c>
      <c r="BD43" s="88" t="s">
        <v>2739</v>
      </c>
      <c r="BE43" s="88" t="s">
        <v>1164</v>
      </c>
      <c r="BF43" s="88" t="s">
        <v>2842</v>
      </c>
      <c r="BG43" s="88" t="s">
        <v>260</v>
      </c>
      <c r="BH43" s="99"/>
      <c r="BI43" s="94" t="s">
        <v>1842</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1773</v>
      </c>
      <c r="CN43" s="88" t="s">
        <v>2858</v>
      </c>
      <c r="CO43" s="88" t="s">
        <v>2859</v>
      </c>
      <c r="CP43" s="99"/>
      <c r="CQ43" s="88" t="s">
        <v>2460</v>
      </c>
      <c r="CR43" s="99"/>
      <c r="CS43" s="88" t="s">
        <v>2860</v>
      </c>
      <c r="CT43" s="88" t="s">
        <v>2861</v>
      </c>
      <c r="CU43" s="92"/>
      <c r="CV43" s="88" t="s">
        <v>2862</v>
      </c>
      <c r="CW43" s="88" t="s">
        <v>187</v>
      </c>
      <c r="CX43" s="272" t="s">
        <v>612</v>
      </c>
      <c r="CY43" s="88" t="s">
        <v>1323</v>
      </c>
      <c r="CZ43" s="88" t="s">
        <v>2102</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1260</v>
      </c>
      <c r="D44" s="106" t="s">
        <v>1260</v>
      </c>
      <c r="E44" s="107" t="s">
        <v>1260</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1290</v>
      </c>
      <c r="BE44" s="383" t="s">
        <v>2538</v>
      </c>
      <c r="BF44" s="384" t="s">
        <v>2899</v>
      </c>
      <c r="BG44" s="382" t="s">
        <v>1699</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1738</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2184</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2018</v>
      </c>
      <c r="DU44" s="405" t="s">
        <v>2928</v>
      </c>
      <c r="DV44" s="406" t="s">
        <v>2929</v>
      </c>
      <c r="DW44" s="406" t="s">
        <v>2930</v>
      </c>
      <c r="DX44" s="404"/>
      <c r="DY44" s="405" t="s">
        <v>2931</v>
      </c>
      <c r="DZ44" s="405" t="s">
        <v>2932</v>
      </c>
      <c r="EA44" s="405" t="s">
        <v>2933</v>
      </c>
      <c r="EB44" s="405" t="s">
        <v>1937</v>
      </c>
      <c r="EC44" s="405"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2166</v>
      </c>
      <c r="L45" s="93" t="s">
        <v>1919</v>
      </c>
      <c r="M45" s="99"/>
      <c r="N45" s="99"/>
      <c r="O45" s="93" t="s">
        <v>2940</v>
      </c>
      <c r="P45" s="94" t="s">
        <v>2941</v>
      </c>
      <c r="Q45" s="89" t="s">
        <v>2692</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1944</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1985</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1260</v>
      </c>
      <c r="D46" s="106" t="s">
        <v>1260</v>
      </c>
      <c r="E46" s="107" t="s">
        <v>1260</v>
      </c>
      <c r="F46" s="108" t="s">
        <v>2994</v>
      </c>
      <c r="G46" s="104" t="s">
        <v>2995</v>
      </c>
      <c r="H46" s="167" t="s">
        <v>2996</v>
      </c>
      <c r="I46" s="167" t="s">
        <v>2757</v>
      </c>
      <c r="J46" s="167" t="s">
        <v>2997</v>
      </c>
      <c r="K46" s="112" t="s">
        <v>1953</v>
      </c>
      <c r="L46" s="293" t="s">
        <v>345</v>
      </c>
      <c r="M46" s="112" t="s">
        <v>946</v>
      </c>
      <c r="N46" s="112" t="s">
        <v>2998</v>
      </c>
      <c r="O46" s="112" t="s">
        <v>2690</v>
      </c>
      <c r="P46" s="112" t="s">
        <v>1562</v>
      </c>
      <c r="Q46" s="408" t="s">
        <v>2999</v>
      </c>
      <c r="R46" s="409"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2477</v>
      </c>
      <c r="AH46" s="198" t="s">
        <v>1560</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1313</v>
      </c>
      <c r="AU46" s="168" t="s">
        <v>1575</v>
      </c>
      <c r="AV46" s="168" t="s">
        <v>1123</v>
      </c>
      <c r="AW46" s="168" t="s">
        <v>3012</v>
      </c>
      <c r="AX46" s="168" t="s">
        <v>1522</v>
      </c>
      <c r="AY46" s="168" t="s">
        <v>1063</v>
      </c>
      <c r="AZ46" s="410" t="s">
        <v>3013</v>
      </c>
      <c r="BA46" s="410"/>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2506</v>
      </c>
      <c r="BU46" s="129" t="s">
        <v>895</v>
      </c>
      <c r="BV46" s="129" t="s">
        <v>3024</v>
      </c>
      <c r="BW46" s="129" t="s">
        <v>2259</v>
      </c>
      <c r="BX46" s="249"/>
      <c r="BY46" s="175" t="s">
        <v>1993</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2645</v>
      </c>
      <c r="DV46" s="205" t="s">
        <v>3054</v>
      </c>
      <c r="DW46" s="205" t="s">
        <v>3055</v>
      </c>
      <c r="DX46" s="205" t="s">
        <v>3056</v>
      </c>
      <c r="DY46" s="205" t="s">
        <v>1003</v>
      </c>
      <c r="DZ46" s="145" t="s">
        <v>3057</v>
      </c>
      <c r="EA46" s="205" t="s">
        <v>2328</v>
      </c>
      <c r="EB46" s="205" t="s">
        <v>1515</v>
      </c>
      <c r="EC46" s="205" t="s">
        <v>933</v>
      </c>
      <c r="ED46" s="287" t="s">
        <v>3058</v>
      </c>
    </row>
    <row r="47">
      <c r="A47" s="412" t="s">
        <v>3059</v>
      </c>
      <c r="B47" s="82" t="s">
        <v>3060</v>
      </c>
      <c r="C47" s="83" t="s">
        <v>1260</v>
      </c>
      <c r="D47" s="84" t="s">
        <v>547</v>
      </c>
      <c r="E47" s="85" t="s">
        <v>547</v>
      </c>
      <c r="F47" s="86" t="s">
        <v>3061</v>
      </c>
      <c r="G47" s="82" t="s">
        <v>1417</v>
      </c>
      <c r="H47" s="314" t="s">
        <v>101</v>
      </c>
      <c r="I47" s="314" t="s">
        <v>3062</v>
      </c>
      <c r="J47" s="314" t="s">
        <v>1556</v>
      </c>
      <c r="K47" s="314" t="s">
        <v>1557</v>
      </c>
      <c r="L47" s="314" t="s">
        <v>346</v>
      </c>
      <c r="M47" s="314" t="s">
        <v>3063</v>
      </c>
      <c r="N47" s="314" t="s">
        <v>3064</v>
      </c>
      <c r="O47" s="314" t="s">
        <v>3065</v>
      </c>
      <c r="P47" s="313" t="s">
        <v>343</v>
      </c>
      <c r="Q47" s="314"/>
      <c r="R47" s="314"/>
      <c r="S47" s="314"/>
      <c r="T47" s="314"/>
      <c r="U47" s="314"/>
      <c r="V47" s="314"/>
      <c r="W47" s="154"/>
      <c r="X47" s="314" t="s">
        <v>3066</v>
      </c>
      <c r="Y47" s="413"/>
      <c r="Z47" s="313" t="s">
        <v>1822</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1788</v>
      </c>
      <c r="AV47" s="313" t="s">
        <v>259</v>
      </c>
      <c r="AW47" s="314"/>
      <c r="AX47" s="314"/>
      <c r="AY47" s="314" t="s">
        <v>3073</v>
      </c>
      <c r="AZ47" s="314"/>
      <c r="BA47" s="314"/>
      <c r="BB47" s="314" t="s">
        <v>1195</v>
      </c>
      <c r="BC47" s="314" t="s">
        <v>3074</v>
      </c>
      <c r="BD47" s="313" t="s">
        <v>145</v>
      </c>
      <c r="BE47" s="313" t="s">
        <v>3075</v>
      </c>
      <c r="BF47" s="314" t="s">
        <v>1214</v>
      </c>
      <c r="BG47" s="314" t="s">
        <v>1820</v>
      </c>
      <c r="BH47" s="314"/>
      <c r="BI47" s="314" t="s">
        <v>1586</v>
      </c>
      <c r="BJ47" s="314"/>
      <c r="BK47" s="314" t="s">
        <v>3076</v>
      </c>
      <c r="BL47" s="314" t="s">
        <v>3077</v>
      </c>
      <c r="BM47" s="314"/>
      <c r="BN47" s="266" t="s">
        <v>3078</v>
      </c>
      <c r="BO47" s="314"/>
      <c r="BP47" s="314"/>
      <c r="BQ47" s="319"/>
      <c r="BR47" s="314"/>
      <c r="BS47" s="314" t="s">
        <v>2900</v>
      </c>
      <c r="BT47" s="314" t="s">
        <v>3079</v>
      </c>
      <c r="BU47" s="314" t="s">
        <v>3080</v>
      </c>
      <c r="BV47" s="314" t="s">
        <v>1981</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1855</v>
      </c>
      <c r="CR47" s="314"/>
      <c r="CS47" s="314" t="s">
        <v>3088</v>
      </c>
      <c r="CT47" s="314"/>
      <c r="CU47" s="154"/>
      <c r="CV47" s="314" t="s">
        <v>3089</v>
      </c>
      <c r="CW47" s="314" t="s">
        <v>880</v>
      </c>
      <c r="CX47" s="223" t="s">
        <v>3090</v>
      </c>
      <c r="CY47" s="314" t="s">
        <v>2919</v>
      </c>
      <c r="CZ47" s="314"/>
      <c r="DA47" s="314"/>
      <c r="DB47" s="313" t="s">
        <v>3091</v>
      </c>
      <c r="DC47" s="314" t="s">
        <v>1788</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1260</v>
      </c>
      <c r="D48" s="106" t="s">
        <v>547</v>
      </c>
      <c r="E48" s="107" t="s">
        <v>547</v>
      </c>
      <c r="F48" s="108" t="s">
        <v>3099</v>
      </c>
      <c r="G48" s="104" t="s">
        <v>1810</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1944</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1725</v>
      </c>
      <c r="BT48" s="129" t="s">
        <v>126</v>
      </c>
      <c r="BU48" s="304" t="s">
        <v>1765</v>
      </c>
      <c r="BV48" s="176" t="s">
        <v>3121</v>
      </c>
      <c r="BW48" s="129" t="s">
        <v>1709</v>
      </c>
      <c r="BX48" s="249"/>
      <c r="BY48" s="129" t="s">
        <v>3122</v>
      </c>
      <c r="BZ48" s="129" t="s">
        <v>3123</v>
      </c>
      <c r="CA48" s="129" t="s">
        <v>3124</v>
      </c>
      <c r="CB48" s="249"/>
      <c r="CC48" s="249"/>
      <c r="CD48" s="249"/>
      <c r="CE48" s="249"/>
      <c r="CF48" s="251"/>
      <c r="CG48" s="416" t="s">
        <v>1852</v>
      </c>
      <c r="CH48" s="135" t="s">
        <v>1921</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1777</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2150</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17" t="s">
        <v>3195</v>
      </c>
      <c r="B50" s="104" t="s">
        <v>3196</v>
      </c>
      <c r="C50" s="105" t="s">
        <v>1260</v>
      </c>
      <c r="D50" s="106" t="s">
        <v>1260</v>
      </c>
      <c r="E50" s="107" t="s">
        <v>1260</v>
      </c>
      <c r="F50" s="108" t="s">
        <v>2090</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1447</v>
      </c>
      <c r="AN50" s="121" t="s">
        <v>3210</v>
      </c>
      <c r="AO50" s="279" t="s">
        <v>3211</v>
      </c>
      <c r="AP50" s="121" t="s">
        <v>3212</v>
      </c>
      <c r="AQ50" s="168" t="s">
        <v>3213</v>
      </c>
      <c r="AR50" s="168" t="s">
        <v>1846</v>
      </c>
      <c r="AS50" s="168" t="s">
        <v>3214</v>
      </c>
      <c r="AT50" s="245"/>
      <c r="AU50" s="121" t="s">
        <v>2579</v>
      </c>
      <c r="AV50" s="279" t="s">
        <v>178</v>
      </c>
      <c r="AW50" s="279" t="s">
        <v>3038</v>
      </c>
      <c r="AX50" s="245"/>
      <c r="AY50" s="121" t="s">
        <v>1332</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1985</v>
      </c>
      <c r="BP50" s="126" t="s">
        <v>3219</v>
      </c>
      <c r="BQ50" s="247"/>
      <c r="BR50" s="131" t="s">
        <v>2557</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1" t="s">
        <v>3231</v>
      </c>
      <c r="CI50" s="135" t="s">
        <v>3232</v>
      </c>
      <c r="CJ50" s="135" t="s">
        <v>3233</v>
      </c>
      <c r="CK50" s="262"/>
      <c r="CL50" s="136" t="s">
        <v>1648</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19" t="s">
        <v>1363</v>
      </c>
      <c r="DV50" s="145" t="s">
        <v>2352</v>
      </c>
      <c r="DW50" s="205" t="s">
        <v>2930</v>
      </c>
      <c r="DX50" s="205" t="s">
        <v>2428</v>
      </c>
      <c r="DY50" s="205" t="s">
        <v>3255</v>
      </c>
      <c r="DZ50" s="205" t="s">
        <v>3256</v>
      </c>
      <c r="EA50" s="419"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2718</v>
      </c>
      <c r="L51" s="162" t="s">
        <v>1919</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2474</v>
      </c>
      <c r="AD51" s="88" t="s">
        <v>3270</v>
      </c>
      <c r="AE51" s="94" t="s">
        <v>3271</v>
      </c>
      <c r="AF51" s="266" t="s">
        <v>2283</v>
      </c>
      <c r="AG51" s="162" t="s">
        <v>1894</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1452</v>
      </c>
      <c r="CN51" s="88" t="s">
        <v>2320</v>
      </c>
      <c r="CO51" s="94" t="s">
        <v>3001</v>
      </c>
      <c r="CP51" s="99"/>
      <c r="CQ51" s="99"/>
      <c r="CR51" s="99"/>
      <c r="CS51" s="99"/>
      <c r="CT51" s="99"/>
      <c r="CU51" s="92"/>
      <c r="CV51" s="94" t="s">
        <v>3287</v>
      </c>
      <c r="CW51" s="162" t="s">
        <v>1535</v>
      </c>
      <c r="CX51" s="94" t="s">
        <v>612</v>
      </c>
      <c r="CY51" s="162" t="s">
        <v>3288</v>
      </c>
      <c r="CZ51" s="94" t="s">
        <v>2497</v>
      </c>
      <c r="DA51" s="94" t="s">
        <v>998</v>
      </c>
      <c r="DB51" s="162" t="s">
        <v>2271</v>
      </c>
      <c r="DC51" s="88" t="s">
        <v>1401</v>
      </c>
      <c r="DD51" s="99"/>
      <c r="DE51" s="99"/>
      <c r="DF51" s="99"/>
      <c r="DG51" s="99"/>
      <c r="DH51" s="237"/>
      <c r="DI51" s="94" t="s">
        <v>1291</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1964</v>
      </c>
      <c r="AD52" s="198" t="s">
        <v>571</v>
      </c>
      <c r="AE52" s="116" t="s">
        <v>3306</v>
      </c>
      <c r="AF52" s="198" t="s">
        <v>3307</v>
      </c>
      <c r="AG52" s="198" t="s">
        <v>3308</v>
      </c>
      <c r="AH52" s="116" t="s">
        <v>1629</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2124</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2346</v>
      </c>
      <c r="H53" s="94" t="s">
        <v>3348</v>
      </c>
      <c r="I53" s="94" t="s">
        <v>3349</v>
      </c>
      <c r="J53" s="88" t="s">
        <v>3350</v>
      </c>
      <c r="K53" s="88" t="s">
        <v>3351</v>
      </c>
      <c r="L53" s="88" t="s">
        <v>2146</v>
      </c>
      <c r="M53" s="94" t="s">
        <v>3352</v>
      </c>
      <c r="N53" s="88" t="s">
        <v>3353</v>
      </c>
      <c r="O53" s="88" t="s">
        <v>3354</v>
      </c>
      <c r="P53" s="88" t="s">
        <v>1562</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1750</v>
      </c>
      <c r="AV53" s="88" t="s">
        <v>2562</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2250</v>
      </c>
      <c r="CM53" s="94" t="s">
        <v>3373</v>
      </c>
      <c r="CN53" s="88" t="s">
        <v>206</v>
      </c>
      <c r="CO53" s="94" t="s">
        <v>1575</v>
      </c>
      <c r="CP53" s="99"/>
      <c r="CQ53" s="99"/>
      <c r="CR53" s="99"/>
      <c r="CS53" s="99"/>
      <c r="CT53" s="99"/>
      <c r="CU53" s="92"/>
      <c r="CV53" s="89" t="s">
        <v>1830</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1810</v>
      </c>
      <c r="H54" s="112" t="s">
        <v>493</v>
      </c>
      <c r="I54" s="112" t="s">
        <v>3384</v>
      </c>
      <c r="J54" s="112" t="s">
        <v>3385</v>
      </c>
      <c r="K54" s="110" t="s">
        <v>2112</v>
      </c>
      <c r="L54" s="226" t="s">
        <v>1404</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1875</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1260</v>
      </c>
      <c r="D55" s="84" t="s">
        <v>1260</v>
      </c>
      <c r="E55" s="85" t="s">
        <v>1260</v>
      </c>
      <c r="F55" s="86" t="s">
        <v>1949</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1562</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1260</v>
      </c>
      <c r="D56" s="106" t="s">
        <v>1260</v>
      </c>
      <c r="E56" s="107" t="s">
        <v>1260</v>
      </c>
      <c r="F56" s="108" t="s">
        <v>1054</v>
      </c>
      <c r="G56" s="104" t="s">
        <v>3294</v>
      </c>
      <c r="H56" s="418" t="s">
        <v>3443</v>
      </c>
      <c r="I56" s="426" t="s">
        <v>3444</v>
      </c>
      <c r="J56" s="418" t="s">
        <v>3445</v>
      </c>
      <c r="K56" s="418" t="s">
        <v>1953</v>
      </c>
      <c r="L56" s="112" t="s">
        <v>666</v>
      </c>
      <c r="M56" s="418" t="s">
        <v>3446</v>
      </c>
      <c r="N56" s="418" t="s">
        <v>3447</v>
      </c>
      <c r="O56" s="418" t="s">
        <v>3448</v>
      </c>
      <c r="P56" s="418" t="s">
        <v>2554</v>
      </c>
      <c r="Q56" s="167" t="s">
        <v>3449</v>
      </c>
      <c r="R56" s="242"/>
      <c r="S56" s="167" t="s">
        <v>836</v>
      </c>
      <c r="T56" s="242"/>
      <c r="U56" s="167" t="s">
        <v>1900</v>
      </c>
      <c r="V56" s="167" t="s">
        <v>3450</v>
      </c>
      <c r="W56" s="92"/>
      <c r="X56" s="117" t="s">
        <v>1225</v>
      </c>
      <c r="Y56" s="117"/>
      <c r="Z56" s="117" t="s">
        <v>3451</v>
      </c>
      <c r="AA56" s="117" t="s">
        <v>2727</v>
      </c>
      <c r="AB56" s="116" t="s">
        <v>3452</v>
      </c>
      <c r="AC56" s="117" t="s">
        <v>2417</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1846</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1260</v>
      </c>
      <c r="F57" s="86" t="s">
        <v>439</v>
      </c>
      <c r="G57" s="82" t="s">
        <v>3495</v>
      </c>
      <c r="H57" s="94" t="s">
        <v>2215</v>
      </c>
      <c r="I57" s="94" t="s">
        <v>1379</v>
      </c>
      <c r="J57" s="94" t="s">
        <v>3496</v>
      </c>
      <c r="K57" s="88" t="s">
        <v>1060</v>
      </c>
      <c r="L57" s="94" t="s">
        <v>463</v>
      </c>
      <c r="M57" s="99"/>
      <c r="N57" s="94" t="s">
        <v>3497</v>
      </c>
      <c r="O57" s="88" t="s">
        <v>3498</v>
      </c>
      <c r="P57" s="94" t="s">
        <v>109</v>
      </c>
      <c r="Q57" s="99"/>
      <c r="R57" s="99"/>
      <c r="S57" s="99"/>
      <c r="T57" s="99"/>
      <c r="U57" s="99"/>
      <c r="V57" s="99"/>
      <c r="W57" s="92"/>
      <c r="X57" s="88" t="s">
        <v>2126</v>
      </c>
      <c r="Y57" s="94"/>
      <c r="Z57" s="94" t="s">
        <v>1273</v>
      </c>
      <c r="AA57" s="94" t="s">
        <v>1894</v>
      </c>
      <c r="AB57" s="94" t="s">
        <v>3067</v>
      </c>
      <c r="AC57" s="162" t="s">
        <v>3499</v>
      </c>
      <c r="AD57" s="94" t="s">
        <v>3500</v>
      </c>
      <c r="AE57" s="99"/>
      <c r="AF57" s="94" t="s">
        <v>3501</v>
      </c>
      <c r="AG57" s="94" t="s">
        <v>358</v>
      </c>
      <c r="AH57" s="99"/>
      <c r="AI57" s="99"/>
      <c r="AJ57" s="94" t="s">
        <v>3502</v>
      </c>
      <c r="AK57" s="99"/>
      <c r="AL57" s="97"/>
      <c r="AM57" s="94" t="s">
        <v>1859</v>
      </c>
      <c r="AN57" s="94" t="s">
        <v>3503</v>
      </c>
      <c r="AO57" s="99"/>
      <c r="AP57" s="99"/>
      <c r="AQ57" s="99"/>
      <c r="AR57" s="99"/>
      <c r="AS57" s="99"/>
      <c r="AT57" s="99"/>
      <c r="AU57" s="94" t="s">
        <v>2603</v>
      </c>
      <c r="AV57" s="94" t="s">
        <v>3161</v>
      </c>
      <c r="AW57" s="99"/>
      <c r="AX57" s="99"/>
      <c r="AY57" s="94" t="s">
        <v>752</v>
      </c>
      <c r="AZ57" s="99"/>
      <c r="BA57" s="99"/>
      <c r="BB57" s="94" t="s">
        <v>3504</v>
      </c>
      <c r="BC57" s="94" t="s">
        <v>2161</v>
      </c>
      <c r="BD57" s="94" t="s">
        <v>3161</v>
      </c>
      <c r="BE57" s="94" t="s">
        <v>3505</v>
      </c>
      <c r="BF57" s="94" t="s">
        <v>3506</v>
      </c>
      <c r="BG57" s="87" t="s">
        <v>2395</v>
      </c>
      <c r="BH57" s="99"/>
      <c r="BI57" s="94" t="s">
        <v>1700</v>
      </c>
      <c r="BJ57" s="94"/>
      <c r="BK57" s="94" t="s">
        <v>3507</v>
      </c>
      <c r="BL57" s="94" t="s">
        <v>1909</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1999</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1260</v>
      </c>
      <c r="D58" s="106" t="s">
        <v>547</v>
      </c>
      <c r="E58" s="107" t="s">
        <v>1260</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2417</v>
      </c>
      <c r="AD58" s="198" t="s">
        <v>3537</v>
      </c>
      <c r="AE58" s="198" t="s">
        <v>3004</v>
      </c>
      <c r="AF58" s="198" t="s">
        <v>3307</v>
      </c>
      <c r="AG58" s="335" t="s">
        <v>569</v>
      </c>
      <c r="AH58" s="335" t="s">
        <v>3365</v>
      </c>
      <c r="AI58" s="244"/>
      <c r="AJ58" s="198" t="s">
        <v>1654</v>
      </c>
      <c r="AK58" s="244"/>
      <c r="AL58" s="97"/>
      <c r="AM58" s="168" t="s">
        <v>3248</v>
      </c>
      <c r="AN58" s="168" t="s">
        <v>1237</v>
      </c>
      <c r="AO58" s="245"/>
      <c r="AP58" s="245"/>
      <c r="AQ58" s="245"/>
      <c r="AR58" s="168" t="s">
        <v>3538</v>
      </c>
      <c r="AS58" s="168" t="s">
        <v>1784</v>
      </c>
      <c r="AT58" s="245"/>
      <c r="AU58" s="431" t="s">
        <v>3539</v>
      </c>
      <c r="AV58" s="168" t="s">
        <v>3540</v>
      </c>
      <c r="AW58" s="168" t="s">
        <v>1942</v>
      </c>
      <c r="AX58" s="245"/>
      <c r="AY58" s="431"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1979</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1260</v>
      </c>
      <c r="D59" s="84" t="s">
        <v>1260</v>
      </c>
      <c r="E59" s="85" t="s">
        <v>1260</v>
      </c>
      <c r="F59" s="86" t="s">
        <v>3574</v>
      </c>
      <c r="G59" s="82" t="s">
        <v>1811</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2176</v>
      </c>
      <c r="AD59" s="88" t="s">
        <v>3582</v>
      </c>
      <c r="AE59" s="99"/>
      <c r="AF59" s="88" t="s">
        <v>3583</v>
      </c>
      <c r="AG59" s="88" t="s">
        <v>3584</v>
      </c>
      <c r="AH59" s="99"/>
      <c r="AI59" s="99"/>
      <c r="AJ59" s="94" t="s">
        <v>1732</v>
      </c>
      <c r="AK59" s="99"/>
      <c r="AL59" s="97"/>
      <c r="AM59" s="94" t="s">
        <v>384</v>
      </c>
      <c r="AN59" s="266" t="s">
        <v>3210</v>
      </c>
      <c r="AO59" s="332" t="s">
        <v>3585</v>
      </c>
      <c r="AP59" s="94" t="s">
        <v>3586</v>
      </c>
      <c r="AQ59" s="99"/>
      <c r="AR59" s="99"/>
      <c r="AS59" s="99"/>
      <c r="AT59" s="99"/>
      <c r="AU59" s="266" t="s">
        <v>1944</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1320</v>
      </c>
      <c r="BJ59" s="94"/>
      <c r="BK59" s="266" t="s">
        <v>724</v>
      </c>
      <c r="BL59" s="88" t="s">
        <v>3592</v>
      </c>
      <c r="BM59" s="88" t="s">
        <v>3593</v>
      </c>
      <c r="BN59" s="94" t="s">
        <v>2134</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1268</v>
      </c>
      <c r="CJ59" s="94" t="s">
        <v>3607</v>
      </c>
      <c r="CK59" s="94" t="s">
        <v>3608</v>
      </c>
      <c r="CL59" s="94" t="s">
        <v>3518</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3"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2231</v>
      </c>
      <c r="BU60" s="129" t="s">
        <v>3659</v>
      </c>
      <c r="BV60" s="129" t="s">
        <v>3660</v>
      </c>
      <c r="BW60" s="129" t="s">
        <v>1594</v>
      </c>
      <c r="BX60" s="249"/>
      <c r="BY60" s="129" t="s">
        <v>3661</v>
      </c>
      <c r="BZ60" s="129" t="s">
        <v>3662</v>
      </c>
      <c r="CA60" s="129" t="s">
        <v>1850</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1802</v>
      </c>
      <c r="DX60" s="255"/>
      <c r="DY60" s="255"/>
      <c r="DZ60" s="255"/>
      <c r="EA60" s="145" t="s">
        <v>3681</v>
      </c>
      <c r="EB60" s="255"/>
      <c r="EC60" s="145" t="s">
        <v>3682</v>
      </c>
      <c r="ED60" s="142" t="s">
        <v>3683</v>
      </c>
    </row>
    <row r="61">
      <c r="A61" s="435" t="s">
        <v>3684</v>
      </c>
      <c r="B61" s="82" t="s">
        <v>3685</v>
      </c>
      <c r="C61" s="83" t="s">
        <v>1260</v>
      </c>
      <c r="D61" s="84" t="s">
        <v>1260</v>
      </c>
      <c r="E61" s="85" t="s">
        <v>1260</v>
      </c>
      <c r="F61" s="86" t="s">
        <v>2774</v>
      </c>
      <c r="G61" s="82" t="s">
        <v>223</v>
      </c>
      <c r="H61" s="94" t="s">
        <v>3686</v>
      </c>
      <c r="I61" s="94" t="s">
        <v>2012</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2710</v>
      </c>
      <c r="BD61" s="88" t="s">
        <v>2224</v>
      </c>
      <c r="BE61" s="94" t="s">
        <v>3712</v>
      </c>
      <c r="BF61" s="94" t="s">
        <v>3713</v>
      </c>
      <c r="BG61" s="94" t="s">
        <v>1222</v>
      </c>
      <c r="BH61" s="94" t="s">
        <v>3714</v>
      </c>
      <c r="BI61" s="88" t="s">
        <v>1665</v>
      </c>
      <c r="BJ61" s="94" t="s">
        <v>2701</v>
      </c>
      <c r="BK61" s="94" t="s">
        <v>3715</v>
      </c>
      <c r="BL61" s="94" t="s">
        <v>3716</v>
      </c>
      <c r="BM61" s="94"/>
      <c r="BN61" s="88" t="s">
        <v>1582</v>
      </c>
      <c r="BO61" s="94" t="s">
        <v>2744</v>
      </c>
      <c r="BP61" s="94" t="s">
        <v>3307</v>
      </c>
      <c r="BQ61" s="94"/>
      <c r="BR61" s="88" t="s">
        <v>3717</v>
      </c>
      <c r="BS61" s="94" t="s">
        <v>3718</v>
      </c>
      <c r="BT61" s="94" t="s">
        <v>3719</v>
      </c>
      <c r="BU61" s="94" t="s">
        <v>3328</v>
      </c>
      <c r="BV61" s="94" t="s">
        <v>1854</v>
      </c>
      <c r="BW61" s="94" t="s">
        <v>3720</v>
      </c>
      <c r="BX61" s="94" t="s">
        <v>3551</v>
      </c>
      <c r="BY61" s="94" t="s">
        <v>3721</v>
      </c>
      <c r="BZ61" s="94" t="s">
        <v>3123</v>
      </c>
      <c r="CA61" s="94" t="s">
        <v>3722</v>
      </c>
      <c r="CB61" s="94" t="s">
        <v>2414</v>
      </c>
      <c r="CC61" s="94" t="s">
        <v>1271</v>
      </c>
      <c r="CD61" s="94" t="s">
        <v>1731</v>
      </c>
      <c r="CE61" s="94" t="s">
        <v>3723</v>
      </c>
      <c r="CF61" s="94"/>
      <c r="CG61" s="94" t="s">
        <v>3724</v>
      </c>
      <c r="CH61" s="162" t="s">
        <v>296</v>
      </c>
      <c r="CI61" s="94" t="s">
        <v>1846</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1846</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2268</v>
      </c>
      <c r="H62" s="239" t="s">
        <v>2020</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1450</v>
      </c>
      <c r="AW62" s="199" t="s">
        <v>3773</v>
      </c>
      <c r="AX62" s="439"/>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0"/>
      <c r="BN62" s="172" t="s">
        <v>1306</v>
      </c>
      <c r="BO62" s="172" t="s">
        <v>3783</v>
      </c>
      <c r="BP62" s="172" t="s">
        <v>1595</v>
      </c>
      <c r="BQ62" s="172"/>
      <c r="BR62" s="280" t="s">
        <v>3784</v>
      </c>
      <c r="BS62" s="280" t="s">
        <v>2899</v>
      </c>
      <c r="BT62" s="280" t="s">
        <v>2201</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2185</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2550</v>
      </c>
      <c r="DU62" s="207" t="s">
        <v>3810</v>
      </c>
      <c r="DV62" s="207" t="s">
        <v>3811</v>
      </c>
      <c r="DW62" s="207" t="s">
        <v>3812</v>
      </c>
      <c r="DX62" s="207" t="s">
        <v>1914</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2157</v>
      </c>
      <c r="H63" s="88" t="s">
        <v>3818</v>
      </c>
      <c r="I63" s="88" t="s">
        <v>3819</v>
      </c>
      <c r="J63" s="88" t="s">
        <v>2876</v>
      </c>
      <c r="K63" s="98" t="s">
        <v>444</v>
      </c>
      <c r="L63" s="88" t="s">
        <v>1728</v>
      </c>
      <c r="M63" s="94" t="s">
        <v>3820</v>
      </c>
      <c r="N63" s="94" t="s">
        <v>3821</v>
      </c>
      <c r="O63" s="94" t="s">
        <v>3712</v>
      </c>
      <c r="P63" s="94" t="s">
        <v>2554</v>
      </c>
      <c r="Q63" s="94" t="s">
        <v>3822</v>
      </c>
      <c r="R63" s="99"/>
      <c r="S63" s="99"/>
      <c r="T63" s="99"/>
      <c r="U63" s="99"/>
      <c r="V63" s="94" t="s">
        <v>3823</v>
      </c>
      <c r="W63" s="92"/>
      <c r="X63" s="88" t="s">
        <v>2539</v>
      </c>
      <c r="Y63" s="102"/>
      <c r="Z63" s="88" t="s">
        <v>3824</v>
      </c>
      <c r="AA63" s="88" t="s">
        <v>1894</v>
      </c>
      <c r="AB63" s="94" t="s">
        <v>3067</v>
      </c>
      <c r="AC63" s="94" t="s">
        <v>3068</v>
      </c>
      <c r="AD63" s="93" t="s">
        <v>3825</v>
      </c>
      <c r="AE63" s="99"/>
      <c r="AF63" s="94" t="s">
        <v>2557</v>
      </c>
      <c r="AG63" s="94" t="s">
        <v>1827</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2002</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2195</v>
      </c>
      <c r="K64" s="340" t="s">
        <v>2877</v>
      </c>
      <c r="L64" s="167" t="s">
        <v>605</v>
      </c>
      <c r="M64" s="321" t="s">
        <v>3849</v>
      </c>
      <c r="N64" s="167" t="s">
        <v>676</v>
      </c>
      <c r="O64" s="167" t="s">
        <v>3850</v>
      </c>
      <c r="P64" s="167" t="s">
        <v>1779</v>
      </c>
      <c r="Q64" s="242"/>
      <c r="R64" s="242"/>
      <c r="S64" s="242"/>
      <c r="T64" s="242"/>
      <c r="U64" s="242"/>
      <c r="V64" s="242"/>
      <c r="W64" s="92"/>
      <c r="X64" s="198" t="s">
        <v>2885</v>
      </c>
      <c r="Y64" s="198"/>
      <c r="Z64" s="198" t="s">
        <v>3851</v>
      </c>
      <c r="AA64" s="198" t="s">
        <v>2042</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2051</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2044</v>
      </c>
      <c r="CH64" s="177" t="s">
        <v>3863</v>
      </c>
      <c r="CI64" s="177" t="s">
        <v>1164</v>
      </c>
      <c r="CJ64" s="177" t="s">
        <v>3864</v>
      </c>
      <c r="CK64" s="177"/>
      <c r="CL64" s="177" t="s">
        <v>1909</v>
      </c>
      <c r="CM64" s="177" t="s">
        <v>2915</v>
      </c>
      <c r="CN64" s="177" t="s">
        <v>1624</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2656</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1852</v>
      </c>
      <c r="BG65" s="94" t="s">
        <v>1524</v>
      </c>
      <c r="BH65" s="99"/>
      <c r="BI65" s="94" t="s">
        <v>2740</v>
      </c>
      <c r="BJ65" s="99"/>
      <c r="BK65" s="94" t="s">
        <v>3888</v>
      </c>
      <c r="BL65" s="94" t="s">
        <v>3165</v>
      </c>
      <c r="BM65" s="99"/>
      <c r="BN65" s="88" t="s">
        <v>1743</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1981</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1260</v>
      </c>
      <c r="D66" s="106" t="s">
        <v>1260</v>
      </c>
      <c r="E66" s="107" t="s">
        <v>1260</v>
      </c>
      <c r="F66" s="108" t="s">
        <v>3061</v>
      </c>
      <c r="G66" s="104" t="s">
        <v>2995</v>
      </c>
      <c r="H66" s="112" t="s">
        <v>3443</v>
      </c>
      <c r="I66" s="167" t="s">
        <v>2305</v>
      </c>
      <c r="J66" s="167" t="s">
        <v>3908</v>
      </c>
      <c r="K66" s="167" t="s">
        <v>3909</v>
      </c>
      <c r="L66" s="167" t="s">
        <v>3910</v>
      </c>
      <c r="M66" s="167" t="s">
        <v>2188</v>
      </c>
      <c r="N66" s="167" t="s">
        <v>3911</v>
      </c>
      <c r="O66" s="167" t="s">
        <v>3912</v>
      </c>
      <c r="P66" s="167" t="s">
        <v>3105</v>
      </c>
      <c r="Q66" s="167" t="s">
        <v>3913</v>
      </c>
      <c r="R66" s="321"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2515</v>
      </c>
      <c r="BJ66" s="174" t="s">
        <v>3019</v>
      </c>
      <c r="BK66" s="174"/>
      <c r="BL66" s="174" t="s">
        <v>3935</v>
      </c>
      <c r="BM66" s="174" t="s">
        <v>1529</v>
      </c>
      <c r="BN66" s="174" t="s">
        <v>3692</v>
      </c>
      <c r="BO66" s="174" t="s">
        <v>2565</v>
      </c>
      <c r="BP66" s="174" t="s">
        <v>3936</v>
      </c>
      <c r="BQ66" s="297"/>
      <c r="BR66" s="175" t="s">
        <v>3937</v>
      </c>
      <c r="BS66" s="129" t="s">
        <v>2571</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1472</v>
      </c>
      <c r="CM66" s="177" t="s">
        <v>3946</v>
      </c>
      <c r="CN66" s="177" t="s">
        <v>2536</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2186</v>
      </c>
      <c r="DJ66" s="205"/>
      <c r="DK66" s="205" t="s">
        <v>2017</v>
      </c>
      <c r="DL66" s="205" t="s">
        <v>3961</v>
      </c>
      <c r="DM66" s="205" t="s">
        <v>3962</v>
      </c>
      <c r="DN66" s="205" t="s">
        <v>698</v>
      </c>
      <c r="DO66" s="205" t="s">
        <v>3963</v>
      </c>
      <c r="DP66" s="205" t="s">
        <v>3964</v>
      </c>
      <c r="DQ66" s="205" t="s">
        <v>3965</v>
      </c>
      <c r="DR66" s="205" t="s">
        <v>2031</v>
      </c>
      <c r="DS66" s="145" t="s">
        <v>3075</v>
      </c>
      <c r="DT66" s="205" t="s">
        <v>444</v>
      </c>
      <c r="DU66" s="205" t="s">
        <v>3355</v>
      </c>
      <c r="DV66" s="205" t="s">
        <v>3966</v>
      </c>
      <c r="DW66" s="205" t="s">
        <v>3967</v>
      </c>
      <c r="DX66" s="205" t="s">
        <v>376</v>
      </c>
      <c r="DY66" s="445" t="s">
        <v>3181</v>
      </c>
      <c r="DZ66" s="205" t="s">
        <v>3968</v>
      </c>
      <c r="EA66" s="205" t="s">
        <v>3969</v>
      </c>
      <c r="EB66" s="205" t="s">
        <v>1915</v>
      </c>
      <c r="EC66" s="205" t="s">
        <v>3970</v>
      </c>
      <c r="ED66" s="287" t="s">
        <v>3971</v>
      </c>
    </row>
    <row r="67">
      <c r="A67" s="446" t="s">
        <v>3972</v>
      </c>
      <c r="B67" s="447" t="s">
        <v>3973</v>
      </c>
      <c r="C67" s="448" t="s">
        <v>1260</v>
      </c>
      <c r="D67" s="449" t="s">
        <v>1260</v>
      </c>
      <c r="E67" s="450" t="s">
        <v>1260</v>
      </c>
      <c r="F67" s="451" t="s">
        <v>3974</v>
      </c>
      <c r="G67" s="447" t="s">
        <v>441</v>
      </c>
      <c r="H67" s="316" t="s">
        <v>3975</v>
      </c>
      <c r="I67" s="316" t="s">
        <v>3976</v>
      </c>
      <c r="J67" s="313" t="s">
        <v>1504</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1318</v>
      </c>
      <c r="AB67" s="313" t="s">
        <v>2390</v>
      </c>
      <c r="AC67" s="313" t="s">
        <v>1973</v>
      </c>
      <c r="AD67" s="313" t="s">
        <v>3987</v>
      </c>
      <c r="AE67" s="316" t="s">
        <v>2362</v>
      </c>
      <c r="AF67" s="316" t="s">
        <v>1471</v>
      </c>
      <c r="AG67" s="313" t="s">
        <v>3765</v>
      </c>
      <c r="AH67" s="316" t="s">
        <v>2625</v>
      </c>
      <c r="AI67" s="313" t="s">
        <v>3988</v>
      </c>
      <c r="AJ67" s="316" t="s">
        <v>2475</v>
      </c>
      <c r="AK67" s="316" t="s">
        <v>3989</v>
      </c>
      <c r="AL67" s="159"/>
      <c r="AM67" s="313" t="s">
        <v>397</v>
      </c>
      <c r="AN67" s="326" t="s">
        <v>1487</v>
      </c>
      <c r="AO67" s="328" t="s">
        <v>3990</v>
      </c>
      <c r="AP67" s="316" t="s">
        <v>3991</v>
      </c>
      <c r="AQ67" s="316" t="s">
        <v>3992</v>
      </c>
      <c r="AR67" s="316" t="s">
        <v>2624</v>
      </c>
      <c r="AS67" s="316" t="s">
        <v>3993</v>
      </c>
      <c r="AT67" s="316" t="s">
        <v>3994</v>
      </c>
      <c r="AU67" s="328" t="s">
        <v>2636</v>
      </c>
      <c r="AV67" s="313" t="s">
        <v>366</v>
      </c>
      <c r="AW67" s="316" t="s">
        <v>3521</v>
      </c>
      <c r="AX67" s="316" t="s">
        <v>1714</v>
      </c>
      <c r="AY67" s="316" t="s">
        <v>3995</v>
      </c>
      <c r="AZ67" s="316" t="s">
        <v>3996</v>
      </c>
      <c r="BA67" s="316"/>
      <c r="BB67" s="316" t="s">
        <v>3997</v>
      </c>
      <c r="BC67" s="313" t="s">
        <v>2778</v>
      </c>
      <c r="BD67" s="316" t="s">
        <v>1394</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1435</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1906</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1973</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1815</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2246</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2149</v>
      </c>
      <c r="DO68" s="255"/>
      <c r="DP68" s="255"/>
      <c r="DQ68" s="255"/>
      <c r="DR68" s="145" t="s">
        <v>1952</v>
      </c>
      <c r="DS68" s="419"/>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1944</v>
      </c>
      <c r="AV69" s="94" t="s">
        <v>1123</v>
      </c>
      <c r="AW69" s="94" t="s">
        <v>2152</v>
      </c>
      <c r="AX69" s="99"/>
      <c r="AY69" s="88" t="s">
        <v>4075</v>
      </c>
      <c r="AZ69" s="94" t="s">
        <v>4076</v>
      </c>
      <c r="BA69" s="94"/>
      <c r="BB69" s="88" t="s">
        <v>2095</v>
      </c>
      <c r="BC69" s="94" t="s">
        <v>1476</v>
      </c>
      <c r="BD69" s="88" t="s">
        <v>1394</v>
      </c>
      <c r="BE69" s="88" t="s">
        <v>3498</v>
      </c>
      <c r="BF69" s="162" t="s">
        <v>4077</v>
      </c>
      <c r="BG69" s="94" t="s">
        <v>2278</v>
      </c>
      <c r="BH69" s="94" t="s">
        <v>1981</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1494</v>
      </c>
      <c r="EB69" s="94" t="s">
        <v>4113</v>
      </c>
      <c r="EC69" s="88" t="s">
        <v>3255</v>
      </c>
      <c r="ED69" s="258" t="s">
        <v>4114</v>
      </c>
    </row>
    <row r="70">
      <c r="A70" s="103" t="s">
        <v>4115</v>
      </c>
      <c r="B70" s="453" t="s">
        <v>4116</v>
      </c>
      <c r="C70" s="454" t="s">
        <v>1260</v>
      </c>
      <c r="D70" s="455" t="s">
        <v>547</v>
      </c>
      <c r="E70" s="456" t="s">
        <v>547</v>
      </c>
      <c r="F70" s="457" t="s">
        <v>4117</v>
      </c>
      <c r="G70" s="453" t="s">
        <v>1499</v>
      </c>
      <c r="H70" s="458" t="s">
        <v>4118</v>
      </c>
      <c r="I70" s="458" t="s">
        <v>3062</v>
      </c>
      <c r="J70" s="458" t="s">
        <v>4119</v>
      </c>
      <c r="K70" s="458" t="s">
        <v>1639</v>
      </c>
      <c r="L70" s="458" t="s">
        <v>1091</v>
      </c>
      <c r="M70" s="458" t="s">
        <v>4120</v>
      </c>
      <c r="N70" s="459" t="s">
        <v>4121</v>
      </c>
      <c r="O70" s="459" t="s">
        <v>4122</v>
      </c>
      <c r="P70" s="458" t="s">
        <v>657</v>
      </c>
      <c r="Q70" s="459"/>
      <c r="R70" s="459"/>
      <c r="S70" s="459"/>
      <c r="T70" s="459"/>
      <c r="U70" s="459"/>
      <c r="V70" s="459"/>
      <c r="W70" s="460"/>
      <c r="X70" s="461" t="s">
        <v>1428</v>
      </c>
      <c r="Y70" s="462"/>
      <c r="Z70" s="461" t="s">
        <v>4123</v>
      </c>
      <c r="AA70" s="118" t="s">
        <v>1068</v>
      </c>
      <c r="AB70" s="461" t="s">
        <v>4124</v>
      </c>
      <c r="AC70" s="461" t="s">
        <v>757</v>
      </c>
      <c r="AD70" s="463" t="s">
        <v>4069</v>
      </c>
      <c r="AE70" s="461" t="s">
        <v>996</v>
      </c>
      <c r="AF70" s="463" t="s">
        <v>4125</v>
      </c>
      <c r="AG70" s="461" t="s">
        <v>1433</v>
      </c>
      <c r="AH70" s="463"/>
      <c r="AI70" s="463"/>
      <c r="AJ70" s="463"/>
      <c r="AK70" s="463"/>
      <c r="AL70" s="460"/>
      <c r="AM70" s="464" t="s">
        <v>4126</v>
      </c>
      <c r="AN70" s="465" t="s">
        <v>1944</v>
      </c>
      <c r="AO70" s="466"/>
      <c r="AP70" s="466"/>
      <c r="AQ70" s="466"/>
      <c r="AR70" s="466"/>
      <c r="AS70" s="466" t="s">
        <v>4127</v>
      </c>
      <c r="AT70" s="466"/>
      <c r="AU70" s="465" t="s">
        <v>3210</v>
      </c>
      <c r="AV70" s="465" t="s">
        <v>4128</v>
      </c>
      <c r="AW70" s="466"/>
      <c r="AX70" s="466"/>
      <c r="AY70" s="466"/>
      <c r="AZ70" s="466"/>
      <c r="BA70" s="466"/>
      <c r="BB70" s="467" t="s">
        <v>4129</v>
      </c>
      <c r="BC70" s="467" t="s">
        <v>1294</v>
      </c>
      <c r="BD70" s="468" t="s">
        <v>2328</v>
      </c>
      <c r="BE70" s="468" t="s">
        <v>586</v>
      </c>
      <c r="BF70" s="467" t="s">
        <v>3766</v>
      </c>
      <c r="BG70" s="468"/>
      <c r="BH70" s="468"/>
      <c r="BI70" s="468" t="s">
        <v>2339</v>
      </c>
      <c r="BJ70" s="468"/>
      <c r="BK70" s="468" t="s">
        <v>4130</v>
      </c>
      <c r="BL70" s="468" t="s">
        <v>1430</v>
      </c>
      <c r="BM70" s="468"/>
      <c r="BN70" s="468"/>
      <c r="BO70" s="468"/>
      <c r="BP70" s="468"/>
      <c r="BQ70" s="468"/>
      <c r="BR70" s="469"/>
      <c r="BS70" s="469" t="s">
        <v>4131</v>
      </c>
      <c r="BT70" s="470" t="s">
        <v>2702</v>
      </c>
      <c r="BU70" s="469"/>
      <c r="BV70" s="469"/>
      <c r="BW70" s="469" t="s">
        <v>2085</v>
      </c>
      <c r="BX70" s="469"/>
      <c r="BY70" s="469"/>
      <c r="BZ70" s="469"/>
      <c r="CA70" s="469"/>
      <c r="CB70" s="469"/>
      <c r="CC70" s="469"/>
      <c r="CD70" s="469"/>
      <c r="CE70" s="469"/>
      <c r="CF70" s="249"/>
      <c r="CG70" s="471" t="s">
        <v>4132</v>
      </c>
      <c r="CH70" s="132" t="s">
        <v>1518</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1260</v>
      </c>
      <c r="D71" s="84" t="s">
        <v>1260</v>
      </c>
      <c r="E71" s="85" t="s">
        <v>1260</v>
      </c>
      <c r="F71" s="86" t="s">
        <v>3407</v>
      </c>
      <c r="G71" s="82" t="s">
        <v>3294</v>
      </c>
      <c r="H71" s="88" t="s">
        <v>2564</v>
      </c>
      <c r="I71" s="88" t="s">
        <v>4136</v>
      </c>
      <c r="J71" s="88" t="s">
        <v>4013</v>
      </c>
      <c r="K71" s="88" t="s">
        <v>1953</v>
      </c>
      <c r="L71" s="88" t="s">
        <v>4137</v>
      </c>
      <c r="M71" s="88" t="s">
        <v>4138</v>
      </c>
      <c r="N71" s="88" t="s">
        <v>4139</v>
      </c>
      <c r="O71" s="88" t="s">
        <v>2125</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2648</v>
      </c>
      <c r="CB71" s="99"/>
      <c r="CC71" s="99"/>
      <c r="CD71" s="88" t="s">
        <v>2553</v>
      </c>
      <c r="CE71" s="99"/>
      <c r="CF71" s="237"/>
      <c r="CG71" s="88" t="s">
        <v>4159</v>
      </c>
      <c r="CH71" s="88" t="s">
        <v>4160</v>
      </c>
      <c r="CI71" s="88" t="s">
        <v>2160</v>
      </c>
      <c r="CJ71" s="88" t="s">
        <v>4161</v>
      </c>
      <c r="CK71" s="93"/>
      <c r="CL71" s="88" t="s">
        <v>3165</v>
      </c>
      <c r="CM71" s="88" t="s">
        <v>368</v>
      </c>
      <c r="CN71" s="88" t="s">
        <v>1607</v>
      </c>
      <c r="CO71" s="88" t="s">
        <v>4162</v>
      </c>
      <c r="CP71" s="99"/>
      <c r="CQ71" s="99"/>
      <c r="CR71" s="99"/>
      <c r="CS71" s="99"/>
      <c r="CT71" s="99"/>
      <c r="CU71" s="92"/>
      <c r="CV71" s="88" t="s">
        <v>2007</v>
      </c>
      <c r="CW71" s="88" t="s">
        <v>552</v>
      </c>
      <c r="CX71" s="88" t="s">
        <v>4163</v>
      </c>
      <c r="CY71" s="88" t="s">
        <v>4164</v>
      </c>
      <c r="CZ71" s="88" t="s">
        <v>2732</v>
      </c>
      <c r="DA71" s="88" t="s">
        <v>1973</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2023</v>
      </c>
      <c r="DV71" s="94" t="s">
        <v>4170</v>
      </c>
      <c r="DW71" s="88" t="s">
        <v>1715</v>
      </c>
      <c r="DX71" s="94" t="s">
        <v>3648</v>
      </c>
      <c r="DY71" s="94" t="s">
        <v>1547</v>
      </c>
      <c r="DZ71" s="88" t="s">
        <v>4171</v>
      </c>
      <c r="EA71" s="88" t="s">
        <v>2219</v>
      </c>
      <c r="EB71" s="94" t="s">
        <v>4172</v>
      </c>
      <c r="EC71" s="94" t="s">
        <v>1602</v>
      </c>
      <c r="ED71" s="479"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2256</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1264</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1260</v>
      </c>
      <c r="D74" s="106" t="s">
        <v>1260</v>
      </c>
      <c r="E74" s="107" t="s">
        <v>1260</v>
      </c>
      <c r="F74" s="108" t="s">
        <v>333</v>
      </c>
      <c r="G74" s="104" t="s">
        <v>2378</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2132</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1831</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1695</v>
      </c>
      <c r="AX75" s="99"/>
      <c r="AY75" s="99"/>
      <c r="AZ75" s="87" t="s">
        <v>4275</v>
      </c>
      <c r="BA75" s="99"/>
      <c r="BB75" s="99"/>
      <c r="BC75" s="99"/>
      <c r="BD75" s="94"/>
      <c r="BE75" s="88" t="s">
        <v>3745</v>
      </c>
      <c r="BF75" s="99"/>
      <c r="BG75" s="88" t="s">
        <v>2071</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1961</v>
      </c>
      <c r="CR75" s="99"/>
      <c r="CS75" s="99"/>
      <c r="CT75" s="87" t="s">
        <v>4265</v>
      </c>
      <c r="CU75" s="92"/>
      <c r="CV75" s="99"/>
      <c r="CW75" s="99"/>
      <c r="CX75" s="99"/>
      <c r="CY75" s="99"/>
      <c r="CZ75" s="99"/>
      <c r="DA75" s="94" t="s">
        <v>2246</v>
      </c>
      <c r="DB75" s="94" t="s">
        <v>2113</v>
      </c>
      <c r="DC75" s="99"/>
      <c r="DD75" s="87" t="s">
        <v>4282</v>
      </c>
      <c r="DE75" s="94"/>
      <c r="DF75" s="88" t="s">
        <v>4283</v>
      </c>
      <c r="DG75" s="87" t="s">
        <v>1907</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1857</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2056</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1547</v>
      </c>
      <c r="CO77" s="94" t="s">
        <v>2554</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2040</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2157</v>
      </c>
      <c r="H78" s="167"/>
      <c r="I78" s="167" t="s">
        <v>4379</v>
      </c>
      <c r="J78" s="167" t="s">
        <v>4380</v>
      </c>
      <c r="K78" s="167" t="s">
        <v>1953</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35" t="s">
        <v>1279</v>
      </c>
      <c r="AG78" s="198" t="s">
        <v>4042</v>
      </c>
      <c r="AH78" s="244"/>
      <c r="AI78" s="244"/>
      <c r="AJ78" s="244"/>
      <c r="AK78" s="244"/>
      <c r="AL78" s="97"/>
      <c r="AM78" s="245"/>
      <c r="AN78" s="245"/>
      <c r="AO78" s="245"/>
      <c r="AP78" s="245"/>
      <c r="AQ78" s="245"/>
      <c r="AR78" s="245"/>
      <c r="AS78" s="245"/>
      <c r="AT78" s="245"/>
      <c r="AU78" s="168" t="s">
        <v>1548</v>
      </c>
      <c r="AV78" s="168" t="s">
        <v>1838</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1260</v>
      </c>
      <c r="D79" s="84" t="s">
        <v>1260</v>
      </c>
      <c r="E79" s="85" t="s">
        <v>1260</v>
      </c>
      <c r="F79" s="86" t="s">
        <v>547</v>
      </c>
      <c r="G79" s="82" t="s">
        <v>4410</v>
      </c>
      <c r="H79" s="94" t="s">
        <v>2127</v>
      </c>
      <c r="I79" s="94" t="s">
        <v>4411</v>
      </c>
      <c r="J79" s="94" t="s">
        <v>3633</v>
      </c>
      <c r="K79" s="94" t="s">
        <v>2280</v>
      </c>
      <c r="L79" s="94" t="s">
        <v>1036</v>
      </c>
      <c r="M79" s="94" t="s">
        <v>4412</v>
      </c>
      <c r="N79" s="94" t="s">
        <v>4413</v>
      </c>
      <c r="O79" s="94" t="s">
        <v>4414</v>
      </c>
      <c r="P79" s="94" t="s">
        <v>2554</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1944</v>
      </c>
      <c r="AV79" s="94" t="s">
        <v>4000</v>
      </c>
      <c r="AW79" s="99"/>
      <c r="AX79" s="99"/>
      <c r="AY79" s="99"/>
      <c r="AZ79" s="99"/>
      <c r="BA79" s="99"/>
      <c r="BB79" s="94" t="s">
        <v>3197</v>
      </c>
      <c r="BC79" s="94" t="s">
        <v>2161</v>
      </c>
      <c r="BD79" s="94" t="s">
        <v>296</v>
      </c>
      <c r="BE79" s="94" t="s">
        <v>4422</v>
      </c>
      <c r="BF79" s="94" t="s">
        <v>4423</v>
      </c>
      <c r="BG79" s="94" t="s">
        <v>1296</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1905</v>
      </c>
      <c r="BW79" s="314" t="s">
        <v>1807</v>
      </c>
      <c r="BX79" s="88" t="s">
        <v>4429</v>
      </c>
      <c r="BY79" s="94" t="s">
        <v>4430</v>
      </c>
      <c r="BZ79" s="99"/>
      <c r="CA79" s="94" t="s">
        <v>4431</v>
      </c>
      <c r="CB79" s="99"/>
      <c r="CC79" s="99"/>
      <c r="CD79" s="99"/>
      <c r="CE79" s="99"/>
      <c r="CF79" s="237"/>
      <c r="CG79" s="314" t="s">
        <v>4432</v>
      </c>
      <c r="CH79" s="316" t="s">
        <v>1320</v>
      </c>
      <c r="CI79" s="316" t="s">
        <v>4433</v>
      </c>
      <c r="CJ79" s="316" t="s">
        <v>4434</v>
      </c>
      <c r="CK79" s="316"/>
      <c r="CL79" s="316" t="s">
        <v>552</v>
      </c>
      <c r="CM79" s="314" t="s">
        <v>4435</v>
      </c>
      <c r="CN79" s="316" t="s">
        <v>1781</v>
      </c>
      <c r="CO79" s="314" t="s">
        <v>2483</v>
      </c>
      <c r="CP79" s="99"/>
      <c r="CQ79" s="99"/>
      <c r="CR79" s="99"/>
      <c r="CS79" s="99"/>
      <c r="CT79" s="99"/>
      <c r="CU79" s="92"/>
      <c r="CV79" s="314" t="s">
        <v>4436</v>
      </c>
      <c r="CW79" s="316" t="s">
        <v>2550</v>
      </c>
      <c r="CX79" s="314" t="s">
        <v>1737</v>
      </c>
      <c r="CY79" s="314" t="s">
        <v>3150</v>
      </c>
      <c r="CZ79" s="314" t="s">
        <v>4437</v>
      </c>
      <c r="DA79" s="314" t="s">
        <v>1737</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1260</v>
      </c>
      <c r="D80" s="106" t="s">
        <v>1260</v>
      </c>
      <c r="E80" s="107" t="s">
        <v>1260</v>
      </c>
      <c r="F80" s="108" t="s">
        <v>2774</v>
      </c>
      <c r="G80" s="104" t="s">
        <v>1950</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1841</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1979</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1998</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2554</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2001</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1260</v>
      </c>
      <c r="D82" s="491" t="s">
        <v>1260</v>
      </c>
      <c r="E82" s="492" t="s">
        <v>1260</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1845</v>
      </c>
      <c r="Y82" s="296"/>
      <c r="Z82" s="296" t="s">
        <v>3072</v>
      </c>
      <c r="AA82" s="296" t="s">
        <v>2205</v>
      </c>
      <c r="AB82" s="296" t="s">
        <v>3899</v>
      </c>
      <c r="AC82" s="296" t="s">
        <v>1695</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1450</v>
      </c>
      <c r="AW82" s="279"/>
      <c r="AX82" s="498"/>
      <c r="AY82" s="498"/>
      <c r="AZ82" s="498"/>
      <c r="BA82" s="498"/>
      <c r="BB82" s="303" t="s">
        <v>2738</v>
      </c>
      <c r="BC82" s="303" t="s">
        <v>4528</v>
      </c>
      <c r="BD82" s="303" t="s">
        <v>296</v>
      </c>
      <c r="BE82" s="303" t="s">
        <v>4529</v>
      </c>
      <c r="BF82" s="303" t="s">
        <v>4530</v>
      </c>
      <c r="BG82" s="303"/>
      <c r="BH82" s="500"/>
      <c r="BI82" s="303" t="s">
        <v>1371</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1260</v>
      </c>
      <c r="D83" s="84" t="s">
        <v>1260</v>
      </c>
      <c r="E83" s="85" t="s">
        <v>1260</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2055</v>
      </c>
      <c r="S83" s="94" t="s">
        <v>4256</v>
      </c>
      <c r="T83" s="94" t="s">
        <v>2148</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2135</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0" t="s">
        <v>4216</v>
      </c>
      <c r="CM83" s="88" t="s">
        <v>4591</v>
      </c>
      <c r="CN83" s="88" t="s">
        <v>4484</v>
      </c>
      <c r="CO83" s="88" t="s">
        <v>1693</v>
      </c>
      <c r="CP83" s="94" t="s">
        <v>4592</v>
      </c>
      <c r="CQ83" s="94" t="s">
        <v>776</v>
      </c>
      <c r="CR83" s="94" t="s">
        <v>2302</v>
      </c>
      <c r="CS83" s="94" t="s">
        <v>4593</v>
      </c>
      <c r="CT83" s="94" t="s">
        <v>944</v>
      </c>
      <c r="CU83" s="92"/>
      <c r="CV83" s="266" t="s">
        <v>4594</v>
      </c>
      <c r="CW83" s="88" t="s">
        <v>2067</v>
      </c>
      <c r="CX83" s="94" t="s">
        <v>2506</v>
      </c>
      <c r="CY83" s="94" t="s">
        <v>3471</v>
      </c>
      <c r="CZ83" s="94" t="s">
        <v>550</v>
      </c>
      <c r="DA83" s="94" t="s">
        <v>4031</v>
      </c>
      <c r="DB83" s="88" t="s">
        <v>4595</v>
      </c>
      <c r="DC83" s="94" t="s">
        <v>362</v>
      </c>
      <c r="DD83" s="94" t="s">
        <v>4596</v>
      </c>
      <c r="DE83" s="94" t="s">
        <v>1852</v>
      </c>
      <c r="DF83" s="94" t="s">
        <v>4597</v>
      </c>
      <c r="DG83" s="94" t="s">
        <v>4598</v>
      </c>
      <c r="DH83" s="94"/>
      <c r="DI83" s="94" t="s">
        <v>4599</v>
      </c>
      <c r="DJ83" s="94" t="s">
        <v>4600</v>
      </c>
      <c r="DK83" s="94" t="s">
        <v>2667</v>
      </c>
      <c r="DL83" s="88" t="s">
        <v>1467</v>
      </c>
      <c r="DM83" s="88" t="s">
        <v>4017</v>
      </c>
      <c r="DN83" s="94" t="s">
        <v>4601</v>
      </c>
      <c r="DO83" s="94" t="s">
        <v>4602</v>
      </c>
      <c r="DP83" s="94" t="s">
        <v>3093</v>
      </c>
      <c r="DQ83" s="94" t="s">
        <v>4225</v>
      </c>
      <c r="DR83" s="88" t="s">
        <v>4603</v>
      </c>
      <c r="DS83" s="88" t="s">
        <v>3547</v>
      </c>
      <c r="DT83" s="88" t="s">
        <v>3796</v>
      </c>
      <c r="DU83" s="94" t="s">
        <v>2116</v>
      </c>
      <c r="DV83" s="94" t="s">
        <v>4604</v>
      </c>
      <c r="DW83" s="88" t="s">
        <v>2930</v>
      </c>
      <c r="DX83" s="94" t="s">
        <v>2231</v>
      </c>
      <c r="DY83" s="94" t="s">
        <v>1973</v>
      </c>
      <c r="DZ83" s="94" t="s">
        <v>2491</v>
      </c>
      <c r="EA83" s="94" t="s">
        <v>1456</v>
      </c>
      <c r="EB83" s="94" t="s">
        <v>1835</v>
      </c>
      <c r="EC83" s="94" t="s">
        <v>2769</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2328</v>
      </c>
      <c r="BE84" s="510" t="s">
        <v>4620</v>
      </c>
      <c r="BF84" s="174" t="s">
        <v>1601</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1660</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1852</v>
      </c>
      <c r="CH85" s="94" t="s">
        <v>541</v>
      </c>
      <c r="CI85" s="88" t="s">
        <v>4647</v>
      </c>
      <c r="CJ85" s="94" t="s">
        <v>4648</v>
      </c>
      <c r="CK85" s="94"/>
      <c r="CL85" s="94"/>
      <c r="CM85" s="94" t="s">
        <v>3609</v>
      </c>
      <c r="CN85" s="94" t="s">
        <v>2176</v>
      </c>
      <c r="CO85" s="94" t="s">
        <v>4545</v>
      </c>
      <c r="CP85" s="99"/>
      <c r="CQ85" s="99"/>
      <c r="CR85" s="99"/>
      <c r="CS85" s="99"/>
      <c r="CT85" s="99"/>
      <c r="CU85" s="92"/>
      <c r="CV85" s="94" t="s">
        <v>4649</v>
      </c>
      <c r="CW85" s="99"/>
      <c r="CX85" s="94" t="s">
        <v>1973</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1930</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1944</v>
      </c>
      <c r="AV87" s="94" t="s">
        <v>1942</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1481</v>
      </c>
      <c r="CD87" s="94" t="s">
        <v>144</v>
      </c>
      <c r="CE87" s="99"/>
      <c r="CF87" s="237"/>
      <c r="CG87" s="94" t="s">
        <v>3234</v>
      </c>
      <c r="CH87" s="94" t="s">
        <v>510</v>
      </c>
      <c r="CI87" s="515"/>
      <c r="CJ87" s="94" t="s">
        <v>4675</v>
      </c>
      <c r="CK87" s="94"/>
      <c r="CL87" s="94"/>
      <c r="CM87" s="94" t="s">
        <v>4676</v>
      </c>
      <c r="CN87" s="94" t="s">
        <v>206</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5" t="s">
        <v>4684</v>
      </c>
      <c r="B88" s="104" t="s">
        <v>4685</v>
      </c>
      <c r="C88" s="105" t="s">
        <v>1260</v>
      </c>
      <c r="D88" s="106" t="s">
        <v>438</v>
      </c>
      <c r="E88" s="107" t="s">
        <v>1260</v>
      </c>
      <c r="F88" s="108" t="s">
        <v>4686</v>
      </c>
      <c r="G88" s="104" t="s">
        <v>2090</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1280</v>
      </c>
      <c r="AH88" s="116" t="s">
        <v>2580</v>
      </c>
      <c r="AI88" s="116" t="s">
        <v>1895</v>
      </c>
      <c r="AJ88" s="116" t="s">
        <v>1895</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2"/>
      <c r="BC88" s="352"/>
      <c r="BD88" s="352"/>
      <c r="BE88" s="126" t="s">
        <v>1456</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2357</v>
      </c>
      <c r="CI88" s="135" t="s">
        <v>3140</v>
      </c>
      <c r="CJ88" s="136"/>
      <c r="CK88" s="136"/>
      <c r="CL88" s="136"/>
      <c r="CM88" s="136"/>
      <c r="CN88" s="135" t="s">
        <v>1695</v>
      </c>
      <c r="CO88" s="135" t="s">
        <v>3947</v>
      </c>
      <c r="CP88" s="428"/>
      <c r="CQ88" s="252"/>
      <c r="CR88" s="232" t="s">
        <v>4703</v>
      </c>
      <c r="CS88" s="135" t="s">
        <v>2070</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1953</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1433</v>
      </c>
      <c r="AH89" s="99"/>
      <c r="AI89" s="99"/>
      <c r="AJ89" s="94" t="s">
        <v>1887</v>
      </c>
      <c r="AK89" s="99"/>
      <c r="AL89" s="97"/>
      <c r="AM89" s="94" t="s">
        <v>1859</v>
      </c>
      <c r="AN89" s="94" t="s">
        <v>1575</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1836</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6" t="s">
        <v>4736</v>
      </c>
      <c r="B90" s="517" t="s">
        <v>4737</v>
      </c>
      <c r="C90" s="518" t="s">
        <v>1260</v>
      </c>
      <c r="D90" s="519" t="s">
        <v>1260</v>
      </c>
      <c r="E90" s="520" t="s">
        <v>1260</v>
      </c>
      <c r="F90" s="521" t="s">
        <v>2994</v>
      </c>
      <c r="G90" s="517" t="s">
        <v>1351</v>
      </c>
      <c r="H90" s="522" t="s">
        <v>4738</v>
      </c>
      <c r="I90" s="523" t="s">
        <v>4739</v>
      </c>
      <c r="J90" s="522" t="s">
        <v>4740</v>
      </c>
      <c r="K90" s="522" t="s">
        <v>2166</v>
      </c>
      <c r="L90" s="522" t="s">
        <v>2942</v>
      </c>
      <c r="M90" s="522" t="s">
        <v>4741</v>
      </c>
      <c r="N90" s="523" t="s">
        <v>4742</v>
      </c>
      <c r="O90" s="522" t="s">
        <v>371</v>
      </c>
      <c r="P90" s="524" t="s">
        <v>4743</v>
      </c>
      <c r="Q90" s="524" t="s">
        <v>4744</v>
      </c>
      <c r="R90" s="524" t="s">
        <v>2525</v>
      </c>
      <c r="S90" s="524" t="s">
        <v>3612</v>
      </c>
      <c r="T90" s="524" t="s">
        <v>1269</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1402</v>
      </c>
      <c r="AJ90" s="116" t="s">
        <v>2211</v>
      </c>
      <c r="AK90" s="529" t="s">
        <v>4751</v>
      </c>
      <c r="AL90" s="530"/>
      <c r="AM90" s="531" t="s">
        <v>3438</v>
      </c>
      <c r="AN90" s="531" t="s">
        <v>1307</v>
      </c>
      <c r="AO90" s="531" t="s">
        <v>4752</v>
      </c>
      <c r="AP90" s="532" t="s">
        <v>2998</v>
      </c>
      <c r="AQ90" s="532" t="s">
        <v>134</v>
      </c>
      <c r="AR90" s="532" t="s">
        <v>1862</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2181</v>
      </c>
      <c r="CM90" s="547" t="s">
        <v>4769</v>
      </c>
      <c r="CN90" s="547" t="s">
        <v>986</v>
      </c>
      <c r="CO90" s="548" t="s">
        <v>3611</v>
      </c>
      <c r="CP90" s="547"/>
      <c r="CQ90" s="548" t="s">
        <v>3278</v>
      </c>
      <c r="CR90" s="548" t="s">
        <v>4770</v>
      </c>
      <c r="CS90" s="549"/>
      <c r="CT90" s="549"/>
      <c r="CU90" s="525"/>
      <c r="CV90" s="550" t="s">
        <v>4576</v>
      </c>
      <c r="CW90" s="551" t="s">
        <v>2145</v>
      </c>
      <c r="CX90" s="552" t="s">
        <v>4771</v>
      </c>
      <c r="CY90" s="551" t="s">
        <v>4772</v>
      </c>
      <c r="CZ90" s="552" t="s">
        <v>4773</v>
      </c>
      <c r="DA90" s="550" t="s">
        <v>2134</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2016</v>
      </c>
      <c r="DQ90" s="557" t="s">
        <v>4779</v>
      </c>
      <c r="DR90" s="557" t="s">
        <v>4780</v>
      </c>
      <c r="DS90" s="560" t="s">
        <v>4781</v>
      </c>
      <c r="DT90" s="557" t="s">
        <v>3351</v>
      </c>
      <c r="DU90" s="557" t="s">
        <v>4782</v>
      </c>
      <c r="DV90" s="561"/>
      <c r="DW90" s="559" t="s">
        <v>1626</v>
      </c>
      <c r="DX90" s="558"/>
      <c r="DY90" s="559" t="s">
        <v>3127</v>
      </c>
      <c r="DZ90" s="557" t="s">
        <v>2827</v>
      </c>
      <c r="EA90" s="561"/>
      <c r="EB90" s="557" t="s">
        <v>1098</v>
      </c>
      <c r="EC90" s="561"/>
      <c r="ED90" s="142" t="s">
        <v>4783</v>
      </c>
    </row>
    <row r="91">
      <c r="A91" s="562" t="s">
        <v>4784</v>
      </c>
      <c r="B91" s="82" t="s">
        <v>4785</v>
      </c>
      <c r="C91" s="83" t="s">
        <v>1260</v>
      </c>
      <c r="D91" s="84" t="s">
        <v>1260</v>
      </c>
      <c r="E91" s="85" t="s">
        <v>1260</v>
      </c>
      <c r="F91" s="86" t="s">
        <v>1634</v>
      </c>
      <c r="G91" s="82" t="s">
        <v>4786</v>
      </c>
      <c r="H91" s="99"/>
      <c r="I91" s="88" t="s">
        <v>2520</v>
      </c>
      <c r="J91" s="88" t="s">
        <v>2220</v>
      </c>
      <c r="K91" s="88" t="s">
        <v>1953</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2179</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4792</v>
      </c>
      <c r="BD91" s="88" t="s">
        <v>2219</v>
      </c>
      <c r="BE91" s="88" t="s">
        <v>4793</v>
      </c>
      <c r="BF91" s="88" t="s">
        <v>2169</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1881</v>
      </c>
      <c r="H92" s="167" t="s">
        <v>3468</v>
      </c>
      <c r="I92" s="167" t="s">
        <v>4806</v>
      </c>
      <c r="J92" s="167" t="s">
        <v>1366</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1817</v>
      </c>
      <c r="AU92" s="168" t="s">
        <v>2483</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2170</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1964</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1914</v>
      </c>
      <c r="DY92" s="205" t="s">
        <v>1314</v>
      </c>
      <c r="DZ92" s="205" t="s">
        <v>3576</v>
      </c>
      <c r="EA92" s="205" t="s">
        <v>3710</v>
      </c>
      <c r="EB92" s="205" t="s">
        <v>4844</v>
      </c>
      <c r="EC92" s="205" t="s">
        <v>1586</v>
      </c>
      <c r="ED92" s="287" t="s">
        <v>4845</v>
      </c>
    </row>
    <row r="93">
      <c r="A93" s="563"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1831</v>
      </c>
      <c r="AO93" s="99"/>
      <c r="AP93" s="99"/>
      <c r="AQ93" s="94"/>
      <c r="AR93" s="94"/>
      <c r="AS93" s="99"/>
      <c r="AT93" s="99"/>
      <c r="AU93" s="102"/>
      <c r="AV93" s="102" t="s">
        <v>1245</v>
      </c>
      <c r="AW93" s="102" t="s">
        <v>2176</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1482</v>
      </c>
      <c r="BU93" s="88" t="s">
        <v>4852</v>
      </c>
      <c r="BV93" s="88" t="s">
        <v>4853</v>
      </c>
      <c r="BW93" s="88" t="s">
        <v>313</v>
      </c>
      <c r="BX93" s="88" t="s">
        <v>163</v>
      </c>
      <c r="BY93" s="102" t="s">
        <v>4854</v>
      </c>
      <c r="BZ93" s="564" t="s">
        <v>4855</v>
      </c>
      <c r="CA93" s="88" t="s">
        <v>1686</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6" t="s">
        <v>4862</v>
      </c>
      <c r="B94" s="104" t="s">
        <v>4863</v>
      </c>
      <c r="C94" s="105" t="s">
        <v>1260</v>
      </c>
      <c r="D94" s="106" t="s">
        <v>1260</v>
      </c>
      <c r="E94" s="107" t="s">
        <v>1260</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1894</v>
      </c>
      <c r="AH94" s="244"/>
      <c r="AI94" s="244"/>
      <c r="AJ94" s="198" t="s">
        <v>1825</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2015</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2086</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2676</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1260</v>
      </c>
      <c r="D95" s="84" t="s">
        <v>547</v>
      </c>
      <c r="E95" s="85" t="s">
        <v>1260</v>
      </c>
      <c r="F95" s="86" t="s">
        <v>4891</v>
      </c>
      <c r="G95" s="82" t="s">
        <v>2091</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2092</v>
      </c>
      <c r="BC95" s="94" t="s">
        <v>2828</v>
      </c>
      <c r="BD95" s="94" t="s">
        <v>1836</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1930</v>
      </c>
      <c r="CW95" s="99"/>
      <c r="CX95" s="94" t="s">
        <v>1603</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1880</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2176</v>
      </c>
      <c r="CY96" s="253"/>
      <c r="CZ96" s="204" t="s">
        <v>4935</v>
      </c>
      <c r="DA96" s="204" t="s">
        <v>1842</v>
      </c>
      <c r="DB96" s="204" t="s">
        <v>2252</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2176</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1941</v>
      </c>
      <c r="DX97" s="99"/>
      <c r="DY97" s="99"/>
      <c r="DZ97" s="99"/>
      <c r="EA97" s="99"/>
      <c r="EB97" s="99"/>
      <c r="EC97" s="99"/>
      <c r="ED97" s="258"/>
    </row>
    <row r="98">
      <c r="A98" s="570" t="s">
        <v>4958</v>
      </c>
      <c r="B98" s="104" t="s">
        <v>4959</v>
      </c>
      <c r="C98" s="105" t="s">
        <v>1260</v>
      </c>
      <c r="D98" s="106" t="s">
        <v>547</v>
      </c>
      <c r="E98" s="107" t="s">
        <v>1260</v>
      </c>
      <c r="F98" s="108" t="s">
        <v>4848</v>
      </c>
      <c r="G98" s="104" t="s">
        <v>901</v>
      </c>
      <c r="H98" s="112" t="s">
        <v>3718</v>
      </c>
      <c r="I98" s="293" t="s">
        <v>3654</v>
      </c>
      <c r="J98" s="293" t="s">
        <v>2116</v>
      </c>
      <c r="K98" s="112" t="s">
        <v>1953</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2165</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1437</v>
      </c>
      <c r="CO98" s="135" t="s">
        <v>3611</v>
      </c>
      <c r="CP98" s="252"/>
      <c r="CQ98" s="252"/>
      <c r="CR98" s="252"/>
      <c r="CS98" s="252"/>
      <c r="CT98" s="135" t="s">
        <v>4994</v>
      </c>
      <c r="CU98" s="92"/>
      <c r="CV98" s="140" t="s">
        <v>1821</v>
      </c>
      <c r="CW98" s="301" t="s">
        <v>4020</v>
      </c>
      <c r="CX98" s="301" t="s">
        <v>4364</v>
      </c>
      <c r="CY98" s="301" t="s">
        <v>2944</v>
      </c>
      <c r="CZ98" s="140" t="s">
        <v>4995</v>
      </c>
      <c r="DA98" s="301" t="s">
        <v>2164</v>
      </c>
      <c r="DB98" s="301" t="s">
        <v>4996</v>
      </c>
      <c r="DC98" s="301" t="s">
        <v>2893</v>
      </c>
      <c r="DD98" s="253"/>
      <c r="DE98" s="253"/>
      <c r="DF98" s="253"/>
      <c r="DG98" s="140" t="s">
        <v>478</v>
      </c>
      <c r="DH98" s="140"/>
      <c r="DI98" s="205" t="s">
        <v>1824</v>
      </c>
      <c r="DJ98" s="255"/>
      <c r="DK98" s="255"/>
      <c r="DL98" s="255"/>
      <c r="DM98" s="179" t="s">
        <v>179</v>
      </c>
      <c r="DN98" s="145" t="s">
        <v>4224</v>
      </c>
      <c r="DO98" s="255"/>
      <c r="DP98" s="255"/>
      <c r="DQ98" s="255"/>
      <c r="DR98" s="205" t="s">
        <v>2856</v>
      </c>
      <c r="DS98" s="205" t="s">
        <v>2932</v>
      </c>
      <c r="DT98" s="255"/>
      <c r="DU98" s="145" t="s">
        <v>2160</v>
      </c>
      <c r="DV98" s="255"/>
      <c r="DW98" s="205" t="s">
        <v>897</v>
      </c>
      <c r="DX98" s="255"/>
      <c r="DY98" s="145" t="s">
        <v>3031</v>
      </c>
      <c r="DZ98" s="205" t="s">
        <v>2034</v>
      </c>
      <c r="EA98" s="255"/>
      <c r="EB98" s="255"/>
      <c r="EC98" s="255"/>
      <c r="ED98" s="142" t="s">
        <v>2544</v>
      </c>
    </row>
    <row r="99">
      <c r="A99" s="572" t="s">
        <v>4997</v>
      </c>
      <c r="B99" s="447" t="s">
        <v>4998</v>
      </c>
      <c r="C99" s="448" t="s">
        <v>1260</v>
      </c>
      <c r="D99" s="449" t="s">
        <v>1260</v>
      </c>
      <c r="E99" s="450" t="s">
        <v>1260</v>
      </c>
      <c r="F99" s="451" t="s">
        <v>3873</v>
      </c>
      <c r="G99" s="447" t="s">
        <v>3383</v>
      </c>
      <c r="H99" s="314"/>
      <c r="I99" s="314"/>
      <c r="J99" s="314"/>
      <c r="K99" s="452" t="s">
        <v>1639</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1875</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0" t="s">
        <v>5006</v>
      </c>
      <c r="M100" s="242"/>
      <c r="N100" s="167" t="s">
        <v>5007</v>
      </c>
      <c r="O100" s="167" t="s">
        <v>5008</v>
      </c>
      <c r="P100" s="167" t="s">
        <v>3105</v>
      </c>
      <c r="Q100" s="242"/>
      <c r="R100" s="242"/>
      <c r="S100" s="242"/>
      <c r="T100" s="242"/>
      <c r="U100" s="242"/>
      <c r="V100" s="242"/>
      <c r="W100" s="92"/>
      <c r="X100" s="198" t="s">
        <v>5009</v>
      </c>
      <c r="Y100" s="198"/>
      <c r="Z100" s="198" t="s">
        <v>1429</v>
      </c>
      <c r="AA100" s="198" t="s">
        <v>1823</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1260</v>
      </c>
      <c r="D101" s="84" t="s">
        <v>1260</v>
      </c>
      <c r="E101" s="85" t="s">
        <v>1260</v>
      </c>
      <c r="F101" s="86" t="s">
        <v>547</v>
      </c>
      <c r="G101" s="82" t="s">
        <v>1634</v>
      </c>
      <c r="H101" s="258"/>
      <c r="I101" s="258" t="s">
        <v>1299</v>
      </c>
      <c r="J101" s="258" t="s">
        <v>2220</v>
      </c>
      <c r="K101" s="258" t="s">
        <v>3529</v>
      </c>
      <c r="L101" s="258" t="s">
        <v>5021</v>
      </c>
      <c r="M101" s="258"/>
      <c r="N101" s="258" t="s">
        <v>2918</v>
      </c>
      <c r="O101" s="258" t="s">
        <v>1449</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1793</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1625</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1260</v>
      </c>
      <c r="D102" s="106" t="s">
        <v>547</v>
      </c>
      <c r="E102" s="107" t="s">
        <v>1260</v>
      </c>
      <c r="F102" s="108" t="s">
        <v>332</v>
      </c>
      <c r="G102" s="104" t="s">
        <v>1634</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1260</v>
      </c>
      <c r="D103" s="84" t="s">
        <v>1260</v>
      </c>
      <c r="E103" s="85" t="s">
        <v>1260</v>
      </c>
      <c r="F103" s="86" t="s">
        <v>547</v>
      </c>
      <c r="G103" s="82" t="s">
        <v>2346</v>
      </c>
      <c r="H103" s="94" t="s">
        <v>685</v>
      </c>
      <c r="I103" s="94" t="s">
        <v>5060</v>
      </c>
      <c r="J103" s="94" t="s">
        <v>5061</v>
      </c>
      <c r="K103" s="94" t="s">
        <v>5062</v>
      </c>
      <c r="L103" s="94" t="s">
        <v>2950</v>
      </c>
      <c r="M103" s="94" t="s">
        <v>5063</v>
      </c>
      <c r="N103" s="94" t="s">
        <v>5064</v>
      </c>
      <c r="O103" s="94" t="s">
        <v>1967</v>
      </c>
      <c r="P103" s="94" t="s">
        <v>5065</v>
      </c>
      <c r="Q103" s="99"/>
      <c r="R103" s="99"/>
      <c r="S103" s="94" t="s">
        <v>3203</v>
      </c>
      <c r="T103" s="99"/>
      <c r="U103" s="94" t="s">
        <v>639</v>
      </c>
      <c r="V103" s="99"/>
      <c r="W103" s="92"/>
      <c r="X103" s="94" t="s">
        <v>2073</v>
      </c>
      <c r="Y103" s="94"/>
      <c r="Z103" s="94" t="s">
        <v>1968</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1407</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1" t="s">
        <v>5097</v>
      </c>
      <c r="W104" s="227"/>
      <c r="X104" s="198" t="s">
        <v>1601</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1929</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7"/>
      <c r="BR104" s="175" t="s">
        <v>5113</v>
      </c>
      <c r="BS104" s="175"/>
      <c r="BT104" s="175" t="s">
        <v>4474</v>
      </c>
      <c r="BU104" s="175" t="s">
        <v>1838</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2573</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1847</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2562</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2072</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2132</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1921</v>
      </c>
      <c r="BJ106" s="173"/>
      <c r="BK106" s="174" t="s">
        <v>5160</v>
      </c>
      <c r="BL106" s="174" t="s">
        <v>1872</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2068</v>
      </c>
      <c r="BC107" s="99"/>
      <c r="BD107" s="94" t="s">
        <v>5178</v>
      </c>
      <c r="BE107" s="94" t="s">
        <v>5011</v>
      </c>
      <c r="BF107" s="88" t="s">
        <v>4149</v>
      </c>
      <c r="BG107" s="94" t="s">
        <v>1342</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1880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2140</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2176</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1260</v>
      </c>
      <c r="D110" s="591" t="s">
        <v>1260</v>
      </c>
      <c r="E110" s="592" t="s">
        <v>1260</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1495</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1260</v>
      </c>
      <c r="D111" s="84" t="s">
        <v>1260</v>
      </c>
      <c r="E111" s="85" t="s">
        <v>1260</v>
      </c>
      <c r="F111" s="86" t="s">
        <v>1880</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2549</v>
      </c>
      <c r="AS112" s="121" t="s">
        <v>1748</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1654</v>
      </c>
      <c r="BG113" s="99"/>
      <c r="BH113" s="99"/>
      <c r="BI113" s="94" t="s">
        <v>2051</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2185</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2013</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2097</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1260</v>
      </c>
      <c r="D116" s="615" t="s">
        <v>1260</v>
      </c>
      <c r="E116" s="616" t="s">
        <v>1260</v>
      </c>
      <c r="F116" s="108" t="s">
        <v>1054</v>
      </c>
      <c r="G116" s="617" t="s">
        <v>5348</v>
      </c>
      <c r="H116" s="242"/>
      <c r="I116" s="618" t="s">
        <v>5349</v>
      </c>
      <c r="J116" s="167" t="s">
        <v>5350</v>
      </c>
      <c r="K116" s="619" t="s">
        <v>5351</v>
      </c>
      <c r="L116" s="618" t="s">
        <v>5352</v>
      </c>
      <c r="M116" s="167" t="s">
        <v>1853</v>
      </c>
      <c r="N116" s="167" t="s">
        <v>4697</v>
      </c>
      <c r="O116" s="620" t="s">
        <v>3115</v>
      </c>
      <c r="P116" s="620" t="s">
        <v>4860</v>
      </c>
      <c r="Q116" s="242"/>
      <c r="R116" s="242"/>
      <c r="S116" s="620" t="s">
        <v>5353</v>
      </c>
      <c r="T116" s="242"/>
      <c r="U116" s="242"/>
      <c r="V116" s="242"/>
      <c r="W116" s="92"/>
      <c r="X116" s="621" t="s">
        <v>1979</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2128</v>
      </c>
      <c r="BD116" s="297" t="s">
        <v>4683</v>
      </c>
      <c r="BE116" s="625" t="s">
        <v>2146</v>
      </c>
      <c r="BF116" s="174" t="s">
        <v>4299</v>
      </c>
      <c r="BG116" s="173"/>
      <c r="BH116" s="173"/>
      <c r="BI116" s="297" t="s">
        <v>1964</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1260</v>
      </c>
      <c r="D117" s="84" t="s">
        <v>1260</v>
      </c>
      <c r="E117" s="85" t="s">
        <v>1260</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2069</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2193</v>
      </c>
      <c r="H118" s="167" t="s">
        <v>4761</v>
      </c>
      <c r="I118" s="167" t="s">
        <v>2322</v>
      </c>
      <c r="J118" s="167" t="s">
        <v>1955</v>
      </c>
      <c r="K118" s="167" t="s">
        <v>1142</v>
      </c>
      <c r="L118" s="167" t="s">
        <v>2620</v>
      </c>
      <c r="M118" s="167" t="s">
        <v>5418</v>
      </c>
      <c r="N118" s="167" t="s">
        <v>5419</v>
      </c>
      <c r="O118" s="167" t="s">
        <v>339</v>
      </c>
      <c r="P118" s="167" t="s">
        <v>1897</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1900</v>
      </c>
      <c r="AI118" s="198"/>
      <c r="AJ118" s="198" t="s">
        <v>1361</v>
      </c>
      <c r="AK118" s="198" t="s">
        <v>5428</v>
      </c>
      <c r="AL118" s="97"/>
      <c r="AM118" s="168" t="s">
        <v>1820</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1914</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1964</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1854</v>
      </c>
      <c r="CZ118" s="204" t="s">
        <v>5449</v>
      </c>
      <c r="DA118" s="204" t="s">
        <v>4032</v>
      </c>
      <c r="DB118" s="204" t="s">
        <v>5450</v>
      </c>
      <c r="DC118" s="204" t="s">
        <v>2603</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2503</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1260</v>
      </c>
      <c r="D120" s="106" t="s">
        <v>1260</v>
      </c>
      <c r="E120" s="107" t="s">
        <v>1260</v>
      </c>
      <c r="F120" s="108" t="s">
        <v>1260</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2116</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1980</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1970</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1964</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1260</v>
      </c>
      <c r="D122" s="106" t="s">
        <v>1260</v>
      </c>
      <c r="E122" s="107" t="s">
        <v>1260</v>
      </c>
      <c r="F122" s="108" t="s">
        <v>2157</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1547</v>
      </c>
      <c r="BJ122" s="173"/>
      <c r="BK122" s="126" t="s">
        <v>5582</v>
      </c>
      <c r="BL122" s="126" t="s">
        <v>1776</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2683</v>
      </c>
      <c r="H123" s="99"/>
      <c r="I123" s="94" t="s">
        <v>3848</v>
      </c>
      <c r="J123" s="99"/>
      <c r="K123" s="98" t="str">
        <f>HYPERLINK("https://www.youtube.com/watch?v=fhmkEG98u50","13.86")</f>
        <v>13.86</v>
      </c>
      <c r="L123" s="99" t="s">
        <v>1816</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1363</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1260</v>
      </c>
      <c r="D124" s="106" t="s">
        <v>1260</v>
      </c>
      <c r="E124" s="107" t="s">
        <v>1260</v>
      </c>
      <c r="F124" s="108" t="s">
        <v>650</v>
      </c>
      <c r="G124" s="104" t="s">
        <v>2108</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1836</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1260</v>
      </c>
      <c r="D125" s="84" t="s">
        <v>1260</v>
      </c>
      <c r="E125" s="85" t="s">
        <v>1260</v>
      </c>
      <c r="F125" s="86" t="s">
        <v>1260</v>
      </c>
      <c r="G125" s="82" t="s">
        <v>4608</v>
      </c>
      <c r="H125" s="94" t="s">
        <v>4738</v>
      </c>
      <c r="I125" s="94" t="s">
        <v>5629</v>
      </c>
      <c r="J125" s="94" t="s">
        <v>5337</v>
      </c>
      <c r="K125" s="94" t="s">
        <v>352</v>
      </c>
      <c r="L125" s="94" t="s">
        <v>2165</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1260</v>
      </c>
      <c r="D126" s="106" t="s">
        <v>1260</v>
      </c>
      <c r="E126" s="107" t="s">
        <v>1260</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1824</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1260</v>
      </c>
      <c r="D127" s="84" t="s">
        <v>1260</v>
      </c>
      <c r="E127" s="85" t="s">
        <v>1260</v>
      </c>
      <c r="F127" s="86" t="s">
        <v>1260</v>
      </c>
      <c r="G127" s="82" t="s">
        <v>4786</v>
      </c>
      <c r="H127" s="94" t="s">
        <v>5681</v>
      </c>
      <c r="I127" s="94" t="s">
        <v>5682</v>
      </c>
      <c r="J127" s="94" t="s">
        <v>5683</v>
      </c>
      <c r="K127" s="94" t="s">
        <v>5485</v>
      </c>
      <c r="L127" s="94" t="s">
        <v>2691</v>
      </c>
      <c r="M127" s="99"/>
      <c r="N127" s="94" t="s">
        <v>5684</v>
      </c>
      <c r="O127" s="94" t="s">
        <v>692</v>
      </c>
      <c r="P127" s="94" t="s">
        <v>1273</v>
      </c>
      <c r="Q127" s="99"/>
      <c r="R127" s="99"/>
      <c r="S127" s="99"/>
      <c r="T127" s="99"/>
      <c r="U127" s="99"/>
      <c r="V127" s="99"/>
      <c r="W127" s="92"/>
      <c r="X127" s="94" t="s">
        <v>2485</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1921</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1260</v>
      </c>
      <c r="D128" s="106" t="s">
        <v>547</v>
      </c>
      <c r="E128" s="107" t="s">
        <v>1260</v>
      </c>
      <c r="F128" s="108" t="s">
        <v>5698</v>
      </c>
      <c r="G128" s="104" t="s">
        <v>2156</v>
      </c>
      <c r="H128" s="242"/>
      <c r="I128" s="112" t="s">
        <v>5699</v>
      </c>
      <c r="J128" s="112" t="s">
        <v>5700</v>
      </c>
      <c r="K128" s="112" t="s">
        <v>5701</v>
      </c>
      <c r="L128" s="112" t="s">
        <v>2471</v>
      </c>
      <c r="M128" s="112" t="s">
        <v>1464</v>
      </c>
      <c r="N128" s="112" t="s">
        <v>5702</v>
      </c>
      <c r="O128" s="112" t="s">
        <v>1301</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2046</v>
      </c>
      <c r="CO128" s="177" t="s">
        <v>1990</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1260</v>
      </c>
      <c r="D129" s="84" t="s">
        <v>1260</v>
      </c>
      <c r="E129" s="85" t="s">
        <v>1260</v>
      </c>
      <c r="F129" s="86" t="s">
        <v>2774</v>
      </c>
      <c r="G129" s="82" t="s">
        <v>2156</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1989</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1260</v>
      </c>
      <c r="D130" s="106" t="s">
        <v>1260</v>
      </c>
      <c r="E130" s="107" t="s">
        <v>1260</v>
      </c>
      <c r="F130" s="108" t="s">
        <v>438</v>
      </c>
      <c r="G130" s="104" t="s">
        <v>220</v>
      </c>
      <c r="H130" s="167" t="s">
        <v>3837</v>
      </c>
      <c r="I130" s="167" t="s">
        <v>5759</v>
      </c>
      <c r="J130" s="167" t="s">
        <v>1268</v>
      </c>
      <c r="K130" s="167" t="s">
        <v>3977</v>
      </c>
      <c r="L130" s="226" t="s">
        <v>4047</v>
      </c>
      <c r="M130" s="242"/>
      <c r="N130" s="242"/>
      <c r="O130" s="226" t="s">
        <v>1372</v>
      </c>
      <c r="P130" s="644" t="s">
        <v>5760</v>
      </c>
      <c r="Q130" s="242"/>
      <c r="R130" s="167"/>
      <c r="S130" s="167"/>
      <c r="T130" s="242"/>
      <c r="U130" s="242"/>
      <c r="V130" s="242"/>
      <c r="W130" s="92"/>
      <c r="X130" s="198" t="s">
        <v>3162</v>
      </c>
      <c r="Y130" s="244"/>
      <c r="Z130" s="244"/>
      <c r="AA130" s="198" t="s">
        <v>1273</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5761</v>
      </c>
      <c r="BK130" s="174"/>
      <c r="BL130" s="173"/>
      <c r="BM130" s="173"/>
      <c r="BN130" s="173"/>
      <c r="BO130" s="173"/>
      <c r="BP130" s="173"/>
      <c r="BQ130" s="247"/>
      <c r="BR130" s="249"/>
      <c r="BS130" s="176" t="s">
        <v>3920</v>
      </c>
      <c r="BT130" s="175" t="s">
        <v>5353</v>
      </c>
      <c r="BU130" s="249"/>
      <c r="BV130" s="249"/>
      <c r="BW130" s="175" t="s">
        <v>5762</v>
      </c>
      <c r="BX130" s="249"/>
      <c r="BY130" s="249"/>
      <c r="BZ130" s="249"/>
      <c r="CA130" s="249"/>
      <c r="CB130" s="249"/>
      <c r="CC130" s="249"/>
      <c r="CD130" s="249"/>
      <c r="CE130" s="249"/>
      <c r="CF130" s="251"/>
      <c r="CG130" s="177" t="s">
        <v>2207</v>
      </c>
      <c r="CH130" s="262" t="s">
        <v>4404</v>
      </c>
      <c r="CI130" s="252"/>
      <c r="CJ130" s="252"/>
      <c r="CK130" s="252"/>
      <c r="CL130" s="252"/>
      <c r="CM130" s="177" t="s">
        <v>2485</v>
      </c>
      <c r="CN130" s="177" t="s">
        <v>1607</v>
      </c>
      <c r="CO130" s="132" t="str">
        <f>HYPERLINK("https://clips.twitch.tv/GlutenFreeFlirtyAmazonNinjaGrumpy","18.93")</f>
        <v>18.93</v>
      </c>
      <c r="CP130" s="252"/>
      <c r="CQ130" s="252"/>
      <c r="CR130" s="252"/>
      <c r="CS130" s="252"/>
      <c r="CT130" s="252"/>
      <c r="CU130" s="92"/>
      <c r="CV130" s="253"/>
      <c r="CW130" s="253"/>
      <c r="CX130" s="233" t="s">
        <v>2323</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5763</v>
      </c>
      <c r="B131" s="82" t="s">
        <v>5764</v>
      </c>
      <c r="C131" s="83" t="s">
        <v>1260</v>
      </c>
      <c r="D131" s="84" t="s">
        <v>1260</v>
      </c>
      <c r="E131" s="85" t="s">
        <v>1260</v>
      </c>
      <c r="F131" s="86" t="s">
        <v>547</v>
      </c>
      <c r="G131" s="82" t="s">
        <v>1949</v>
      </c>
      <c r="H131" s="99"/>
      <c r="I131" s="99"/>
      <c r="J131" s="94" t="s">
        <v>5765</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5766</v>
      </c>
      <c r="BG131" s="99"/>
      <c r="BH131" s="99"/>
      <c r="BI131" s="94" t="s">
        <v>3389</v>
      </c>
      <c r="BJ131" s="99"/>
      <c r="BK131" s="94" t="s">
        <v>5767</v>
      </c>
      <c r="BL131" s="99"/>
      <c r="BM131" s="99"/>
      <c r="BN131" s="99"/>
      <c r="BO131" s="99"/>
      <c r="BP131" s="99"/>
      <c r="BQ131" s="237"/>
      <c r="BR131" s="94" t="s">
        <v>5768</v>
      </c>
      <c r="BS131" s="99"/>
      <c r="BT131" s="99"/>
      <c r="BU131" s="94" t="s">
        <v>4796</v>
      </c>
      <c r="BV131" s="99"/>
      <c r="BW131" s="99"/>
      <c r="BX131" s="99"/>
      <c r="BY131" s="99"/>
      <c r="BZ131" s="99"/>
      <c r="CA131" s="99"/>
      <c r="CB131" s="99"/>
      <c r="CC131" s="99"/>
      <c r="CD131" s="99"/>
      <c r="CE131" s="99"/>
      <c r="CF131" s="237"/>
      <c r="CG131" s="94" t="s">
        <v>5769</v>
      </c>
      <c r="CH131" s="94" t="s">
        <v>1445</v>
      </c>
      <c r="CI131" s="99"/>
      <c r="CJ131" s="94" t="s">
        <v>5770</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1365</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5771</v>
      </c>
      <c r="B132" s="104" t="s">
        <v>5772</v>
      </c>
      <c r="C132" s="105" t="s">
        <v>1260</v>
      </c>
      <c r="D132" s="106" t="s">
        <v>1260</v>
      </c>
      <c r="E132" s="107" t="s">
        <v>1260</v>
      </c>
      <c r="F132" s="108" t="s">
        <v>1200</v>
      </c>
      <c r="G132" s="104" t="s">
        <v>2872</v>
      </c>
      <c r="H132" s="418"/>
      <c r="I132" s="426"/>
      <c r="J132" s="418"/>
      <c r="K132" s="112" t="s">
        <v>2166</v>
      </c>
      <c r="L132" s="418" t="s">
        <v>562</v>
      </c>
      <c r="M132" s="418"/>
      <c r="N132" s="418"/>
      <c r="O132" s="112" t="s">
        <v>5773</v>
      </c>
      <c r="P132" s="112" t="s">
        <v>109</v>
      </c>
      <c r="Q132" s="242"/>
      <c r="R132" s="242"/>
      <c r="S132" s="242"/>
      <c r="T132" s="242"/>
      <c r="U132" s="242"/>
      <c r="V132" s="242"/>
      <c r="W132" s="92"/>
      <c r="X132" s="117" t="s">
        <v>5774</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1320</v>
      </c>
      <c r="BE132" s="352"/>
      <c r="BF132" s="352"/>
      <c r="BG132" s="352"/>
      <c r="BH132" s="173"/>
      <c r="BI132" s="352"/>
      <c r="BJ132" s="173"/>
      <c r="BK132" s="352"/>
      <c r="BL132" s="352"/>
      <c r="BM132" s="173"/>
      <c r="BN132" s="173"/>
      <c r="BO132" s="352"/>
      <c r="BP132" s="173"/>
      <c r="BQ132" s="247"/>
      <c r="BR132" s="131"/>
      <c r="BS132" s="131"/>
      <c r="BT132" s="131"/>
      <c r="BU132" s="131" t="s">
        <v>1628</v>
      </c>
      <c r="BV132" s="131"/>
      <c r="BW132" s="129" t="s">
        <v>5775</v>
      </c>
      <c r="BX132" s="249"/>
      <c r="BY132" s="131"/>
      <c r="BZ132" s="131"/>
      <c r="CA132" s="131"/>
      <c r="CB132" s="249"/>
      <c r="CC132" s="249"/>
      <c r="CD132" s="249"/>
      <c r="CE132" s="249"/>
      <c r="CF132" s="251"/>
      <c r="CG132" s="136"/>
      <c r="CH132" s="136" t="s">
        <v>5776</v>
      </c>
      <c r="CI132" s="136"/>
      <c r="CJ132" s="136"/>
      <c r="CK132" s="136"/>
      <c r="CL132" s="136"/>
      <c r="CM132" s="136"/>
      <c r="CN132" s="336" t="s">
        <v>1283</v>
      </c>
      <c r="CO132" s="135" t="s">
        <v>1249</v>
      </c>
      <c r="CP132" s="428"/>
      <c r="CQ132" s="252"/>
      <c r="CR132" s="252"/>
      <c r="CS132" s="252"/>
      <c r="CT132" s="252"/>
      <c r="CU132" s="92"/>
      <c r="CV132" s="285"/>
      <c r="CW132" s="285"/>
      <c r="CX132" s="140" t="s">
        <v>2002</v>
      </c>
      <c r="CY132" s="285"/>
      <c r="CZ132" s="285"/>
      <c r="DA132" s="285"/>
      <c r="DB132" s="140" t="s">
        <v>5777</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5778</v>
      </c>
      <c r="B133" s="82" t="s">
        <v>5779</v>
      </c>
      <c r="C133" s="83" t="s">
        <v>1260</v>
      </c>
      <c r="D133" s="84" t="s">
        <v>1260</v>
      </c>
      <c r="E133" s="85" t="s">
        <v>1260</v>
      </c>
      <c r="F133" s="86" t="s">
        <v>1260</v>
      </c>
      <c r="G133" s="82" t="s">
        <v>4056</v>
      </c>
      <c r="H133" s="99"/>
      <c r="I133" s="94" t="s">
        <v>5780</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2132</v>
      </c>
      <c r="AG133" s="99"/>
      <c r="AH133" s="99"/>
      <c r="AI133" s="99"/>
      <c r="AJ133" s="99"/>
      <c r="AK133" s="99"/>
      <c r="AL133" s="97"/>
      <c r="AM133" s="94"/>
      <c r="AN133" s="94" t="s">
        <v>5781</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5782</v>
      </c>
      <c r="BG133" s="99"/>
      <c r="BH133" s="99"/>
      <c r="BI133" s="94" t="s">
        <v>5496</v>
      </c>
      <c r="BJ133" s="99"/>
      <c r="BK133" s="99"/>
      <c r="BL133" s="99"/>
      <c r="BM133" s="99"/>
      <c r="BN133" s="99"/>
      <c r="BO133" s="99"/>
      <c r="BP133" s="99"/>
      <c r="BQ133" s="237"/>
      <c r="BR133" s="99"/>
      <c r="BS133" s="94" t="s">
        <v>5783</v>
      </c>
      <c r="BT133" s="94" t="s">
        <v>1727</v>
      </c>
      <c r="BU133" s="99"/>
      <c r="BV133" s="99"/>
      <c r="BW133" s="94" t="s">
        <v>1807</v>
      </c>
      <c r="BX133" s="99"/>
      <c r="BY133" s="94" t="s">
        <v>5784</v>
      </c>
      <c r="BZ133" s="99"/>
      <c r="CA133" s="99"/>
      <c r="CB133" s="99"/>
      <c r="CC133" s="99"/>
      <c r="CD133" s="99"/>
      <c r="CE133" s="99"/>
      <c r="CF133" s="237"/>
      <c r="CG133" s="99"/>
      <c r="CH133" s="99"/>
      <c r="CI133" s="99"/>
      <c r="CJ133" s="94" t="s">
        <v>5785</v>
      </c>
      <c r="CK133" s="94"/>
      <c r="CL133" s="94"/>
      <c r="CM133" s="99"/>
      <c r="CN133" s="99"/>
      <c r="CO133" s="99"/>
      <c r="CP133" s="99"/>
      <c r="CQ133" s="99"/>
      <c r="CR133" s="99"/>
      <c r="CS133" s="99"/>
      <c r="CT133" s="99"/>
      <c r="CU133" s="92"/>
      <c r="CV133" s="94" t="s">
        <v>4801</v>
      </c>
      <c r="CW133" s="99"/>
      <c r="CX133" s="94" t="s">
        <v>2563</v>
      </c>
      <c r="CY133" s="99"/>
      <c r="CZ133" s="99"/>
      <c r="DA133" s="99"/>
      <c r="DB133" s="94" t="s">
        <v>5786</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5787</v>
      </c>
      <c r="B134" s="104" t="s">
        <v>5788</v>
      </c>
      <c r="C134" s="105" t="s">
        <v>1260</v>
      </c>
      <c r="D134" s="106" t="s">
        <v>1260</v>
      </c>
      <c r="E134" s="107" t="s">
        <v>1260</v>
      </c>
      <c r="F134" s="108" t="s">
        <v>1260</v>
      </c>
      <c r="G134" s="104" t="s">
        <v>1056</v>
      </c>
      <c r="H134" s="647" t="s">
        <v>4583</v>
      </c>
      <c r="I134" s="321" t="s">
        <v>5789</v>
      </c>
      <c r="J134" s="321" t="s">
        <v>5790</v>
      </c>
      <c r="K134" s="321" t="s">
        <v>2659</v>
      </c>
      <c r="L134" s="321" t="s">
        <v>2100</v>
      </c>
      <c r="M134" s="321" t="s">
        <v>5791</v>
      </c>
      <c r="N134" s="321" t="s">
        <v>5792</v>
      </c>
      <c r="O134" s="321" t="s">
        <v>3959</v>
      </c>
      <c r="P134" s="321" t="s">
        <v>4967</v>
      </c>
      <c r="Q134" s="167" t="s">
        <v>5793</v>
      </c>
      <c r="R134" s="242"/>
      <c r="S134" s="167" t="s">
        <v>3812</v>
      </c>
      <c r="T134" s="242"/>
      <c r="U134" s="167" t="s">
        <v>1268</v>
      </c>
      <c r="V134" s="167" t="s">
        <v>5794</v>
      </c>
      <c r="W134" s="92"/>
      <c r="X134" s="335" t="s">
        <v>5017</v>
      </c>
      <c r="Y134" s="335"/>
      <c r="Z134" s="335" t="s">
        <v>3598</v>
      </c>
      <c r="AA134" s="335" t="s">
        <v>1443</v>
      </c>
      <c r="AB134" s="296" t="s">
        <v>5795</v>
      </c>
      <c r="AC134" s="335" t="s">
        <v>1914</v>
      </c>
      <c r="AD134" s="335" t="s">
        <v>4990</v>
      </c>
      <c r="AE134" s="244"/>
      <c r="AF134" s="335" t="s">
        <v>2425</v>
      </c>
      <c r="AG134" s="335" t="s">
        <v>5461</v>
      </c>
      <c r="AH134" s="198" t="s">
        <v>1746</v>
      </c>
      <c r="AI134" s="244"/>
      <c r="AJ134" s="335" t="s">
        <v>2439</v>
      </c>
      <c r="AK134" s="198" t="s">
        <v>5796</v>
      </c>
      <c r="AL134" s="97"/>
      <c r="AM134" s="431" t="s">
        <v>1373</v>
      </c>
      <c r="AN134" s="431" t="s">
        <v>1082</v>
      </c>
      <c r="AO134" s="245"/>
      <c r="AP134" s="245"/>
      <c r="AQ134" s="168" t="s">
        <v>5797</v>
      </c>
      <c r="AR134" s="168" t="s">
        <v>1097</v>
      </c>
      <c r="AS134" s="168" t="s">
        <v>1142</v>
      </c>
      <c r="AT134" s="245"/>
      <c r="AU134" s="431" t="s">
        <v>5579</v>
      </c>
      <c r="AV134" s="431" t="s">
        <v>4734</v>
      </c>
      <c r="AW134" s="124"/>
      <c r="AX134" s="245"/>
      <c r="AY134" s="168" t="s">
        <v>952</v>
      </c>
      <c r="AZ134" s="168" t="s">
        <v>5798</v>
      </c>
      <c r="BA134" s="245"/>
      <c r="BB134" s="201" t="s">
        <v>5799</v>
      </c>
      <c r="BC134" s="201" t="s">
        <v>5800</v>
      </c>
      <c r="BD134" s="201" t="s">
        <v>5801</v>
      </c>
      <c r="BE134" s="201" t="s">
        <v>2439</v>
      </c>
      <c r="BF134" s="201" t="s">
        <v>5802</v>
      </c>
      <c r="BG134" s="201" t="s">
        <v>4343</v>
      </c>
      <c r="BH134" s="174" t="s">
        <v>5803</v>
      </c>
      <c r="BI134" s="201" t="s">
        <v>4441</v>
      </c>
      <c r="BJ134" s="173"/>
      <c r="BK134" s="201" t="s">
        <v>5804</v>
      </c>
      <c r="BL134" s="201" t="s">
        <v>2857</v>
      </c>
      <c r="BM134" s="173"/>
      <c r="BN134" s="173"/>
      <c r="BO134" s="352"/>
      <c r="BP134" s="173"/>
      <c r="BQ134" s="247"/>
      <c r="BR134" s="343" t="s">
        <v>5805</v>
      </c>
      <c r="BS134" s="343" t="s">
        <v>5806</v>
      </c>
      <c r="BT134" s="343" t="s">
        <v>5807</v>
      </c>
      <c r="BU134" s="343" t="s">
        <v>5808</v>
      </c>
      <c r="BV134" s="343" t="s">
        <v>5463</v>
      </c>
      <c r="BW134" s="343" t="s">
        <v>328</v>
      </c>
      <c r="BX134" s="175" t="s">
        <v>5809</v>
      </c>
      <c r="BY134" s="131"/>
      <c r="BZ134" s="343" t="s">
        <v>5810</v>
      </c>
      <c r="CA134" s="343" t="s">
        <v>5811</v>
      </c>
      <c r="CB134" s="175" t="s">
        <v>5812</v>
      </c>
      <c r="CC134" s="249"/>
      <c r="CD134" s="249"/>
      <c r="CE134" s="175" t="s">
        <v>5813</v>
      </c>
      <c r="CF134" s="251"/>
      <c r="CG134" s="336" t="s">
        <v>3447</v>
      </c>
      <c r="CH134" s="336" t="s">
        <v>5262</v>
      </c>
      <c r="CI134" s="336" t="s">
        <v>1120</v>
      </c>
      <c r="CJ134" s="336" t="s">
        <v>5814</v>
      </c>
      <c r="CK134" s="336" t="s">
        <v>5815</v>
      </c>
      <c r="CL134" s="336" t="s">
        <v>5816</v>
      </c>
      <c r="CM134" s="336" t="s">
        <v>5817</v>
      </c>
      <c r="CN134" s="336" t="s">
        <v>1085</v>
      </c>
      <c r="CO134" s="336" t="s">
        <v>1413</v>
      </c>
      <c r="CP134" s="428"/>
      <c r="CQ134" s="252"/>
      <c r="CR134" s="252"/>
      <c r="CS134" s="252"/>
      <c r="CT134" s="177" t="s">
        <v>5818</v>
      </c>
      <c r="CU134" s="92"/>
      <c r="CV134" s="284" t="s">
        <v>2620</v>
      </c>
      <c r="CW134" s="284" t="s">
        <v>5819</v>
      </c>
      <c r="CX134" s="648" t="s">
        <v>5820</v>
      </c>
      <c r="CY134" s="284" t="s">
        <v>3329</v>
      </c>
      <c r="CZ134" s="284" t="s">
        <v>5821</v>
      </c>
      <c r="DA134" s="284" t="s">
        <v>4058</v>
      </c>
      <c r="DB134" s="284" t="s">
        <v>5822</v>
      </c>
      <c r="DC134" s="284" t="s">
        <v>5823</v>
      </c>
      <c r="DD134" s="204" t="s">
        <v>5824</v>
      </c>
      <c r="DE134" s="253"/>
      <c r="DF134" s="253"/>
      <c r="DG134" s="204" t="s">
        <v>5825</v>
      </c>
      <c r="DH134" s="263"/>
      <c r="DI134" s="287" t="s">
        <v>570</v>
      </c>
      <c r="DJ134" s="255"/>
      <c r="DK134" s="205" t="s">
        <v>4027</v>
      </c>
      <c r="DL134" s="287" t="s">
        <v>5826</v>
      </c>
      <c r="DM134" s="287" t="s">
        <v>3986</v>
      </c>
      <c r="DN134" s="287" t="s">
        <v>3161</v>
      </c>
      <c r="DO134" s="205" t="s">
        <v>5827</v>
      </c>
      <c r="DP134" s="205" t="s">
        <v>5828</v>
      </c>
      <c r="DQ134" s="205" t="s">
        <v>5829</v>
      </c>
      <c r="DR134" s="287" t="s">
        <v>5830</v>
      </c>
      <c r="DS134" s="206"/>
      <c r="DT134" s="255"/>
      <c r="DU134" s="287" t="s">
        <v>5831</v>
      </c>
      <c r="DV134" s="255"/>
      <c r="DW134" s="255"/>
      <c r="DX134" s="255"/>
      <c r="DY134" s="255"/>
      <c r="DZ134" s="205" t="s">
        <v>5832</v>
      </c>
      <c r="EA134" s="287" t="s">
        <v>5833</v>
      </c>
      <c r="EB134" s="255"/>
      <c r="EC134" s="205" t="s">
        <v>3953</v>
      </c>
      <c r="ED134" s="287" t="s">
        <v>5834</v>
      </c>
    </row>
    <row r="135">
      <c r="A135" s="649" t="s">
        <v>5835</v>
      </c>
      <c r="B135" s="82" t="s">
        <v>5836</v>
      </c>
      <c r="C135" s="83" t="s">
        <v>1260</v>
      </c>
      <c r="D135" s="84" t="s">
        <v>1260</v>
      </c>
      <c r="E135" s="85" t="s">
        <v>1260</v>
      </c>
      <c r="F135" s="86" t="s">
        <v>3974</v>
      </c>
      <c r="G135" s="82" t="s">
        <v>3974</v>
      </c>
      <c r="H135" s="88" t="s">
        <v>5837</v>
      </c>
      <c r="I135" s="88" t="s">
        <v>5838</v>
      </c>
      <c r="J135" s="88" t="s">
        <v>4669</v>
      </c>
      <c r="K135" s="99"/>
      <c r="L135" s="88" t="s">
        <v>5839</v>
      </c>
      <c r="M135" s="88" t="s">
        <v>5840</v>
      </c>
      <c r="N135" s="99"/>
      <c r="O135" s="99"/>
      <c r="P135" s="88" t="s">
        <v>3634</v>
      </c>
      <c r="Q135" s="99"/>
      <c r="R135" s="99"/>
      <c r="S135" s="99"/>
      <c r="T135" s="99"/>
      <c r="U135" s="99"/>
      <c r="V135" s="99"/>
      <c r="W135" s="92"/>
      <c r="X135" s="88" t="s">
        <v>2303</v>
      </c>
      <c r="Y135" s="93"/>
      <c r="Z135" s="88" t="s">
        <v>5841</v>
      </c>
      <c r="AA135" s="88" t="s">
        <v>664</v>
      </c>
      <c r="AB135" s="99"/>
      <c r="AC135" s="99"/>
      <c r="AD135" s="99"/>
      <c r="AE135" s="99"/>
      <c r="AF135" s="88" t="s">
        <v>5842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5843</v>
      </c>
      <c r="BS135" s="99"/>
      <c r="BT135" s="88" t="s">
        <v>4064</v>
      </c>
      <c r="BU135" s="99"/>
      <c r="BV135" s="99"/>
      <c r="BW135" s="99"/>
      <c r="BX135" s="99"/>
      <c r="BY135" s="99"/>
      <c r="BZ135" s="99"/>
      <c r="CA135" s="88" t="s">
        <v>5844</v>
      </c>
      <c r="CB135" s="99"/>
      <c r="CC135" s="99"/>
      <c r="CD135" s="99"/>
      <c r="CE135" s="99"/>
      <c r="CF135" s="237"/>
      <c r="CG135" s="88" t="s">
        <v>5845</v>
      </c>
      <c r="CH135" s="88" t="s">
        <v>2373</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5846</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38"/>
    </row>
    <row r="136">
      <c r="A136" s="103" t="s">
        <v>5847</v>
      </c>
      <c r="B136" s="104" t="s">
        <v>5848</v>
      </c>
      <c r="C136" s="105" t="s">
        <v>1260</v>
      </c>
      <c r="D136" s="106" t="s">
        <v>1260</v>
      </c>
      <c r="E136" s="107" t="s">
        <v>1260</v>
      </c>
      <c r="F136" s="108" t="s">
        <v>1260</v>
      </c>
      <c r="G136" s="104" t="s">
        <v>2994</v>
      </c>
      <c r="H136" s="167" t="s">
        <v>5849</v>
      </c>
      <c r="I136" s="167" t="s">
        <v>5850</v>
      </c>
      <c r="J136" s="167" t="s">
        <v>918</v>
      </c>
      <c r="K136" s="167" t="s">
        <v>3909</v>
      </c>
      <c r="L136" s="167" t="s">
        <v>5851</v>
      </c>
      <c r="M136" s="167" t="s">
        <v>5852</v>
      </c>
      <c r="N136" s="167" t="s">
        <v>5853</v>
      </c>
      <c r="O136" s="167" t="s">
        <v>5854</v>
      </c>
      <c r="P136" s="242"/>
      <c r="Q136" s="242"/>
      <c r="R136" s="242"/>
      <c r="S136" s="242"/>
      <c r="T136" s="242"/>
      <c r="U136" s="242"/>
      <c r="V136" s="242"/>
      <c r="W136" s="92"/>
      <c r="X136" s="198" t="s">
        <v>5855</v>
      </c>
      <c r="Y136" s="198"/>
      <c r="Z136" s="198" t="s">
        <v>5856</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5857</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1842</v>
      </c>
      <c r="BV136" s="175" t="s">
        <v>5675</v>
      </c>
      <c r="BW136" s="175" t="s">
        <v>5667</v>
      </c>
      <c r="BX136" s="249"/>
      <c r="BY136" s="249"/>
      <c r="BZ136" s="249"/>
      <c r="CA136" s="249"/>
      <c r="CB136" s="249"/>
      <c r="CC136" s="249"/>
      <c r="CD136" s="249"/>
      <c r="CE136" s="249"/>
      <c r="CF136" s="251"/>
      <c r="CG136" s="177" t="s">
        <v>5858</v>
      </c>
      <c r="CH136" s="177" t="s">
        <v>3919</v>
      </c>
      <c r="CI136" s="252"/>
      <c r="CJ136" s="252"/>
      <c r="CK136" s="252"/>
      <c r="CL136" s="252"/>
      <c r="CM136" s="252"/>
      <c r="CN136" s="252"/>
      <c r="CO136" s="252"/>
      <c r="CP136" s="252"/>
      <c r="CQ136" s="252"/>
      <c r="CR136" s="252"/>
      <c r="CS136" s="252"/>
      <c r="CT136" s="252"/>
      <c r="CU136" s="92"/>
      <c r="CV136" s="204" t="s">
        <v>4676</v>
      </c>
      <c r="CW136" s="204" t="s">
        <v>5859</v>
      </c>
      <c r="CX136" s="204" t="s">
        <v>2647</v>
      </c>
      <c r="CY136" s="253"/>
      <c r="CZ136" s="253"/>
      <c r="DA136" s="253"/>
      <c r="DB136" s="204" t="s">
        <v>5860</v>
      </c>
      <c r="DC136" s="253"/>
      <c r="DD136" s="253"/>
      <c r="DE136" s="253"/>
      <c r="DF136" s="253"/>
      <c r="DG136" s="253"/>
      <c r="DH136" s="263"/>
      <c r="DI136" s="255"/>
      <c r="DJ136" s="255"/>
      <c r="DK136" s="255"/>
      <c r="DL136" s="255"/>
      <c r="DM136" s="255"/>
      <c r="DN136" s="255"/>
      <c r="DO136" s="255"/>
      <c r="DP136" s="255"/>
      <c r="DQ136" s="255"/>
      <c r="DR136" s="205" t="s">
        <v>5861</v>
      </c>
      <c r="DS136" s="205"/>
      <c r="DT136" s="255"/>
      <c r="DU136" s="255"/>
      <c r="DV136" s="255"/>
      <c r="DW136" s="255"/>
      <c r="DX136" s="255"/>
      <c r="DY136" s="255"/>
      <c r="DZ136" s="255"/>
      <c r="EA136" s="255"/>
      <c r="EB136" s="255"/>
      <c r="EC136" s="255"/>
      <c r="ED136" s="287"/>
    </row>
    <row r="137">
      <c r="A137" s="81" t="s">
        <v>5862</v>
      </c>
      <c r="B137" s="82" t="s">
        <v>5863</v>
      </c>
      <c r="C137" s="83" t="s">
        <v>1260</v>
      </c>
      <c r="D137" s="84" t="s">
        <v>1260</v>
      </c>
      <c r="E137" s="85" t="s">
        <v>1260</v>
      </c>
      <c r="F137" s="86" t="s">
        <v>547</v>
      </c>
      <c r="G137" s="82" t="s">
        <v>3099</v>
      </c>
      <c r="H137" s="94" t="s">
        <v>4209</v>
      </c>
      <c r="I137" s="94" t="s">
        <v>5864</v>
      </c>
      <c r="J137" s="94" t="s">
        <v>3362</v>
      </c>
      <c r="K137" s="94" t="s">
        <v>2280</v>
      </c>
      <c r="L137" s="94" t="s">
        <v>5233</v>
      </c>
      <c r="M137" s="94" t="s">
        <v>5865</v>
      </c>
      <c r="N137" s="94" t="s">
        <v>5866</v>
      </c>
      <c r="O137" s="94" t="s">
        <v>5867</v>
      </c>
      <c r="P137" s="94" t="s">
        <v>1211</v>
      </c>
      <c r="Q137" s="94"/>
      <c r="R137" s="99"/>
      <c r="S137" s="99"/>
      <c r="T137" s="99"/>
      <c r="U137" s="99"/>
      <c r="V137" s="99"/>
      <c r="W137" s="92"/>
      <c r="X137" s="94" t="s">
        <v>5868</v>
      </c>
      <c r="Y137" s="94"/>
      <c r="Z137" s="94" t="s">
        <v>5869</v>
      </c>
      <c r="AA137" s="94" t="s">
        <v>2069</v>
      </c>
      <c r="AB137" s="94" t="s">
        <v>5870</v>
      </c>
      <c r="AC137" s="94" t="s">
        <v>3889</v>
      </c>
      <c r="AD137" s="94" t="s">
        <v>5871</v>
      </c>
      <c r="AE137" s="99"/>
      <c r="AF137" s="94" t="s">
        <v>5792</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5872</v>
      </c>
      <c r="BX137" s="99"/>
      <c r="BY137" s="99"/>
      <c r="BZ137" s="99"/>
      <c r="CA137" s="94" t="s">
        <v>824</v>
      </c>
      <c r="CB137" s="99"/>
      <c r="CC137" s="99"/>
      <c r="CD137" s="99"/>
      <c r="CE137" s="99"/>
      <c r="CF137" s="237"/>
      <c r="CG137" s="94" t="s">
        <v>5873</v>
      </c>
      <c r="CH137" s="94" t="s">
        <v>4283</v>
      </c>
      <c r="CI137" s="94" t="s">
        <v>2609</v>
      </c>
      <c r="CJ137" s="99"/>
      <c r="CK137" s="99"/>
      <c r="CL137" s="99"/>
      <c r="CM137" s="99"/>
      <c r="CN137" s="99"/>
      <c r="CO137" s="94" t="s">
        <v>5874</v>
      </c>
      <c r="CP137" s="99"/>
      <c r="CQ137" s="99"/>
      <c r="CR137" s="99"/>
      <c r="CS137" s="99"/>
      <c r="CT137" s="99"/>
      <c r="CU137" s="92"/>
      <c r="CV137" s="94" t="s">
        <v>5875</v>
      </c>
      <c r="CW137" s="94" t="s">
        <v>5876</v>
      </c>
      <c r="CX137" s="94" t="s">
        <v>1906</v>
      </c>
      <c r="CY137" s="94" t="s">
        <v>5082</v>
      </c>
      <c r="CZ137" s="99"/>
      <c r="DA137" s="99"/>
      <c r="DB137" s="99"/>
      <c r="DC137" s="94"/>
      <c r="DD137" s="99"/>
      <c r="DE137" s="99"/>
      <c r="DF137" s="99"/>
      <c r="DG137" s="99"/>
      <c r="DH137" s="237"/>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5878</v>
      </c>
    </row>
    <row r="138">
      <c r="A138" s="650" t="s">
        <v>5879</v>
      </c>
      <c r="B138" s="453" t="s">
        <v>5880</v>
      </c>
      <c r="C138" s="454" t="s">
        <v>1260</v>
      </c>
      <c r="D138" s="455" t="s">
        <v>1260</v>
      </c>
      <c r="E138" s="456" t="s">
        <v>1260</v>
      </c>
      <c r="F138" s="457" t="s">
        <v>1054</v>
      </c>
      <c r="G138" s="453" t="s">
        <v>5881</v>
      </c>
      <c r="H138" s="459"/>
      <c r="I138" s="459" t="s">
        <v>5882</v>
      </c>
      <c r="J138" s="459"/>
      <c r="K138" s="459" t="s">
        <v>3108</v>
      </c>
      <c r="L138" s="458" t="s">
        <v>5218</v>
      </c>
      <c r="M138" s="459"/>
      <c r="N138" s="409" t="s">
        <v>5883</v>
      </c>
      <c r="O138" s="409" t="s">
        <v>5773</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1307</v>
      </c>
      <c r="AO138" s="466"/>
      <c r="AP138" s="466" t="s">
        <v>1118</v>
      </c>
      <c r="AQ138" s="466"/>
      <c r="AR138" s="466"/>
      <c r="AS138" s="466"/>
      <c r="AT138" s="466"/>
      <c r="AU138" s="466"/>
      <c r="AV138" s="652" t="s">
        <v>3437</v>
      </c>
      <c r="AW138" s="466" t="s">
        <v>5477</v>
      </c>
      <c r="AX138" s="466"/>
      <c r="AY138" s="466" t="s">
        <v>4504</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53"/>
      <c r="BR138" s="469"/>
      <c r="BS138" s="469"/>
      <c r="BT138" s="469" t="s">
        <v>5889</v>
      </c>
      <c r="BU138" s="469"/>
      <c r="BV138" s="129" t="s">
        <v>2601</v>
      </c>
      <c r="BW138" s="129" t="s">
        <v>5505</v>
      </c>
      <c r="BX138" s="469"/>
      <c r="BY138" s="469"/>
      <c r="BZ138" s="469"/>
      <c r="CA138" s="129" t="s">
        <v>3741</v>
      </c>
      <c r="CB138" s="469" t="s">
        <v>5890</v>
      </c>
      <c r="CC138" s="469"/>
      <c r="CD138" s="469"/>
      <c r="CE138" s="469"/>
      <c r="CF138" s="654"/>
      <c r="CG138" s="472" t="s">
        <v>769</v>
      </c>
      <c r="CH138" s="472"/>
      <c r="CI138" s="472"/>
      <c r="CJ138" s="472" t="s">
        <v>5891</v>
      </c>
      <c r="CK138" s="472"/>
      <c r="CL138" s="472"/>
      <c r="CM138" s="655" t="s">
        <v>5892</v>
      </c>
      <c r="CN138" s="177" t="s">
        <v>5293</v>
      </c>
      <c r="CO138" s="472"/>
      <c r="CP138" s="472"/>
      <c r="CQ138" s="472"/>
      <c r="CR138" s="472"/>
      <c r="CS138" s="472"/>
      <c r="CT138" s="472" t="s">
        <v>5893</v>
      </c>
      <c r="CU138" s="460"/>
      <c r="CV138" s="473"/>
      <c r="CW138" s="473"/>
      <c r="CX138" s="656" t="s">
        <v>3421</v>
      </c>
      <c r="CY138" s="473" t="s">
        <v>5894</v>
      </c>
      <c r="CZ138" s="656" t="s">
        <v>5895</v>
      </c>
      <c r="DA138" s="474" t="s">
        <v>1855</v>
      </c>
      <c r="DB138" s="474" t="s">
        <v>5896</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43" t="s">
        <v>5898</v>
      </c>
      <c r="B139" s="82" t="s">
        <v>5899</v>
      </c>
      <c r="C139" s="83" t="s">
        <v>1260</v>
      </c>
      <c r="D139" s="84" t="s">
        <v>1260</v>
      </c>
      <c r="E139" s="85" t="s">
        <v>1260</v>
      </c>
      <c r="F139" s="86" t="s">
        <v>650</v>
      </c>
      <c r="G139" s="82" t="s">
        <v>5900</v>
      </c>
      <c r="H139" s="258" t="s">
        <v>3786</v>
      </c>
      <c r="I139" s="266" t="s">
        <v>5901</v>
      </c>
      <c r="J139" s="266" t="s">
        <v>1731</v>
      </c>
      <c r="K139" s="258" t="s">
        <v>352</v>
      </c>
      <c r="L139" s="258" t="s">
        <v>611</v>
      </c>
      <c r="M139" s="258" t="s">
        <v>5902</v>
      </c>
      <c r="N139" s="258" t="s">
        <v>5903</v>
      </c>
      <c r="O139" s="93" t="s">
        <v>242</v>
      </c>
      <c r="P139" s="258" t="s">
        <v>4860</v>
      </c>
      <c r="Q139" s="94" t="s">
        <v>5904</v>
      </c>
      <c r="R139" s="99"/>
      <c r="S139" s="94" t="s">
        <v>4103</v>
      </c>
      <c r="T139" s="99"/>
      <c r="U139" s="94" t="s">
        <v>2098</v>
      </c>
      <c r="V139" s="94" t="s">
        <v>5905</v>
      </c>
      <c r="W139" s="92"/>
      <c r="X139" s="433" t="s">
        <v>5014</v>
      </c>
      <c r="Y139" s="162"/>
      <c r="Z139" s="162" t="s">
        <v>5517</v>
      </c>
      <c r="AA139" s="88" t="s">
        <v>415</v>
      </c>
      <c r="AB139" s="266" t="s">
        <v>2732</v>
      </c>
      <c r="AC139" s="266" t="s">
        <v>3885</v>
      </c>
      <c r="AD139" s="258" t="s">
        <v>1572</v>
      </c>
      <c r="AE139" s="99"/>
      <c r="AF139" s="93" t="s">
        <v>5906</v>
      </c>
      <c r="AG139" s="258" t="s">
        <v>5907</v>
      </c>
      <c r="AH139" s="99"/>
      <c r="AI139" s="99"/>
      <c r="AJ139" s="102"/>
      <c r="AK139" s="99"/>
      <c r="AL139" s="97"/>
      <c r="AM139" s="258" t="s">
        <v>3562</v>
      </c>
      <c r="AN139" s="258" t="s">
        <v>5908</v>
      </c>
      <c r="AO139" s="94" t="s">
        <v>5909</v>
      </c>
      <c r="AP139" s="94" t="s">
        <v>102</v>
      </c>
      <c r="AQ139" s="94" t="s">
        <v>5910</v>
      </c>
      <c r="AR139" s="94" t="s">
        <v>5138</v>
      </c>
      <c r="AS139" s="94" t="s">
        <v>5911</v>
      </c>
      <c r="AT139" s="94" t="s">
        <v>5912</v>
      </c>
      <c r="AU139" s="258" t="s">
        <v>4308</v>
      </c>
      <c r="AV139" s="258" t="s">
        <v>3498</v>
      </c>
      <c r="AW139" s="258" t="s">
        <v>4192</v>
      </c>
      <c r="AX139" s="99"/>
      <c r="AY139" s="99"/>
      <c r="AZ139" s="99"/>
      <c r="BA139" s="99"/>
      <c r="BB139" s="258" t="s">
        <v>5913</v>
      </c>
      <c r="BC139" s="258" t="s">
        <v>2063</v>
      </c>
      <c r="BD139" s="258" t="s">
        <v>998</v>
      </c>
      <c r="BE139" s="258" t="s">
        <v>5914</v>
      </c>
      <c r="BF139" s="102"/>
      <c r="BG139" s="258" t="s">
        <v>5915</v>
      </c>
      <c r="BH139" s="99"/>
      <c r="BI139" s="258" t="s">
        <v>1007</v>
      </c>
      <c r="BJ139" s="99"/>
      <c r="BK139" s="102"/>
      <c r="BL139" s="258" t="s">
        <v>5916</v>
      </c>
      <c r="BM139" s="99"/>
      <c r="BN139" s="99"/>
      <c r="BO139" s="102"/>
      <c r="BP139" s="99"/>
      <c r="BQ139" s="237"/>
      <c r="BR139" s="258" t="s">
        <v>5917</v>
      </c>
      <c r="BS139" s="258" t="s">
        <v>5918</v>
      </c>
      <c r="BT139" s="258" t="s">
        <v>3870</v>
      </c>
      <c r="BU139" s="258" t="s">
        <v>5801</v>
      </c>
      <c r="BV139" s="258" t="s">
        <v>5919</v>
      </c>
      <c r="BW139" s="258" t="s">
        <v>4601</v>
      </c>
      <c r="BX139" s="99"/>
      <c r="BY139" s="258" t="s">
        <v>5920</v>
      </c>
      <c r="BZ139" s="102"/>
      <c r="CA139" s="258" t="s">
        <v>976</v>
      </c>
      <c r="CB139" s="99"/>
      <c r="CC139" s="99"/>
      <c r="CD139" s="99"/>
      <c r="CE139" s="99"/>
      <c r="CF139" s="237"/>
      <c r="CG139" s="258" t="s">
        <v>5921</v>
      </c>
      <c r="CH139" s="258" t="s">
        <v>5922</v>
      </c>
      <c r="CI139" s="258" t="s">
        <v>4422</v>
      </c>
      <c r="CJ139" s="102"/>
      <c r="CK139" s="102"/>
      <c r="CL139" s="258" t="s">
        <v>2144</v>
      </c>
      <c r="CM139" s="102"/>
      <c r="CN139" s="102"/>
      <c r="CO139" s="102"/>
      <c r="CP139" s="222"/>
      <c r="CQ139" s="99"/>
      <c r="CR139" s="99"/>
      <c r="CS139" s="99"/>
      <c r="CT139" s="99"/>
      <c r="CU139" s="92"/>
      <c r="CV139" s="258" t="s">
        <v>5923</v>
      </c>
      <c r="CW139" s="258" t="s">
        <v>5924</v>
      </c>
      <c r="CX139" s="433" t="s">
        <v>5925</v>
      </c>
      <c r="CY139" s="88" t="s">
        <v>4515</v>
      </c>
      <c r="CZ139" s="258" t="s">
        <v>3404</v>
      </c>
      <c r="DA139" s="258" t="s">
        <v>4034</v>
      </c>
      <c r="DB139" s="258" t="s">
        <v>5926</v>
      </c>
      <c r="DC139" s="88" t="s">
        <v>5927</v>
      </c>
      <c r="DD139" s="99"/>
      <c r="DE139" s="99"/>
      <c r="DF139" s="99"/>
      <c r="DG139" s="99"/>
      <c r="DH139" s="237"/>
      <c r="DI139" s="258"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5929</v>
      </c>
      <c r="B140" s="104" t="s">
        <v>5930</v>
      </c>
      <c r="C140" s="105" t="s">
        <v>1260</v>
      </c>
      <c r="D140" s="106" t="s">
        <v>1260</v>
      </c>
      <c r="E140" s="107" t="s">
        <v>1260</v>
      </c>
      <c r="F140" s="108" t="s">
        <v>1260</v>
      </c>
      <c r="G140" s="104" t="s">
        <v>221</v>
      </c>
      <c r="H140" s="226" t="s">
        <v>5931</v>
      </c>
      <c r="I140" s="340" t="s">
        <v>5932</v>
      </c>
      <c r="J140" s="226" t="s">
        <v>2827</v>
      </c>
      <c r="K140" s="226" t="s">
        <v>4509</v>
      </c>
      <c r="L140" s="226"/>
      <c r="M140" s="226"/>
      <c r="N140" s="226"/>
      <c r="O140" s="226"/>
      <c r="P140" s="226"/>
      <c r="Q140" s="242"/>
      <c r="R140" s="242"/>
      <c r="S140" s="242"/>
      <c r="T140" s="242"/>
      <c r="U140" s="242"/>
      <c r="V140" s="242"/>
      <c r="W140" s="92"/>
      <c r="X140" s="341" t="s">
        <v>1979</v>
      </c>
      <c r="Y140" s="270"/>
      <c r="Z140" s="270" t="s">
        <v>1429</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1666</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5933</v>
      </c>
      <c r="B141" s="82" t="s">
        <v>5934</v>
      </c>
      <c r="C141" s="83" t="s">
        <v>1260</v>
      </c>
      <c r="D141" s="84" t="s">
        <v>1260</v>
      </c>
      <c r="E141" s="85" t="s">
        <v>1260</v>
      </c>
      <c r="F141" s="86" t="s">
        <v>438</v>
      </c>
      <c r="G141" s="82" t="s">
        <v>4786</v>
      </c>
      <c r="H141" s="94"/>
      <c r="I141" s="94" t="s">
        <v>5935</v>
      </c>
      <c r="J141" s="94" t="s">
        <v>4148</v>
      </c>
      <c r="K141" s="88" t="s">
        <v>2280</v>
      </c>
      <c r="L141" s="94" t="s">
        <v>2478</v>
      </c>
      <c r="M141" s="94" t="s">
        <v>5936</v>
      </c>
      <c r="N141" s="94" t="s">
        <v>5937</v>
      </c>
      <c r="O141" s="94" t="s">
        <v>5159</v>
      </c>
      <c r="P141" s="94" t="s">
        <v>564</v>
      </c>
      <c r="Q141" s="99"/>
      <c r="R141" s="99"/>
      <c r="S141" s="99"/>
      <c r="T141" s="99"/>
      <c r="U141" s="99"/>
      <c r="V141" s="99"/>
      <c r="W141" s="92"/>
      <c r="X141" s="94" t="s">
        <v>4627</v>
      </c>
      <c r="Y141" s="94"/>
      <c r="Z141" s="94" t="s">
        <v>5856</v>
      </c>
      <c r="AA141" s="94" t="s">
        <v>2244</v>
      </c>
      <c r="AB141" s="94" t="s">
        <v>5938</v>
      </c>
      <c r="AC141" s="94" t="s">
        <v>4972</v>
      </c>
      <c r="AD141" s="94" t="s">
        <v>5939</v>
      </c>
      <c r="AE141" s="99"/>
      <c r="AF141" s="94" t="s">
        <v>5940</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5941</v>
      </c>
      <c r="BF141" s="99"/>
      <c r="BG141" s="94" t="s">
        <v>2920</v>
      </c>
      <c r="BH141" s="99"/>
      <c r="BI141" s="94" t="s">
        <v>902</v>
      </c>
      <c r="BJ141" s="99"/>
      <c r="BK141" s="99"/>
      <c r="BL141" s="99"/>
      <c r="BM141" s="99"/>
      <c r="BN141" s="99"/>
      <c r="BO141" s="99"/>
      <c r="BP141" s="99"/>
      <c r="BQ141" s="237"/>
      <c r="BR141" s="94" t="s">
        <v>5942</v>
      </c>
      <c r="BS141" s="94" t="s">
        <v>5943</v>
      </c>
      <c r="BT141" s="94" t="s">
        <v>496</v>
      </c>
      <c r="BU141" s="266" t="s">
        <v>3094</v>
      </c>
      <c r="BV141" s="94" t="s">
        <v>4016</v>
      </c>
      <c r="BW141" s="94" t="s">
        <v>5944</v>
      </c>
      <c r="BX141" s="94" t="s">
        <v>5945</v>
      </c>
      <c r="BY141" s="99"/>
      <c r="BZ141" s="94" t="s">
        <v>5946</v>
      </c>
      <c r="CA141" s="94" t="s">
        <v>5947</v>
      </c>
      <c r="CB141" s="99"/>
      <c r="CC141" s="99"/>
      <c r="CD141" s="99"/>
      <c r="CE141" s="99"/>
      <c r="CF141" s="237"/>
      <c r="CG141" s="88" t="s">
        <v>5948</v>
      </c>
      <c r="CH141" s="94" t="s">
        <v>5949</v>
      </c>
      <c r="CI141" s="94" t="s">
        <v>5950</v>
      </c>
      <c r="CJ141" s="94" t="s">
        <v>5951</v>
      </c>
      <c r="CK141" s="94"/>
      <c r="CL141" s="266" t="s">
        <v>2388</v>
      </c>
      <c r="CM141" s="94" t="s">
        <v>5952</v>
      </c>
      <c r="CN141" s="94" t="s">
        <v>2531</v>
      </c>
      <c r="CO141" s="94" t="s">
        <v>3709</v>
      </c>
      <c r="CP141" s="99"/>
      <c r="CQ141" s="99"/>
      <c r="CR141" s="99"/>
      <c r="CS141" s="99"/>
      <c r="CT141" s="99"/>
      <c r="CU141" s="92"/>
      <c r="CV141" s="94" t="s">
        <v>2915</v>
      </c>
      <c r="CW141" s="94" t="s">
        <v>3672</v>
      </c>
      <c r="CX141" s="94" t="s">
        <v>2807</v>
      </c>
      <c r="CY141" s="94" t="s">
        <v>5953</v>
      </c>
      <c r="CZ141" s="94" t="s">
        <v>3729</v>
      </c>
      <c r="DA141" s="94" t="s">
        <v>1814</v>
      </c>
      <c r="DB141" s="94" t="s">
        <v>5954</v>
      </c>
      <c r="DC141" s="94" t="s">
        <v>3844</v>
      </c>
      <c r="DD141" s="99"/>
      <c r="DE141" s="99"/>
      <c r="DF141" s="99"/>
      <c r="DG141" s="99"/>
      <c r="DH141" s="237"/>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38"/>
    </row>
    <row r="142">
      <c r="A142" s="661" t="s">
        <v>5956</v>
      </c>
      <c r="B142" s="104" t="s">
        <v>5934</v>
      </c>
      <c r="C142" s="105" t="s">
        <v>1260</v>
      </c>
      <c r="D142" s="106" t="s">
        <v>1260</v>
      </c>
      <c r="E142" s="107" t="s">
        <v>1260</v>
      </c>
      <c r="F142" s="108" t="s">
        <v>438</v>
      </c>
      <c r="G142" s="104" t="s">
        <v>2684</v>
      </c>
      <c r="H142" s="167" t="s">
        <v>5957</v>
      </c>
      <c r="I142" s="293" t="s">
        <v>1590</v>
      </c>
      <c r="J142" s="167" t="s">
        <v>5958</v>
      </c>
      <c r="K142" s="167" t="s">
        <v>5959</v>
      </c>
      <c r="L142" s="167" t="s">
        <v>5960</v>
      </c>
      <c r="M142" s="242"/>
      <c r="N142" s="167" t="s">
        <v>5961</v>
      </c>
      <c r="O142" s="167" t="s">
        <v>3589</v>
      </c>
      <c r="P142" s="167" t="s">
        <v>1000</v>
      </c>
      <c r="Q142" s="242"/>
      <c r="R142" s="167" t="s">
        <v>324</v>
      </c>
      <c r="S142" s="167" t="s">
        <v>2219</v>
      </c>
      <c r="T142" s="242"/>
      <c r="U142" s="167" t="s">
        <v>3228</v>
      </c>
      <c r="V142" s="242"/>
      <c r="W142" s="92"/>
      <c r="X142" s="198" t="s">
        <v>5962</v>
      </c>
      <c r="Y142" s="117"/>
      <c r="Z142" s="116" t="s">
        <v>2396</v>
      </c>
      <c r="AA142" s="198" t="s">
        <v>4527</v>
      </c>
      <c r="AB142" s="198" t="s">
        <v>1679</v>
      </c>
      <c r="AC142" s="198" t="s">
        <v>3887</v>
      </c>
      <c r="AD142" s="198" t="s">
        <v>2394</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1960</v>
      </c>
      <c r="BD142" s="174" t="s">
        <v>5965</v>
      </c>
      <c r="BE142" s="174" t="s">
        <v>3579</v>
      </c>
      <c r="BF142" s="174" t="s">
        <v>5783</v>
      </c>
      <c r="BG142" s="173"/>
      <c r="BH142" s="173"/>
      <c r="BI142" s="174" t="s">
        <v>4023</v>
      </c>
      <c r="BJ142" s="174" t="s">
        <v>5966</v>
      </c>
      <c r="BK142" s="174"/>
      <c r="BL142" s="174" t="s">
        <v>2628</v>
      </c>
      <c r="BM142" s="173"/>
      <c r="BN142" s="174" t="s">
        <v>4230</v>
      </c>
      <c r="BO142" s="173"/>
      <c r="BP142" s="173"/>
      <c r="BQ142" s="247"/>
      <c r="BR142" s="175" t="s">
        <v>5967</v>
      </c>
      <c r="BS142" s="175" t="s">
        <v>4249</v>
      </c>
      <c r="BT142" s="175" t="s">
        <v>3409</v>
      </c>
      <c r="BU142" s="175" t="s">
        <v>5968</v>
      </c>
      <c r="BV142" s="175" t="s">
        <v>5969</v>
      </c>
      <c r="BW142" s="175" t="s">
        <v>5211</v>
      </c>
      <c r="BX142" s="249"/>
      <c r="BY142" s="175" t="s">
        <v>2879</v>
      </c>
      <c r="BZ142" s="249"/>
      <c r="CA142" s="175" t="s">
        <v>5970</v>
      </c>
      <c r="CB142" s="249"/>
      <c r="CC142" s="249"/>
      <c r="CD142" s="249"/>
      <c r="CE142" s="249"/>
      <c r="CF142" s="251"/>
      <c r="CG142" s="177" t="s">
        <v>5971</v>
      </c>
      <c r="CH142" s="177" t="s">
        <v>4487</v>
      </c>
      <c r="CI142" s="177" t="s">
        <v>2221</v>
      </c>
      <c r="CJ142" s="177" t="s">
        <v>5972</v>
      </c>
      <c r="CK142" s="177"/>
      <c r="CL142" s="177" t="s">
        <v>5973</v>
      </c>
      <c r="CM142" s="177" t="s">
        <v>5974</v>
      </c>
      <c r="CN142" s="177" t="s">
        <v>1731</v>
      </c>
      <c r="CO142" s="177" t="s">
        <v>4308</v>
      </c>
      <c r="CP142" s="252"/>
      <c r="CQ142" s="252"/>
      <c r="CR142" s="252"/>
      <c r="CS142" s="252"/>
      <c r="CT142" s="252"/>
      <c r="CU142" s="92"/>
      <c r="CV142" s="204" t="s">
        <v>5975</v>
      </c>
      <c r="CW142" s="204" t="s">
        <v>2836</v>
      </c>
      <c r="CX142" s="204" t="s">
        <v>3757</v>
      </c>
      <c r="CY142" s="204" t="s">
        <v>5976</v>
      </c>
      <c r="CZ142" s="253"/>
      <c r="DA142" s="204" t="s">
        <v>5977</v>
      </c>
      <c r="DB142" s="140" t="s">
        <v>5978</v>
      </c>
      <c r="DC142" s="204" t="s">
        <v>4485</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4103</v>
      </c>
      <c r="DX142" s="205" t="s">
        <v>5981</v>
      </c>
      <c r="DY142" s="205" t="s">
        <v>206</v>
      </c>
      <c r="DZ142" s="205" t="s">
        <v>5982</v>
      </c>
      <c r="EA142" s="205" t="s">
        <v>3445</v>
      </c>
      <c r="EB142" s="255"/>
      <c r="EC142" s="255"/>
      <c r="ED142" s="287" t="s">
        <v>5983</v>
      </c>
    </row>
    <row r="143">
      <c r="A143" s="662" t="s">
        <v>5984</v>
      </c>
      <c r="B143" s="82" t="s">
        <v>5985</v>
      </c>
      <c r="C143" s="83" t="s">
        <v>1260</v>
      </c>
      <c r="D143" s="84" t="s">
        <v>1260</v>
      </c>
      <c r="E143" s="85" t="s">
        <v>1260</v>
      </c>
      <c r="F143" s="86" t="s">
        <v>547</v>
      </c>
      <c r="G143" s="82" t="s">
        <v>222</v>
      </c>
      <c r="H143" s="94"/>
      <c r="I143" s="94" t="s">
        <v>5986</v>
      </c>
      <c r="J143" s="94"/>
      <c r="K143" s="94"/>
      <c r="L143" s="94" t="s">
        <v>1900</v>
      </c>
      <c r="M143" s="94"/>
      <c r="N143" s="94" t="s">
        <v>5987</v>
      </c>
      <c r="O143" s="94" t="s">
        <v>5988</v>
      </c>
      <c r="P143" s="99"/>
      <c r="Q143" s="99"/>
      <c r="R143" s="99"/>
      <c r="S143" s="99"/>
      <c r="T143" s="99"/>
      <c r="U143" s="99"/>
      <c r="V143" s="99"/>
      <c r="W143" s="92"/>
      <c r="X143" s="93"/>
      <c r="Y143" s="94"/>
      <c r="Z143" s="94"/>
      <c r="AA143" s="94" t="s">
        <v>2926</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7"/>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58"/>
    </row>
    <row r="144">
      <c r="A144" s="425" t="s">
        <v>5994</v>
      </c>
      <c r="B144" s="104" t="s">
        <v>5995</v>
      </c>
      <c r="C144" s="105" t="s">
        <v>1260</v>
      </c>
      <c r="D144" s="106" t="s">
        <v>1260</v>
      </c>
      <c r="E144" s="107" t="s">
        <v>1260</v>
      </c>
      <c r="F144" s="108" t="s">
        <v>1260</v>
      </c>
      <c r="G144" s="104" t="s">
        <v>2652</v>
      </c>
      <c r="H144" s="321" t="s">
        <v>5996</v>
      </c>
      <c r="I144" s="321" t="s">
        <v>5997</v>
      </c>
      <c r="J144" s="321" t="s">
        <v>5998</v>
      </c>
      <c r="K144" s="321" t="s">
        <v>1953</v>
      </c>
      <c r="L144" s="523" t="s">
        <v>3686</v>
      </c>
      <c r="M144" s="321" t="s">
        <v>5999</v>
      </c>
      <c r="N144" s="321" t="s">
        <v>6000</v>
      </c>
      <c r="O144" s="321" t="s">
        <v>3140</v>
      </c>
      <c r="P144" s="321" t="s">
        <v>251</v>
      </c>
      <c r="Q144" s="663"/>
      <c r="R144" s="663"/>
      <c r="S144" s="664">
        <v>37.85</v>
      </c>
      <c r="T144" s="663"/>
      <c r="U144" s="167" t="s">
        <v>1906</v>
      </c>
      <c r="V144" s="664" t="s">
        <v>6001</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5856</v>
      </c>
      <c r="AV144" s="431" t="s">
        <v>5955</v>
      </c>
      <c r="AW144" s="431" t="s">
        <v>482</v>
      </c>
      <c r="AX144" s="671"/>
      <c r="AY144" s="671"/>
      <c r="AZ144" s="671"/>
      <c r="BA144" s="671"/>
      <c r="BB144" s="673"/>
      <c r="BC144" s="673"/>
      <c r="BD144" s="352" t="s">
        <v>1650</v>
      </c>
      <c r="BE144" s="201" t="s">
        <v>371</v>
      </c>
      <c r="BF144" s="673"/>
      <c r="BG144" s="673"/>
      <c r="BH144" s="674"/>
      <c r="BI144" s="201" t="s">
        <v>3068</v>
      </c>
      <c r="BJ144" s="674"/>
      <c r="BK144" s="352" t="s">
        <v>6002</v>
      </c>
      <c r="BL144" s="201" t="s">
        <v>3782</v>
      </c>
      <c r="BM144" s="674"/>
      <c r="BN144" s="675">
        <v>35.32</v>
      </c>
      <c r="BO144" s="673"/>
      <c r="BP144" s="674"/>
      <c r="BQ144" s="676"/>
      <c r="BR144" s="677"/>
      <c r="BS144" s="677"/>
      <c r="BT144" s="343" t="s">
        <v>2777</v>
      </c>
      <c r="BU144" s="343" t="s">
        <v>6003</v>
      </c>
      <c r="BV144" s="677"/>
      <c r="BW144" s="343" t="s">
        <v>3117</v>
      </c>
      <c r="BX144" s="678"/>
      <c r="BY144" s="677"/>
      <c r="BZ144" s="677"/>
      <c r="CA144" s="131" t="s">
        <v>5565</v>
      </c>
      <c r="CB144" s="679" t="s">
        <v>6004</v>
      </c>
      <c r="CC144" s="678"/>
      <c r="CD144" s="679">
        <v>37.19</v>
      </c>
      <c r="CE144" s="679" t="s">
        <v>6005</v>
      </c>
      <c r="CF144" s="680"/>
      <c r="CG144" s="681"/>
      <c r="CH144" s="681"/>
      <c r="CI144" s="681"/>
      <c r="CJ144" s="681"/>
      <c r="CK144" s="681"/>
      <c r="CL144" s="681"/>
      <c r="CM144" s="336" t="s">
        <v>6006</v>
      </c>
      <c r="CN144" s="336" t="s">
        <v>914</v>
      </c>
      <c r="CO144" s="681"/>
      <c r="CP144" s="682"/>
      <c r="CQ144" s="683"/>
      <c r="CR144" s="683"/>
      <c r="CS144" s="684">
        <v>52.7</v>
      </c>
      <c r="CT144" s="683"/>
      <c r="CU144" s="665"/>
      <c r="CV144" s="685"/>
      <c r="CW144" s="284" t="s">
        <v>3308</v>
      </c>
      <c r="CX144" s="285" t="s">
        <v>2989</v>
      </c>
      <c r="CY144" s="685"/>
      <c r="CZ144" s="685"/>
      <c r="DA144" s="284" t="s">
        <v>2369</v>
      </c>
      <c r="DB144" s="686" t="s">
        <v>6007</v>
      </c>
      <c r="DC144" s="685"/>
      <c r="DD144" s="687"/>
      <c r="DE144" s="687"/>
      <c r="DF144" s="687"/>
      <c r="DG144" s="687"/>
      <c r="DH144" s="688"/>
      <c r="DI144" s="689"/>
      <c r="DJ144" s="690"/>
      <c r="DK144" s="690"/>
      <c r="DL144" s="689"/>
      <c r="DM144" s="689"/>
      <c r="DN144" s="287" t="s">
        <v>3919</v>
      </c>
      <c r="DO144" s="690"/>
      <c r="DP144" s="690"/>
      <c r="DQ144" s="690"/>
      <c r="DR144" s="287" t="s">
        <v>6008</v>
      </c>
      <c r="DS144" s="287" t="s">
        <v>4549</v>
      </c>
      <c r="DT144" s="690"/>
      <c r="DU144" s="689"/>
      <c r="DV144" s="690"/>
      <c r="DW144" s="690"/>
      <c r="DX144" s="690"/>
      <c r="DY144" s="690"/>
      <c r="DZ144" s="690"/>
      <c r="EA144" s="689"/>
      <c r="EB144" s="690"/>
      <c r="EC144" s="690"/>
      <c r="ED144" s="691"/>
    </row>
    <row r="145">
      <c r="A145" s="429" t="s">
        <v>6009</v>
      </c>
      <c r="B145" s="82" t="s">
        <v>6010</v>
      </c>
      <c r="C145" s="83" t="s">
        <v>1260</v>
      </c>
      <c r="D145" s="84" t="s">
        <v>1260</v>
      </c>
      <c r="E145" s="85" t="s">
        <v>1260</v>
      </c>
      <c r="F145" s="86" t="s">
        <v>1260</v>
      </c>
      <c r="G145" s="82" t="s">
        <v>5881</v>
      </c>
      <c r="H145" s="94" t="s">
        <v>1852</v>
      </c>
      <c r="I145" s="94" t="s">
        <v>3717</v>
      </c>
      <c r="J145" s="94" t="s">
        <v>574</v>
      </c>
      <c r="K145" s="94" t="s">
        <v>2659</v>
      </c>
      <c r="L145" s="94" t="s">
        <v>4118</v>
      </c>
      <c r="M145" s="94" t="s">
        <v>6011</v>
      </c>
      <c r="N145" s="94" t="s">
        <v>6012</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6016</v>
      </c>
      <c r="DC145" s="99"/>
      <c r="DD145" s="99"/>
      <c r="DE145" s="99"/>
      <c r="DF145" s="94" t="s">
        <v>2146</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58"/>
    </row>
    <row r="146">
      <c r="A146" s="166" t="s">
        <v>6018</v>
      </c>
      <c r="B146" s="104" t="s">
        <v>6019</v>
      </c>
      <c r="C146" s="105" t="s">
        <v>1260</v>
      </c>
      <c r="D146" s="106" t="s">
        <v>1260</v>
      </c>
      <c r="E146" s="107" t="s">
        <v>1260</v>
      </c>
      <c r="F146" s="108" t="s">
        <v>333</v>
      </c>
      <c r="G146" s="104" t="s">
        <v>221</v>
      </c>
      <c r="H146" s="242"/>
      <c r="I146" s="242"/>
      <c r="J146" s="242"/>
      <c r="K146" s="242"/>
      <c r="L146" s="112" t="s">
        <v>6020</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5808</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6027</v>
      </c>
      <c r="B147" s="82" t="s">
        <v>6028</v>
      </c>
      <c r="C147" s="83" t="s">
        <v>1260</v>
      </c>
      <c r="D147" s="84" t="s">
        <v>1260</v>
      </c>
      <c r="E147" s="85" t="s">
        <v>1260</v>
      </c>
      <c r="F147" s="86" t="s">
        <v>438</v>
      </c>
      <c r="G147" s="82" t="s">
        <v>220</v>
      </c>
      <c r="H147" s="693"/>
      <c r="I147" s="94" t="s">
        <v>5732</v>
      </c>
      <c r="J147" s="94" t="s">
        <v>6029</v>
      </c>
      <c r="K147" s="94" t="s">
        <v>5924</v>
      </c>
      <c r="L147" s="94" t="s">
        <v>2956</v>
      </c>
      <c r="M147" s="99"/>
      <c r="N147" s="99"/>
      <c r="O147" s="99"/>
      <c r="P147" s="88" t="s">
        <v>6030</v>
      </c>
      <c r="Q147" s="99"/>
      <c r="R147" s="99"/>
      <c r="S147" s="99"/>
      <c r="T147" s="99"/>
      <c r="U147" s="99"/>
      <c r="V147" s="99"/>
      <c r="W147" s="92"/>
      <c r="X147" s="94" t="s">
        <v>4094</v>
      </c>
      <c r="Y147" s="93"/>
      <c r="Z147" s="88" t="s">
        <v>362</v>
      </c>
      <c r="AA147" s="266" t="s">
        <v>6031</v>
      </c>
      <c r="AB147" s="94" t="s">
        <v>6032</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5887</v>
      </c>
      <c r="AW147" s="99"/>
      <c r="AX147" s="99"/>
      <c r="AY147" s="99"/>
      <c r="AZ147" s="99"/>
      <c r="BA147" s="99"/>
      <c r="BB147" s="94" t="s">
        <v>6033</v>
      </c>
      <c r="BC147" s="94" t="s">
        <v>1534</v>
      </c>
      <c r="BD147" s="99"/>
      <c r="BE147" s="99"/>
      <c r="BF147" s="99"/>
      <c r="BG147" s="99"/>
      <c r="BH147" s="99"/>
      <c r="BI147" s="99"/>
      <c r="BJ147" s="99"/>
      <c r="BK147" s="99"/>
      <c r="BL147" s="99"/>
      <c r="BM147" s="99"/>
      <c r="BN147" s="99"/>
      <c r="BO147" s="99"/>
      <c r="BP147" s="99"/>
      <c r="BQ147" s="237"/>
      <c r="BR147" s="94" t="s">
        <v>6034</v>
      </c>
      <c r="BS147" s="94" t="s">
        <v>6035</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4237</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6036</v>
      </c>
      <c r="B148" s="104" t="s">
        <v>6037</v>
      </c>
      <c r="C148" s="105" t="s">
        <v>1260</v>
      </c>
      <c r="D148" s="106" t="s">
        <v>1260</v>
      </c>
      <c r="E148" s="107" t="s">
        <v>1260</v>
      </c>
      <c r="F148" s="108" t="s">
        <v>2872</v>
      </c>
      <c r="G148" s="104" t="s">
        <v>2872</v>
      </c>
      <c r="H148" s="242"/>
      <c r="I148" s="242"/>
      <c r="J148" s="242"/>
      <c r="K148" s="242"/>
      <c r="L148" s="242"/>
      <c r="M148" s="242"/>
      <c r="N148" s="242"/>
      <c r="O148" s="112" t="s">
        <v>6038</v>
      </c>
      <c r="P148" s="112" t="s">
        <v>6039</v>
      </c>
      <c r="Q148" s="242"/>
      <c r="R148" s="242"/>
      <c r="S148" s="242"/>
      <c r="T148" s="242"/>
      <c r="U148" s="242"/>
      <c r="V148" s="242"/>
      <c r="W148" s="92"/>
      <c r="X148" s="244"/>
      <c r="Y148" s="244"/>
      <c r="Z148" s="244"/>
      <c r="AA148" s="116" t="s">
        <v>1925</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6040</v>
      </c>
      <c r="BE148" s="173"/>
      <c r="BF148" s="173"/>
      <c r="BG148" s="173"/>
      <c r="BH148" s="173"/>
      <c r="BI148" s="126" t="s">
        <v>4046</v>
      </c>
      <c r="BJ148" s="173"/>
      <c r="BK148" s="173"/>
      <c r="BL148" s="126" t="s">
        <v>2112</v>
      </c>
      <c r="BM148" s="173"/>
      <c r="BN148" s="173"/>
      <c r="BO148" s="173"/>
      <c r="BP148" s="173"/>
      <c r="BQ148" s="247"/>
      <c r="BR148" s="249"/>
      <c r="BS148" s="249"/>
      <c r="BT148" s="249"/>
      <c r="BU148" s="129" t="s">
        <v>1078</v>
      </c>
      <c r="BV148" s="249"/>
      <c r="BW148" s="129" t="s">
        <v>3168</v>
      </c>
      <c r="BX148" s="249"/>
      <c r="BY148" s="249"/>
      <c r="BZ148" s="249"/>
      <c r="CA148" s="129" t="s">
        <v>6041</v>
      </c>
      <c r="CB148" s="249"/>
      <c r="CC148" s="249"/>
      <c r="CD148" s="249"/>
      <c r="CE148" s="249"/>
      <c r="CF148" s="251"/>
      <c r="CG148" s="252"/>
      <c r="CH148" s="252"/>
      <c r="CI148" s="252"/>
      <c r="CJ148" s="135" t="s">
        <v>6042</v>
      </c>
      <c r="CK148" s="262"/>
      <c r="CL148" s="135" t="s">
        <v>6043</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6044</v>
      </c>
      <c r="B149" s="82" t="s">
        <v>6045</v>
      </c>
      <c r="C149" s="83" t="s">
        <v>1260</v>
      </c>
      <c r="D149" s="84" t="s">
        <v>1260</v>
      </c>
      <c r="E149" s="85" t="s">
        <v>1260</v>
      </c>
      <c r="F149" s="86" t="s">
        <v>1260</v>
      </c>
      <c r="G149" s="82" t="s">
        <v>6046</v>
      </c>
      <c r="H149" s="94" t="s">
        <v>3934</v>
      </c>
      <c r="I149" s="94" t="s">
        <v>4083</v>
      </c>
      <c r="J149" s="94" t="s">
        <v>680</v>
      </c>
      <c r="K149" s="94" t="s">
        <v>6031</v>
      </c>
      <c r="L149" s="94" t="s">
        <v>6047</v>
      </c>
      <c r="M149" s="94" t="s">
        <v>6048</v>
      </c>
      <c r="N149" s="94" t="s">
        <v>6049</v>
      </c>
      <c r="O149" s="94" t="s">
        <v>3135</v>
      </c>
      <c r="P149" s="94" t="s">
        <v>4162</v>
      </c>
      <c r="Q149" s="94" t="s">
        <v>6050</v>
      </c>
      <c r="R149" s="99"/>
      <c r="S149" s="94" t="s">
        <v>974</v>
      </c>
      <c r="T149" s="99"/>
      <c r="U149" s="94" t="s">
        <v>6051</v>
      </c>
      <c r="V149" s="94" t="s">
        <v>6052</v>
      </c>
      <c r="W149" s="92"/>
      <c r="X149" s="94" t="s">
        <v>6053</v>
      </c>
      <c r="Y149" s="94"/>
      <c r="Z149" s="94" t="s">
        <v>2087</v>
      </c>
      <c r="AA149" s="94" t="s">
        <v>3638</v>
      </c>
      <c r="AB149" s="94" t="s">
        <v>3686</v>
      </c>
      <c r="AC149" s="94" t="s">
        <v>5949</v>
      </c>
      <c r="AD149" s="94" t="s">
        <v>6054</v>
      </c>
      <c r="AE149" s="94"/>
      <c r="AF149" s="94" t="s">
        <v>6055</v>
      </c>
      <c r="AG149" s="94" t="s">
        <v>6056</v>
      </c>
      <c r="AH149" s="94" t="s">
        <v>6057</v>
      </c>
      <c r="AI149" s="99"/>
      <c r="AJ149" s="94" t="s">
        <v>4719</v>
      </c>
      <c r="AK149" s="94" t="s">
        <v>6058</v>
      </c>
      <c r="AL149" s="97"/>
      <c r="AM149" s="94" t="s">
        <v>6059</v>
      </c>
      <c r="AN149" s="94" t="s">
        <v>5031</v>
      </c>
      <c r="AO149" s="94" t="s">
        <v>6060</v>
      </c>
      <c r="AP149" s="94" t="s">
        <v>2058</v>
      </c>
      <c r="AQ149" s="94" t="s">
        <v>6061</v>
      </c>
      <c r="AR149" s="94" t="s">
        <v>6062</v>
      </c>
      <c r="AS149" s="94" t="s">
        <v>6063</v>
      </c>
      <c r="AT149" s="94" t="s">
        <v>6064</v>
      </c>
      <c r="AU149" s="94" t="s">
        <v>602</v>
      </c>
      <c r="AV149" s="94" t="s">
        <v>1582</v>
      </c>
      <c r="AW149" s="94" t="s">
        <v>6065</v>
      </c>
      <c r="AX149" s="99"/>
      <c r="AY149" s="94" t="s">
        <v>6066</v>
      </c>
      <c r="AZ149" s="94" t="s">
        <v>6067</v>
      </c>
      <c r="BA149" s="99"/>
      <c r="BB149" s="94" t="s">
        <v>6068</v>
      </c>
      <c r="BC149" s="94" t="s">
        <v>6069</v>
      </c>
      <c r="BD149" s="94" t="s">
        <v>3181</v>
      </c>
      <c r="BE149" s="94" t="s">
        <v>3766</v>
      </c>
      <c r="BF149" s="94" t="s">
        <v>6070</v>
      </c>
      <c r="BG149" s="94" t="s">
        <v>6071</v>
      </c>
      <c r="BH149" s="94" t="s">
        <v>6072</v>
      </c>
      <c r="BI149" s="94" t="s">
        <v>6073</v>
      </c>
      <c r="BJ149" s="99"/>
      <c r="BK149" s="99"/>
      <c r="BL149" s="94" t="s">
        <v>457</v>
      </c>
      <c r="BM149" s="94" t="s">
        <v>6074</v>
      </c>
      <c r="BN149" s="94" t="s">
        <v>4285</v>
      </c>
      <c r="BO149" s="94" t="s">
        <v>561</v>
      </c>
      <c r="BP149" s="94" t="s">
        <v>6075</v>
      </c>
      <c r="BQ149" s="237"/>
      <c r="BR149" s="94" t="s">
        <v>6076</v>
      </c>
      <c r="BS149" s="94" t="s">
        <v>1160</v>
      </c>
      <c r="BT149" s="94" t="s">
        <v>951</v>
      </c>
      <c r="BU149" s="94" t="s">
        <v>2357</v>
      </c>
      <c r="BV149" s="94" t="s">
        <v>6077</v>
      </c>
      <c r="BW149" s="94" t="s">
        <v>6078</v>
      </c>
      <c r="BX149" s="94" t="s">
        <v>1583</v>
      </c>
      <c r="BY149" s="94" t="s">
        <v>1252</v>
      </c>
      <c r="BZ149" s="99"/>
      <c r="CA149" s="94" t="s">
        <v>6079</v>
      </c>
      <c r="CB149" s="94" t="s">
        <v>6080</v>
      </c>
      <c r="CC149" s="94" t="s">
        <v>453</v>
      </c>
      <c r="CD149" s="94" t="s">
        <v>181</v>
      </c>
      <c r="CE149" s="94" t="s">
        <v>6081</v>
      </c>
      <c r="CF149" s="237"/>
      <c r="CG149" s="94" t="s">
        <v>6082</v>
      </c>
      <c r="CH149" s="94" t="s">
        <v>1449</v>
      </c>
      <c r="CI149" s="94" t="s">
        <v>489</v>
      </c>
      <c r="CJ149" s="94" t="s">
        <v>6083</v>
      </c>
      <c r="CK149" s="94"/>
      <c r="CL149" s="94" t="s">
        <v>5066</v>
      </c>
      <c r="CM149" s="94" t="s">
        <v>6084</v>
      </c>
      <c r="CN149" s="94" t="s">
        <v>3813</v>
      </c>
      <c r="CO149" s="94" t="s">
        <v>2123</v>
      </c>
      <c r="CP149" s="94" t="s">
        <v>6085</v>
      </c>
      <c r="CQ149" s="94" t="s">
        <v>6086</v>
      </c>
      <c r="CR149" s="99"/>
      <c r="CS149" s="94" t="s">
        <v>5040</v>
      </c>
      <c r="CT149" s="94" t="s">
        <v>6087</v>
      </c>
      <c r="CU149" s="92"/>
      <c r="CV149" s="94" t="s">
        <v>2899</v>
      </c>
      <c r="CW149" s="94" t="s">
        <v>6088</v>
      </c>
      <c r="CX149" s="94" t="s">
        <v>2443</v>
      </c>
      <c r="CY149" s="94" t="s">
        <v>6089</v>
      </c>
      <c r="CZ149" s="94" t="s">
        <v>1432</v>
      </c>
      <c r="DA149" s="94" t="s">
        <v>4218</v>
      </c>
      <c r="DB149" s="94" t="s">
        <v>6090</v>
      </c>
      <c r="DC149" s="94" t="s">
        <v>6091</v>
      </c>
      <c r="DD149" s="94" t="s">
        <v>6092</v>
      </c>
      <c r="DE149" s="94" t="s">
        <v>4180</v>
      </c>
      <c r="DF149" s="94" t="s">
        <v>1889</v>
      </c>
      <c r="DG149" s="94" t="s">
        <v>6093</v>
      </c>
      <c r="DH149" s="237"/>
      <c r="DI149" s="94" t="s">
        <v>4047</v>
      </c>
      <c r="DJ149" s="99"/>
      <c r="DK149" s="94" t="s">
        <v>2797</v>
      </c>
      <c r="DL149" s="94" t="s">
        <v>2114</v>
      </c>
      <c r="DM149" s="94" t="s">
        <v>3702</v>
      </c>
      <c r="DN149" s="94" t="s">
        <v>2419</v>
      </c>
      <c r="DO149" s="94" t="s">
        <v>4133</v>
      </c>
      <c r="DP149" s="94" t="s">
        <v>6094</v>
      </c>
      <c r="DQ149" s="94" t="s">
        <v>179</v>
      </c>
      <c r="DR149" s="94" t="s">
        <v>6095</v>
      </c>
      <c r="DS149" s="94" t="s">
        <v>3136</v>
      </c>
      <c r="DT149" s="94" t="s">
        <v>4836</v>
      </c>
      <c r="DU149" s="94" t="s">
        <v>6096</v>
      </c>
      <c r="DV149" s="94" t="s">
        <v>6097</v>
      </c>
      <c r="DW149" s="94" t="s">
        <v>1048</v>
      </c>
      <c r="DX149" s="94" t="s">
        <v>3887</v>
      </c>
      <c r="DY149" s="94" t="s">
        <v>6098</v>
      </c>
      <c r="DZ149" s="94" t="s">
        <v>4465</v>
      </c>
      <c r="EA149" s="94" t="s">
        <v>2586</v>
      </c>
      <c r="EB149" s="94" t="s">
        <v>5025</v>
      </c>
      <c r="EC149" s="94" t="s">
        <v>2321</v>
      </c>
      <c r="ED149" s="578" t="s">
        <v>4443</v>
      </c>
    </row>
    <row r="150">
      <c r="A150" s="695" t="s">
        <v>6099</v>
      </c>
      <c r="B150" s="104" t="s">
        <v>6100</v>
      </c>
      <c r="C150" s="105" t="s">
        <v>1260</v>
      </c>
      <c r="D150" s="106" t="s">
        <v>547</v>
      </c>
      <c r="E150" s="107" t="s">
        <v>1260</v>
      </c>
      <c r="F150" s="108" t="s">
        <v>1055</v>
      </c>
      <c r="G150" s="104" t="s">
        <v>983</v>
      </c>
      <c r="H150" s="242"/>
      <c r="I150" s="167" t="s">
        <v>6101</v>
      </c>
      <c r="J150" s="167" t="s">
        <v>4359</v>
      </c>
      <c r="K150" s="112" t="s">
        <v>665</v>
      </c>
      <c r="L150" s="112" t="s">
        <v>6102</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6103</v>
      </c>
      <c r="CW150" s="253"/>
      <c r="CX150" s="140" t="s">
        <v>6104</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6105</v>
      </c>
      <c r="DT150" s="255"/>
      <c r="DU150" s="255"/>
      <c r="DV150" s="255"/>
      <c r="DW150" s="255"/>
      <c r="DX150" s="255"/>
      <c r="DY150" s="255"/>
      <c r="DZ150" s="255"/>
      <c r="EA150" s="255"/>
      <c r="EB150" s="255"/>
      <c r="EC150" s="255"/>
      <c r="ED150" s="305" t="s">
        <v>6106</v>
      </c>
    </row>
    <row r="151">
      <c r="A151" s="694" t="s">
        <v>6107</v>
      </c>
      <c r="B151" s="82" t="s">
        <v>6108</v>
      </c>
      <c r="C151" s="83" t="s">
        <v>1260</v>
      </c>
      <c r="D151" s="84" t="s">
        <v>1260</v>
      </c>
      <c r="E151" s="85" t="s">
        <v>1260</v>
      </c>
      <c r="F151" s="86" t="s">
        <v>222</v>
      </c>
      <c r="G151" s="82" t="s">
        <v>5881</v>
      </c>
      <c r="H151" s="93"/>
      <c r="I151" s="98" t="s">
        <v>6109</v>
      </c>
      <c r="J151" s="88" t="s">
        <v>4740</v>
      </c>
      <c r="K151" s="88" t="s">
        <v>6110</v>
      </c>
      <c r="L151" s="88" t="s">
        <v>2100</v>
      </c>
      <c r="M151" s="102"/>
      <c r="N151" s="88" t="s">
        <v>715</v>
      </c>
      <c r="O151" s="266" t="s">
        <v>6111</v>
      </c>
      <c r="P151" s="88" t="s">
        <v>1933</v>
      </c>
      <c r="Q151" s="99"/>
      <c r="R151" s="99"/>
      <c r="S151" s="99"/>
      <c r="T151" s="99"/>
      <c r="U151" s="99"/>
      <c r="V151" s="99"/>
      <c r="W151" s="92"/>
      <c r="X151" s="88" t="s">
        <v>5575</v>
      </c>
      <c r="Y151" s="102"/>
      <c r="Z151" s="102" t="s">
        <v>6112</v>
      </c>
      <c r="AA151" s="102" t="s">
        <v>6113</v>
      </c>
      <c r="AB151" s="266" t="s">
        <v>2874</v>
      </c>
      <c r="AC151" s="102"/>
      <c r="AD151" s="102" t="s">
        <v>6114</v>
      </c>
      <c r="AE151" s="99"/>
      <c r="AF151" s="102"/>
      <c r="AG151" s="102"/>
      <c r="AH151" s="99"/>
      <c r="AI151" s="99"/>
      <c r="AJ151" s="102"/>
      <c r="AK151" s="99"/>
      <c r="AL151" s="97"/>
      <c r="AM151" s="102"/>
      <c r="AN151" s="102"/>
      <c r="AO151" s="99"/>
      <c r="AP151" s="99"/>
      <c r="AQ151" s="94"/>
      <c r="AR151" s="94"/>
      <c r="AS151" s="99"/>
      <c r="AT151" s="99"/>
      <c r="AU151" s="88" t="s">
        <v>1192</v>
      </c>
      <c r="AV151" s="88" t="s">
        <v>6115</v>
      </c>
      <c r="AW151" s="102"/>
      <c r="AX151" s="99"/>
      <c r="AY151" s="99"/>
      <c r="AZ151" s="99"/>
      <c r="BA151" s="99"/>
      <c r="BB151" s="88" t="s">
        <v>6116</v>
      </c>
      <c r="BC151" s="266" t="s">
        <v>6117</v>
      </c>
      <c r="BD151" s="102"/>
      <c r="BE151" s="88" t="s">
        <v>1538</v>
      </c>
      <c r="BF151" s="88" t="s">
        <v>4575</v>
      </c>
      <c r="BG151" s="102"/>
      <c r="BH151" s="99"/>
      <c r="BI151" s="88" t="s">
        <v>3056</v>
      </c>
      <c r="BJ151" s="266" t="s">
        <v>6118</v>
      </c>
      <c r="BK151" s="102"/>
      <c r="BL151" s="102"/>
      <c r="BM151" s="99"/>
      <c r="BN151" s="99"/>
      <c r="BO151" s="102"/>
      <c r="BP151" s="99"/>
      <c r="BQ151" s="237"/>
      <c r="BR151" s="102" t="s">
        <v>2509</v>
      </c>
      <c r="BS151" s="102" t="s">
        <v>6119</v>
      </c>
      <c r="BT151" s="102"/>
      <c r="BU151" s="102" t="s">
        <v>3109</v>
      </c>
      <c r="BV151" s="102" t="s">
        <v>6120</v>
      </c>
      <c r="BW151" s="102"/>
      <c r="BX151" s="99"/>
      <c r="BY151" s="102"/>
      <c r="BZ151" s="102"/>
      <c r="CA151" s="102"/>
      <c r="CB151" s="99"/>
      <c r="CC151" s="99"/>
      <c r="CD151" s="99"/>
      <c r="CE151" s="99"/>
      <c r="CF151" s="237"/>
      <c r="CG151" s="102" t="s">
        <v>6121</v>
      </c>
      <c r="CH151" s="102" t="s">
        <v>1866</v>
      </c>
      <c r="CI151" s="102" t="s">
        <v>3538</v>
      </c>
      <c r="CJ151" s="102" t="s">
        <v>6122</v>
      </c>
      <c r="CK151" s="102"/>
      <c r="CL151" s="102"/>
      <c r="CM151" s="102" t="s">
        <v>6123</v>
      </c>
      <c r="CN151" s="88" t="s">
        <v>2656</v>
      </c>
      <c r="CO151" s="102"/>
      <c r="CP151" s="222"/>
      <c r="CQ151" s="99"/>
      <c r="CR151" s="99"/>
      <c r="CS151" s="99"/>
      <c r="CT151" s="99"/>
      <c r="CU151" s="92"/>
      <c r="CV151" s="88" t="s">
        <v>5276</v>
      </c>
      <c r="CW151" s="102"/>
      <c r="CX151" s="266" t="s">
        <v>6124</v>
      </c>
      <c r="CY151" s="102"/>
      <c r="CZ151" s="88" t="s">
        <v>6125</v>
      </c>
      <c r="DA151" s="102"/>
      <c r="DB151" s="88" t="s">
        <v>6126</v>
      </c>
      <c r="DC151" s="102"/>
      <c r="DD151" s="99"/>
      <c r="DE151" s="99"/>
      <c r="DF151" s="99"/>
      <c r="DG151" s="99"/>
      <c r="DH151" s="237"/>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58"/>
    </row>
    <row r="152">
      <c r="A152" s="166" t="s">
        <v>6128</v>
      </c>
      <c r="B152" s="104" t="s">
        <v>6129</v>
      </c>
      <c r="C152" s="105" t="s">
        <v>1260</v>
      </c>
      <c r="D152" s="106" t="s">
        <v>1260</v>
      </c>
      <c r="E152" s="107" t="s">
        <v>1260</v>
      </c>
      <c r="F152" s="108" t="s">
        <v>547</v>
      </c>
      <c r="G152" s="104" t="s">
        <v>3061</v>
      </c>
      <c r="H152" s="242"/>
      <c r="I152" s="242"/>
      <c r="J152" s="167" t="s">
        <v>6130</v>
      </c>
      <c r="K152" s="167" t="s">
        <v>665</v>
      </c>
      <c r="L152" s="167" t="s">
        <v>6131</v>
      </c>
      <c r="M152" s="242"/>
      <c r="N152" s="167" t="s">
        <v>2602</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6135</v>
      </c>
      <c r="B153" s="82" t="s">
        <v>6136</v>
      </c>
      <c r="C153" s="83" t="s">
        <v>1260</v>
      </c>
      <c r="D153" s="84" t="s">
        <v>1260</v>
      </c>
      <c r="E153" s="85" t="s">
        <v>1260</v>
      </c>
      <c r="F153" s="86" t="s">
        <v>332</v>
      </c>
      <c r="G153" s="82" t="s">
        <v>2937</v>
      </c>
      <c r="H153" s="258"/>
      <c r="I153" s="258" t="s">
        <v>2817</v>
      </c>
      <c r="J153" s="98" t="s">
        <v>6137</v>
      </c>
      <c r="K153" s="258" t="s">
        <v>6138</v>
      </c>
      <c r="L153" s="102" t="s">
        <v>4149</v>
      </c>
      <c r="M153" s="102" t="s">
        <v>6139</v>
      </c>
      <c r="N153" s="102" t="s">
        <v>5842</v>
      </c>
      <c r="O153" s="102" t="s">
        <v>6140</v>
      </c>
      <c r="P153" s="102" t="s">
        <v>3105</v>
      </c>
      <c r="Q153" s="99"/>
      <c r="R153" s="99"/>
      <c r="S153" s="99"/>
      <c r="T153" s="99"/>
      <c r="U153" s="99"/>
      <c r="V153" s="99"/>
      <c r="W153" s="92"/>
      <c r="X153" s="102"/>
      <c r="Y153" s="93"/>
      <c r="Z153" s="88" t="s">
        <v>2839</v>
      </c>
      <c r="AA153" s="102" t="s">
        <v>5148</v>
      </c>
      <c r="AB153" s="266"/>
      <c r="AC153" s="102" t="s">
        <v>4364</v>
      </c>
      <c r="AD153" s="102"/>
      <c r="AE153" s="99"/>
      <c r="AF153" s="102" t="s">
        <v>6141</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6142</v>
      </c>
      <c r="BG153" s="102"/>
      <c r="BH153" s="99"/>
      <c r="BI153" s="102"/>
      <c r="BJ153" s="99"/>
      <c r="BK153" s="102"/>
      <c r="BL153" s="102"/>
      <c r="BM153" s="99"/>
      <c r="BN153" s="99"/>
      <c r="BO153" s="102"/>
      <c r="BP153" s="99"/>
      <c r="BQ153" s="237"/>
      <c r="BR153" s="102" t="s">
        <v>6143</v>
      </c>
      <c r="BS153" s="102"/>
      <c r="BT153" s="102"/>
      <c r="BU153" s="88" t="s">
        <v>998</v>
      </c>
      <c r="BV153" s="102"/>
      <c r="BW153" s="102" t="s">
        <v>6015</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6148</v>
      </c>
      <c r="B154" s="104" t="s">
        <v>6149</v>
      </c>
      <c r="C154" s="105" t="s">
        <v>1260</v>
      </c>
      <c r="D154" s="106" t="s">
        <v>1260</v>
      </c>
      <c r="E154" s="107" t="s">
        <v>1260</v>
      </c>
      <c r="F154" s="108" t="s">
        <v>1260</v>
      </c>
      <c r="G154" s="104" t="s">
        <v>4686</v>
      </c>
      <c r="H154" s="699"/>
      <c r="I154" s="321"/>
      <c r="J154" s="321" t="s">
        <v>1182</v>
      </c>
      <c r="K154" s="321" t="s">
        <v>352</v>
      </c>
      <c r="L154" s="321" t="s">
        <v>662</v>
      </c>
      <c r="M154" s="321"/>
      <c r="N154" s="321"/>
      <c r="O154" s="321" t="s">
        <v>6150</v>
      </c>
      <c r="P154" s="321" t="s">
        <v>6151</v>
      </c>
      <c r="Q154" s="594"/>
      <c r="R154" s="594"/>
      <c r="S154" s="275" t="s">
        <v>3014</v>
      </c>
      <c r="T154" s="594"/>
      <c r="U154" s="594"/>
      <c r="V154" s="594"/>
      <c r="W154" s="583"/>
      <c r="X154" s="335" t="s">
        <v>6152</v>
      </c>
      <c r="Y154" s="335"/>
      <c r="Z154" s="335" t="s">
        <v>2839</v>
      </c>
      <c r="AA154" s="335" t="s">
        <v>131</v>
      </c>
      <c r="AB154" s="335" t="s">
        <v>6153</v>
      </c>
      <c r="AC154" s="335" t="s">
        <v>3885</v>
      </c>
      <c r="AD154" s="335" t="s">
        <v>6154</v>
      </c>
      <c r="AE154" s="595"/>
      <c r="AF154" s="335" t="s">
        <v>6155</v>
      </c>
      <c r="AG154" s="335" t="s">
        <v>4750</v>
      </c>
      <c r="AH154" s="595"/>
      <c r="AI154" s="595"/>
      <c r="AJ154" s="335"/>
      <c r="AK154" s="700"/>
      <c r="AL154" s="577"/>
      <c r="AM154" s="431"/>
      <c r="AN154" s="431" t="s">
        <v>1616</v>
      </c>
      <c r="AO154" s="597"/>
      <c r="AP154" s="597"/>
      <c r="AQ154" s="596"/>
      <c r="AR154" s="596"/>
      <c r="AS154" s="597"/>
      <c r="AT154" s="597"/>
      <c r="AU154" s="431" t="s">
        <v>3642</v>
      </c>
      <c r="AV154" s="431" t="s">
        <v>772</v>
      </c>
      <c r="AW154" s="431"/>
      <c r="AX154" s="597"/>
      <c r="AY154" s="597"/>
      <c r="AZ154" s="597"/>
      <c r="BA154" s="597"/>
      <c r="BB154" s="201"/>
      <c r="BC154" s="201" t="s">
        <v>6156</v>
      </c>
      <c r="BD154" s="201" t="s">
        <v>3339</v>
      </c>
      <c r="BE154" s="201" t="s">
        <v>6157</v>
      </c>
      <c r="BF154" s="201" t="s">
        <v>2426</v>
      </c>
      <c r="BG154" s="201" t="s">
        <v>6158</v>
      </c>
      <c r="BH154" s="598"/>
      <c r="BI154" s="201" t="s">
        <v>2821</v>
      </c>
      <c r="BJ154" s="598"/>
      <c r="BK154" s="201" t="s">
        <v>6159</v>
      </c>
      <c r="BL154" s="201" t="s">
        <v>4216</v>
      </c>
      <c r="BM154" s="598"/>
      <c r="BN154" s="598"/>
      <c r="BO154" s="201"/>
      <c r="BP154" s="598"/>
      <c r="BQ154" s="600"/>
      <c r="BR154" s="343"/>
      <c r="BS154" s="343" t="s">
        <v>6160</v>
      </c>
      <c r="BT154" s="343" t="s">
        <v>4235</v>
      </c>
      <c r="BU154" s="343" t="s">
        <v>6161</v>
      </c>
      <c r="BV154" s="343" t="s">
        <v>6162</v>
      </c>
      <c r="BW154" s="343" t="s">
        <v>1399</v>
      </c>
      <c r="BX154" s="601"/>
      <c r="BY154" s="343"/>
      <c r="BZ154" s="343" t="s">
        <v>6163</v>
      </c>
      <c r="CA154" s="343" t="s">
        <v>6164</v>
      </c>
      <c r="CB154" s="309"/>
      <c r="CC154" s="601"/>
      <c r="CD154" s="601"/>
      <c r="CE154" s="601"/>
      <c r="CF154" s="602"/>
      <c r="CG154" s="336" t="s">
        <v>5980</v>
      </c>
      <c r="CH154" s="336" t="s">
        <v>6165</v>
      </c>
      <c r="CI154" s="336"/>
      <c r="CJ154" s="336"/>
      <c r="CK154" s="336" t="s">
        <v>6166</v>
      </c>
      <c r="CL154" s="336"/>
      <c r="CM154" s="336"/>
      <c r="CN154" s="336" t="s">
        <v>2656</v>
      </c>
      <c r="CO154" s="336" t="s">
        <v>6167</v>
      </c>
      <c r="CP154" s="604"/>
      <c r="CQ154" s="606"/>
      <c r="CR154" s="606"/>
      <c r="CS154" s="606"/>
      <c r="CT154" s="606"/>
      <c r="CU154" s="583"/>
      <c r="CV154" s="284" t="s">
        <v>2077</v>
      </c>
      <c r="CW154" s="284"/>
      <c r="CX154" s="284" t="s">
        <v>3945</v>
      </c>
      <c r="CY154" s="284"/>
      <c r="CZ154" s="284"/>
      <c r="DA154" s="284"/>
      <c r="DB154" s="284" t="s">
        <v>6168</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6169</v>
      </c>
      <c r="B155" s="82" t="s">
        <v>6170</v>
      </c>
      <c r="C155" s="83" t="s">
        <v>1260</v>
      </c>
      <c r="D155" s="84" t="s">
        <v>1260</v>
      </c>
      <c r="E155" s="85" t="s">
        <v>1260</v>
      </c>
      <c r="F155" s="86" t="s">
        <v>1260</v>
      </c>
      <c r="G155" s="82" t="s">
        <v>2547</v>
      </c>
      <c r="H155" s="102"/>
      <c r="I155" s="95" t="s">
        <v>5182</v>
      </c>
      <c r="J155" s="102" t="s">
        <v>6171</v>
      </c>
      <c r="K155" s="102" t="s">
        <v>6172</v>
      </c>
      <c r="L155" s="102" t="s">
        <v>5996</v>
      </c>
      <c r="M155" s="102" t="s">
        <v>6173</v>
      </c>
      <c r="N155" s="102" t="s">
        <v>1092</v>
      </c>
      <c r="O155" s="102" t="s">
        <v>481</v>
      </c>
      <c r="P155" s="102" t="s">
        <v>764</v>
      </c>
      <c r="Q155" s="99"/>
      <c r="R155" s="99"/>
      <c r="S155" s="94"/>
      <c r="T155" s="99"/>
      <c r="U155" s="99"/>
      <c r="V155" s="99"/>
      <c r="W155" s="92"/>
      <c r="X155" s="102" t="s">
        <v>4363</v>
      </c>
      <c r="Y155" s="102"/>
      <c r="Z155" s="102" t="s">
        <v>2087</v>
      </c>
      <c r="AA155" s="102" t="s">
        <v>6174</v>
      </c>
      <c r="AB155" s="266"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6070</v>
      </c>
      <c r="BC155" s="102" t="s">
        <v>4970</v>
      </c>
      <c r="BD155" s="102" t="s">
        <v>998</v>
      </c>
      <c r="BE155" s="102" t="s">
        <v>6179</v>
      </c>
      <c r="BF155" s="102" t="s">
        <v>6180</v>
      </c>
      <c r="BG155" s="102"/>
      <c r="BH155" s="99"/>
      <c r="BI155" s="102" t="s">
        <v>6181</v>
      </c>
      <c r="BJ155" s="94" t="s">
        <v>6182</v>
      </c>
      <c r="BK155" s="102"/>
      <c r="BL155" s="102" t="s">
        <v>1953</v>
      </c>
      <c r="BM155" s="99"/>
      <c r="BN155" s="99"/>
      <c r="BO155" s="102"/>
      <c r="BP155" s="99"/>
      <c r="BQ155" s="237"/>
      <c r="BR155" s="701" t="s">
        <v>6183</v>
      </c>
      <c r="BS155" s="102" t="s">
        <v>1356</v>
      </c>
      <c r="BT155" s="102" t="s">
        <v>5638</v>
      </c>
      <c r="BU155" s="102" t="s">
        <v>6184</v>
      </c>
      <c r="BV155" s="102" t="s">
        <v>6185</v>
      </c>
      <c r="BW155" s="102" t="s">
        <v>1518</v>
      </c>
      <c r="BX155" s="94" t="s">
        <v>4207</v>
      </c>
      <c r="BY155" s="102" t="s">
        <v>6186</v>
      </c>
      <c r="BZ155" s="102"/>
      <c r="CA155" s="102" t="s">
        <v>1444</v>
      </c>
      <c r="CB155" s="99"/>
      <c r="CC155" s="99"/>
      <c r="CD155" s="99"/>
      <c r="CE155" s="99"/>
      <c r="CF155" s="237"/>
      <c r="CG155" s="102" t="s">
        <v>6187</v>
      </c>
      <c r="CH155" s="102" t="s">
        <v>2128</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1791</v>
      </c>
      <c r="CY155" s="102" t="s">
        <v>4227</v>
      </c>
      <c r="CZ155" s="102" t="s">
        <v>6193</v>
      </c>
      <c r="DA155" s="102" t="s">
        <v>5236</v>
      </c>
      <c r="DB155" s="102" t="s">
        <v>6075</v>
      </c>
      <c r="DC155" s="102" t="s">
        <v>6174</v>
      </c>
      <c r="DD155" s="99"/>
      <c r="DE155" s="99"/>
      <c r="DF155" s="99"/>
      <c r="DG155" s="99"/>
      <c r="DH155" s="237"/>
      <c r="DI155" s="102" t="s">
        <v>2849</v>
      </c>
      <c r="DJ155" s="99"/>
      <c r="DK155" s="99"/>
      <c r="DL155" s="102"/>
      <c r="DM155" s="102"/>
      <c r="DN155" s="102"/>
      <c r="DO155" s="99"/>
      <c r="DP155" s="99"/>
      <c r="DQ155" s="99"/>
      <c r="DR155" s="102" t="s">
        <v>6194</v>
      </c>
      <c r="DS155" s="102" t="s">
        <v>4400</v>
      </c>
      <c r="DT155" s="99"/>
      <c r="DU155" s="102"/>
      <c r="DV155" s="99"/>
      <c r="DW155" s="99"/>
      <c r="DX155" s="99"/>
      <c r="DY155" s="99"/>
      <c r="DZ155" s="99"/>
      <c r="EA155" s="102"/>
      <c r="EB155" s="99"/>
      <c r="EC155" s="99"/>
      <c r="ED155" s="258"/>
    </row>
    <row r="156">
      <c r="A156" s="166" t="s">
        <v>6195</v>
      </c>
      <c r="B156" s="104" t="s">
        <v>6196</v>
      </c>
      <c r="C156" s="105" t="s">
        <v>1260</v>
      </c>
      <c r="D156" s="106" t="s">
        <v>1260</v>
      </c>
      <c r="E156" s="107" t="s">
        <v>1260</v>
      </c>
      <c r="F156" s="108" t="s">
        <v>439</v>
      </c>
      <c r="G156" s="104" t="s">
        <v>5881</v>
      </c>
      <c r="H156" s="167"/>
      <c r="I156" s="112" t="s">
        <v>6197</v>
      </c>
      <c r="J156" s="112" t="s">
        <v>1743</v>
      </c>
      <c r="K156" s="112" t="s">
        <v>1894</v>
      </c>
      <c r="L156" s="112" t="s">
        <v>6198</v>
      </c>
      <c r="M156" s="167" t="s">
        <v>6199</v>
      </c>
      <c r="N156" s="167" t="s">
        <v>3744</v>
      </c>
      <c r="O156" s="167" t="s">
        <v>5293</v>
      </c>
      <c r="P156" s="167" t="s">
        <v>3957</v>
      </c>
      <c r="Q156" s="242"/>
      <c r="R156" s="242"/>
      <c r="S156" s="242"/>
      <c r="T156" s="242"/>
      <c r="U156" s="242"/>
      <c r="V156" s="242"/>
      <c r="W156" s="92"/>
      <c r="X156" s="198" t="s">
        <v>6200</v>
      </c>
      <c r="Y156" s="244"/>
      <c r="Z156" s="244"/>
      <c r="AA156" s="198" t="s">
        <v>678</v>
      </c>
      <c r="AB156" s="198" t="s">
        <v>5234</v>
      </c>
      <c r="AC156" s="116" t="s">
        <v>5535</v>
      </c>
      <c r="AD156" s="244"/>
      <c r="AE156" s="244"/>
      <c r="AF156" s="198" t="s">
        <v>6201</v>
      </c>
      <c r="AG156" s="198" t="s">
        <v>305</v>
      </c>
      <c r="AH156" s="244"/>
      <c r="AI156" s="244"/>
      <c r="AJ156" s="244"/>
      <c r="AK156" s="244"/>
      <c r="AL156" s="97"/>
      <c r="AM156" s="168"/>
      <c r="AN156" s="168" t="s">
        <v>5558</v>
      </c>
      <c r="AO156" s="245"/>
      <c r="AP156" s="245"/>
      <c r="AQ156" s="245"/>
      <c r="AR156" s="245"/>
      <c r="AS156" s="245"/>
      <c r="AT156" s="245"/>
      <c r="AU156" s="168" t="s">
        <v>6202</v>
      </c>
      <c r="AV156" s="245"/>
      <c r="AW156" s="168" t="s">
        <v>384</v>
      </c>
      <c r="AX156" s="245"/>
      <c r="AY156" s="245"/>
      <c r="AZ156" s="245"/>
      <c r="BA156" s="245"/>
      <c r="BB156" s="173"/>
      <c r="BC156" s="174" t="s">
        <v>5877</v>
      </c>
      <c r="BD156" s="173"/>
      <c r="BE156" s="174" t="s">
        <v>6203</v>
      </c>
      <c r="BF156" s="174" t="s">
        <v>1458</v>
      </c>
      <c r="BG156" s="174" t="s">
        <v>4770</v>
      </c>
      <c r="BH156" s="173"/>
      <c r="BI156" s="126" t="s">
        <v>6204</v>
      </c>
      <c r="BJ156" s="173"/>
      <c r="BK156" s="173"/>
      <c r="BL156" s="174" t="s">
        <v>104</v>
      </c>
      <c r="BM156" s="173"/>
      <c r="BN156" s="173"/>
      <c r="BO156" s="173"/>
      <c r="BP156" s="173"/>
      <c r="BQ156" s="247"/>
      <c r="BR156" s="175"/>
      <c r="BS156" s="249"/>
      <c r="BT156" s="249"/>
      <c r="BU156" s="175" t="s">
        <v>6205</v>
      </c>
      <c r="BV156" s="249"/>
      <c r="BW156" s="175" t="s">
        <v>1835</v>
      </c>
      <c r="BX156" s="249"/>
      <c r="BY156" s="175" t="s">
        <v>6206</v>
      </c>
      <c r="BZ156" s="249"/>
      <c r="CA156" s="175" t="s">
        <v>6207</v>
      </c>
      <c r="CB156" s="249"/>
      <c r="CC156" s="249"/>
      <c r="CD156" s="249"/>
      <c r="CE156" s="249"/>
      <c r="CF156" s="251"/>
      <c r="CG156" s="252"/>
      <c r="CH156" s="177" t="s">
        <v>6208</v>
      </c>
      <c r="CI156" s="252"/>
      <c r="CJ156" s="262" t="s">
        <v>6209</v>
      </c>
      <c r="CK156" s="262"/>
      <c r="CL156" s="262" t="s">
        <v>5859</v>
      </c>
      <c r="CM156" s="252"/>
      <c r="CN156" s="252"/>
      <c r="CO156" s="252"/>
      <c r="CP156" s="252"/>
      <c r="CQ156" s="252"/>
      <c r="CR156" s="252"/>
      <c r="CS156" s="252"/>
      <c r="CT156" s="252"/>
      <c r="CU156" s="92"/>
      <c r="CV156" s="253"/>
      <c r="CW156" s="204" t="s">
        <v>5721</v>
      </c>
      <c r="CX156" s="204" t="s">
        <v>6210</v>
      </c>
      <c r="CY156" s="253"/>
      <c r="CZ156" s="253"/>
      <c r="DA156" s="204" t="s">
        <v>5503</v>
      </c>
      <c r="DB156" s="233" t="s">
        <v>5646</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1260</v>
      </c>
      <c r="D157" s="84" t="s">
        <v>1260</v>
      </c>
      <c r="E157" s="85" t="s">
        <v>1260</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1260</v>
      </c>
      <c r="D158" s="106" t="s">
        <v>1260</v>
      </c>
      <c r="E158" s="107" t="s">
        <v>1260</v>
      </c>
      <c r="F158" s="108" t="s">
        <v>438</v>
      </c>
      <c r="G158" s="104" t="s">
        <v>5698</v>
      </c>
      <c r="H158" s="242"/>
      <c r="I158" s="167" t="s">
        <v>1982</v>
      </c>
      <c r="J158" s="167" t="s">
        <v>2598</v>
      </c>
      <c r="K158" s="167" t="s">
        <v>3108</v>
      </c>
      <c r="L158" s="167" t="s">
        <v>2564</v>
      </c>
      <c r="M158" s="167" t="s">
        <v>6216</v>
      </c>
      <c r="N158" s="167" t="s">
        <v>6217</v>
      </c>
      <c r="O158" s="167" t="s">
        <v>6218</v>
      </c>
      <c r="P158" s="167" t="s">
        <v>4162</v>
      </c>
      <c r="Q158" s="242"/>
      <c r="R158" s="242"/>
      <c r="S158" s="242"/>
      <c r="T158" s="242"/>
      <c r="U158" s="242"/>
      <c r="V158" s="242"/>
      <c r="W158" s="92"/>
      <c r="X158" s="198" t="s">
        <v>5421</v>
      </c>
      <c r="Y158" s="198"/>
      <c r="Z158" s="198" t="s">
        <v>2135</v>
      </c>
      <c r="AA158" s="198" t="s">
        <v>2253</v>
      </c>
      <c r="AB158" s="198" t="s">
        <v>1854</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3311</v>
      </c>
      <c r="AW158" s="245"/>
      <c r="AX158" s="245"/>
      <c r="AY158" s="245"/>
      <c r="AZ158" s="245"/>
      <c r="BA158" s="245"/>
      <c r="BB158" s="173"/>
      <c r="BC158" s="174" t="s">
        <v>1213</v>
      </c>
      <c r="BD158" s="173"/>
      <c r="BE158" s="174" t="s">
        <v>1777</v>
      </c>
      <c r="BF158" s="173"/>
      <c r="BG158" s="174" t="s">
        <v>6221</v>
      </c>
      <c r="BH158" s="173"/>
      <c r="BI158" s="126" t="s">
        <v>1603</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6222</v>
      </c>
      <c r="CY158" s="204" t="s">
        <v>4261</v>
      </c>
      <c r="CZ158" s="253"/>
      <c r="DA158" s="253"/>
      <c r="DB158" s="253"/>
      <c r="DC158" s="204" t="s">
        <v>1010</v>
      </c>
      <c r="DD158" s="253"/>
      <c r="DE158" s="253"/>
      <c r="DF158" s="253"/>
      <c r="DG158" s="253"/>
      <c r="DH158" s="263"/>
      <c r="DI158" s="205" t="s">
        <v>6223</v>
      </c>
      <c r="DJ158" s="255"/>
      <c r="DK158" s="255"/>
      <c r="DL158" s="205"/>
      <c r="DM158" s="255"/>
      <c r="DN158" s="205" t="s">
        <v>1846</v>
      </c>
      <c r="DO158" s="205" t="s">
        <v>6224</v>
      </c>
      <c r="DP158" s="255"/>
      <c r="DQ158" s="255"/>
      <c r="DR158" s="255"/>
      <c r="DS158" s="255"/>
      <c r="DT158" s="255"/>
      <c r="DU158" s="255"/>
      <c r="DV158" s="255"/>
      <c r="DW158" s="255"/>
      <c r="DX158" s="255"/>
      <c r="DY158" s="255"/>
      <c r="DZ158" s="205" t="s">
        <v>6225</v>
      </c>
      <c r="EA158" s="255"/>
      <c r="EB158" s="255"/>
      <c r="EC158" s="205" t="s">
        <v>4255</v>
      </c>
      <c r="ED158" s="287"/>
    </row>
    <row r="159">
      <c r="A159" s="81" t="s">
        <v>6226</v>
      </c>
      <c r="B159" s="82" t="s">
        <v>6227</v>
      </c>
      <c r="C159" s="83" t="s">
        <v>1260</v>
      </c>
      <c r="D159" s="84" t="s">
        <v>1260</v>
      </c>
      <c r="E159" s="85" t="s">
        <v>1260</v>
      </c>
      <c r="F159" s="86" t="s">
        <v>1260</v>
      </c>
      <c r="G159" s="82" t="s">
        <v>2937</v>
      </c>
      <c r="H159" s="94" t="s">
        <v>2795</v>
      </c>
      <c r="I159" s="94" t="s">
        <v>6228</v>
      </c>
      <c r="J159" s="94" t="s">
        <v>4864</v>
      </c>
      <c r="K159" s="94" t="s">
        <v>552</v>
      </c>
      <c r="L159" s="94" t="s">
        <v>6229</v>
      </c>
      <c r="M159" s="99"/>
      <c r="N159" s="99"/>
      <c r="O159" s="94" t="s">
        <v>1904</v>
      </c>
      <c r="P159" s="94" t="s">
        <v>351</v>
      </c>
      <c r="Q159" s="94"/>
      <c r="R159" s="99"/>
      <c r="S159" s="94" t="s">
        <v>6230</v>
      </c>
      <c r="T159" s="99"/>
      <c r="U159" s="94" t="s">
        <v>2957</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6238</v>
      </c>
      <c r="B160" s="104" t="s">
        <v>6239</v>
      </c>
      <c r="C160" s="105" t="s">
        <v>1260</v>
      </c>
      <c r="D160" s="106" t="s">
        <v>1260</v>
      </c>
      <c r="E160" s="107" t="s">
        <v>1260</v>
      </c>
      <c r="F160" s="108" t="s">
        <v>3873</v>
      </c>
      <c r="G160" s="104" t="s">
        <v>333</v>
      </c>
      <c r="H160" s="242"/>
      <c r="I160" s="242"/>
      <c r="J160" s="167" t="s">
        <v>6240</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1354</v>
      </c>
      <c r="BU160" s="129" t="s">
        <v>4287</v>
      </c>
      <c r="BV160" s="249"/>
      <c r="BW160" s="304"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6244</v>
      </c>
      <c r="B161" s="82" t="s">
        <v>6245</v>
      </c>
      <c r="C161" s="83" t="s">
        <v>1260</v>
      </c>
      <c r="D161" s="84" t="s">
        <v>1260</v>
      </c>
      <c r="E161" s="85" t="s">
        <v>1260</v>
      </c>
      <c r="F161" s="86" t="s">
        <v>334</v>
      </c>
      <c r="G161" s="82" t="s">
        <v>3974</v>
      </c>
      <c r="H161" s="94" t="s">
        <v>6246</v>
      </c>
      <c r="I161" s="94" t="s">
        <v>4947</v>
      </c>
      <c r="J161" s="94" t="s">
        <v>2395</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6247</v>
      </c>
      <c r="AA161" s="94" t="s">
        <v>6248</v>
      </c>
      <c r="AB161" s="94" t="s">
        <v>4553</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1900</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6253</v>
      </c>
      <c r="B162" s="104" t="s">
        <v>6254</v>
      </c>
      <c r="C162" s="105" t="s">
        <v>1260</v>
      </c>
      <c r="D162" s="106" t="s">
        <v>1260</v>
      </c>
      <c r="E162" s="107" t="s">
        <v>1260</v>
      </c>
      <c r="F162" s="108" t="s">
        <v>438</v>
      </c>
      <c r="G162" s="104" t="s">
        <v>6255</v>
      </c>
      <c r="H162" s="418"/>
      <c r="I162" s="321" t="s">
        <v>1592</v>
      </c>
      <c r="J162" s="418"/>
      <c r="K162" s="321" t="s">
        <v>4059</v>
      </c>
      <c r="L162" s="418"/>
      <c r="M162" s="418"/>
      <c r="N162" s="418"/>
      <c r="O162" s="418"/>
      <c r="P162" s="321" t="s">
        <v>4895</v>
      </c>
      <c r="Q162" s="242"/>
      <c r="R162" s="242"/>
      <c r="S162" s="242"/>
      <c r="T162" s="242"/>
      <c r="U162" s="242"/>
      <c r="V162" s="242"/>
      <c r="W162" s="92"/>
      <c r="X162" s="335" t="s">
        <v>6256</v>
      </c>
      <c r="Y162" s="117"/>
      <c r="Z162" s="117"/>
      <c r="AA162" s="335" t="s">
        <v>1512</v>
      </c>
      <c r="AB162" s="296"/>
      <c r="AC162" s="114" t="s">
        <v>1695</v>
      </c>
      <c r="AD162" s="117"/>
      <c r="AE162" s="244"/>
      <c r="AF162" s="117"/>
      <c r="AG162" s="335" t="s">
        <v>5907</v>
      </c>
      <c r="AH162" s="244"/>
      <c r="AI162" s="244"/>
      <c r="AJ162" s="117"/>
      <c r="AK162" s="244"/>
      <c r="AL162" s="97"/>
      <c r="AM162" s="124"/>
      <c r="AN162" s="124"/>
      <c r="AO162" s="245"/>
      <c r="AP162" s="245"/>
      <c r="AQ162" s="168"/>
      <c r="AR162" s="168"/>
      <c r="AS162" s="245"/>
      <c r="AT162" s="245"/>
      <c r="AU162" s="431" t="s">
        <v>6257</v>
      </c>
      <c r="AV162" s="431" t="s">
        <v>5262</v>
      </c>
      <c r="AW162" s="124"/>
      <c r="AX162" s="245"/>
      <c r="AY162" s="245"/>
      <c r="AZ162" s="245"/>
      <c r="BA162" s="168"/>
      <c r="BB162" s="352"/>
      <c r="BC162" s="125" t="s">
        <v>1069</v>
      </c>
      <c r="BD162" s="201"/>
      <c r="BE162" s="201" t="s">
        <v>6258</v>
      </c>
      <c r="BF162" s="352"/>
      <c r="BG162" s="352"/>
      <c r="BH162" s="173"/>
      <c r="BI162" s="201" t="s">
        <v>1542</v>
      </c>
      <c r="BJ162" s="173"/>
      <c r="BK162" s="352"/>
      <c r="BL162" s="201" t="s">
        <v>6259</v>
      </c>
      <c r="BM162" s="173"/>
      <c r="BN162" s="173"/>
      <c r="BO162" s="352"/>
      <c r="BP162" s="173"/>
      <c r="BQ162" s="247"/>
      <c r="BR162" s="131"/>
      <c r="BS162" s="131"/>
      <c r="BT162" s="131"/>
      <c r="BU162" s="131"/>
      <c r="BV162" s="131"/>
      <c r="BW162" s="343" t="s">
        <v>6260</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6267</v>
      </c>
      <c r="B164" s="104" t="s">
        <v>6268</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1930</v>
      </c>
      <c r="P164" s="242"/>
      <c r="Q164" s="242"/>
      <c r="R164" s="242"/>
      <c r="S164" s="242"/>
      <c r="T164" s="242"/>
      <c r="U164" s="242"/>
      <c r="V164" s="242"/>
      <c r="W164" s="92"/>
      <c r="X164" s="198" t="s">
        <v>6269</v>
      </c>
      <c r="Y164" s="198"/>
      <c r="Z164" s="198" t="s">
        <v>3827</v>
      </c>
      <c r="AA164" s="198" t="s">
        <v>6270</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6272</v>
      </c>
      <c r="B165" s="82" t="s">
        <v>6273</v>
      </c>
      <c r="C165" s="83" t="s">
        <v>1260</v>
      </c>
      <c r="D165" s="84" t="s">
        <v>1260</v>
      </c>
      <c r="E165" s="85" t="s">
        <v>1260</v>
      </c>
      <c r="F165" s="86" t="s">
        <v>1260</v>
      </c>
      <c r="G165" s="82" t="s">
        <v>649</v>
      </c>
      <c r="H165" s="93" t="s">
        <v>3541</v>
      </c>
      <c r="I165" s="93" t="s">
        <v>6274</v>
      </c>
      <c r="J165" s="93" t="s">
        <v>4590</v>
      </c>
      <c r="K165" s="94" t="s">
        <v>1953</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6275</v>
      </c>
      <c r="B166" s="104" t="s">
        <v>6276</v>
      </c>
      <c r="C166" s="105" t="s">
        <v>1260</v>
      </c>
      <c r="D166" s="106" t="s">
        <v>1260</v>
      </c>
      <c r="E166" s="107" t="s">
        <v>1260</v>
      </c>
      <c r="F166" s="108" t="s">
        <v>1260</v>
      </c>
      <c r="G166" s="104" t="s">
        <v>3383</v>
      </c>
      <c r="H166" s="167" t="s">
        <v>1979</v>
      </c>
      <c r="I166" s="167" t="s">
        <v>2180</v>
      </c>
      <c r="J166" s="242"/>
      <c r="K166" s="167" t="s">
        <v>2659</v>
      </c>
      <c r="L166" s="242"/>
      <c r="M166" s="242"/>
      <c r="N166" s="242"/>
      <c r="O166" s="167" t="s">
        <v>6277</v>
      </c>
      <c r="P166" s="167" t="s">
        <v>6278</v>
      </c>
      <c r="Q166" s="242"/>
      <c r="R166" s="242"/>
      <c r="S166" s="242"/>
      <c r="T166" s="242"/>
      <c r="U166" s="242"/>
      <c r="V166" s="242"/>
      <c r="W166" s="92"/>
      <c r="X166" s="198" t="s">
        <v>3500</v>
      </c>
      <c r="Y166" s="244"/>
      <c r="Z166" s="244"/>
      <c r="AA166" s="198" t="s">
        <v>4680</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563" t="s">
        <v>6284</v>
      </c>
      <c r="B167" s="82" t="s">
        <v>6285</v>
      </c>
      <c r="C167" s="83" t="s">
        <v>1260</v>
      </c>
      <c r="D167" s="84" t="s">
        <v>1260</v>
      </c>
      <c r="E167" s="85" t="s">
        <v>1260</v>
      </c>
      <c r="F167" s="86" t="s">
        <v>6286</v>
      </c>
      <c r="G167" s="82" t="s">
        <v>2652</v>
      </c>
      <c r="H167" s="102"/>
      <c r="I167" s="95"/>
      <c r="J167" s="102"/>
      <c r="K167" s="88" t="s">
        <v>2353</v>
      </c>
      <c r="L167" s="88" t="s">
        <v>6287</v>
      </c>
      <c r="M167" s="102" t="s">
        <v>6288</v>
      </c>
      <c r="N167" s="102"/>
      <c r="O167" s="102"/>
      <c r="P167" s="102" t="s">
        <v>4162</v>
      </c>
      <c r="Q167" s="99"/>
      <c r="R167" s="99"/>
      <c r="S167" s="99"/>
      <c r="T167" s="99"/>
      <c r="U167" s="99"/>
      <c r="V167" s="99"/>
      <c r="W167" s="92"/>
      <c r="X167" s="88" t="s">
        <v>6289</v>
      </c>
      <c r="Y167" s="102"/>
      <c r="Z167" s="102"/>
      <c r="AA167" s="88" t="s">
        <v>2483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3257</v>
      </c>
      <c r="BE167" s="88" t="s">
        <v>958</v>
      </c>
      <c r="BF167" s="88" t="s">
        <v>6296</v>
      </c>
      <c r="BG167" s="88" t="s">
        <v>3718</v>
      </c>
      <c r="BH167" s="94" t="s">
        <v>5064</v>
      </c>
      <c r="BI167" s="102" t="s">
        <v>6297</v>
      </c>
      <c r="BJ167" s="99"/>
      <c r="BK167" s="102"/>
      <c r="BL167" s="102"/>
      <c r="BM167" s="99"/>
      <c r="BN167" s="99"/>
      <c r="BO167" s="102"/>
      <c r="BP167" s="99"/>
      <c r="BQ167" s="237"/>
      <c r="BR167" s="88" t="s">
        <v>6298</v>
      </c>
      <c r="BS167" s="102"/>
      <c r="BT167" s="88" t="s">
        <v>6299</v>
      </c>
      <c r="BU167" s="88" t="s">
        <v>5897</v>
      </c>
      <c r="BV167" s="102"/>
      <c r="BW167" s="102"/>
      <c r="BX167" s="99"/>
      <c r="BY167" s="88" t="s">
        <v>6300</v>
      </c>
      <c r="BZ167" s="102"/>
      <c r="CA167" s="88" t="s">
        <v>1328</v>
      </c>
      <c r="CB167" s="99"/>
      <c r="CC167" s="99"/>
      <c r="CD167" s="94"/>
      <c r="CE167" s="99"/>
      <c r="CF167" s="237"/>
      <c r="CG167" s="88" t="s">
        <v>6301</v>
      </c>
      <c r="CH167" s="88" t="s">
        <v>1927</v>
      </c>
      <c r="CI167" s="88" t="s">
        <v>5512</v>
      </c>
      <c r="CJ167" s="102"/>
      <c r="CK167" s="102"/>
      <c r="CL167" s="102"/>
      <c r="CM167" s="88" t="s">
        <v>6302</v>
      </c>
      <c r="CN167" s="88" t="s">
        <v>2302</v>
      </c>
      <c r="CO167" s="88" t="s">
        <v>6303</v>
      </c>
      <c r="CP167" s="222"/>
      <c r="CQ167" s="99"/>
      <c r="CR167" s="99"/>
      <c r="CS167" s="99"/>
      <c r="CT167" s="99"/>
      <c r="CU167" s="92"/>
      <c r="CV167" s="88" t="s">
        <v>5467</v>
      </c>
      <c r="CW167" s="102"/>
      <c r="CX167" s="88" t="s">
        <v>906</v>
      </c>
      <c r="CY167" s="88" t="s">
        <v>5212</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5" t="s">
        <v>6308</v>
      </c>
      <c r="B168" s="104" t="s">
        <v>6309</v>
      </c>
      <c r="C168" s="105" t="s">
        <v>1260</v>
      </c>
      <c r="D168" s="106" t="s">
        <v>1260</v>
      </c>
      <c r="E168" s="107" t="s">
        <v>1260</v>
      </c>
      <c r="F168" s="108" t="s">
        <v>334</v>
      </c>
      <c r="G168" s="104" t="s">
        <v>6255</v>
      </c>
      <c r="H168" s="706" t="s">
        <v>3582</v>
      </c>
      <c r="I168" s="242" t="s">
        <v>6310</v>
      </c>
      <c r="J168" s="242" t="s">
        <v>451</v>
      </c>
      <c r="K168" s="242" t="s">
        <v>4385</v>
      </c>
      <c r="L168" s="242" t="s">
        <v>2842</v>
      </c>
      <c r="M168" s="242" t="s">
        <v>6311</v>
      </c>
      <c r="N168" s="242"/>
      <c r="O168" s="242"/>
      <c r="P168" s="242" t="s">
        <v>2204</v>
      </c>
      <c r="Q168" s="242"/>
      <c r="R168" s="242"/>
      <c r="S168" s="242"/>
      <c r="T168" s="242"/>
      <c r="U168" s="242"/>
      <c r="V168" s="242"/>
      <c r="W168" s="92"/>
      <c r="X168" s="115"/>
      <c r="Y168" s="244"/>
      <c r="Z168" s="244"/>
      <c r="AA168" s="244" t="s">
        <v>1682</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6312</v>
      </c>
      <c r="CP168" s="252"/>
      <c r="CQ168" s="262"/>
      <c r="CR168" s="252"/>
      <c r="CS168" s="252"/>
      <c r="CT168" s="252"/>
      <c r="CU168" s="92"/>
      <c r="CV168" s="253"/>
      <c r="CW168" s="253"/>
      <c r="CX168" s="253" t="s">
        <v>5204</v>
      </c>
      <c r="CY168" s="253" t="s">
        <v>3537</v>
      </c>
      <c r="CZ168" s="253"/>
      <c r="DA168" s="253"/>
      <c r="DB168" s="710"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1260</v>
      </c>
      <c r="D169" s="84" t="s">
        <v>1260</v>
      </c>
      <c r="E169" s="85" t="s">
        <v>1260</v>
      </c>
      <c r="F169" s="86" t="s">
        <v>547</v>
      </c>
      <c r="G169" s="82" t="s">
        <v>649</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1260</v>
      </c>
      <c r="D170" s="106" t="s">
        <v>1260</v>
      </c>
      <c r="E170" s="107" t="s">
        <v>1260</v>
      </c>
      <c r="F170" s="108" t="s">
        <v>547</v>
      </c>
      <c r="G170" s="104" t="s">
        <v>6323</v>
      </c>
      <c r="H170" s="242"/>
      <c r="I170" s="196" t="s">
        <v>6324</v>
      </c>
      <c r="J170" s="167" t="s">
        <v>6240</v>
      </c>
      <c r="K170" s="167" t="s">
        <v>3108</v>
      </c>
      <c r="L170" s="167" t="s">
        <v>5753</v>
      </c>
      <c r="M170" s="242"/>
      <c r="N170" s="242"/>
      <c r="O170" s="242"/>
      <c r="P170" s="167" t="s">
        <v>2723</v>
      </c>
      <c r="Q170" s="242"/>
      <c r="R170" s="242"/>
      <c r="S170" s="242"/>
      <c r="T170" s="242"/>
      <c r="U170" s="242"/>
      <c r="V170" s="242"/>
      <c r="W170" s="92"/>
      <c r="X170" s="712" t="s">
        <v>1972</v>
      </c>
      <c r="Y170" s="244"/>
      <c r="Z170" s="244"/>
      <c r="AA170" s="198" t="s">
        <v>3206</v>
      </c>
      <c r="AB170" s="114" t="str">
        <f>HYPERLINK("https://clips.twitch.tv/DeliciousHomelyChoughMingLee","53.66")</f>
        <v>53.66</v>
      </c>
      <c r="AC170" s="198" t="s">
        <v>4904</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1828</v>
      </c>
      <c r="CW170" s="204" t="s">
        <v>6326</v>
      </c>
      <c r="CX170" s="204" t="s">
        <v>5468</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1260</v>
      </c>
      <c r="D174" s="106" t="s">
        <v>1260</v>
      </c>
      <c r="E174" s="107" t="s">
        <v>1260</v>
      </c>
      <c r="F174" s="108" t="s">
        <v>1260</v>
      </c>
      <c r="G174" s="104" t="s">
        <v>4686</v>
      </c>
      <c r="H174" s="167"/>
      <c r="I174" s="167" t="s">
        <v>6339</v>
      </c>
      <c r="J174" s="167" t="s">
        <v>3020</v>
      </c>
      <c r="K174" s="167" t="s">
        <v>755</v>
      </c>
      <c r="L174" s="167" t="s">
        <v>6340</v>
      </c>
      <c r="M174" s="167" t="s">
        <v>6341</v>
      </c>
      <c r="N174" s="167" t="s">
        <v>6342</v>
      </c>
      <c r="O174" s="167" t="s">
        <v>6343</v>
      </c>
      <c r="P174" s="167" t="s">
        <v>1944</v>
      </c>
      <c r="Q174" s="242"/>
      <c r="R174" s="242"/>
      <c r="S174" s="242"/>
      <c r="T174" s="242"/>
      <c r="U174" s="242"/>
      <c r="V174" s="242"/>
      <c r="W174" s="92"/>
      <c r="X174" s="198" t="s">
        <v>6344</v>
      </c>
      <c r="Y174" s="198"/>
      <c r="Z174" s="198"/>
      <c r="AA174" s="198" t="s">
        <v>6257</v>
      </c>
      <c r="AB174" s="244"/>
      <c r="AC174" s="198" t="s">
        <v>6345</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3674</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6351</v>
      </c>
      <c r="CY174" s="204" t="s">
        <v>3110</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1260</v>
      </c>
      <c r="E175" s="85" t="s">
        <v>1260</v>
      </c>
      <c r="F175" s="86" t="s">
        <v>547</v>
      </c>
      <c r="G175" s="82" t="s">
        <v>4056</v>
      </c>
      <c r="H175" s="711" t="s">
        <v>3006</v>
      </c>
      <c r="I175" s="711" t="s">
        <v>6357</v>
      </c>
      <c r="J175" s="711" t="s">
        <v>6358</v>
      </c>
      <c r="K175" s="711" t="s">
        <v>755</v>
      </c>
      <c r="L175" s="711" t="s">
        <v>908</v>
      </c>
      <c r="M175" s="720"/>
      <c r="N175" s="711" t="s">
        <v>6359</v>
      </c>
      <c r="O175" s="711" t="s">
        <v>5833</v>
      </c>
      <c r="P175" s="711" t="s">
        <v>5491</v>
      </c>
      <c r="Q175" s="720"/>
      <c r="R175" s="720"/>
      <c r="S175" s="720"/>
      <c r="T175" s="720"/>
      <c r="U175" s="720"/>
      <c r="V175" s="720"/>
      <c r="W175" s="721"/>
      <c r="X175" s="711" t="s">
        <v>6360</v>
      </c>
      <c r="Y175" s="711"/>
      <c r="Z175" s="722" t="s">
        <v>379</v>
      </c>
      <c r="AA175" s="722" t="s">
        <v>868</v>
      </c>
      <c r="AB175" s="722" t="s">
        <v>3901</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1830</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6364</v>
      </c>
      <c r="DC175" s="722" t="s">
        <v>5823</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6365</v>
      </c>
      <c r="B176" s="104" t="s">
        <v>6366</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6367</v>
      </c>
      <c r="B177" s="82" t="s">
        <v>6368</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6370</v>
      </c>
      <c r="B178" s="104" t="s">
        <v>6371</v>
      </c>
      <c r="C178" s="105" t="s">
        <v>1260</v>
      </c>
      <c r="D178" s="106" t="s">
        <v>1260</v>
      </c>
      <c r="E178" s="107" t="s">
        <v>1260</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6374</v>
      </c>
      <c r="B179" s="82" t="s">
        <v>6375</v>
      </c>
      <c r="C179" s="83" t="s">
        <v>1260</v>
      </c>
      <c r="D179" s="84" t="s">
        <v>1260</v>
      </c>
      <c r="E179" s="85" t="s">
        <v>1260</v>
      </c>
      <c r="F179" s="86" t="s">
        <v>1260</v>
      </c>
      <c r="G179" s="82" t="s">
        <v>222</v>
      </c>
      <c r="H179" s="99"/>
      <c r="I179" s="99"/>
      <c r="J179" s="162" t="s">
        <v>6137</v>
      </c>
      <c r="K179" s="99"/>
      <c r="L179" s="94" t="s">
        <v>6376</v>
      </c>
      <c r="M179" s="99"/>
      <c r="N179" s="94" t="s">
        <v>5168</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6380</v>
      </c>
      <c r="B180" s="104" t="s">
        <v>6381</v>
      </c>
      <c r="C180" s="105" t="s">
        <v>1260</v>
      </c>
      <c r="D180" s="106" t="s">
        <v>1260</v>
      </c>
      <c r="E180" s="107" t="s">
        <v>1260</v>
      </c>
      <c r="F180" s="108" t="s">
        <v>1260</v>
      </c>
      <c r="G180" s="104" t="s">
        <v>4848</v>
      </c>
      <c r="H180" s="242"/>
      <c r="I180" s="167" t="s">
        <v>6382</v>
      </c>
      <c r="J180" s="167" t="s">
        <v>5140</v>
      </c>
      <c r="K180" s="167" t="s">
        <v>2389</v>
      </c>
      <c r="L180" s="167" t="s">
        <v>4107</v>
      </c>
      <c r="M180" s="167" t="s">
        <v>6383</v>
      </c>
      <c r="N180" s="242"/>
      <c r="O180" s="167" t="s">
        <v>1929</v>
      </c>
      <c r="P180" s="167" t="s">
        <v>6384</v>
      </c>
      <c r="Q180" s="242"/>
      <c r="R180" s="242"/>
      <c r="S180" s="242"/>
      <c r="T180" s="242"/>
      <c r="U180" s="242"/>
      <c r="V180" s="242"/>
      <c r="W180" s="92"/>
      <c r="X180" s="198" t="s">
        <v>4451</v>
      </c>
      <c r="Y180" s="198"/>
      <c r="Z180" s="198" t="s">
        <v>5748</v>
      </c>
      <c r="AA180" s="198" t="s">
        <v>4485</v>
      </c>
      <c r="AB180" s="198" t="s">
        <v>6385</v>
      </c>
      <c r="AC180" s="198" t="s">
        <v>6386</v>
      </c>
      <c r="AD180" s="198" t="s">
        <v>4721</v>
      </c>
      <c r="AE180" s="244"/>
      <c r="AF180" s="198" t="s">
        <v>6387</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774</v>
      </c>
      <c r="BD180" s="174" t="s">
        <v>4192</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5945</v>
      </c>
      <c r="BY180" s="175" t="s">
        <v>2838</v>
      </c>
      <c r="BZ180" s="249"/>
      <c r="CA180" s="175" t="s">
        <v>2084</v>
      </c>
      <c r="CB180" s="249"/>
      <c r="CC180" s="249"/>
      <c r="CD180" s="249"/>
      <c r="CE180" s="249"/>
      <c r="CF180" s="251"/>
      <c r="CG180" s="177" t="s">
        <v>4962</v>
      </c>
      <c r="CH180" s="177" t="s">
        <v>2526</v>
      </c>
      <c r="CI180" s="177" t="s">
        <v>2626</v>
      </c>
      <c r="CJ180" s="177" t="s">
        <v>6394</v>
      </c>
      <c r="CK180" s="177"/>
      <c r="CL180" s="177" t="s">
        <v>2764</v>
      </c>
      <c r="CM180" s="252"/>
      <c r="CN180" s="177" t="s">
        <v>3279</v>
      </c>
      <c r="CO180" s="177" t="s">
        <v>3328</v>
      </c>
      <c r="CP180" s="252"/>
      <c r="CQ180" s="252"/>
      <c r="CR180" s="252"/>
      <c r="CS180" s="252"/>
      <c r="CT180" s="252"/>
      <c r="CU180" s="92"/>
      <c r="CV180" s="204" t="s">
        <v>5962</v>
      </c>
      <c r="CW180" s="204" t="s">
        <v>6395</v>
      </c>
      <c r="CX180" s="204" t="s">
        <v>2032</v>
      </c>
      <c r="CY180" s="253"/>
      <c r="CZ180" s="253"/>
      <c r="DA180" s="253"/>
      <c r="DB180" s="204" t="s">
        <v>6396</v>
      </c>
      <c r="DC180" s="204" t="s">
        <v>2170</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1260</v>
      </c>
      <c r="D182" s="106" t="s">
        <v>1260</v>
      </c>
      <c r="E182" s="107" t="s">
        <v>1260</v>
      </c>
      <c r="F182" s="108" t="s">
        <v>1054</v>
      </c>
      <c r="G182" s="104" t="s">
        <v>983</v>
      </c>
      <c r="H182" s="167" t="s">
        <v>2634</v>
      </c>
      <c r="I182" s="242"/>
      <c r="J182" s="167" t="s">
        <v>6401</v>
      </c>
      <c r="K182" s="112" t="s">
        <v>5000</v>
      </c>
      <c r="L182" s="239" t="s">
        <v>3455</v>
      </c>
      <c r="M182" s="242"/>
      <c r="N182" s="242"/>
      <c r="O182" s="242"/>
      <c r="P182" s="167" t="s">
        <v>6402</v>
      </c>
      <c r="Q182" s="242"/>
      <c r="R182" s="242"/>
      <c r="S182" s="242"/>
      <c r="T182" s="242"/>
      <c r="U182" s="242"/>
      <c r="V182" s="242"/>
      <c r="W182" s="92"/>
      <c r="X182" s="116" t="s">
        <v>6403</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6404</v>
      </c>
      <c r="AW182" s="245"/>
      <c r="AX182" s="245"/>
      <c r="AY182" s="245"/>
      <c r="AZ182" s="245"/>
      <c r="BA182" s="245"/>
      <c r="BB182" s="173"/>
      <c r="BC182" s="174" t="s">
        <v>854</v>
      </c>
      <c r="BD182" s="174" t="s">
        <v>534</v>
      </c>
      <c r="BE182" s="174" t="s">
        <v>6405</v>
      </c>
      <c r="BF182" s="173"/>
      <c r="BG182" s="174" t="s">
        <v>4706</v>
      </c>
      <c r="BH182" s="174" t="s">
        <v>6406</v>
      </c>
      <c r="BI182" s="174" t="s">
        <v>6407</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6408</v>
      </c>
      <c r="CH182" s="177" t="s">
        <v>6409</v>
      </c>
      <c r="CI182" s="252"/>
      <c r="CJ182" s="252"/>
      <c r="CK182" s="252"/>
      <c r="CL182" s="252"/>
      <c r="CM182" s="252"/>
      <c r="CN182" s="135" t="s">
        <v>5153</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6413</v>
      </c>
      <c r="B183" s="82" t="s">
        <v>6414</v>
      </c>
      <c r="C183" s="83" t="s">
        <v>1260</v>
      </c>
      <c r="D183" s="84" t="s">
        <v>1260</v>
      </c>
      <c r="E183" s="85" t="s">
        <v>1260</v>
      </c>
      <c r="F183" s="86" t="s">
        <v>1200</v>
      </c>
      <c r="G183" s="82" t="s">
        <v>1200</v>
      </c>
      <c r="H183" s="102"/>
      <c r="I183" s="95"/>
      <c r="J183" s="102"/>
      <c r="K183" s="88" t="s">
        <v>5000</v>
      </c>
      <c r="L183" s="102"/>
      <c r="M183" s="102"/>
      <c r="N183" s="102"/>
      <c r="O183" s="102"/>
      <c r="P183" s="102"/>
      <c r="Q183" s="99"/>
      <c r="R183" s="99"/>
      <c r="S183" s="88" t="s">
        <v>2740</v>
      </c>
      <c r="T183" s="99"/>
      <c r="U183" s="93"/>
      <c r="V183" s="99"/>
      <c r="W183" s="92"/>
      <c r="X183" s="102"/>
      <c r="Y183" s="102"/>
      <c r="Z183" s="88" t="s">
        <v>6415</v>
      </c>
      <c r="AA183" s="102"/>
      <c r="AB183" s="266"/>
      <c r="AC183" s="88" t="s">
        <v>2486</v>
      </c>
      <c r="AD183" s="102"/>
      <c r="AE183" s="88" t="s">
        <v>6416</v>
      </c>
      <c r="AF183" s="88" t="s">
        <v>2442</v>
      </c>
      <c r="AG183" s="102"/>
      <c r="AH183" s="99"/>
      <c r="AI183" s="99"/>
      <c r="AJ183" s="88" t="s">
        <v>5953</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6417</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6418</v>
      </c>
      <c r="B184" s="104" t="s">
        <v>6419</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6420</v>
      </c>
      <c r="BY184" s="249"/>
      <c r="BZ184" s="249"/>
      <c r="CA184" s="249"/>
      <c r="CB184" s="249"/>
      <c r="CC184" s="249"/>
      <c r="CD184" s="249"/>
      <c r="CE184" s="249"/>
      <c r="CF184" s="251"/>
      <c r="CG184" s="252"/>
      <c r="CH184" s="252"/>
      <c r="CI184" s="252"/>
      <c r="CJ184" s="271" t="s">
        <v>2667</v>
      </c>
      <c r="CK184" s="231" t="s">
        <v>6421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6422</v>
      </c>
      <c r="B185" s="82" t="s">
        <v>6423</v>
      </c>
      <c r="C185" s="83" t="s">
        <v>1260</v>
      </c>
      <c r="D185" s="84" t="s">
        <v>1260</v>
      </c>
      <c r="E185" s="85" t="s">
        <v>1260</v>
      </c>
      <c r="F185" s="86" t="s">
        <v>1260</v>
      </c>
      <c r="G185" s="82" t="s">
        <v>1880</v>
      </c>
      <c r="H185" s="94" t="s">
        <v>6424</v>
      </c>
      <c r="I185" s="94" t="s">
        <v>6425</v>
      </c>
      <c r="J185" s="94" t="s">
        <v>619</v>
      </c>
      <c r="K185" s="94" t="s">
        <v>2659</v>
      </c>
      <c r="L185" s="94" t="s">
        <v>2948</v>
      </c>
      <c r="M185" s="94" t="s">
        <v>6426</v>
      </c>
      <c r="N185" s="94" t="s">
        <v>6427</v>
      </c>
      <c r="O185" s="94" t="s">
        <v>849</v>
      </c>
      <c r="P185" s="94" t="s">
        <v>495</v>
      </c>
      <c r="Q185" s="94"/>
      <c r="R185" s="94"/>
      <c r="S185" s="94"/>
      <c r="T185" s="94"/>
      <c r="U185" s="94"/>
      <c r="V185" s="94"/>
      <c r="W185" s="92"/>
      <c r="X185" s="94" t="s">
        <v>6428</v>
      </c>
      <c r="Y185" s="94"/>
      <c r="Z185" s="94" t="s">
        <v>5317</v>
      </c>
      <c r="AA185" s="94" t="s">
        <v>2558</v>
      </c>
      <c r="AB185" s="94" t="s">
        <v>2695</v>
      </c>
      <c r="AC185" s="94" t="s">
        <v>5998</v>
      </c>
      <c r="AD185" s="94" t="s">
        <v>6429</v>
      </c>
      <c r="AE185" s="94" t="s">
        <v>4130</v>
      </c>
      <c r="AF185" s="94" t="s">
        <v>6430</v>
      </c>
      <c r="AG185" s="94" t="s">
        <v>369</v>
      </c>
      <c r="AH185" s="94"/>
      <c r="AI185" s="94"/>
      <c r="AJ185" s="94"/>
      <c r="AK185" s="94"/>
      <c r="AL185" s="97"/>
      <c r="AM185" s="94"/>
      <c r="AN185" s="94"/>
      <c r="AO185" s="94"/>
      <c r="AP185" s="94"/>
      <c r="AQ185" s="94"/>
      <c r="AR185" s="94"/>
      <c r="AS185" s="94"/>
      <c r="AT185" s="94"/>
      <c r="AU185" s="94" t="s">
        <v>6431</v>
      </c>
      <c r="AV185" s="94" t="s">
        <v>1374</v>
      </c>
      <c r="AW185" s="94"/>
      <c r="AX185" s="94"/>
      <c r="AY185" s="94"/>
      <c r="AZ185" s="94"/>
      <c r="BA185" s="94"/>
      <c r="BB185" s="94" t="s">
        <v>6432</v>
      </c>
      <c r="BC185" s="94" t="s">
        <v>4263</v>
      </c>
      <c r="BD185" s="94" t="s">
        <v>3773</v>
      </c>
      <c r="BE185" s="94" t="s">
        <v>6433</v>
      </c>
      <c r="BF185" s="94" t="s">
        <v>6434</v>
      </c>
      <c r="BG185" s="94" t="s">
        <v>6435</v>
      </c>
      <c r="BH185" s="94" t="s">
        <v>5194</v>
      </c>
      <c r="BI185" s="94" t="s">
        <v>6436</v>
      </c>
      <c r="BJ185" s="99"/>
      <c r="BK185" s="99"/>
      <c r="BL185" s="99"/>
      <c r="BM185" s="94"/>
      <c r="BN185" s="94"/>
      <c r="BO185" s="94"/>
      <c r="BP185" s="94"/>
      <c r="BQ185" s="100"/>
      <c r="BR185" s="94"/>
      <c r="BS185" s="99"/>
      <c r="BT185" s="316" t="s">
        <v>6437</v>
      </c>
      <c r="BU185" s="94" t="s">
        <v>6438</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6218</v>
      </c>
      <c r="CY185" s="99"/>
      <c r="CZ185" s="94" t="s">
        <v>6439</v>
      </c>
      <c r="DA185" s="99"/>
      <c r="DB185" s="99"/>
      <c r="DC185" s="99"/>
      <c r="DD185" s="99"/>
      <c r="DE185" s="99"/>
      <c r="DF185" s="99"/>
      <c r="DG185" s="99"/>
      <c r="DH185" s="237"/>
      <c r="DI185" s="94" t="s">
        <v>3288</v>
      </c>
      <c r="DJ185" s="99"/>
      <c r="DK185" s="99"/>
      <c r="DL185" s="99"/>
      <c r="DM185" s="99"/>
      <c r="DN185" s="99"/>
      <c r="DO185" s="99"/>
      <c r="DP185" s="99"/>
      <c r="DQ185" s="99"/>
      <c r="DR185" s="94" t="s">
        <v>6440</v>
      </c>
      <c r="DS185" s="94"/>
      <c r="DT185" s="316"/>
      <c r="DU185" s="99"/>
      <c r="DV185" s="99"/>
      <c r="DW185" s="99"/>
      <c r="DX185" s="99"/>
      <c r="DY185" s="99"/>
      <c r="DZ185" s="99"/>
      <c r="EA185" s="99"/>
      <c r="EB185" s="99"/>
      <c r="EC185" s="99"/>
      <c r="ED185" s="258"/>
    </row>
    <row r="186">
      <c r="A186" s="166" t="s">
        <v>6441</v>
      </c>
      <c r="B186" s="104" t="s">
        <v>6442</v>
      </c>
      <c r="C186" s="105" t="s">
        <v>1260</v>
      </c>
      <c r="D186" s="106" t="s">
        <v>1260</v>
      </c>
      <c r="E186" s="107" t="s">
        <v>1260</v>
      </c>
      <c r="F186" s="108" t="s">
        <v>1260</v>
      </c>
      <c r="G186" s="104" t="s">
        <v>2652</v>
      </c>
      <c r="H186" s="242"/>
      <c r="I186" s="167" t="s">
        <v>6443</v>
      </c>
      <c r="J186" s="167" t="s">
        <v>302</v>
      </c>
      <c r="K186" s="167" t="s">
        <v>125</v>
      </c>
      <c r="L186" s="167" t="s">
        <v>4028</v>
      </c>
      <c r="M186" s="167" t="s">
        <v>6444</v>
      </c>
      <c r="N186" s="242"/>
      <c r="O186" s="167" t="s">
        <v>3599</v>
      </c>
      <c r="P186" s="167" t="s">
        <v>1617</v>
      </c>
      <c r="Q186" s="242"/>
      <c r="R186" s="242"/>
      <c r="S186" s="242"/>
      <c r="T186" s="242"/>
      <c r="U186" s="242"/>
      <c r="V186" s="242"/>
      <c r="W186" s="92"/>
      <c r="X186" s="198" t="s">
        <v>6445</v>
      </c>
      <c r="Y186" s="198"/>
      <c r="Z186" s="198" t="s">
        <v>3623</v>
      </c>
      <c r="AA186" s="198" t="s">
        <v>390</v>
      </c>
      <c r="AB186" s="244"/>
      <c r="AC186" s="198" t="s">
        <v>6446</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6447</v>
      </c>
      <c r="BL186" s="174" t="s">
        <v>1060</v>
      </c>
      <c r="BM186" s="173"/>
      <c r="BN186" s="173"/>
      <c r="BO186" s="173"/>
      <c r="BP186" s="173"/>
      <c r="BQ186" s="247"/>
      <c r="BR186" s="249"/>
      <c r="BS186" s="249"/>
      <c r="BT186" s="249"/>
      <c r="BU186" s="175" t="s">
        <v>972</v>
      </c>
      <c r="BV186" s="249"/>
      <c r="BW186" s="249"/>
      <c r="BX186" s="249"/>
      <c r="BY186" s="175" t="s">
        <v>6448</v>
      </c>
      <c r="BZ186" s="175" t="s">
        <v>6449</v>
      </c>
      <c r="CA186" s="175" t="s">
        <v>3865</v>
      </c>
      <c r="CB186" s="249"/>
      <c r="CC186" s="249"/>
      <c r="CD186" s="249"/>
      <c r="CE186" s="249"/>
      <c r="CF186" s="251"/>
      <c r="CG186" s="177" t="s">
        <v>1707</v>
      </c>
      <c r="CH186" s="177" t="s">
        <v>3536</v>
      </c>
      <c r="CI186" s="177" t="s">
        <v>756</v>
      </c>
      <c r="CJ186" s="177" t="s">
        <v>6450</v>
      </c>
      <c r="CK186" s="177"/>
      <c r="CL186" s="177"/>
      <c r="CM186" s="252"/>
      <c r="CN186" s="177" t="s">
        <v>3822</v>
      </c>
      <c r="CO186" s="177" t="s">
        <v>6325</v>
      </c>
      <c r="CP186" s="252"/>
      <c r="CQ186" s="252"/>
      <c r="CR186" s="252"/>
      <c r="CS186" s="252"/>
      <c r="CT186" s="252"/>
      <c r="CU186" s="92"/>
      <c r="CV186" s="204" t="s">
        <v>5141</v>
      </c>
      <c r="CW186" s="204" t="s">
        <v>1933</v>
      </c>
      <c r="CX186" s="204" t="s">
        <v>3078</v>
      </c>
      <c r="CY186" s="204" t="s">
        <v>6451</v>
      </c>
      <c r="CZ186" s="204" t="s">
        <v>6452</v>
      </c>
      <c r="DA186" s="253"/>
      <c r="DB186" s="204" t="s">
        <v>6453</v>
      </c>
      <c r="DC186" s="204" t="s">
        <v>6454</v>
      </c>
      <c r="DD186" s="253"/>
      <c r="DE186" s="253"/>
      <c r="DF186" s="253"/>
      <c r="DG186" s="253"/>
      <c r="DH186" s="263"/>
      <c r="DI186" s="255"/>
      <c r="DJ186" s="255"/>
      <c r="DK186" s="255"/>
      <c r="DL186" s="255"/>
      <c r="DM186" s="255"/>
      <c r="DN186" s="255"/>
      <c r="DO186" s="255"/>
      <c r="DP186" s="255"/>
      <c r="DQ186" s="255"/>
      <c r="DR186" s="205" t="s">
        <v>6455</v>
      </c>
      <c r="DS186" s="205"/>
      <c r="DT186" s="255"/>
      <c r="DU186" s="255"/>
      <c r="DV186" s="255"/>
      <c r="DW186" s="255"/>
      <c r="DX186" s="255"/>
      <c r="DY186" s="255"/>
      <c r="DZ186" s="255"/>
      <c r="EA186" s="255"/>
      <c r="EB186" s="255"/>
      <c r="EC186" s="255"/>
      <c r="ED186" s="287"/>
    </row>
    <row r="187">
      <c r="A187" s="730" t="s">
        <v>6456</v>
      </c>
      <c r="B187" s="82" t="s">
        <v>6457</v>
      </c>
      <c r="C187" s="83" t="s">
        <v>1260</v>
      </c>
      <c r="D187" s="84" t="s">
        <v>1260</v>
      </c>
      <c r="E187" s="85" t="s">
        <v>1260</v>
      </c>
      <c r="F187" s="86" t="s">
        <v>1260</v>
      </c>
      <c r="G187" s="82" t="s">
        <v>2774</v>
      </c>
      <c r="H187" s="94" t="s">
        <v>6458</v>
      </c>
      <c r="I187" s="94" t="s">
        <v>6459</v>
      </c>
      <c r="J187" s="94" t="s">
        <v>1816</v>
      </c>
      <c r="K187" s="94" t="s">
        <v>6110</v>
      </c>
      <c r="L187" s="94" t="s">
        <v>6460</v>
      </c>
      <c r="M187" s="99"/>
      <c r="N187" s="99"/>
      <c r="O187" s="99"/>
      <c r="P187" s="94" t="s">
        <v>6461</v>
      </c>
      <c r="Q187" s="99"/>
      <c r="R187" s="99"/>
      <c r="S187" s="99"/>
      <c r="T187" s="99"/>
      <c r="U187" s="99"/>
      <c r="V187" s="99"/>
      <c r="W187" s="92"/>
      <c r="X187" s="99"/>
      <c r="Y187" s="99"/>
      <c r="Z187" s="99"/>
      <c r="AA187" s="94" t="s">
        <v>4237</v>
      </c>
      <c r="AB187" s="99"/>
      <c r="AC187" s="99"/>
      <c r="AD187" s="99"/>
      <c r="AE187" s="99"/>
      <c r="AF187" s="99"/>
      <c r="AG187" s="94" t="s">
        <v>6462</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5811</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6463</v>
      </c>
      <c r="B188" s="104" t="s">
        <v>6464</v>
      </c>
      <c r="C188" s="105" t="s">
        <v>1260</v>
      </c>
      <c r="D188" s="106" t="s">
        <v>1260</v>
      </c>
      <c r="E188" s="107" t="s">
        <v>1260</v>
      </c>
      <c r="F188" s="108" t="s">
        <v>1260</v>
      </c>
      <c r="G188" s="104" t="s">
        <v>334</v>
      </c>
      <c r="H188" s="242"/>
      <c r="I188" s="242"/>
      <c r="J188" s="242"/>
      <c r="K188" s="167" t="s">
        <v>6138</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6465</v>
      </c>
      <c r="B189" s="82" t="s">
        <v>6466</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6468</v>
      </c>
      <c r="B190" s="104" t="s">
        <v>6469</v>
      </c>
      <c r="C190" s="105" t="s">
        <v>1260</v>
      </c>
      <c r="D190" s="106" t="s">
        <v>1260</v>
      </c>
      <c r="E190" s="107" t="s">
        <v>1260</v>
      </c>
      <c r="F190" s="108" t="s">
        <v>1260</v>
      </c>
      <c r="G190" s="104" t="s">
        <v>2872</v>
      </c>
      <c r="H190" s="418"/>
      <c r="I190" s="426"/>
      <c r="J190" s="418" t="s">
        <v>553</v>
      </c>
      <c r="K190" s="418" t="s">
        <v>6031</v>
      </c>
      <c r="L190" s="418" t="s">
        <v>6470</v>
      </c>
      <c r="M190" s="418"/>
      <c r="N190" s="418"/>
      <c r="O190" s="418"/>
      <c r="P190" s="418"/>
      <c r="Q190" s="242"/>
      <c r="R190" s="242"/>
      <c r="S190" s="242"/>
      <c r="T190" s="242"/>
      <c r="U190" s="242"/>
      <c r="V190" s="242"/>
      <c r="W190" s="92"/>
      <c r="X190" s="117" t="s">
        <v>5147</v>
      </c>
      <c r="Y190" s="117"/>
      <c r="Z190" s="117"/>
      <c r="AA190" s="117" t="s">
        <v>1897</v>
      </c>
      <c r="AB190" s="296" t="s">
        <v>1145</v>
      </c>
      <c r="AC190" s="117" t="s">
        <v>2241</v>
      </c>
      <c r="AD190" s="117" t="s">
        <v>5344</v>
      </c>
      <c r="AE190" s="244"/>
      <c r="AF190" s="117" t="s">
        <v>6471</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6472</v>
      </c>
      <c r="BT190" s="131" t="s">
        <v>3933</v>
      </c>
      <c r="BU190" s="131"/>
      <c r="BV190" s="131" t="s">
        <v>6473</v>
      </c>
      <c r="BW190" s="131" t="s">
        <v>5811</v>
      </c>
      <c r="BX190" s="249"/>
      <c r="BY190" s="131"/>
      <c r="BZ190" s="131"/>
      <c r="CA190" s="131"/>
      <c r="CB190" s="249"/>
      <c r="CC190" s="249"/>
      <c r="CD190" s="249"/>
      <c r="CE190" s="249"/>
      <c r="CF190" s="251"/>
      <c r="CG190" s="136"/>
      <c r="CH190" s="136"/>
      <c r="CI190" s="136"/>
      <c r="CJ190" s="136" t="s">
        <v>6474</v>
      </c>
      <c r="CK190" s="136" t="s">
        <v>6475</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6476</v>
      </c>
      <c r="B191" s="82" t="s">
        <v>6477</v>
      </c>
      <c r="C191" s="83" t="s">
        <v>1260</v>
      </c>
      <c r="D191" s="84" t="s">
        <v>1260</v>
      </c>
      <c r="E191" s="85" t="s">
        <v>1260</v>
      </c>
      <c r="F191" s="86" t="s">
        <v>438</v>
      </c>
      <c r="G191" s="82" t="s">
        <v>438</v>
      </c>
      <c r="H191" s="99"/>
      <c r="I191" s="88" t="s">
        <v>6478</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6479</v>
      </c>
      <c r="B192" s="104" t="s">
        <v>6480</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6481</v>
      </c>
      <c r="B193" s="82" t="s">
        <v>6482</v>
      </c>
      <c r="C193" s="83" t="s">
        <v>1260</v>
      </c>
      <c r="D193" s="84" t="s">
        <v>1260</v>
      </c>
      <c r="E193" s="85" t="s">
        <v>1260</v>
      </c>
      <c r="F193" s="86" t="s">
        <v>547</v>
      </c>
      <c r="G193" s="82" t="s">
        <v>222</v>
      </c>
      <c r="H193" s="102"/>
      <c r="I193" s="95" t="s">
        <v>6483</v>
      </c>
      <c r="J193" s="102" t="s">
        <v>144</v>
      </c>
      <c r="K193" s="88" t="s">
        <v>5959</v>
      </c>
      <c r="L193" s="102" t="s">
        <v>4143</v>
      </c>
      <c r="M193" s="102"/>
      <c r="N193" s="102"/>
      <c r="O193" s="102" t="s">
        <v>3160</v>
      </c>
      <c r="P193" s="102" t="s">
        <v>1443</v>
      </c>
      <c r="Q193" s="99"/>
      <c r="R193" s="99"/>
      <c r="S193" s="99"/>
      <c r="T193" s="99"/>
      <c r="U193" s="99"/>
      <c r="V193" s="99"/>
      <c r="W193" s="92"/>
      <c r="X193" s="102" t="s">
        <v>4577</v>
      </c>
      <c r="Y193" s="102"/>
      <c r="Z193" s="102"/>
      <c r="AA193" s="102"/>
      <c r="AB193" s="266" t="s">
        <v>6484</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6486</v>
      </c>
      <c r="B194" s="104" t="s">
        <v>6487</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6488</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6489</v>
      </c>
      <c r="B195" s="82" t="s">
        <v>6490</v>
      </c>
      <c r="C195" s="83" t="s">
        <v>1260</v>
      </c>
      <c r="D195" s="84" t="s">
        <v>1260</v>
      </c>
      <c r="E195" s="85" t="s">
        <v>1260</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2083</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6491</v>
      </c>
      <c r="CH195" s="94" t="s">
        <v>155</v>
      </c>
      <c r="CI195" s="94" t="s">
        <v>6492</v>
      </c>
      <c r="CJ195" s="99"/>
      <c r="CK195" s="99"/>
      <c r="CL195" s="99" t="s">
        <v>3451</v>
      </c>
      <c r="CM195" s="99"/>
      <c r="CN195" s="94" t="s">
        <v>4820</v>
      </c>
      <c r="CO195" s="99"/>
      <c r="CP195" s="99"/>
      <c r="CQ195" s="99"/>
      <c r="CR195" s="99"/>
      <c r="CS195" s="99"/>
      <c r="CT195" s="99"/>
      <c r="CU195" s="92"/>
      <c r="CV195" s="94" t="s">
        <v>6493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6494</v>
      </c>
      <c r="B196" s="104" t="s">
        <v>6495</v>
      </c>
      <c r="C196" s="105" t="s">
        <v>1260</v>
      </c>
      <c r="D196" s="106" t="s">
        <v>1260</v>
      </c>
      <c r="E196" s="107" t="s">
        <v>1260</v>
      </c>
      <c r="F196" s="108" t="s">
        <v>1260</v>
      </c>
      <c r="G196" s="104" t="s">
        <v>6255</v>
      </c>
      <c r="H196" s="242"/>
      <c r="I196" s="167" t="s">
        <v>6496</v>
      </c>
      <c r="J196" s="167" t="s">
        <v>4252</v>
      </c>
      <c r="K196" s="167" t="s">
        <v>4385</v>
      </c>
      <c r="L196" s="167" t="s">
        <v>6497</v>
      </c>
      <c r="M196" s="242"/>
      <c r="N196" s="242"/>
      <c r="O196" s="167" t="s">
        <v>1225</v>
      </c>
      <c r="P196" s="242"/>
      <c r="Q196" s="242"/>
      <c r="R196" s="242"/>
      <c r="S196" s="167" t="s">
        <v>2148</v>
      </c>
      <c r="T196" s="242"/>
      <c r="U196" s="242"/>
      <c r="V196" s="242"/>
      <c r="W196" s="92"/>
      <c r="X196" s="244"/>
      <c r="Y196" s="244"/>
      <c r="Z196" s="244"/>
      <c r="AA196" s="198" t="s">
        <v>2150</v>
      </c>
      <c r="AB196" s="244"/>
      <c r="AC196" s="198" t="s">
        <v>6291</v>
      </c>
      <c r="AD196" s="244"/>
      <c r="AE196" s="244"/>
      <c r="AF196" s="244"/>
      <c r="AG196" s="244"/>
      <c r="AH196" s="244"/>
      <c r="AI196" s="244"/>
      <c r="AJ196" s="244"/>
      <c r="AK196" s="244"/>
      <c r="AL196" s="97"/>
      <c r="AM196" s="245"/>
      <c r="AN196" s="245"/>
      <c r="AO196" s="245"/>
      <c r="AP196" s="245"/>
      <c r="AQ196" s="245"/>
      <c r="AR196" s="245"/>
      <c r="AS196" s="245"/>
      <c r="AT196" s="245"/>
      <c r="AU196" s="245"/>
      <c r="AV196" s="168" t="s">
        <v>1980</v>
      </c>
      <c r="AW196" s="245"/>
      <c r="AX196" s="245"/>
      <c r="AY196" s="245"/>
      <c r="AZ196" s="245"/>
      <c r="BA196" s="245"/>
      <c r="BB196" s="173"/>
      <c r="BC196" s="174" t="s">
        <v>6498</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6499</v>
      </c>
      <c r="BX196" s="249"/>
      <c r="BY196" s="249"/>
      <c r="BZ196" s="249"/>
      <c r="CA196" s="249"/>
      <c r="CB196" s="249"/>
      <c r="CC196" s="249"/>
      <c r="CD196" s="175" t="s">
        <v>1839</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6500</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6501</v>
      </c>
      <c r="DT196" s="205" t="s">
        <v>4682</v>
      </c>
      <c r="DU196" s="255"/>
      <c r="DV196" s="255"/>
      <c r="DW196" s="255"/>
      <c r="DX196" s="255"/>
      <c r="DY196" s="255"/>
      <c r="DZ196" s="255"/>
      <c r="EA196" s="255"/>
      <c r="EB196" s="255"/>
      <c r="EC196" s="255"/>
      <c r="ED196" s="287" t="s">
        <v>6502</v>
      </c>
    </row>
    <row r="197">
      <c r="A197" s="734" t="s">
        <v>6503</v>
      </c>
      <c r="B197" s="82" t="s">
        <v>6504</v>
      </c>
      <c r="C197" s="83" t="s">
        <v>1260</v>
      </c>
      <c r="D197" s="84" t="s">
        <v>547</v>
      </c>
      <c r="E197" s="85" t="s">
        <v>1260</v>
      </c>
      <c r="F197" s="86" t="s">
        <v>650</v>
      </c>
      <c r="G197" s="82" t="s">
        <v>221</v>
      </c>
      <c r="H197" s="102"/>
      <c r="I197" s="95"/>
      <c r="J197" s="102"/>
      <c r="K197" s="102" t="s">
        <v>1959</v>
      </c>
      <c r="L197" s="102" t="s">
        <v>5769</v>
      </c>
      <c r="M197" s="102"/>
      <c r="N197" s="102"/>
      <c r="O197" s="102" t="s">
        <v>2948</v>
      </c>
      <c r="P197" s="102"/>
      <c r="Q197" s="99"/>
      <c r="R197" s="99"/>
      <c r="S197" s="99"/>
      <c r="T197" s="99"/>
      <c r="U197" s="99"/>
      <c r="V197" s="99"/>
      <c r="W197" s="92"/>
      <c r="X197" s="88" t="s">
        <v>3640</v>
      </c>
      <c r="Y197" s="102"/>
      <c r="Z197" s="102" t="s">
        <v>6505</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6506</v>
      </c>
      <c r="AT197" s="99"/>
      <c r="AU197" s="102"/>
      <c r="AV197" s="102" t="s">
        <v>235</v>
      </c>
      <c r="AW197" s="102"/>
      <c r="AX197" s="99"/>
      <c r="AY197" s="99"/>
      <c r="AZ197" s="99"/>
      <c r="BA197" s="99"/>
      <c r="BB197" s="102"/>
      <c r="BC197" s="102"/>
      <c r="BD197" s="102" t="s">
        <v>6507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6509</v>
      </c>
      <c r="B198" s="104" t="s">
        <v>6510</v>
      </c>
      <c r="C198" s="105" t="s">
        <v>1260</v>
      </c>
      <c r="D198" s="106" t="s">
        <v>1260</v>
      </c>
      <c r="E198" s="107" t="s">
        <v>1260</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6511</v>
      </c>
      <c r="B199" s="82" t="s">
        <v>6512</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6513</v>
      </c>
      <c r="B200" s="104" t="s">
        <v>6514</v>
      </c>
      <c r="C200" s="105" t="s">
        <v>1260</v>
      </c>
      <c r="D200" s="106" t="s">
        <v>1260</v>
      </c>
      <c r="E200" s="107" t="s">
        <v>1260</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1964</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6516</v>
      </c>
      <c r="DR200" s="255"/>
      <c r="DS200" s="255"/>
      <c r="DT200" s="255"/>
      <c r="DU200" s="255"/>
      <c r="DV200" s="255"/>
      <c r="DW200" s="205" t="s">
        <v>328</v>
      </c>
      <c r="DX200" s="255"/>
      <c r="DY200" s="255"/>
      <c r="DZ200" s="255"/>
      <c r="EA200" s="255"/>
      <c r="EB200" s="255"/>
      <c r="EC200" s="255"/>
      <c r="ED200" s="287"/>
    </row>
    <row r="201">
      <c r="A201" s="288" t="s">
        <v>6517</v>
      </c>
      <c r="B201" s="82" t="s">
        <v>6518</v>
      </c>
      <c r="C201" s="83" t="s">
        <v>1260</v>
      </c>
      <c r="D201" s="84" t="s">
        <v>1260</v>
      </c>
      <c r="E201" s="85" t="s">
        <v>1260</v>
      </c>
      <c r="F201" s="86" t="s">
        <v>1260</v>
      </c>
      <c r="G201" s="82" t="s">
        <v>4608</v>
      </c>
      <c r="H201" s="94" t="s">
        <v>6519</v>
      </c>
      <c r="I201" s="94" t="s">
        <v>2481</v>
      </c>
      <c r="J201" s="94" t="s">
        <v>1210</v>
      </c>
      <c r="K201" s="94" t="s">
        <v>6520</v>
      </c>
      <c r="L201" s="94" t="s">
        <v>6521</v>
      </c>
      <c r="M201" s="94" t="s">
        <v>6522</v>
      </c>
      <c r="N201" s="94" t="s">
        <v>6523</v>
      </c>
      <c r="O201" s="94" t="s">
        <v>5049</v>
      </c>
      <c r="P201" s="94" t="s">
        <v>4147</v>
      </c>
      <c r="Q201" s="99"/>
      <c r="R201" s="99"/>
      <c r="S201" s="99"/>
      <c r="T201" s="99"/>
      <c r="U201" s="99"/>
      <c r="V201" s="99"/>
      <c r="W201" s="92"/>
      <c r="X201" s="94" t="s">
        <v>6524</v>
      </c>
      <c r="Y201" s="94"/>
      <c r="Z201" s="94" t="s">
        <v>6525</v>
      </c>
      <c r="AA201" s="94" t="s">
        <v>6526</v>
      </c>
      <c r="AB201" s="99" t="s">
        <v>6527</v>
      </c>
      <c r="AC201" s="94" t="s">
        <v>5998</v>
      </c>
      <c r="AD201" s="99" t="s">
        <v>6528</v>
      </c>
      <c r="AE201" s="99"/>
      <c r="AF201" s="99" t="s">
        <v>6529</v>
      </c>
      <c r="AG201" s="94" t="s">
        <v>5632</v>
      </c>
      <c r="AH201" s="99"/>
      <c r="AI201" s="99"/>
      <c r="AJ201" s="99"/>
      <c r="AK201" s="99"/>
      <c r="AL201" s="97"/>
      <c r="AM201" s="99"/>
      <c r="AN201" s="99"/>
      <c r="AO201" s="99"/>
      <c r="AP201" s="99"/>
      <c r="AQ201" s="99"/>
      <c r="AR201" s="99"/>
      <c r="AS201" s="99"/>
      <c r="AT201" s="99"/>
      <c r="AU201" s="94" t="s">
        <v>214</v>
      </c>
      <c r="AV201" s="99" t="s">
        <v>4464</v>
      </c>
      <c r="AW201" s="94" t="s">
        <v>6530</v>
      </c>
      <c r="AX201" s="99"/>
      <c r="AY201" s="99"/>
      <c r="AZ201" s="99"/>
      <c r="BA201" s="99"/>
      <c r="BB201" s="94"/>
      <c r="BC201" s="99" t="s">
        <v>2142</v>
      </c>
      <c r="BD201" s="94" t="s">
        <v>1706</v>
      </c>
      <c r="BE201" s="99" t="s">
        <v>6531</v>
      </c>
      <c r="BF201" s="99" t="s">
        <v>6532</v>
      </c>
      <c r="BG201" s="99" t="s">
        <v>6533</v>
      </c>
      <c r="BH201" s="99" t="s">
        <v>6534</v>
      </c>
      <c r="BI201" s="94" t="s">
        <v>6535</v>
      </c>
      <c r="BJ201" s="99"/>
      <c r="BK201" s="99"/>
      <c r="BL201" s="94" t="s">
        <v>6536</v>
      </c>
      <c r="BM201" s="99"/>
      <c r="BN201" s="99"/>
      <c r="BO201" s="99"/>
      <c r="BP201" s="99"/>
      <c r="BQ201" s="237"/>
      <c r="BR201" s="99" t="s">
        <v>6537</v>
      </c>
      <c r="BS201" s="99" t="s">
        <v>2178</v>
      </c>
      <c r="BT201" s="99" t="s">
        <v>6538</v>
      </c>
      <c r="BU201" s="94" t="s">
        <v>6203</v>
      </c>
      <c r="BV201" s="99" t="s">
        <v>6539</v>
      </c>
      <c r="BW201" s="99" t="s">
        <v>6540</v>
      </c>
      <c r="BX201" s="94" t="s">
        <v>6541</v>
      </c>
      <c r="BY201" s="94" t="s">
        <v>6542</v>
      </c>
      <c r="BZ201" s="99"/>
      <c r="CA201" s="94" t="s">
        <v>4722</v>
      </c>
      <c r="CB201" s="99"/>
      <c r="CC201" s="99"/>
      <c r="CD201" s="99"/>
      <c r="CE201" s="99"/>
      <c r="CF201" s="237"/>
      <c r="CG201" s="94" t="s">
        <v>5710</v>
      </c>
      <c r="CH201" s="94" t="s">
        <v>1560</v>
      </c>
      <c r="CI201" s="94" t="s">
        <v>2480</v>
      </c>
      <c r="CJ201" s="94" t="s">
        <v>3637</v>
      </c>
      <c r="CK201" s="94"/>
      <c r="CL201" s="94" t="s">
        <v>370</v>
      </c>
      <c r="CM201" s="94" t="s">
        <v>6543</v>
      </c>
      <c r="CN201" s="94" t="s">
        <v>6544</v>
      </c>
      <c r="CO201" s="94" t="s">
        <v>3891</v>
      </c>
      <c r="CP201" s="99"/>
      <c r="CQ201" s="99"/>
      <c r="CR201" s="99"/>
      <c r="CS201" s="99"/>
      <c r="CT201" s="99"/>
      <c r="CU201" s="92"/>
      <c r="CV201" s="99" t="s">
        <v>6545</v>
      </c>
      <c r="CW201" s="99" t="s">
        <v>2189</v>
      </c>
      <c r="CX201" s="99" t="s">
        <v>1024</v>
      </c>
      <c r="CY201" s="99" t="s">
        <v>6546</v>
      </c>
      <c r="CZ201" s="99" t="s">
        <v>6547</v>
      </c>
      <c r="DA201" s="99" t="s">
        <v>4526</v>
      </c>
      <c r="DB201" s="99" t="s">
        <v>6548</v>
      </c>
      <c r="DC201" s="94" t="s">
        <v>3339</v>
      </c>
      <c r="DD201" s="99"/>
      <c r="DE201" s="99"/>
      <c r="DF201" s="99"/>
      <c r="DG201" s="99"/>
      <c r="DH201" s="237"/>
      <c r="DI201" s="99"/>
      <c r="DJ201" s="99"/>
      <c r="DK201" s="99"/>
      <c r="DL201" s="99"/>
      <c r="DM201" s="99" t="s">
        <v>5604</v>
      </c>
      <c r="DN201" s="94"/>
      <c r="DO201" s="94" t="s">
        <v>6549</v>
      </c>
      <c r="DP201" s="94" t="s">
        <v>3882</v>
      </c>
      <c r="DQ201" s="94" t="s">
        <v>3011</v>
      </c>
      <c r="DR201" s="99"/>
      <c r="DS201" s="99"/>
      <c r="DT201" s="99"/>
      <c r="DU201" s="99"/>
      <c r="DV201" s="99"/>
      <c r="DW201" s="99"/>
      <c r="DX201" s="99"/>
      <c r="DY201" s="99"/>
      <c r="DZ201" s="99"/>
      <c r="EA201" s="99"/>
      <c r="EB201" s="99"/>
      <c r="EC201" s="99"/>
      <c r="ED201" s="258"/>
    </row>
    <row r="202">
      <c r="A202" s="736" t="s">
        <v>6550</v>
      </c>
      <c r="B202" s="104" t="s">
        <v>6551</v>
      </c>
      <c r="C202" s="105" t="s">
        <v>1260</v>
      </c>
      <c r="D202" s="106" t="s">
        <v>1260</v>
      </c>
      <c r="E202" s="107" t="s">
        <v>1260</v>
      </c>
      <c r="F202" s="108" t="s">
        <v>1260</v>
      </c>
      <c r="G202" s="104" t="s">
        <v>220</v>
      </c>
      <c r="H202" s="418"/>
      <c r="I202" s="426"/>
      <c r="J202" s="418"/>
      <c r="K202" s="418"/>
      <c r="L202" s="418"/>
      <c r="M202" s="418"/>
      <c r="N202" s="418"/>
      <c r="O202" s="321" t="s">
        <v>5953</v>
      </c>
      <c r="P202" s="321" t="s">
        <v>2867</v>
      </c>
      <c r="Q202" s="242"/>
      <c r="R202" s="242"/>
      <c r="S202" s="242"/>
      <c r="T202" s="242"/>
      <c r="U202" s="242"/>
      <c r="V202" s="242"/>
      <c r="W202" s="92"/>
      <c r="X202" s="117"/>
      <c r="Y202" s="117"/>
      <c r="Z202" s="117"/>
      <c r="AA202" s="117"/>
      <c r="AB202" s="296"/>
      <c r="AC202" s="335" t="s">
        <v>1818</v>
      </c>
      <c r="AD202" s="117"/>
      <c r="AE202" s="244"/>
      <c r="AF202" s="117"/>
      <c r="AG202" s="335" t="s">
        <v>6257</v>
      </c>
      <c r="AH202" s="244"/>
      <c r="AI202" s="244"/>
      <c r="AJ202" s="117"/>
      <c r="AK202" s="198" t="s">
        <v>6552</v>
      </c>
      <c r="AL202" s="97"/>
      <c r="AM202" s="124"/>
      <c r="AN202" s="124" t="s">
        <v>6553</v>
      </c>
      <c r="AO202" s="245"/>
      <c r="AP202" s="245"/>
      <c r="AQ202" s="168"/>
      <c r="AR202" s="168"/>
      <c r="AS202" s="245"/>
      <c r="AT202" s="245"/>
      <c r="AU202" s="431" t="s">
        <v>6554</v>
      </c>
      <c r="AV202" s="124"/>
      <c r="AW202" s="124"/>
      <c r="AX202" s="245"/>
      <c r="AY202" s="245"/>
      <c r="AZ202" s="245"/>
      <c r="BA202" s="245"/>
      <c r="BB202" s="352"/>
      <c r="BC202" s="352"/>
      <c r="BD202" s="352"/>
      <c r="BE202" s="352"/>
      <c r="BF202" s="352"/>
      <c r="BG202" s="352"/>
      <c r="BH202" s="173"/>
      <c r="BI202" s="201" t="s">
        <v>6096</v>
      </c>
      <c r="BJ202" s="173"/>
      <c r="BK202" s="352"/>
      <c r="BL202" s="201" t="s">
        <v>6555</v>
      </c>
      <c r="BM202" s="173"/>
      <c r="BN202" s="173"/>
      <c r="BO202" s="352"/>
      <c r="BP202" s="173"/>
      <c r="BQ202" s="247"/>
      <c r="BR202" s="343" t="s">
        <v>6556</v>
      </c>
      <c r="BS202" s="343" t="s">
        <v>6557</v>
      </c>
      <c r="BT202" s="131"/>
      <c r="BU202" s="343" t="s">
        <v>2587</v>
      </c>
      <c r="BV202" s="343" t="s">
        <v>6558</v>
      </c>
      <c r="BW202" s="343" t="s">
        <v>1017</v>
      </c>
      <c r="BX202" s="249"/>
      <c r="BY202" s="131"/>
      <c r="BZ202" s="343" t="s">
        <v>6559</v>
      </c>
      <c r="CA202" s="343" t="s">
        <v>1921</v>
      </c>
      <c r="CB202" s="175" t="s">
        <v>6560</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6561</v>
      </c>
      <c r="DD202" s="253"/>
      <c r="DE202" s="253"/>
      <c r="DF202" s="253"/>
      <c r="DG202" s="253"/>
      <c r="DH202" s="263"/>
      <c r="DI202" s="206"/>
      <c r="DJ202" s="255"/>
      <c r="DK202" s="255"/>
      <c r="DL202" s="206"/>
      <c r="DM202" s="287" t="s">
        <v>6562</v>
      </c>
      <c r="DN202" s="206"/>
      <c r="DO202" s="255"/>
      <c r="DP202" s="255"/>
      <c r="DQ202" s="255"/>
      <c r="DR202" s="206"/>
      <c r="DS202" s="206"/>
      <c r="DT202" s="205" t="s">
        <v>2087</v>
      </c>
      <c r="DU202" s="206"/>
      <c r="DV202" s="255"/>
      <c r="DW202" s="205" t="s">
        <v>278</v>
      </c>
      <c r="DX202" s="255"/>
      <c r="DY202" s="255"/>
      <c r="DZ202" s="255"/>
      <c r="EA202" s="206" t="s">
        <v>5820</v>
      </c>
      <c r="EB202" s="255"/>
      <c r="EC202" s="255"/>
      <c r="ED202" s="287"/>
    </row>
    <row r="203">
      <c r="A203" s="572" t="s">
        <v>6563</v>
      </c>
      <c r="B203" s="82" t="s">
        <v>6564</v>
      </c>
      <c r="C203" s="83" t="s">
        <v>1260</v>
      </c>
      <c r="D203" s="84" t="s">
        <v>1260</v>
      </c>
      <c r="E203" s="85" t="s">
        <v>1260</v>
      </c>
      <c r="F203" s="86" t="s">
        <v>1260</v>
      </c>
      <c r="G203" s="82" t="s">
        <v>3061</v>
      </c>
      <c r="H203" s="99"/>
      <c r="I203" s="94" t="s">
        <v>6565</v>
      </c>
      <c r="J203" s="94" t="s">
        <v>6566</v>
      </c>
      <c r="K203" s="94" t="s">
        <v>2042</v>
      </c>
      <c r="L203" s="94" t="s">
        <v>6567</v>
      </c>
      <c r="M203" s="94" t="s">
        <v>6568</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6569</v>
      </c>
      <c r="CM203" s="99"/>
      <c r="CN203" s="99"/>
      <c r="CO203" s="99"/>
      <c r="CP203" s="99"/>
      <c r="CQ203" s="99"/>
      <c r="CR203" s="99"/>
      <c r="CS203" s="99"/>
      <c r="CT203" s="99"/>
      <c r="CU203" s="92"/>
      <c r="CV203" s="99"/>
      <c r="CW203" s="99"/>
      <c r="CX203" s="99"/>
      <c r="CY203" s="99"/>
      <c r="CZ203" s="99"/>
      <c r="DA203" s="99"/>
      <c r="DB203" s="99"/>
      <c r="DC203" s="94" t="s">
        <v>6570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6571</v>
      </c>
      <c r="B204" s="104" t="s">
        <v>6572</v>
      </c>
      <c r="C204" s="105" t="s">
        <v>1260</v>
      </c>
      <c r="D204" s="106" t="s">
        <v>1260</v>
      </c>
      <c r="E204" s="107" t="s">
        <v>1260</v>
      </c>
      <c r="F204" s="108" t="s">
        <v>1260</v>
      </c>
      <c r="G204" s="104" t="s">
        <v>3495</v>
      </c>
      <c r="H204" s="242"/>
      <c r="I204" s="167" t="s">
        <v>6573</v>
      </c>
      <c r="J204" s="167" t="s">
        <v>1298</v>
      </c>
      <c r="K204" s="167" t="s">
        <v>1127</v>
      </c>
      <c r="L204" s="167" t="s">
        <v>6574</v>
      </c>
      <c r="M204" s="167" t="s">
        <v>6575</v>
      </c>
      <c r="N204" s="167" t="s">
        <v>6576</v>
      </c>
      <c r="O204" s="167" t="s">
        <v>6577</v>
      </c>
      <c r="P204" s="167" t="s">
        <v>4622</v>
      </c>
      <c r="Q204" s="242"/>
      <c r="R204" s="242"/>
      <c r="S204" s="242"/>
      <c r="T204" s="242"/>
      <c r="U204" s="242"/>
      <c r="V204" s="242"/>
      <c r="W204" s="92"/>
      <c r="X204" s="198" t="s">
        <v>336</v>
      </c>
      <c r="Y204" s="198"/>
      <c r="Z204" s="198" t="s">
        <v>2213</v>
      </c>
      <c r="AA204" s="198" t="s">
        <v>3250</v>
      </c>
      <c r="AB204" s="198" t="s">
        <v>6578</v>
      </c>
      <c r="AC204" s="198" t="s">
        <v>6579</v>
      </c>
      <c r="AD204" s="198" t="s">
        <v>3212</v>
      </c>
      <c r="AE204" s="244"/>
      <c r="AF204" s="198" t="s">
        <v>6580</v>
      </c>
      <c r="AG204" s="198" t="s">
        <v>1357</v>
      </c>
      <c r="AH204" s="244"/>
      <c r="AI204" s="244"/>
      <c r="AJ204" s="244"/>
      <c r="AK204" s="244"/>
      <c r="AL204" s="97"/>
      <c r="AM204" s="168" t="s">
        <v>5147</v>
      </c>
      <c r="AN204" s="168" t="s">
        <v>1371</v>
      </c>
      <c r="AO204" s="168" t="s">
        <v>6581</v>
      </c>
      <c r="AP204" s="168" t="s">
        <v>6582</v>
      </c>
      <c r="AQ204" s="168" t="s">
        <v>6583</v>
      </c>
      <c r="AR204" s="168"/>
      <c r="AS204" s="168" t="s">
        <v>2181</v>
      </c>
      <c r="AT204" s="168" t="s">
        <v>6584</v>
      </c>
      <c r="AU204" s="168" t="s">
        <v>3857</v>
      </c>
      <c r="AV204" s="168" t="s">
        <v>696</v>
      </c>
      <c r="AW204" s="245"/>
      <c r="AX204" s="245"/>
      <c r="AY204" s="245"/>
      <c r="AZ204" s="245"/>
      <c r="BA204" s="245"/>
      <c r="BB204" s="174" t="s">
        <v>630</v>
      </c>
      <c r="BC204" s="174" t="s">
        <v>6585</v>
      </c>
      <c r="BD204" s="174" t="s">
        <v>6586</v>
      </c>
      <c r="BE204" s="174" t="s">
        <v>6587</v>
      </c>
      <c r="BF204" s="174" t="s">
        <v>6588</v>
      </c>
      <c r="BG204" s="174" t="s">
        <v>6535</v>
      </c>
      <c r="BH204" s="174" t="s">
        <v>6589</v>
      </c>
      <c r="BI204" s="174" t="s">
        <v>5292</v>
      </c>
      <c r="BJ204" s="174"/>
      <c r="BK204" s="174"/>
      <c r="BL204" s="174" t="s">
        <v>923</v>
      </c>
      <c r="BM204" s="173"/>
      <c r="BN204" s="173"/>
      <c r="BO204" s="173"/>
      <c r="BP204" s="173"/>
      <c r="BQ204" s="247"/>
      <c r="BR204" s="175"/>
      <c r="BS204" s="175" t="s">
        <v>6590</v>
      </c>
      <c r="BT204" s="175" t="s">
        <v>6591</v>
      </c>
      <c r="BU204" s="175" t="s">
        <v>112</v>
      </c>
      <c r="BV204" s="175" t="s">
        <v>6592</v>
      </c>
      <c r="BW204" s="175" t="s">
        <v>6593</v>
      </c>
      <c r="BX204" s="175" t="s">
        <v>6594</v>
      </c>
      <c r="BY204" s="175" t="s">
        <v>6595</v>
      </c>
      <c r="BZ204" s="249"/>
      <c r="CA204" s="175" t="s">
        <v>3586</v>
      </c>
      <c r="CB204" s="249"/>
      <c r="CC204" s="249"/>
      <c r="CD204" s="249"/>
      <c r="CE204" s="249"/>
      <c r="CF204" s="251"/>
      <c r="CG204" s="177" t="s">
        <v>6596</v>
      </c>
      <c r="CH204" s="177" t="s">
        <v>6597</v>
      </c>
      <c r="CI204" s="177" t="s">
        <v>2938</v>
      </c>
      <c r="CJ204" s="177" t="s">
        <v>6598</v>
      </c>
      <c r="CK204" s="177"/>
      <c r="CL204" s="177" t="s">
        <v>4251</v>
      </c>
      <c r="CM204" s="177" t="s">
        <v>6599</v>
      </c>
      <c r="CN204" s="177" t="s">
        <v>966</v>
      </c>
      <c r="CO204" s="177" t="s">
        <v>1431</v>
      </c>
      <c r="CP204" s="252"/>
      <c r="CQ204" s="252"/>
      <c r="CR204" s="252"/>
      <c r="CS204" s="252"/>
      <c r="CT204" s="252"/>
      <c r="CU204" s="92"/>
      <c r="CV204" s="204" t="s">
        <v>6600</v>
      </c>
      <c r="CW204" s="204" t="s">
        <v>6601</v>
      </c>
      <c r="CX204" s="204" t="s">
        <v>1649</v>
      </c>
      <c r="CY204" s="204" t="s">
        <v>6602</v>
      </c>
      <c r="CZ204" s="204" t="s">
        <v>6603</v>
      </c>
      <c r="DA204" s="204" t="s">
        <v>6604</v>
      </c>
      <c r="DB204" s="204" t="s">
        <v>1509</v>
      </c>
      <c r="DC204" s="204" t="s">
        <v>6605</v>
      </c>
      <c r="DD204" s="253"/>
      <c r="DE204" s="253"/>
      <c r="DF204" s="253"/>
      <c r="DG204" s="253"/>
      <c r="DH204" s="263"/>
      <c r="DI204" s="255"/>
      <c r="DJ204" s="255"/>
      <c r="DK204" s="255"/>
      <c r="DL204" s="255"/>
      <c r="DM204" s="255"/>
      <c r="DN204" s="255"/>
      <c r="DO204" s="255"/>
      <c r="DP204" s="255"/>
      <c r="DQ204" s="255"/>
      <c r="DR204" s="205" t="s">
        <v>6606</v>
      </c>
      <c r="DS204" s="205"/>
      <c r="DT204" s="255"/>
      <c r="DU204" s="255"/>
      <c r="DV204" s="255"/>
      <c r="DW204" s="255"/>
      <c r="DX204" s="255"/>
      <c r="DY204" s="255"/>
      <c r="DZ204" s="255"/>
      <c r="EA204" s="255"/>
      <c r="EB204" s="255"/>
      <c r="EC204" s="255"/>
      <c r="ED204" s="287"/>
    </row>
    <row r="205">
      <c r="A205" s="737" t="s">
        <v>6607</v>
      </c>
      <c r="B205" s="82" t="s">
        <v>6608</v>
      </c>
      <c r="C205" s="83" t="s">
        <v>1260</v>
      </c>
      <c r="D205" s="84" t="s">
        <v>1260</v>
      </c>
      <c r="E205" s="85" t="s">
        <v>1260</v>
      </c>
      <c r="F205" s="86" t="s">
        <v>1260</v>
      </c>
      <c r="G205" s="82" t="s">
        <v>4056</v>
      </c>
      <c r="H205" s="94" t="s">
        <v>6609</v>
      </c>
      <c r="I205" s="94" t="s">
        <v>6610</v>
      </c>
      <c r="J205" s="94" t="s">
        <v>6611</v>
      </c>
      <c r="K205" s="94" t="s">
        <v>1617</v>
      </c>
      <c r="L205" s="94" t="s">
        <v>4074</v>
      </c>
      <c r="M205" s="94" t="s">
        <v>6612</v>
      </c>
      <c r="N205" s="94" t="s">
        <v>6613</v>
      </c>
      <c r="O205" s="94" t="s">
        <v>4437</v>
      </c>
      <c r="P205" s="94" t="s">
        <v>4680</v>
      </c>
      <c r="Q205" s="99"/>
      <c r="R205" s="99"/>
      <c r="S205" s="99"/>
      <c r="T205" s="99"/>
      <c r="U205" s="99"/>
      <c r="V205" s="99"/>
      <c r="W205" s="92"/>
      <c r="X205" s="94" t="s">
        <v>6614</v>
      </c>
      <c r="Y205" s="94"/>
      <c r="Z205" s="94" t="s">
        <v>1078</v>
      </c>
      <c r="AA205" s="99"/>
      <c r="AB205" s="99"/>
      <c r="AC205" s="94" t="s">
        <v>6615</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6616</v>
      </c>
      <c r="CH205" s="94" t="s">
        <v>5234</v>
      </c>
      <c r="CI205" s="94" t="s">
        <v>786</v>
      </c>
      <c r="CJ205" s="94" t="s">
        <v>6617</v>
      </c>
      <c r="CK205" s="94"/>
      <c r="CL205" s="94" t="s">
        <v>790</v>
      </c>
      <c r="CM205" s="94" t="s">
        <v>6618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6619</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6620</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6621</v>
      </c>
      <c r="B208" s="104" t="s">
        <v>1552</v>
      </c>
      <c r="C208" s="105" t="s">
        <v>1260</v>
      </c>
      <c r="D208" s="106" t="s">
        <v>1260</v>
      </c>
      <c r="E208" s="107" t="s">
        <v>1260</v>
      </c>
      <c r="F208" s="108" t="s">
        <v>1260</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6622</v>
      </c>
      <c r="B209" s="82" t="s">
        <v>4176</v>
      </c>
      <c r="C209" s="83" t="s">
        <v>1260</v>
      </c>
      <c r="D209" s="84" t="s">
        <v>1260</v>
      </c>
      <c r="E209" s="85" t="s">
        <v>1260</v>
      </c>
      <c r="F209" s="86" t="s">
        <v>1260</v>
      </c>
      <c r="G209" s="82" t="s">
        <v>2872</v>
      </c>
      <c r="H209" s="94"/>
      <c r="I209" s="94" t="s">
        <v>6623</v>
      </c>
      <c r="J209" s="94" t="s">
        <v>3288</v>
      </c>
      <c r="K209" s="94" t="s">
        <v>1959</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6624</v>
      </c>
      <c r="BF209" s="99"/>
      <c r="BG209" s="99"/>
      <c r="BH209" s="99"/>
      <c r="BI209" s="94" t="s">
        <v>4448</v>
      </c>
      <c r="BJ209" s="99"/>
      <c r="BK209" s="99"/>
      <c r="BL209" s="99"/>
      <c r="BM209" s="99"/>
      <c r="BN209" s="99"/>
      <c r="BO209" s="99"/>
      <c r="BP209" s="99"/>
      <c r="BQ209" s="237"/>
      <c r="BR209" s="99"/>
      <c r="BS209" s="94" t="s">
        <v>4913</v>
      </c>
      <c r="BT209" s="94" t="s">
        <v>6625</v>
      </c>
      <c r="BU209" s="94" t="s">
        <v>5360</v>
      </c>
      <c r="BV209" s="99"/>
      <c r="BW209" s="99"/>
      <c r="BX209" s="99"/>
      <c r="BY209" s="99"/>
      <c r="BZ209" s="99"/>
      <c r="CA209" s="99"/>
      <c r="CB209" s="99"/>
      <c r="CC209" s="99"/>
      <c r="CD209" s="99"/>
      <c r="CE209" s="99"/>
      <c r="CF209" s="237"/>
      <c r="CG209" s="94" t="s">
        <v>6626</v>
      </c>
      <c r="CH209" s="94" t="s">
        <v>1636</v>
      </c>
      <c r="CI209" s="99"/>
      <c r="CJ209" s="99"/>
      <c r="CK209" s="99"/>
      <c r="CL209" s="99"/>
      <c r="CM209" s="99"/>
      <c r="CN209" s="99"/>
      <c r="CO209" s="99"/>
      <c r="CP209" s="99"/>
      <c r="CQ209" s="99"/>
      <c r="CR209" s="99"/>
      <c r="CS209" s="99"/>
      <c r="CT209" s="99"/>
      <c r="CU209" s="92"/>
      <c r="CV209" s="99"/>
      <c r="CW209" s="99"/>
      <c r="CX209" s="94" t="s">
        <v>6627</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6628</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6629</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6631</v>
      </c>
      <c r="B212" s="104" t="s">
        <v>6632</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6633</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6634</v>
      </c>
      <c r="B214" s="104" t="s">
        <v>1417</v>
      </c>
      <c r="C214" s="105" t="s">
        <v>1260</v>
      </c>
      <c r="D214" s="106" t="s">
        <v>1260</v>
      </c>
      <c r="E214" s="107" t="s">
        <v>1260</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6635</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6636</v>
      </c>
      <c r="B215" s="82" t="s">
        <v>4608</v>
      </c>
      <c r="C215" s="83" t="s">
        <v>1260</v>
      </c>
      <c r="D215" s="84" t="s">
        <v>1260</v>
      </c>
      <c r="E215" s="85" t="s">
        <v>1260</v>
      </c>
      <c r="F215" s="86" t="s">
        <v>2774</v>
      </c>
      <c r="G215" s="82" t="s">
        <v>2774</v>
      </c>
      <c r="H215" s="424" t="s">
        <v>6637</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6638</v>
      </c>
      <c r="AQ215" s="99"/>
      <c r="AR215" s="99"/>
      <c r="AS215" s="99"/>
      <c r="AT215" s="99"/>
      <c r="AU215" s="99"/>
      <c r="AV215" s="99"/>
      <c r="AW215" s="99"/>
      <c r="AX215" s="99"/>
      <c r="AY215" s="424" t="s">
        <v>521</v>
      </c>
      <c r="AZ215" s="99"/>
      <c r="BA215" s="99"/>
      <c r="BB215" s="424" t="s">
        <v>6639</v>
      </c>
      <c r="BC215" s="99"/>
      <c r="BD215" s="424" t="s">
        <v>4781</v>
      </c>
      <c r="BE215" s="99"/>
      <c r="BF215" s="99"/>
      <c r="BG215" s="99"/>
      <c r="BH215" s="99"/>
      <c r="BI215" s="99"/>
      <c r="BJ215" s="99"/>
      <c r="BK215" s="99"/>
      <c r="BL215" s="99"/>
      <c r="BM215" s="99"/>
      <c r="BN215" s="424" t="s">
        <v>6640</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6641</v>
      </c>
      <c r="DR215" s="99"/>
      <c r="DS215" s="99"/>
      <c r="DT215" s="99"/>
      <c r="DU215" s="99"/>
      <c r="DV215" s="99"/>
      <c r="DW215" s="99"/>
      <c r="DX215" s="99"/>
      <c r="DY215" s="99"/>
      <c r="DZ215" s="99"/>
      <c r="EA215" s="99"/>
      <c r="EB215" s="99"/>
      <c r="EC215" s="99"/>
      <c r="ED215" s="717" t="s">
        <v>1909</v>
      </c>
    </row>
    <row r="216">
      <c r="A216" s="103" t="s">
        <v>6642</v>
      </c>
      <c r="B216" s="104" t="s">
        <v>1810</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6643</v>
      </c>
      <c r="B217" s="82" t="s">
        <v>4038</v>
      </c>
      <c r="C217" s="83" t="s">
        <v>1260</v>
      </c>
      <c r="D217" s="84" t="s">
        <v>1260</v>
      </c>
      <c r="E217" s="85" t="s">
        <v>1260</v>
      </c>
      <c r="F217" s="86" t="s">
        <v>1260</v>
      </c>
      <c r="G217" s="82" t="s">
        <v>650</v>
      </c>
      <c r="H217" s="99"/>
      <c r="I217" s="94" t="s">
        <v>6644</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6645</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6646</v>
      </c>
      <c r="B219" s="82" t="s">
        <v>2652</v>
      </c>
      <c r="C219" s="83" t="s">
        <v>1260</v>
      </c>
      <c r="D219" s="84" t="s">
        <v>1260</v>
      </c>
      <c r="E219" s="85" t="s">
        <v>1260</v>
      </c>
      <c r="F219" s="86" t="s">
        <v>1260</v>
      </c>
      <c r="G219" s="82" t="s">
        <v>650</v>
      </c>
      <c r="H219" s="99"/>
      <c r="I219" s="94"/>
      <c r="J219" s="99"/>
      <c r="K219" s="94" t="s">
        <v>5000</v>
      </c>
      <c r="L219" s="94" t="s">
        <v>6647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6648</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6649</v>
      </c>
      <c r="CH220" s="177" t="s">
        <v>4692</v>
      </c>
      <c r="CI220" s="177" t="s">
        <v>1769</v>
      </c>
      <c r="CJ220" s="252"/>
      <c r="CK220" s="252"/>
      <c r="CL220" s="252" t="s">
        <v>6650</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6651</v>
      </c>
      <c r="DN220" s="205"/>
      <c r="DO220" s="255"/>
      <c r="DP220" s="255"/>
      <c r="DQ220" s="255"/>
      <c r="DR220" s="255"/>
      <c r="DS220" s="255"/>
      <c r="DT220" s="255"/>
      <c r="DU220" s="255"/>
      <c r="DV220" s="255"/>
      <c r="DW220" s="255"/>
      <c r="DX220" s="255"/>
      <c r="DY220" s="255"/>
      <c r="DZ220" s="255"/>
      <c r="EA220" s="255"/>
      <c r="EB220" s="255"/>
      <c r="EC220" s="255"/>
      <c r="ED220" s="568"/>
    </row>
    <row r="221">
      <c r="A221" s="81" t="s">
        <v>6652</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6653</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6323</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6655</v>
      </c>
      <c r="B224" s="104" t="s">
        <v>222</v>
      </c>
      <c r="C224" s="105" t="s">
        <v>1260</v>
      </c>
      <c r="D224" s="106" t="s">
        <v>1260</v>
      </c>
      <c r="E224" s="107" t="s">
        <v>1260</v>
      </c>
      <c r="F224" s="108" t="s">
        <v>438</v>
      </c>
      <c r="G224" s="104" t="s">
        <v>438</v>
      </c>
      <c r="H224" s="112" t="s">
        <v>6656</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6657</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6658</v>
      </c>
      <c r="B225" s="82" t="s">
        <v>1054</v>
      </c>
      <c r="C225" s="83" t="s">
        <v>1260</v>
      </c>
      <c r="D225" s="84" t="s">
        <v>1260</v>
      </c>
      <c r="E225" s="85" t="s">
        <v>1260</v>
      </c>
      <c r="F225" s="86" t="s">
        <v>1260</v>
      </c>
      <c r="G225" s="82" t="s">
        <v>547</v>
      </c>
      <c r="H225" s="99"/>
      <c r="I225" s="99"/>
      <c r="J225" s="99"/>
      <c r="K225" s="99" t="s">
        <v>6520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6659</v>
      </c>
      <c r="B226" s="104" t="s">
        <v>1054</v>
      </c>
      <c r="C226" s="105" t="s">
        <v>1260</v>
      </c>
      <c r="D226" s="106" t="s">
        <v>1260</v>
      </c>
      <c r="E226" s="107" t="s">
        <v>1260</v>
      </c>
      <c r="F226" s="108" t="s">
        <v>1260</v>
      </c>
      <c r="G226" s="104" t="s">
        <v>332</v>
      </c>
      <c r="H226" s="242"/>
      <c r="I226" s="242"/>
      <c r="J226" s="242"/>
      <c r="K226" s="167" t="s">
        <v>2945</v>
      </c>
      <c r="L226" s="242"/>
      <c r="M226" s="242"/>
      <c r="N226" s="242"/>
      <c r="O226" s="167" t="s">
        <v>1819</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6660</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6661</v>
      </c>
      <c r="B228" s="104" t="s">
        <v>650</v>
      </c>
      <c r="C228" s="105" t="s">
        <v>1260</v>
      </c>
      <c r="D228" s="106" t="s">
        <v>1260</v>
      </c>
      <c r="E228" s="107" t="s">
        <v>1260</v>
      </c>
      <c r="F228" s="108" t="s">
        <v>1260</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6663</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6664</v>
      </c>
      <c r="B230" s="104" t="s">
        <v>1260</v>
      </c>
      <c r="C230" s="105" t="s">
        <v>1260</v>
      </c>
      <c r="D230" s="106" t="s">
        <v>1260</v>
      </c>
      <c r="E230" s="107" t="s">
        <v>1260</v>
      </c>
      <c r="F230" s="108" t="s">
        <v>1260</v>
      </c>
      <c r="G230" s="104" t="s">
        <v>1260</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1260</v>
      </c>
      <c r="C232" s="105" t="s">
        <v>1260</v>
      </c>
      <c r="D232" s="106" t="s">
        <v>1260</v>
      </c>
      <c r="E232" s="107" t="s">
        <v>1260</v>
      </c>
      <c r="F232" s="108" t="s">
        <v>1260</v>
      </c>
      <c r="G232" s="104" t="s">
        <v>1260</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1260</v>
      </c>
      <c r="C234" s="105" t="s">
        <v>1260</v>
      </c>
      <c r="D234" s="106" t="s">
        <v>1260</v>
      </c>
      <c r="E234" s="107" t="s">
        <v>1260</v>
      </c>
      <c r="F234" s="108" t="s">
        <v>1260</v>
      </c>
      <c r="G234" s="104" t="s">
        <v>1260</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1260</v>
      </c>
      <c r="C236" s="105" t="s">
        <v>1260</v>
      </c>
      <c r="D236" s="106" t="s">
        <v>1260</v>
      </c>
      <c r="E236" s="107" t="s">
        <v>1260</v>
      </c>
      <c r="F236" s="108" t="s">
        <v>1260</v>
      </c>
      <c r="G236" s="104" t="s">
        <v>1260</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1260</v>
      </c>
      <c r="C238" s="105" t="s">
        <v>1260</v>
      </c>
      <c r="D238" s="106" t="s">
        <v>1260</v>
      </c>
      <c r="E238" s="107" t="s">
        <v>1260</v>
      </c>
      <c r="F238" s="108" t="s">
        <v>1260</v>
      </c>
      <c r="G238" s="104" t="s">
        <v>1260</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1260</v>
      </c>
      <c r="C240" s="105" t="s">
        <v>1260</v>
      </c>
      <c r="D240" s="106" t="s">
        <v>1260</v>
      </c>
      <c r="E240" s="107" t="s">
        <v>1260</v>
      </c>
      <c r="F240" s="108" t="s">
        <v>1260</v>
      </c>
      <c r="G240" s="104" t="s">
        <v>1260</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1260</v>
      </c>
      <c r="C242" s="105" t="s">
        <v>1260</v>
      </c>
      <c r="D242" s="106" t="s">
        <v>1260</v>
      </c>
      <c r="E242" s="107" t="s">
        <v>1260</v>
      </c>
      <c r="F242" s="108" t="s">
        <v>1260</v>
      </c>
      <c r="G242" s="104" t="s">
        <v>1260</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1260</v>
      </c>
      <c r="C244" s="105" t="s">
        <v>1260</v>
      </c>
      <c r="D244" s="106" t="s">
        <v>1260</v>
      </c>
      <c r="E244" s="107" t="s">
        <v>1260</v>
      </c>
      <c r="F244" s="108" t="s">
        <v>1260</v>
      </c>
      <c r="G244" s="104" t="s">
        <v>1260</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1260</v>
      </c>
      <c r="C246" s="105" t="s">
        <v>1260</v>
      </c>
      <c r="D246" s="106" t="s">
        <v>1260</v>
      </c>
      <c r="E246" s="107" t="s">
        <v>1260</v>
      </c>
      <c r="F246" s="108" t="s">
        <v>1260</v>
      </c>
      <c r="G246" s="104" t="s">
        <v>1260</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1260</v>
      </c>
      <c r="C248" s="105" t="s">
        <v>1260</v>
      </c>
      <c r="D248" s="106" t="s">
        <v>1260</v>
      </c>
      <c r="E248" s="107" t="s">
        <v>1260</v>
      </c>
      <c r="F248" s="108" t="s">
        <v>1260</v>
      </c>
      <c r="G248" s="104" t="s">
        <v>1260</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1260</v>
      </c>
      <c r="C250" s="105" t="s">
        <v>1260</v>
      </c>
      <c r="D250" s="106" t="s">
        <v>1260</v>
      </c>
      <c r="E250" s="107" t="s">
        <v>1260</v>
      </c>
      <c r="F250" s="108" t="s">
        <v>1260</v>
      </c>
      <c r="G250" s="104" t="s">
        <v>1260</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1260</v>
      </c>
      <c r="C252" s="105" t="s">
        <v>1260</v>
      </c>
      <c r="D252" s="106" t="s">
        <v>1260</v>
      </c>
      <c r="E252" s="107" t="s">
        <v>1260</v>
      </c>
      <c r="F252" s="108" t="s">
        <v>1260</v>
      </c>
      <c r="G252" s="104" t="s">
        <v>1260</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1260</v>
      </c>
      <c r="C254" s="105" t="s">
        <v>1260</v>
      </c>
      <c r="D254" s="106" t="s">
        <v>1260</v>
      </c>
      <c r="E254" s="107" t="s">
        <v>1260</v>
      </c>
      <c r="F254" s="108" t="s">
        <v>1260</v>
      </c>
      <c r="G254" s="104" t="s">
        <v>1260</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1260</v>
      </c>
      <c r="C256" s="105" t="s">
        <v>1260</v>
      </c>
      <c r="D256" s="106" t="s">
        <v>1260</v>
      </c>
      <c r="E256" s="107" t="s">
        <v>1260</v>
      </c>
      <c r="F256" s="108" t="s">
        <v>1260</v>
      </c>
      <c r="G256" s="104" t="s">
        <v>1260</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1260</v>
      </c>
      <c r="C258" s="105" t="s">
        <v>1260</v>
      </c>
      <c r="D258" s="106" t="s">
        <v>1260</v>
      </c>
      <c r="E258" s="107" t="s">
        <v>1260</v>
      </c>
      <c r="F258" s="108" t="s">
        <v>1260</v>
      </c>
      <c r="G258" s="104" t="s">
        <v>1260</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1260</v>
      </c>
      <c r="C260" s="105" t="s">
        <v>1260</v>
      </c>
      <c r="D260" s="106" t="s">
        <v>1260</v>
      </c>
      <c r="E260" s="107" t="s">
        <v>1260</v>
      </c>
      <c r="F260" s="108" t="s">
        <v>1260</v>
      </c>
      <c r="G260" s="104" t="s">
        <v>1260</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1260</v>
      </c>
      <c r="C262" s="105" t="s">
        <v>1260</v>
      </c>
      <c r="D262" s="106" t="s">
        <v>1260</v>
      </c>
      <c r="E262" s="107" t="s">
        <v>1260</v>
      </c>
      <c r="F262" s="108" t="s">
        <v>1260</v>
      </c>
      <c r="G262" s="104" t="s">
        <v>1260</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1260</v>
      </c>
      <c r="C264" s="105" t="s">
        <v>1260</v>
      </c>
      <c r="D264" s="106" t="s">
        <v>1260</v>
      </c>
      <c r="E264" s="107" t="s">
        <v>1260</v>
      </c>
      <c r="F264" s="108" t="s">
        <v>1260</v>
      </c>
      <c r="G264" s="104" t="s">
        <v>1260</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1260</v>
      </c>
      <c r="C266" s="105" t="s">
        <v>1260</v>
      </c>
      <c r="D266" s="106" t="s">
        <v>1260</v>
      </c>
      <c r="E266" s="107" t="s">
        <v>1260</v>
      </c>
      <c r="F266" s="108" t="s">
        <v>1260</v>
      </c>
      <c r="G266" s="104" t="s">
        <v>1260</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1260</v>
      </c>
      <c r="C268" s="105" t="s">
        <v>1260</v>
      </c>
      <c r="D268" s="106" t="s">
        <v>1260</v>
      </c>
      <c r="E268" s="107" t="s">
        <v>1260</v>
      </c>
      <c r="F268" s="108" t="s">
        <v>1260</v>
      </c>
      <c r="G268" s="104" t="s">
        <v>1260</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1260</v>
      </c>
      <c r="C270" s="105" t="s">
        <v>1260</v>
      </c>
      <c r="D270" s="106" t="s">
        <v>1260</v>
      </c>
      <c r="E270" s="107" t="s">
        <v>1260</v>
      </c>
      <c r="F270" s="108" t="s">
        <v>1260</v>
      </c>
      <c r="G270" s="104" t="s">
        <v>1260</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1260</v>
      </c>
      <c r="C272" s="105" t="s">
        <v>1260</v>
      </c>
      <c r="D272" s="106" t="s">
        <v>1260</v>
      </c>
      <c r="E272" s="107" t="s">
        <v>1260</v>
      </c>
      <c r="F272" s="108" t="s">
        <v>1260</v>
      </c>
      <c r="G272" s="104" t="s">
        <v>1260</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1260</v>
      </c>
      <c r="C274" s="105" t="s">
        <v>1260</v>
      </c>
      <c r="D274" s="106" t="s">
        <v>1260</v>
      </c>
      <c r="E274" s="107" t="s">
        <v>1260</v>
      </c>
      <c r="F274" s="108" t="s">
        <v>1260</v>
      </c>
      <c r="G274" s="104" t="s">
        <v>1260</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1260</v>
      </c>
      <c r="C276" s="105" t="s">
        <v>1260</v>
      </c>
      <c r="D276" s="106" t="s">
        <v>1260</v>
      </c>
      <c r="E276" s="107" t="s">
        <v>1260</v>
      </c>
      <c r="F276" s="108" t="s">
        <v>1260</v>
      </c>
      <c r="G276" s="104" t="s">
        <v>1260</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1260</v>
      </c>
      <c r="C278" s="105" t="s">
        <v>1260</v>
      </c>
      <c r="D278" s="106" t="s">
        <v>1260</v>
      </c>
      <c r="E278" s="107" t="s">
        <v>1260</v>
      </c>
      <c r="F278" s="108" t="s">
        <v>1260</v>
      </c>
      <c r="G278" s="104" t="s">
        <v>1260</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1260</v>
      </c>
      <c r="C280" s="105" t="s">
        <v>1260</v>
      </c>
      <c r="D280" s="106" t="s">
        <v>1260</v>
      </c>
      <c r="E280" s="107" t="s">
        <v>1260</v>
      </c>
      <c r="F280" s="108" t="s">
        <v>1260</v>
      </c>
      <c r="G280" s="104" t="s">
        <v>1260</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1260</v>
      </c>
      <c r="C282" s="105" t="s">
        <v>1260</v>
      </c>
      <c r="D282" s="106" t="s">
        <v>1260</v>
      </c>
      <c r="E282" s="107" t="s">
        <v>1260</v>
      </c>
      <c r="F282" s="108" t="s">
        <v>1260</v>
      </c>
      <c r="G282" s="104" t="s">
        <v>1260</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1260</v>
      </c>
      <c r="C284" s="105" t="s">
        <v>1260</v>
      </c>
      <c r="D284" s="106" t="s">
        <v>1260</v>
      </c>
      <c r="E284" s="107" t="s">
        <v>1260</v>
      </c>
      <c r="F284" s="108" t="s">
        <v>1260</v>
      </c>
      <c r="G284" s="104" t="s">
        <v>1260</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1260</v>
      </c>
      <c r="C286" s="105" t="s">
        <v>1260</v>
      </c>
      <c r="D286" s="106" t="s">
        <v>1260</v>
      </c>
      <c r="E286" s="107" t="s">
        <v>1260</v>
      </c>
      <c r="F286" s="108" t="s">
        <v>1260</v>
      </c>
      <c r="G286" s="104" t="s">
        <v>1260</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1260</v>
      </c>
      <c r="C288" s="105" t="s">
        <v>1260</v>
      </c>
      <c r="D288" s="106" t="s">
        <v>1260</v>
      </c>
      <c r="E288" s="107" t="s">
        <v>1260</v>
      </c>
      <c r="F288" s="108" t="s">
        <v>1260</v>
      </c>
      <c r="G288" s="104" t="s">
        <v>1260</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1260</v>
      </c>
      <c r="C292" s="105" t="s">
        <v>1260</v>
      </c>
      <c r="D292" s="106" t="s">
        <v>1260</v>
      </c>
      <c r="E292" s="107" t="s">
        <v>1260</v>
      </c>
      <c r="F292" s="108" t="s">
        <v>1260</v>
      </c>
      <c r="G292" s="104" t="s">
        <v>1260</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1260</v>
      </c>
      <c r="C294" s="105" t="s">
        <v>1260</v>
      </c>
      <c r="D294" s="106" t="s">
        <v>1260</v>
      </c>
      <c r="E294" s="107" t="s">
        <v>1260</v>
      </c>
      <c r="F294" s="108" t="s">
        <v>1260</v>
      </c>
      <c r="G294" s="104" t="s">
        <v>1260</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6666</v>
      </c>
      <c r="H2" s="760" t="s">
        <v>47</v>
      </c>
      <c r="I2" s="760" t="s">
        <v>48</v>
      </c>
      <c r="J2" s="760" t="s">
        <v>6667</v>
      </c>
      <c r="K2" s="760" t="s">
        <v>54</v>
      </c>
      <c r="N2" s="760" t="s">
        <v>6668</v>
      </c>
      <c r="P2" s="761"/>
      <c r="Q2" s="762" t="s">
        <v>47</v>
      </c>
      <c r="R2" s="762" t="s">
        <v>6669</v>
      </c>
      <c r="S2" s="762" t="s">
        <v>52</v>
      </c>
      <c r="T2" s="762" t="s">
        <v>53</v>
      </c>
      <c r="U2" s="762" t="s">
        <v>54</v>
      </c>
      <c r="V2" s="762" t="s">
        <v>6670</v>
      </c>
      <c r="W2" s="761"/>
      <c r="X2" s="763" t="s">
        <v>47</v>
      </c>
      <c r="Y2" s="763" t="s">
        <v>48</v>
      </c>
      <c r="Z2" s="763" t="s">
        <v>49</v>
      </c>
      <c r="AA2" s="763" t="s">
        <v>50</v>
      </c>
      <c r="AC2" s="763" t="s">
        <v>52</v>
      </c>
      <c r="AD2" s="763" t="s">
        <v>53</v>
      </c>
      <c r="AE2" s="763" t="s">
        <v>54</v>
      </c>
      <c r="AF2" s="763" t="s">
        <v>6671</v>
      </c>
      <c r="AG2" s="763" t="s">
        <v>6668</v>
      </c>
      <c r="AI2" s="761"/>
      <c r="AJ2" s="764" t="s">
        <v>47</v>
      </c>
      <c r="AK2" s="764" t="s">
        <v>48</v>
      </c>
      <c r="AM2" s="764" t="s">
        <v>49</v>
      </c>
      <c r="AP2" s="764" t="s">
        <v>51</v>
      </c>
      <c r="AR2" s="764" t="s">
        <v>52</v>
      </c>
      <c r="AV2" s="764" t="s">
        <v>52</v>
      </c>
      <c r="AW2" s="764" t="s">
        <v>53</v>
      </c>
      <c r="AX2" s="764" t="s">
        <v>6670</v>
      </c>
      <c r="AZ2" s="765"/>
      <c r="BA2" s="766" t="s">
        <v>47</v>
      </c>
      <c r="BB2" s="766" t="s">
        <v>52</v>
      </c>
      <c r="BC2" s="766" t="s">
        <v>53</v>
      </c>
      <c r="BD2" s="766" t="s">
        <v>54</v>
      </c>
      <c r="BE2" s="766" t="s">
        <v>6668</v>
      </c>
      <c r="BF2" s="765"/>
      <c r="BG2" s="767" t="s">
        <v>47</v>
      </c>
      <c r="BH2" s="767" t="s">
        <v>48</v>
      </c>
      <c r="BI2" s="767" t="s">
        <v>50</v>
      </c>
      <c r="BK2" s="767" t="s">
        <v>52</v>
      </c>
      <c r="BL2" s="767" t="s">
        <v>6668</v>
      </c>
      <c r="BN2" s="761"/>
      <c r="BO2" s="768" t="s">
        <v>49</v>
      </c>
      <c r="BP2" s="768" t="s">
        <v>50</v>
      </c>
      <c r="BQ2" s="768" t="s">
        <v>51</v>
      </c>
      <c r="BR2" s="768" t="s">
        <v>52</v>
      </c>
      <c r="BT2" s="768" t="s">
        <v>53</v>
      </c>
      <c r="BU2" s="768" t="s">
        <v>54</v>
      </c>
      <c r="BW2" s="768" t="s">
        <v>6670</v>
      </c>
      <c r="BX2" s="765"/>
      <c r="BY2" s="769" t="s">
        <v>6672</v>
      </c>
      <c r="BZ2" s="770" t="s">
        <v>75</v>
      </c>
      <c r="CA2" s="769" t="s">
        <v>80</v>
      </c>
      <c r="CD2" s="769" t="s">
        <v>77</v>
      </c>
      <c r="CE2" s="769" t="s">
        <v>6673</v>
      </c>
      <c r="CF2" s="769" t="s">
        <v>6674</v>
      </c>
      <c r="CG2" s="771" t="s">
        <v>68</v>
      </c>
      <c r="CH2" s="769" t="s">
        <v>76</v>
      </c>
      <c r="CI2" s="769" t="s">
        <v>66</v>
      </c>
      <c r="CJ2" s="770" t="s">
        <v>78</v>
      </c>
    </row>
    <row r="3" ht="23.25" customHeight="1">
      <c r="J3" s="772" t="s">
        <v>6675</v>
      </c>
      <c r="K3" s="772" t="s">
        <v>6676</v>
      </c>
      <c r="L3" s="773" t="s">
        <v>6677</v>
      </c>
      <c r="M3" s="773" t="s">
        <v>6678</v>
      </c>
      <c r="N3" s="773" t="s">
        <v>6679</v>
      </c>
      <c r="O3" s="772" t="s">
        <v>6680</v>
      </c>
      <c r="P3" s="761"/>
      <c r="W3" s="761"/>
      <c r="AA3" s="774" t="s">
        <v>6681</v>
      </c>
      <c r="AB3" s="775" t="s">
        <v>92</v>
      </c>
      <c r="AF3" s="775" t="s">
        <v>6682</v>
      </c>
      <c r="AG3" s="774" t="s">
        <v>52</v>
      </c>
      <c r="AH3" s="776" t="s">
        <v>49</v>
      </c>
      <c r="AI3" s="761"/>
      <c r="AK3" s="777" t="s">
        <v>6683</v>
      </c>
      <c r="AL3" s="777" t="s">
        <v>6684</v>
      </c>
      <c r="AM3" s="778" t="s">
        <v>6679</v>
      </c>
      <c r="AN3" s="778" t="s">
        <v>6685</v>
      </c>
      <c r="AO3" s="778" t="s">
        <v>6686</v>
      </c>
      <c r="AP3" s="778" t="s">
        <v>6679</v>
      </c>
      <c r="AQ3" s="779" t="s">
        <v>6687</v>
      </c>
      <c r="AR3" s="778" t="s">
        <v>6688</v>
      </c>
      <c r="AS3" s="778" t="s">
        <v>6689</v>
      </c>
      <c r="AT3" s="778" t="s">
        <v>6690</v>
      </c>
      <c r="AU3" s="778" t="s">
        <v>6691</v>
      </c>
      <c r="AX3" s="778" t="s">
        <v>6692</v>
      </c>
      <c r="AY3" s="778" t="s">
        <v>6693</v>
      </c>
      <c r="AZ3" s="765"/>
      <c r="BF3" s="780"/>
      <c r="BI3" s="767" t="s">
        <v>6694</v>
      </c>
      <c r="BJ3" s="767" t="s">
        <v>6695</v>
      </c>
      <c r="BL3" s="781" t="s">
        <v>88</v>
      </c>
      <c r="BM3" s="781" t="s">
        <v>6696</v>
      </c>
      <c r="BN3" s="761"/>
      <c r="BR3" s="782" t="s">
        <v>6686</v>
      </c>
      <c r="BS3" s="782" t="s">
        <v>6697</v>
      </c>
      <c r="BU3" s="782" t="s">
        <v>6679</v>
      </c>
      <c r="BV3" s="782" t="s">
        <v>6686</v>
      </c>
      <c r="BX3" s="765"/>
      <c r="CA3" s="783" t="s">
        <v>6698</v>
      </c>
      <c r="CB3" s="783" t="s">
        <v>6699</v>
      </c>
      <c r="CC3" s="783" t="s">
        <v>6700</v>
      </c>
      <c r="CJ3" s="783" t="s">
        <v>6701</v>
      </c>
      <c r="CK3" s="783" t="s">
        <v>6702</v>
      </c>
    </row>
    <row r="4">
      <c r="A4" s="784" t="s">
        <v>1550</v>
      </c>
      <c r="B4" s="785" t="s">
        <v>6703</v>
      </c>
      <c r="C4" s="786" t="s">
        <v>3873</v>
      </c>
      <c r="D4" s="787" t="s">
        <v>1055</v>
      </c>
      <c r="E4" s="788" t="s">
        <v>334</v>
      </c>
      <c r="F4" s="789" t="s">
        <v>2652</v>
      </c>
      <c r="G4" s="785" t="s">
        <v>6704</v>
      </c>
      <c r="H4" s="790" t="s">
        <v>1296</v>
      </c>
      <c r="I4" s="791" t="s">
        <v>6705</v>
      </c>
      <c r="J4" s="792" t="s">
        <v>6706</v>
      </c>
      <c r="K4" s="793" t="s">
        <v>6707</v>
      </c>
      <c r="L4" s="791" t="s">
        <v>6708</v>
      </c>
      <c r="M4" s="333"/>
      <c r="N4" s="794" t="s">
        <v>6709</v>
      </c>
      <c r="O4" s="794" t="s">
        <v>6710</v>
      </c>
      <c r="P4" s="795"/>
      <c r="Q4" s="794" t="s">
        <v>6711</v>
      </c>
      <c r="R4" s="796" t="s">
        <v>3181</v>
      </c>
      <c r="S4" s="797" t="s">
        <v>5963</v>
      </c>
      <c r="T4" s="791" t="s">
        <v>5461</v>
      </c>
      <c r="U4" s="791" t="s">
        <v>6712</v>
      </c>
      <c r="V4" s="794" t="s">
        <v>6713</v>
      </c>
      <c r="W4" s="795"/>
      <c r="X4" s="791" t="s">
        <v>912</v>
      </c>
      <c r="Y4" s="792" t="s">
        <v>6714</v>
      </c>
      <c r="Z4" s="790" t="s">
        <v>6715</v>
      </c>
      <c r="AA4" s="798" t="s">
        <v>6716</v>
      </c>
      <c r="AB4" s="793" t="s">
        <v>6717</v>
      </c>
      <c r="AC4" s="794" t="s">
        <v>6718</v>
      </c>
      <c r="AD4" s="791" t="s">
        <v>4971</v>
      </c>
      <c r="AE4" s="793" t="s">
        <v>6719</v>
      </c>
      <c r="AF4" s="793"/>
      <c r="AG4" s="794" t="s">
        <v>6720</v>
      </c>
      <c r="AH4" s="799" t="s">
        <v>6721</v>
      </c>
      <c r="AI4" s="795"/>
      <c r="AJ4" s="793"/>
      <c r="AK4" s="793" t="s">
        <v>6722</v>
      </c>
      <c r="AL4" s="793" t="s">
        <v>5611</v>
      </c>
      <c r="AM4" s="794" t="s">
        <v>6723</v>
      </c>
      <c r="AN4" s="790" t="s">
        <v>6724</v>
      </c>
      <c r="AO4" s="333"/>
      <c r="AP4" s="790" t="s">
        <v>6725</v>
      </c>
      <c r="AQ4" s="791" t="s">
        <v>5096</v>
      </c>
      <c r="AR4" s="793" t="s">
        <v>6726</v>
      </c>
      <c r="AS4" s="796" t="s">
        <v>6727</v>
      </c>
      <c r="AT4" s="333"/>
      <c r="AU4" s="793" t="s">
        <v>6728</v>
      </c>
      <c r="AV4" s="333"/>
      <c r="AW4" s="792" t="s">
        <v>6729</v>
      </c>
      <c r="AX4" s="790" t="s">
        <v>6730</v>
      </c>
      <c r="AY4" s="790" t="s">
        <v>6731</v>
      </c>
      <c r="AZ4" s="800"/>
      <c r="BA4" s="794" t="s">
        <v>6732</v>
      </c>
      <c r="BB4" s="790" t="s">
        <v>6733</v>
      </c>
      <c r="BC4" s="801" t="s">
        <v>3558</v>
      </c>
      <c r="BD4" s="797"/>
      <c r="BE4" s="796" t="s">
        <v>6734</v>
      </c>
      <c r="BF4" s="800"/>
      <c r="BG4" s="790" t="s">
        <v>3238</v>
      </c>
      <c r="BH4" s="790" t="s">
        <v>6735</v>
      </c>
      <c r="BI4" s="793" t="s">
        <v>771</v>
      </c>
      <c r="BJ4" s="333"/>
      <c r="BK4" s="790" t="s">
        <v>6736</v>
      </c>
      <c r="BL4" s="794" t="s">
        <v>6737</v>
      </c>
      <c r="BM4" s="796" t="s">
        <v>6738</v>
      </c>
      <c r="BN4" s="795"/>
      <c r="BO4" s="793" t="s">
        <v>6739</v>
      </c>
      <c r="BP4" s="802"/>
      <c r="BQ4" s="793" t="s">
        <v>6740</v>
      </c>
      <c r="BR4" s="791" t="s">
        <v>6741</v>
      </c>
      <c r="BS4" s="792" t="s">
        <v>6742</v>
      </c>
      <c r="BT4" s="793" t="s">
        <v>6743</v>
      </c>
      <c r="BU4" s="791" t="s">
        <v>6732</v>
      </c>
      <c r="BV4" s="790" t="s">
        <v>6744</v>
      </c>
      <c r="BW4" s="796" t="s">
        <v>6745</v>
      </c>
      <c r="BX4" s="795"/>
      <c r="BY4" s="792" t="s">
        <v>6746</v>
      </c>
      <c r="BZ4" s="793" t="s">
        <v>2686</v>
      </c>
      <c r="CA4" s="333"/>
      <c r="CB4" s="791" t="s">
        <v>2407</v>
      </c>
      <c r="CC4" s="793"/>
      <c r="CD4" s="793" t="s">
        <v>2954</v>
      </c>
      <c r="CE4" s="794" t="s">
        <v>6747</v>
      </c>
      <c r="CF4" s="794" t="s">
        <v>6748</v>
      </c>
      <c r="CG4" s="794" t="s">
        <v>6749</v>
      </c>
      <c r="CH4" s="792" t="s">
        <v>6750</v>
      </c>
      <c r="CI4" s="794" t="s">
        <v>3646</v>
      </c>
      <c r="CJ4" s="794" t="s">
        <v>5074</v>
      </c>
      <c r="CK4" s="802"/>
    </row>
    <row r="5">
      <c r="A5" s="803" t="s">
        <v>6751</v>
      </c>
      <c r="B5" s="804" t="s">
        <v>6752</v>
      </c>
      <c r="C5" s="805" t="s">
        <v>4117</v>
      </c>
      <c r="D5" s="806" t="s">
        <v>438</v>
      </c>
      <c r="E5" s="807" t="s">
        <v>650</v>
      </c>
      <c r="F5" s="808" t="s">
        <v>1499</v>
      </c>
      <c r="G5" s="809" t="s">
        <v>2547</v>
      </c>
      <c r="H5" s="810" t="s">
        <v>2996</v>
      </c>
      <c r="I5" s="811"/>
      <c r="J5" s="810" t="s">
        <v>2031</v>
      </c>
      <c r="K5" s="812" t="s">
        <v>6753</v>
      </c>
      <c r="L5" s="812" t="s">
        <v>6754</v>
      </c>
      <c r="M5" s="813" t="s">
        <v>3227</v>
      </c>
      <c r="N5" s="811"/>
      <c r="O5" s="814" t="s">
        <v>6755</v>
      </c>
      <c r="P5" s="815"/>
      <c r="Q5" s="816" t="s">
        <v>6756</v>
      </c>
      <c r="R5" s="817" t="s">
        <v>1737</v>
      </c>
      <c r="S5" s="818" t="s">
        <v>5101</v>
      </c>
      <c r="T5" s="818" t="s">
        <v>5687</v>
      </c>
      <c r="U5" s="818"/>
      <c r="V5" s="816" t="s">
        <v>6757</v>
      </c>
      <c r="W5" s="815"/>
      <c r="X5" s="819" t="s">
        <v>2383</v>
      </c>
      <c r="Y5" s="820" t="s">
        <v>6758</v>
      </c>
      <c r="Z5" s="821" t="s">
        <v>6759</v>
      </c>
      <c r="AA5" s="822" t="s">
        <v>6760</v>
      </c>
      <c r="AB5" s="822" t="s">
        <v>6761</v>
      </c>
      <c r="AC5" s="820" t="s">
        <v>749</v>
      </c>
      <c r="AD5" s="823" t="s">
        <v>4274</v>
      </c>
      <c r="AE5" s="823" t="s">
        <v>2531</v>
      </c>
      <c r="AF5" s="824"/>
      <c r="AG5" s="822" t="s">
        <v>6762</v>
      </c>
      <c r="AH5" s="825"/>
      <c r="AI5" s="826"/>
      <c r="AJ5" s="827"/>
      <c r="AK5" s="828"/>
      <c r="AL5" s="828"/>
      <c r="AM5" s="829" t="s">
        <v>4236</v>
      </c>
      <c r="AN5" s="827"/>
      <c r="AO5" s="828"/>
      <c r="AP5" s="829" t="s">
        <v>908</v>
      </c>
      <c r="AQ5" s="827" t="s">
        <v>6763</v>
      </c>
      <c r="AR5" s="828"/>
      <c r="AS5" s="828"/>
      <c r="AT5" s="828"/>
      <c r="AU5" s="828"/>
      <c r="AV5" s="828"/>
      <c r="AW5" s="830" t="s">
        <v>4750</v>
      </c>
      <c r="AX5" s="829" t="s">
        <v>6764</v>
      </c>
      <c r="AY5" s="829" t="s">
        <v>1678</v>
      </c>
      <c r="AZ5" s="831"/>
      <c r="BA5" s="832" t="s">
        <v>6765</v>
      </c>
      <c r="BB5" s="833" t="s">
        <v>6766</v>
      </c>
      <c r="BC5" s="834" t="s">
        <v>294</v>
      </c>
      <c r="BD5" s="832" t="s">
        <v>4280</v>
      </c>
      <c r="BE5" s="832" t="s">
        <v>6767</v>
      </c>
      <c r="BF5" s="831"/>
      <c r="BG5" s="835" t="s">
        <v>6768</v>
      </c>
      <c r="BH5" s="836" t="s">
        <v>697</v>
      </c>
      <c r="BI5" s="837" t="s">
        <v>6769</v>
      </c>
      <c r="BJ5" s="838" t="s">
        <v>6770</v>
      </c>
      <c r="BK5" s="835" t="s">
        <v>6771</v>
      </c>
      <c r="BL5" s="839"/>
      <c r="BM5" s="840" t="s">
        <v>6772</v>
      </c>
      <c r="BN5" s="826"/>
      <c r="BO5" s="841" t="s">
        <v>6773</v>
      </c>
      <c r="BP5" s="842"/>
      <c r="BQ5" s="843" t="s">
        <v>6774</v>
      </c>
      <c r="BR5" s="841" t="s">
        <v>6775</v>
      </c>
      <c r="BS5" s="844"/>
      <c r="BT5" s="843" t="s">
        <v>1033</v>
      </c>
      <c r="BU5" s="841" t="s">
        <v>6445</v>
      </c>
      <c r="BV5" s="845"/>
      <c r="BW5" s="841" t="s">
        <v>6776</v>
      </c>
      <c r="BX5" s="815"/>
      <c r="BY5" s="846" t="s">
        <v>3393</v>
      </c>
      <c r="BZ5" s="847" t="s">
        <v>6181</v>
      </c>
      <c r="CA5" s="816" t="s">
        <v>6777</v>
      </c>
      <c r="CB5" s="848"/>
      <c r="CC5" s="849"/>
      <c r="CD5" s="816" t="s">
        <v>6778</v>
      </c>
      <c r="CE5" s="850" t="s">
        <v>6779</v>
      </c>
      <c r="CF5" s="816" t="s">
        <v>1591</v>
      </c>
      <c r="CG5" s="817" t="s">
        <v>5132</v>
      </c>
      <c r="CH5" s="851" t="s">
        <v>6780</v>
      </c>
      <c r="CI5" s="816" t="s">
        <v>1089</v>
      </c>
      <c r="CJ5" s="816" t="s">
        <v>2218</v>
      </c>
      <c r="CK5" s="816" t="s">
        <v>3877</v>
      </c>
    </row>
    <row r="6">
      <c r="A6" s="852" t="s">
        <v>6781</v>
      </c>
      <c r="B6" s="809" t="s">
        <v>6782</v>
      </c>
      <c r="C6" s="805" t="s">
        <v>438</v>
      </c>
      <c r="D6" s="806" t="s">
        <v>650</v>
      </c>
      <c r="E6" s="807" t="s">
        <v>650</v>
      </c>
      <c r="F6" s="808" t="s">
        <v>2872</v>
      </c>
      <c r="G6" s="809" t="s">
        <v>4686</v>
      </c>
      <c r="H6" s="853"/>
      <c r="I6" s="854" t="s">
        <v>1262</v>
      </c>
      <c r="J6" s="854"/>
      <c r="K6" s="855" t="s">
        <v>6783</v>
      </c>
      <c r="L6" s="854" t="s">
        <v>6784</v>
      </c>
      <c r="M6" s="853"/>
      <c r="N6" s="853"/>
      <c r="O6" s="856" t="s">
        <v>6785</v>
      </c>
      <c r="P6" s="831"/>
      <c r="Q6" s="857" t="s">
        <v>6786</v>
      </c>
      <c r="R6" s="858"/>
      <c r="S6" s="858"/>
      <c r="T6" s="859" t="s">
        <v>6787</v>
      </c>
      <c r="U6" s="860"/>
      <c r="V6" s="861" t="s">
        <v>6788</v>
      </c>
      <c r="W6" s="831"/>
      <c r="X6" s="862" t="s">
        <v>141</v>
      </c>
      <c r="Y6" s="862" t="s">
        <v>6789</v>
      </c>
      <c r="Z6" s="863" t="s">
        <v>4450</v>
      </c>
      <c r="AA6" s="823" t="s">
        <v>5684</v>
      </c>
      <c r="AB6" s="820" t="s">
        <v>793</v>
      </c>
      <c r="AC6" s="823" t="s">
        <v>2980</v>
      </c>
      <c r="AD6" s="864" t="s">
        <v>1217</v>
      </c>
      <c r="AE6" s="823" t="s">
        <v>2677</v>
      </c>
      <c r="AF6" s="824"/>
      <c r="AG6" s="820" t="s">
        <v>6790</v>
      </c>
      <c r="AH6" s="825"/>
      <c r="AI6" s="831"/>
      <c r="AJ6" s="865"/>
      <c r="AK6" s="865" t="s">
        <v>4078</v>
      </c>
      <c r="AL6" s="866"/>
      <c r="AM6" s="865" t="s">
        <v>4643</v>
      </c>
      <c r="AN6" s="865"/>
      <c r="AO6" s="867" t="s">
        <v>2390</v>
      </c>
      <c r="AP6" s="866"/>
      <c r="AQ6" s="868" t="s">
        <v>6791</v>
      </c>
      <c r="AR6" s="865" t="s">
        <v>6792</v>
      </c>
      <c r="AS6" s="865" t="s">
        <v>6793</v>
      </c>
      <c r="AT6" s="866"/>
      <c r="AU6" s="866"/>
      <c r="AV6" s="866"/>
      <c r="AW6" s="869" t="s">
        <v>4237</v>
      </c>
      <c r="AX6" s="870" t="s">
        <v>3764</v>
      </c>
      <c r="AY6" s="865" t="s">
        <v>6794</v>
      </c>
      <c r="AZ6" s="831"/>
      <c r="BA6" s="871"/>
      <c r="BB6" s="872" t="s">
        <v>6795</v>
      </c>
      <c r="BC6" s="873" t="s">
        <v>6796</v>
      </c>
      <c r="BD6" s="871"/>
      <c r="BE6" s="873" t="s">
        <v>6797</v>
      </c>
      <c r="BF6" s="831"/>
      <c r="BG6" s="874" t="s">
        <v>6798</v>
      </c>
      <c r="BH6" s="875" t="s">
        <v>1942</v>
      </c>
      <c r="BI6" s="875"/>
      <c r="BJ6" s="875"/>
      <c r="BK6" s="876" t="s">
        <v>2050</v>
      </c>
      <c r="BL6" s="877"/>
      <c r="BM6" s="875" t="s">
        <v>6799</v>
      </c>
      <c r="BN6" s="831"/>
      <c r="BO6" s="878" t="s">
        <v>5049</v>
      </c>
      <c r="BP6" s="879"/>
      <c r="BQ6" s="879"/>
      <c r="BR6" s="880" t="s">
        <v>6800</v>
      </c>
      <c r="BS6" s="879"/>
      <c r="BT6" s="881" t="s">
        <v>1616</v>
      </c>
      <c r="BU6" s="879"/>
      <c r="BV6" s="882" t="s">
        <v>3864</v>
      </c>
      <c r="BW6" s="881" t="s">
        <v>6147</v>
      </c>
      <c r="BX6" s="831"/>
      <c r="BY6" s="883" t="s">
        <v>2811</v>
      </c>
      <c r="BZ6" s="884" t="s">
        <v>4214</v>
      </c>
      <c r="CA6" s="885"/>
      <c r="CB6" s="885"/>
      <c r="CC6" s="885"/>
      <c r="CD6" s="884" t="s">
        <v>1398</v>
      </c>
      <c r="CE6" s="886" t="s">
        <v>4744</v>
      </c>
      <c r="CF6" s="884" t="s">
        <v>6801</v>
      </c>
      <c r="CG6" s="885"/>
      <c r="CH6" s="885"/>
      <c r="CI6" s="885"/>
      <c r="CJ6" s="885"/>
      <c r="CK6" s="885"/>
    </row>
    <row r="7">
      <c r="A7" s="887" t="s">
        <v>436</v>
      </c>
      <c r="B7" s="809" t="s">
        <v>6802</v>
      </c>
      <c r="C7" s="805" t="s">
        <v>438</v>
      </c>
      <c r="D7" s="806" t="s">
        <v>3873</v>
      </c>
      <c r="E7" s="807" t="s">
        <v>650</v>
      </c>
      <c r="F7" s="808" t="s">
        <v>4056</v>
      </c>
      <c r="G7" s="809" t="s">
        <v>1499</v>
      </c>
      <c r="H7" s="855" t="s">
        <v>1606</v>
      </c>
      <c r="I7" s="888" t="s">
        <v>3119</v>
      </c>
      <c r="J7" s="856" t="s">
        <v>6803</v>
      </c>
      <c r="K7" s="889" t="s">
        <v>5980</v>
      </c>
      <c r="L7" s="855" t="s">
        <v>5538</v>
      </c>
      <c r="M7" s="853"/>
      <c r="N7" s="853"/>
      <c r="O7" s="890" t="s">
        <v>6804</v>
      </c>
      <c r="P7" s="815"/>
      <c r="Q7" s="861" t="s">
        <v>6805</v>
      </c>
      <c r="R7" s="861" t="s">
        <v>2812</v>
      </c>
      <c r="S7" s="858"/>
      <c r="T7" s="891" t="s">
        <v>233</v>
      </c>
      <c r="U7" s="892"/>
      <c r="V7" s="859" t="s">
        <v>6806</v>
      </c>
      <c r="W7" s="815"/>
      <c r="X7" s="823" t="s">
        <v>148</v>
      </c>
      <c r="Y7" s="823" t="s">
        <v>6807</v>
      </c>
      <c r="Z7" s="823" t="s">
        <v>2600</v>
      </c>
      <c r="AA7" s="893" t="s">
        <v>6808</v>
      </c>
      <c r="AB7" s="862" t="s">
        <v>1277</v>
      </c>
      <c r="AC7" s="893" t="s">
        <v>1319</v>
      </c>
      <c r="AD7" s="864" t="s">
        <v>1217</v>
      </c>
      <c r="AE7" s="864" t="s">
        <v>6809</v>
      </c>
      <c r="AF7" s="894"/>
      <c r="AG7" s="895" t="s">
        <v>6810</v>
      </c>
      <c r="AH7" s="825"/>
      <c r="AI7" s="826"/>
      <c r="AJ7" s="865"/>
      <c r="AK7" s="865" t="s">
        <v>6811</v>
      </c>
      <c r="AL7" s="866"/>
      <c r="AM7" s="896" t="s">
        <v>3279</v>
      </c>
      <c r="AN7" s="897" t="s">
        <v>3547</v>
      </c>
      <c r="AO7" s="865" t="s">
        <v>6812</v>
      </c>
      <c r="AP7" s="896" t="s">
        <v>2468</v>
      </c>
      <c r="AQ7" s="898" t="s">
        <v>6813</v>
      </c>
      <c r="AR7" s="865" t="s">
        <v>6814</v>
      </c>
      <c r="AS7" s="866"/>
      <c r="AT7" s="867" t="s">
        <v>4906</v>
      </c>
      <c r="AU7" s="866"/>
      <c r="AV7" s="866"/>
      <c r="AW7" s="870" t="s">
        <v>5066</v>
      </c>
      <c r="AX7" s="870" t="s">
        <v>1304</v>
      </c>
      <c r="AY7" s="866"/>
      <c r="AZ7" s="831"/>
      <c r="BA7" s="899"/>
      <c r="BB7" s="873" t="s">
        <v>6815</v>
      </c>
      <c r="BC7" s="872" t="s">
        <v>6172</v>
      </c>
      <c r="BD7" s="899"/>
      <c r="BE7" s="900" t="s">
        <v>6816</v>
      </c>
      <c r="BF7" s="831"/>
      <c r="BG7" s="874" t="s">
        <v>3238</v>
      </c>
      <c r="BH7" s="874" t="s">
        <v>1306</v>
      </c>
      <c r="BI7" s="901" t="s">
        <v>5808</v>
      </c>
      <c r="BJ7" s="902"/>
      <c r="BK7" s="874" t="s">
        <v>6817</v>
      </c>
      <c r="BL7" s="877"/>
      <c r="BM7" s="875" t="s">
        <v>6818</v>
      </c>
      <c r="BN7" s="815"/>
      <c r="BO7" s="881" t="s">
        <v>6819</v>
      </c>
      <c r="BP7" s="880"/>
      <c r="BQ7" s="903" t="s">
        <v>1681</v>
      </c>
      <c r="BR7" s="880" t="s">
        <v>6820</v>
      </c>
      <c r="BS7" s="879"/>
      <c r="BT7" s="903" t="s">
        <v>1834</v>
      </c>
      <c r="BU7" s="879"/>
      <c r="BV7" s="880" t="s">
        <v>5937</v>
      </c>
      <c r="BW7" s="880" t="s">
        <v>2136</v>
      </c>
      <c r="BX7" s="815"/>
      <c r="BY7" s="904" t="s">
        <v>302</v>
      </c>
      <c r="BZ7" s="884" t="s">
        <v>3542</v>
      </c>
      <c r="CA7" s="885"/>
      <c r="CB7" s="905"/>
      <c r="CC7" s="885"/>
      <c r="CD7" s="885"/>
      <c r="CE7" s="885"/>
      <c r="CF7" s="885"/>
      <c r="CG7" s="885"/>
      <c r="CH7" s="885"/>
      <c r="CI7" s="885"/>
      <c r="CJ7" s="905"/>
      <c r="CK7" s="905"/>
    </row>
    <row r="8">
      <c r="A8" s="906" t="s">
        <v>6821</v>
      </c>
      <c r="B8" s="785" t="s">
        <v>6822</v>
      </c>
      <c r="C8" s="805" t="s">
        <v>332</v>
      </c>
      <c r="D8" s="806" t="s">
        <v>334</v>
      </c>
      <c r="E8" s="807" t="s">
        <v>333</v>
      </c>
      <c r="F8" s="808" t="s">
        <v>3495</v>
      </c>
      <c r="G8" s="809" t="s">
        <v>3874</v>
      </c>
      <c r="H8" s="890" t="s">
        <v>6823</v>
      </c>
      <c r="I8" s="855" t="s">
        <v>6824</v>
      </c>
      <c r="J8" s="855" t="s">
        <v>3728</v>
      </c>
      <c r="K8" s="855" t="s">
        <v>6825</v>
      </c>
      <c r="L8" s="907" t="s">
        <v>2031</v>
      </c>
      <c r="M8" s="888" t="s">
        <v>6826</v>
      </c>
      <c r="N8" s="855" t="s">
        <v>6827</v>
      </c>
      <c r="O8" s="855" t="s">
        <v>6828</v>
      </c>
      <c r="P8" s="815"/>
      <c r="Q8" s="861" t="s">
        <v>6829</v>
      </c>
      <c r="R8" s="861" t="s">
        <v>1871</v>
      </c>
      <c r="S8" s="859" t="s">
        <v>729</v>
      </c>
      <c r="T8" s="861" t="s">
        <v>5207</v>
      </c>
      <c r="U8" s="908" t="s">
        <v>6830</v>
      </c>
      <c r="V8" s="859" t="s">
        <v>6831</v>
      </c>
      <c r="W8" s="815"/>
      <c r="X8" s="820" t="s">
        <v>833</v>
      </c>
      <c r="Y8" s="864" t="s">
        <v>6832</v>
      </c>
      <c r="Z8" s="823" t="s">
        <v>6833</v>
      </c>
      <c r="AA8" s="823" t="s">
        <v>6834</v>
      </c>
      <c r="AB8" s="909" t="s">
        <v>4389</v>
      </c>
      <c r="AC8" s="823" t="s">
        <v>5932</v>
      </c>
      <c r="AD8" s="823" t="s">
        <v>131</v>
      </c>
      <c r="AE8" s="823" t="s">
        <v>6835</v>
      </c>
      <c r="AF8" s="824"/>
      <c r="AG8" s="895" t="s">
        <v>6836</v>
      </c>
      <c r="AH8" s="910" t="s">
        <v>6837</v>
      </c>
      <c r="AI8" s="815"/>
      <c r="AJ8" s="911"/>
      <c r="AK8" s="897" t="s">
        <v>102</v>
      </c>
      <c r="AL8" s="898" t="s">
        <v>6838</v>
      </c>
      <c r="AM8" s="870" t="s">
        <v>2233</v>
      </c>
      <c r="AN8" s="865" t="s">
        <v>4633</v>
      </c>
      <c r="AO8" s="865" t="s">
        <v>6839</v>
      </c>
      <c r="AP8" s="870" t="s">
        <v>6840</v>
      </c>
      <c r="AQ8" s="865" t="s">
        <v>6841</v>
      </c>
      <c r="AR8" s="870" t="s">
        <v>6842</v>
      </c>
      <c r="AS8" s="870" t="s">
        <v>2750</v>
      </c>
      <c r="AT8" s="897" t="s">
        <v>6843</v>
      </c>
      <c r="AU8" s="867" t="s">
        <v>6844</v>
      </c>
      <c r="AV8" s="898" t="s">
        <v>6845</v>
      </c>
      <c r="AW8" s="870" t="s">
        <v>2554</v>
      </c>
      <c r="AX8" s="897" t="s">
        <v>5304</v>
      </c>
      <c r="AY8" s="897" t="s">
        <v>6846</v>
      </c>
      <c r="AZ8" s="831"/>
      <c r="BA8" s="912" t="s">
        <v>6847</v>
      </c>
      <c r="BB8" s="913" t="s">
        <v>6848</v>
      </c>
      <c r="BC8" s="914" t="s">
        <v>3289</v>
      </c>
      <c r="BD8" s="915"/>
      <c r="BE8" s="873" t="s">
        <v>6849</v>
      </c>
      <c r="BF8" s="831"/>
      <c r="BG8" s="916" t="s">
        <v>6850</v>
      </c>
      <c r="BH8" s="917" t="s">
        <v>3559</v>
      </c>
      <c r="BI8" s="874" t="s">
        <v>612</v>
      </c>
      <c r="BJ8" s="875" t="s">
        <v>6851</v>
      </c>
      <c r="BK8" s="874" t="s">
        <v>6852</v>
      </c>
      <c r="BL8" s="874" t="s">
        <v>6853</v>
      </c>
      <c r="BM8" s="874" t="s">
        <v>6854</v>
      </c>
      <c r="BN8" s="815"/>
      <c r="BO8" s="881" t="s">
        <v>2468</v>
      </c>
      <c r="BP8" s="882" t="s">
        <v>5875</v>
      </c>
      <c r="BQ8" s="881" t="s">
        <v>3598</v>
      </c>
      <c r="BR8" s="881" t="s">
        <v>3958</v>
      </c>
      <c r="BS8" s="881" t="s">
        <v>816</v>
      </c>
      <c r="BT8" s="881" t="s">
        <v>1371</v>
      </c>
      <c r="BU8" s="903" t="s">
        <v>3958</v>
      </c>
      <c r="BV8" s="918" t="s">
        <v>6855</v>
      </c>
      <c r="BW8" s="881" t="s">
        <v>6856</v>
      </c>
      <c r="BX8" s="815"/>
      <c r="BY8" s="904" t="s">
        <v>6857</v>
      </c>
      <c r="BZ8" s="919" t="s">
        <v>6407</v>
      </c>
      <c r="CA8" s="919" t="s">
        <v>2350</v>
      </c>
      <c r="CB8" s="920" t="s">
        <v>3463</v>
      </c>
      <c r="CC8" s="921"/>
      <c r="CD8" s="922"/>
      <c r="CE8" s="904" t="s">
        <v>2820</v>
      </c>
      <c r="CF8" s="904" t="s">
        <v>6858</v>
      </c>
      <c r="CG8" s="904" t="s">
        <v>6859</v>
      </c>
      <c r="CH8" s="904" t="s">
        <v>2248</v>
      </c>
      <c r="CI8" s="904" t="s">
        <v>6860</v>
      </c>
      <c r="CJ8" s="919" t="s">
        <v>2736</v>
      </c>
      <c r="CK8" s="920"/>
    </row>
    <row r="9">
      <c r="A9" s="923" t="s">
        <v>981</v>
      </c>
      <c r="B9" s="809" t="s">
        <v>6861</v>
      </c>
      <c r="C9" s="805" t="s">
        <v>2683</v>
      </c>
      <c r="D9" s="806" t="s">
        <v>332</v>
      </c>
      <c r="E9" s="807" t="s">
        <v>334</v>
      </c>
      <c r="F9" s="808" t="s">
        <v>4056</v>
      </c>
      <c r="G9" s="809" t="s">
        <v>2652</v>
      </c>
      <c r="H9" s="888" t="s">
        <v>4821</v>
      </c>
      <c r="I9" s="853"/>
      <c r="J9" s="855" t="s">
        <v>6862</v>
      </c>
      <c r="K9" s="890" t="s">
        <v>6388</v>
      </c>
      <c r="L9" s="853"/>
      <c r="M9" s="853"/>
      <c r="N9" s="853"/>
      <c r="O9" s="854" t="s">
        <v>6863</v>
      </c>
      <c r="P9" s="815"/>
      <c r="Q9" s="908" t="s">
        <v>3728</v>
      </c>
      <c r="R9" s="924" t="s">
        <v>4658</v>
      </c>
      <c r="S9" s="924" t="s">
        <v>2843</v>
      </c>
      <c r="T9" s="924" t="s">
        <v>4887</v>
      </c>
      <c r="U9" s="924" t="s">
        <v>1187</v>
      </c>
      <c r="V9" s="857" t="s">
        <v>6864</v>
      </c>
      <c r="W9" s="815"/>
      <c r="X9" s="862" t="s">
        <v>378</v>
      </c>
      <c r="Y9" s="925"/>
      <c r="Z9" s="820" t="s">
        <v>3301</v>
      </c>
      <c r="AA9" s="820" t="s">
        <v>6865</v>
      </c>
      <c r="AB9" s="862" t="s">
        <v>504</v>
      </c>
      <c r="AC9" s="895" t="s">
        <v>1045</v>
      </c>
      <c r="AD9" s="822" t="s">
        <v>1702</v>
      </c>
      <c r="AE9" s="820" t="s">
        <v>6866</v>
      </c>
      <c r="AF9" s="862"/>
      <c r="AG9" s="862" t="s">
        <v>6867</v>
      </c>
      <c r="AH9" s="825"/>
      <c r="AI9" s="815"/>
      <c r="AJ9" s="866"/>
      <c r="AK9" s="866"/>
      <c r="AL9" s="866"/>
      <c r="AM9" s="865" t="s">
        <v>5193</v>
      </c>
      <c r="AN9" s="867" t="s">
        <v>4081</v>
      </c>
      <c r="AO9" s="866"/>
      <c r="AP9" s="866"/>
      <c r="AQ9" s="866"/>
      <c r="AR9" s="867" t="s">
        <v>6868</v>
      </c>
      <c r="AS9" s="866"/>
      <c r="AT9" s="898" t="s">
        <v>6869</v>
      </c>
      <c r="AU9" s="866"/>
      <c r="AV9" s="866"/>
      <c r="AW9" s="897" t="s">
        <v>1109</v>
      </c>
      <c r="AX9" s="898" t="s">
        <v>6870</v>
      </c>
      <c r="AY9" s="898" t="s">
        <v>966</v>
      </c>
      <c r="AZ9" s="831"/>
      <c r="BA9" s="926"/>
      <c r="BB9" s="900"/>
      <c r="BC9" s="927" t="s">
        <v>6871</v>
      </c>
      <c r="BD9" s="871" t="s">
        <v>6872</v>
      </c>
      <c r="BE9" s="900" t="s">
        <v>6873</v>
      </c>
      <c r="BF9" s="831"/>
      <c r="BG9" s="877"/>
      <c r="BH9" s="877"/>
      <c r="BI9" s="928" t="s">
        <v>6874</v>
      </c>
      <c r="BJ9" s="928" t="s">
        <v>6875</v>
      </c>
      <c r="BK9" s="877"/>
      <c r="BL9" s="877"/>
      <c r="BM9" s="877"/>
      <c r="BN9" s="815"/>
      <c r="BO9" s="880"/>
      <c r="BP9" s="929"/>
      <c r="BQ9" s="882" t="s">
        <v>5068</v>
      </c>
      <c r="BR9" s="879"/>
      <c r="BS9" s="879"/>
      <c r="BT9" s="882" t="s">
        <v>6876</v>
      </c>
      <c r="BU9" s="880" t="s">
        <v>6877</v>
      </c>
      <c r="BV9" s="930" t="s">
        <v>6878</v>
      </c>
      <c r="BW9" s="881" t="s">
        <v>6879</v>
      </c>
      <c r="BX9" s="815"/>
      <c r="BY9" s="920" t="s">
        <v>3462</v>
      </c>
      <c r="BZ9" s="931" t="s">
        <v>6880</v>
      </c>
      <c r="CA9" s="885"/>
      <c r="CB9" s="905"/>
      <c r="CC9" s="885"/>
      <c r="CD9" s="885"/>
      <c r="CE9" s="884" t="s">
        <v>6881</v>
      </c>
      <c r="CF9" s="884" t="s">
        <v>6882</v>
      </c>
      <c r="CG9" s="931" t="s">
        <v>6883</v>
      </c>
      <c r="CH9" s="885"/>
      <c r="CI9" s="885"/>
      <c r="CJ9" s="905"/>
      <c r="CK9" s="905"/>
    </row>
    <row r="10">
      <c r="A10" s="887" t="s">
        <v>1415</v>
      </c>
      <c r="B10" s="809" t="s">
        <v>6884</v>
      </c>
      <c r="C10" s="805" t="s">
        <v>1260</v>
      </c>
      <c r="D10" s="806" t="s">
        <v>332</v>
      </c>
      <c r="E10" s="807" t="s">
        <v>332</v>
      </c>
      <c r="F10" s="808" t="s">
        <v>220</v>
      </c>
      <c r="G10" s="809" t="s">
        <v>4848</v>
      </c>
      <c r="H10" s="853"/>
      <c r="I10" s="855" t="s">
        <v>6885</v>
      </c>
      <c r="J10" s="889"/>
      <c r="K10" s="932" t="s">
        <v>6886</v>
      </c>
      <c r="L10" s="890" t="s">
        <v>3132</v>
      </c>
      <c r="M10" s="853"/>
      <c r="N10" s="853"/>
      <c r="O10" s="933" t="s">
        <v>6887</v>
      </c>
      <c r="P10" s="815"/>
      <c r="Q10" s="861" t="s">
        <v>6888</v>
      </c>
      <c r="R10" s="858"/>
      <c r="S10" s="858"/>
      <c r="T10" s="934" t="s">
        <v>5907</v>
      </c>
      <c r="U10" s="857"/>
      <c r="V10" s="935" t="s">
        <v>6889</v>
      </c>
      <c r="W10" s="815"/>
      <c r="X10" s="823" t="s">
        <v>592</v>
      </c>
      <c r="Y10" s="936" t="s">
        <v>6890</v>
      </c>
      <c r="Z10" s="893" t="s">
        <v>6891</v>
      </c>
      <c r="AA10" s="893" t="s">
        <v>5603</v>
      </c>
      <c r="AB10" s="823" t="s">
        <v>2354</v>
      </c>
      <c r="AC10" s="893" t="s">
        <v>6892</v>
      </c>
      <c r="AD10" s="937" t="s">
        <v>2421</v>
      </c>
      <c r="AE10" s="823" t="s">
        <v>1014</v>
      </c>
      <c r="AF10" s="894"/>
      <c r="AG10" s="823" t="s">
        <v>6893</v>
      </c>
      <c r="AH10" s="938" t="s">
        <v>6894</v>
      </c>
      <c r="AI10" s="826"/>
      <c r="AJ10" s="866"/>
      <c r="AK10" s="896" t="s">
        <v>6895</v>
      </c>
      <c r="AL10" s="897" t="s">
        <v>6055</v>
      </c>
      <c r="AM10" s="870" t="s">
        <v>662</v>
      </c>
      <c r="AN10" s="939"/>
      <c r="AO10" s="870" t="s">
        <v>6896</v>
      </c>
      <c r="AP10" s="896" t="s">
        <v>6897</v>
      </c>
      <c r="AQ10" s="940" t="s">
        <v>5919</v>
      </c>
      <c r="AR10" s="866"/>
      <c r="AS10" s="866"/>
      <c r="AT10" s="866"/>
      <c r="AU10" s="866"/>
      <c r="AV10" s="896" t="s">
        <v>6898</v>
      </c>
      <c r="AW10" s="896" t="s">
        <v>961</v>
      </c>
      <c r="AX10" s="941" t="s">
        <v>6899</v>
      </c>
      <c r="AY10" s="941" t="s">
        <v>6900</v>
      </c>
      <c r="AZ10" s="831"/>
      <c r="BA10" s="926"/>
      <c r="BB10" s="942" t="s">
        <v>6901</v>
      </c>
      <c r="BC10" s="873" t="s">
        <v>5275</v>
      </c>
      <c r="BD10" s="899"/>
      <c r="BE10" s="873" t="s">
        <v>6902</v>
      </c>
      <c r="BF10" s="831"/>
      <c r="BG10" s="874" t="s">
        <v>6903</v>
      </c>
      <c r="BH10" s="943" t="s">
        <v>4771</v>
      </c>
      <c r="BI10" s="877"/>
      <c r="BJ10" s="877"/>
      <c r="BK10" s="877"/>
      <c r="BL10" s="877"/>
      <c r="BM10" s="944" t="s">
        <v>6904</v>
      </c>
      <c r="BN10" s="826"/>
      <c r="BO10" s="881" t="s">
        <v>6905</v>
      </c>
      <c r="BP10" s="929"/>
      <c r="BQ10" s="879"/>
      <c r="BR10" s="903" t="s">
        <v>6906</v>
      </c>
      <c r="BS10" s="879"/>
      <c r="BT10" s="929" t="s">
        <v>296</v>
      </c>
      <c r="BU10" s="879"/>
      <c r="BV10" s="929" t="s">
        <v>6907</v>
      </c>
      <c r="BW10" s="881" t="s">
        <v>6908</v>
      </c>
      <c r="BX10" s="826"/>
      <c r="BY10" s="945"/>
      <c r="BZ10" s="904" t="s">
        <v>726</v>
      </c>
      <c r="CA10" s="885"/>
      <c r="CB10" s="905"/>
      <c r="CC10" s="885"/>
      <c r="CD10" s="920" t="s">
        <v>4345</v>
      </c>
      <c r="CE10" s="885"/>
      <c r="CF10" s="919" t="s">
        <v>6909</v>
      </c>
      <c r="CG10" s="946" t="s">
        <v>2643</v>
      </c>
      <c r="CH10" s="885"/>
      <c r="CI10" s="885"/>
      <c r="CJ10" s="905"/>
      <c r="CK10" s="905"/>
    </row>
    <row r="11">
      <c r="A11" s="947" t="s">
        <v>827</v>
      </c>
      <c r="B11" s="809" t="s">
        <v>6910</v>
      </c>
      <c r="C11" s="805" t="s">
        <v>439</v>
      </c>
      <c r="D11" s="806" t="s">
        <v>1054</v>
      </c>
      <c r="E11" s="807" t="s">
        <v>332</v>
      </c>
      <c r="F11" s="808" t="s">
        <v>6255</v>
      </c>
      <c r="G11" s="809" t="s">
        <v>2994</v>
      </c>
      <c r="H11" s="853"/>
      <c r="I11" s="890" t="s">
        <v>6911</v>
      </c>
      <c r="J11" s="854" t="s">
        <v>6912</v>
      </c>
      <c r="K11" s="854"/>
      <c r="L11" s="932" t="s">
        <v>6913</v>
      </c>
      <c r="M11" s="853"/>
      <c r="N11" s="888" t="s">
        <v>6914</v>
      </c>
      <c r="O11" s="853"/>
      <c r="P11" s="815"/>
      <c r="Q11" s="861" t="s">
        <v>6915</v>
      </c>
      <c r="R11" s="891" t="s">
        <v>2124</v>
      </c>
      <c r="S11" s="858"/>
      <c r="T11" s="858"/>
      <c r="U11" s="891" t="s">
        <v>6916</v>
      </c>
      <c r="V11" s="859" t="s">
        <v>6917</v>
      </c>
      <c r="W11" s="815"/>
      <c r="X11" s="822" t="s">
        <v>6918</v>
      </c>
      <c r="Y11" s="862"/>
      <c r="Z11" s="862" t="s">
        <v>6919</v>
      </c>
      <c r="AA11" s="909" t="s">
        <v>6920</v>
      </c>
      <c r="AB11" s="862"/>
      <c r="AC11" s="862" t="s">
        <v>6921</v>
      </c>
      <c r="AD11" s="864" t="s">
        <v>1217</v>
      </c>
      <c r="AE11" s="925"/>
      <c r="AF11" s="925"/>
      <c r="AG11" s="862" t="s">
        <v>6922</v>
      </c>
      <c r="AH11" s="825"/>
      <c r="AI11" s="815"/>
      <c r="AJ11" s="866"/>
      <c r="AK11" s="866"/>
      <c r="AL11" s="866"/>
      <c r="AM11" s="897" t="s">
        <v>5753</v>
      </c>
      <c r="AN11" s="866"/>
      <c r="AO11" s="897" t="s">
        <v>2063</v>
      </c>
      <c r="AP11" s="898" t="s">
        <v>6923</v>
      </c>
      <c r="AQ11" s="867" t="s">
        <v>6924</v>
      </c>
      <c r="AR11" s="866"/>
      <c r="AS11" s="866"/>
      <c r="AT11" s="866"/>
      <c r="AU11" s="866"/>
      <c r="AV11" s="866"/>
      <c r="AW11" s="898" t="s">
        <v>6925</v>
      </c>
      <c r="AX11" s="866"/>
      <c r="AY11" s="866"/>
      <c r="AZ11" s="831"/>
      <c r="BA11" s="926"/>
      <c r="BB11" s="926"/>
      <c r="BC11" s="913" t="s">
        <v>6926</v>
      </c>
      <c r="BD11" s="899"/>
      <c r="BE11" s="900" t="s">
        <v>6927</v>
      </c>
      <c r="BF11" s="831"/>
      <c r="BG11" s="876" t="s">
        <v>6928</v>
      </c>
      <c r="BH11" s="928" t="s">
        <v>6929</v>
      </c>
      <c r="BI11" s="876" t="s">
        <v>325</v>
      </c>
      <c r="BJ11" s="877"/>
      <c r="BK11" s="877"/>
      <c r="BL11" s="877"/>
      <c r="BM11" s="875" t="s">
        <v>6930</v>
      </c>
      <c r="BN11" s="815"/>
      <c r="BO11" s="903" t="s">
        <v>6931</v>
      </c>
      <c r="BP11" s="929"/>
      <c r="BQ11" s="880" t="s">
        <v>6932</v>
      </c>
      <c r="BR11" s="879"/>
      <c r="BS11" s="879"/>
      <c r="BT11" s="918" t="s">
        <v>872</v>
      </c>
      <c r="BU11" s="879"/>
      <c r="BV11" s="880" t="s">
        <v>4063</v>
      </c>
      <c r="BW11" s="880" t="s">
        <v>6933</v>
      </c>
      <c r="BX11" s="815"/>
      <c r="BY11" s="884" t="s">
        <v>6934</v>
      </c>
      <c r="BZ11" s="931" t="s">
        <v>6880</v>
      </c>
      <c r="CA11" s="885"/>
      <c r="CB11" s="905"/>
      <c r="CC11" s="885"/>
      <c r="CD11" s="885"/>
      <c r="CE11" s="885"/>
      <c r="CF11" s="885"/>
      <c r="CG11" s="885"/>
      <c r="CH11" s="885"/>
      <c r="CI11" s="885"/>
      <c r="CJ11" s="905"/>
      <c r="CK11" s="905"/>
    </row>
    <row r="12">
      <c r="A12" s="852" t="s">
        <v>2376</v>
      </c>
      <c r="B12" s="809" t="s">
        <v>6935</v>
      </c>
      <c r="C12" s="805" t="s">
        <v>1260</v>
      </c>
      <c r="D12" s="806" t="s">
        <v>334</v>
      </c>
      <c r="E12" s="807" t="s">
        <v>650</v>
      </c>
      <c r="F12" s="808" t="s">
        <v>2108</v>
      </c>
      <c r="G12" s="809" t="s">
        <v>2108</v>
      </c>
      <c r="H12" s="855" t="s">
        <v>1209</v>
      </c>
      <c r="I12" s="855" t="s">
        <v>6936</v>
      </c>
      <c r="J12" s="855" t="s">
        <v>3728</v>
      </c>
      <c r="K12" s="855" t="s">
        <v>2033</v>
      </c>
      <c r="L12" s="853"/>
      <c r="M12" s="853"/>
      <c r="N12" s="853"/>
      <c r="O12" s="855" t="s">
        <v>6937</v>
      </c>
      <c r="P12" s="815"/>
      <c r="Q12" s="861" t="s">
        <v>6938</v>
      </c>
      <c r="R12" s="858"/>
      <c r="S12" s="861" t="s">
        <v>6939</v>
      </c>
      <c r="T12" s="861" t="s">
        <v>5325</v>
      </c>
      <c r="U12" s="861" t="s">
        <v>3605</v>
      </c>
      <c r="V12" s="861" t="s">
        <v>6940</v>
      </c>
      <c r="W12" s="815"/>
      <c r="X12" s="823" t="s">
        <v>2778</v>
      </c>
      <c r="Y12" s="823" t="s">
        <v>6941</v>
      </c>
      <c r="Z12" s="823" t="s">
        <v>6942</v>
      </c>
      <c r="AA12" s="823" t="s">
        <v>6834</v>
      </c>
      <c r="AB12" s="823" t="s">
        <v>6424</v>
      </c>
      <c r="AC12" s="823" t="s">
        <v>6943</v>
      </c>
      <c r="AD12" s="823" t="s">
        <v>1127</v>
      </c>
      <c r="AE12" s="823" t="s">
        <v>6944</v>
      </c>
      <c r="AF12" s="894"/>
      <c r="AG12" s="823" t="s">
        <v>6945</v>
      </c>
      <c r="AH12" s="825"/>
      <c r="AI12" s="815"/>
      <c r="AJ12" s="948"/>
      <c r="AK12" s="898" t="s">
        <v>2093</v>
      </c>
      <c r="AL12" s="866"/>
      <c r="AM12" s="870" t="s">
        <v>4257</v>
      </c>
      <c r="AN12" s="866"/>
      <c r="AO12" s="866"/>
      <c r="AP12" s="870" t="s">
        <v>3560</v>
      </c>
      <c r="AQ12" s="866"/>
      <c r="AR12" s="898" t="s">
        <v>6946</v>
      </c>
      <c r="AS12" s="870" t="s">
        <v>6947</v>
      </c>
      <c r="AT12" s="866"/>
      <c r="AU12" s="897" t="s">
        <v>6948</v>
      </c>
      <c r="AV12" s="866"/>
      <c r="AW12" s="870" t="s">
        <v>5488</v>
      </c>
      <c r="AX12" s="870" t="s">
        <v>4822</v>
      </c>
      <c r="AY12" s="870" t="s">
        <v>6949</v>
      </c>
      <c r="AZ12" s="831"/>
      <c r="BA12" s="873" t="s">
        <v>6950</v>
      </c>
      <c r="BB12" s="873" t="s">
        <v>6951</v>
      </c>
      <c r="BC12" s="873" t="s">
        <v>5411</v>
      </c>
      <c r="BD12" s="899"/>
      <c r="BE12" s="873" t="s">
        <v>6952</v>
      </c>
      <c r="BF12" s="831"/>
      <c r="BG12" s="874" t="s">
        <v>6953</v>
      </c>
      <c r="BH12" s="874" t="s">
        <v>3335</v>
      </c>
      <c r="BI12" s="874" t="s">
        <v>2218</v>
      </c>
      <c r="BJ12" s="876" t="s">
        <v>6954</v>
      </c>
      <c r="BK12" s="874" t="s">
        <v>6955</v>
      </c>
      <c r="BL12" s="877"/>
      <c r="BM12" s="874" t="s">
        <v>6956</v>
      </c>
      <c r="BN12" s="815"/>
      <c r="BO12" s="879"/>
      <c r="BP12" s="929"/>
      <c r="BQ12" s="881" t="s">
        <v>2703</v>
      </c>
      <c r="BR12" s="881" t="s">
        <v>6957</v>
      </c>
      <c r="BS12" s="879"/>
      <c r="BT12" s="881" t="s">
        <v>1700</v>
      </c>
      <c r="BU12" s="879"/>
      <c r="BV12" s="881" t="s">
        <v>6958</v>
      </c>
      <c r="BW12" s="881" t="s">
        <v>6241</v>
      </c>
      <c r="BX12" s="815"/>
      <c r="BY12" s="904" t="s">
        <v>6812</v>
      </c>
      <c r="BZ12" s="904" t="s">
        <v>2782</v>
      </c>
      <c r="CA12" s="920" t="s">
        <v>6959</v>
      </c>
      <c r="CB12" s="905"/>
      <c r="CC12" s="885"/>
      <c r="CD12" s="920" t="s">
        <v>4345</v>
      </c>
      <c r="CE12" s="904" t="s">
        <v>6960</v>
      </c>
      <c r="CF12" s="904" t="s">
        <v>5413</v>
      </c>
      <c r="CG12" s="919" t="s">
        <v>6961</v>
      </c>
      <c r="CH12" s="885"/>
      <c r="CI12" s="919" t="s">
        <v>4817</v>
      </c>
      <c r="CJ12" s="905"/>
      <c r="CK12" s="905"/>
    </row>
    <row r="13">
      <c r="A13" s="887" t="s">
        <v>330</v>
      </c>
      <c r="B13" s="809" t="s">
        <v>6962</v>
      </c>
      <c r="C13" s="805" t="s">
        <v>332</v>
      </c>
      <c r="D13" s="806" t="s">
        <v>332</v>
      </c>
      <c r="E13" s="807" t="s">
        <v>3873</v>
      </c>
      <c r="F13" s="808" t="s">
        <v>3974</v>
      </c>
      <c r="G13" s="809" t="s">
        <v>1499</v>
      </c>
      <c r="H13" s="949" t="s">
        <v>2929</v>
      </c>
      <c r="I13" s="932" t="s">
        <v>6963</v>
      </c>
      <c r="J13" s="890" t="s">
        <v>6964</v>
      </c>
      <c r="K13" s="855" t="s">
        <v>716</v>
      </c>
      <c r="L13" s="950" t="s">
        <v>6965</v>
      </c>
      <c r="M13" s="853"/>
      <c r="N13" s="853"/>
      <c r="O13" s="933" t="s">
        <v>6966</v>
      </c>
      <c r="P13" s="815"/>
      <c r="Q13" s="861" t="s">
        <v>6967</v>
      </c>
      <c r="R13" s="858"/>
      <c r="S13" s="858"/>
      <c r="T13" s="908" t="s">
        <v>5423</v>
      </c>
      <c r="U13" s="857"/>
      <c r="V13" s="935" t="s">
        <v>6968</v>
      </c>
      <c r="W13" s="815"/>
      <c r="X13" s="925"/>
      <c r="Y13" s="893" t="s">
        <v>6969</v>
      </c>
      <c r="Z13" s="936" t="s">
        <v>6965</v>
      </c>
      <c r="AA13" s="936" t="s">
        <v>6970</v>
      </c>
      <c r="AB13" s="864" t="s">
        <v>3436</v>
      </c>
      <c r="AC13" s="893" t="s">
        <v>2901</v>
      </c>
      <c r="AD13" s="823" t="s">
        <v>2399</v>
      </c>
      <c r="AE13" s="822" t="s">
        <v>1251</v>
      </c>
      <c r="AF13" s="894"/>
      <c r="AG13" s="936" t="s">
        <v>6971</v>
      </c>
      <c r="AH13" s="825"/>
      <c r="AI13" s="815"/>
      <c r="AJ13" s="948"/>
      <c r="AK13" s="870" t="s">
        <v>6972</v>
      </c>
      <c r="AL13" s="866"/>
      <c r="AM13" s="951"/>
      <c r="AN13" s="951" t="s">
        <v>6973</v>
      </c>
      <c r="AO13" s="952" t="s">
        <v>4870</v>
      </c>
      <c r="AP13" s="953" t="s">
        <v>6974</v>
      </c>
      <c r="AQ13" s="953" t="s">
        <v>6975</v>
      </c>
      <c r="AR13" s="954"/>
      <c r="AS13" s="867" t="s">
        <v>6793</v>
      </c>
      <c r="AT13" s="951"/>
      <c r="AU13" s="939"/>
      <c r="AV13" s="867" t="s">
        <v>6976</v>
      </c>
      <c r="AW13" s="870" t="s">
        <v>6977</v>
      </c>
      <c r="AX13" s="941" t="s">
        <v>6978</v>
      </c>
      <c r="AY13" s="941" t="s">
        <v>6979</v>
      </c>
      <c r="AZ13" s="831"/>
      <c r="BA13" s="871"/>
      <c r="BB13" s="912" t="s">
        <v>6980</v>
      </c>
      <c r="BC13" s="873" t="s">
        <v>3760</v>
      </c>
      <c r="BD13" s="899"/>
      <c r="BE13" s="942" t="s">
        <v>6981</v>
      </c>
      <c r="BF13" s="831"/>
      <c r="BG13" s="955" t="s">
        <v>6982</v>
      </c>
      <c r="BH13" s="955" t="s">
        <v>5523</v>
      </c>
      <c r="BI13" s="875"/>
      <c r="BJ13" s="875"/>
      <c r="BK13" s="956" t="s">
        <v>6983</v>
      </c>
      <c r="BL13" s="877"/>
      <c r="BM13" s="956" t="s">
        <v>6984</v>
      </c>
      <c r="BN13" s="815"/>
      <c r="BO13" s="918" t="s">
        <v>6985</v>
      </c>
      <c r="BP13" s="929"/>
      <c r="BQ13" s="918" t="s">
        <v>698</v>
      </c>
      <c r="BR13" s="930" t="s">
        <v>6986</v>
      </c>
      <c r="BS13" s="879"/>
      <c r="BT13" s="881" t="s">
        <v>1862</v>
      </c>
      <c r="BU13" s="879"/>
      <c r="BV13" s="929" t="s">
        <v>6987</v>
      </c>
      <c r="BW13" s="957" t="s">
        <v>6988</v>
      </c>
      <c r="BX13" s="826"/>
      <c r="BY13" s="946" t="s">
        <v>4512</v>
      </c>
      <c r="BZ13" s="885"/>
      <c r="CA13" s="921"/>
      <c r="CB13" s="931" t="s">
        <v>2845</v>
      </c>
      <c r="CC13" s="945"/>
      <c r="CD13" s="946" t="s">
        <v>1173</v>
      </c>
      <c r="CE13" s="885"/>
      <c r="CF13" s="946" t="s">
        <v>6989</v>
      </c>
      <c r="CG13" s="885"/>
      <c r="CH13" s="920" t="s">
        <v>4878</v>
      </c>
      <c r="CI13" s="885"/>
      <c r="CJ13" s="905"/>
      <c r="CK13" s="905"/>
    </row>
    <row r="14">
      <c r="A14" s="958" t="s">
        <v>1632</v>
      </c>
      <c r="B14" s="809" t="s">
        <v>6990</v>
      </c>
      <c r="C14" s="805" t="s">
        <v>547</v>
      </c>
      <c r="D14" s="806" t="s">
        <v>1260</v>
      </c>
      <c r="E14" s="807" t="s">
        <v>650</v>
      </c>
      <c r="F14" s="808" t="s">
        <v>1200</v>
      </c>
      <c r="G14" s="809" t="s">
        <v>4608</v>
      </c>
      <c r="H14" s="855" t="s">
        <v>2359</v>
      </c>
      <c r="I14" s="959" t="s">
        <v>6991</v>
      </c>
      <c r="J14" s="854" t="s">
        <v>1302</v>
      </c>
      <c r="K14" s="854" t="s">
        <v>6992</v>
      </c>
      <c r="L14" s="854" t="s">
        <v>2151</v>
      </c>
      <c r="M14" s="960"/>
      <c r="N14" s="854" t="s">
        <v>6993</v>
      </c>
      <c r="O14" s="854" t="s">
        <v>6994</v>
      </c>
      <c r="P14" s="815"/>
      <c r="Q14" s="960"/>
      <c r="R14" s="857" t="s">
        <v>5618</v>
      </c>
      <c r="S14" s="857" t="s">
        <v>6995</v>
      </c>
      <c r="T14" s="857" t="s">
        <v>5841</v>
      </c>
      <c r="U14" s="857" t="s">
        <v>6996</v>
      </c>
      <c r="V14" s="857" t="s">
        <v>6997</v>
      </c>
      <c r="W14" s="815"/>
      <c r="X14" s="862" t="s">
        <v>3983</v>
      </c>
      <c r="Y14" s="862" t="s">
        <v>6998</v>
      </c>
      <c r="Z14" s="893" t="s">
        <v>6999</v>
      </c>
      <c r="AA14" s="961" t="s">
        <v>7000</v>
      </c>
      <c r="AB14" s="862" t="s">
        <v>677</v>
      </c>
      <c r="AC14" s="862" t="s">
        <v>652</v>
      </c>
      <c r="AD14" s="909" t="s">
        <v>1788</v>
      </c>
      <c r="AE14" s="962" t="s">
        <v>4944</v>
      </c>
      <c r="AF14" s="822" t="s">
        <v>102</v>
      </c>
      <c r="AG14" s="862" t="s">
        <v>7001</v>
      </c>
      <c r="AH14" s="963" t="s">
        <v>7002</v>
      </c>
      <c r="AI14" s="815"/>
      <c r="AJ14" s="911"/>
      <c r="AK14" s="868" t="s">
        <v>7003</v>
      </c>
      <c r="AL14" s="865"/>
      <c r="AM14" s="865" t="s">
        <v>3426</v>
      </c>
      <c r="AN14" s="870" t="s">
        <v>1731</v>
      </c>
      <c r="AO14" s="865" t="s">
        <v>4131</v>
      </c>
      <c r="AP14" s="868" t="s">
        <v>7004</v>
      </c>
      <c r="AQ14" s="865" t="s">
        <v>7005</v>
      </c>
      <c r="AR14" s="897" t="s">
        <v>7006</v>
      </c>
      <c r="AS14" s="865" t="s">
        <v>7007</v>
      </c>
      <c r="AT14" s="865"/>
      <c r="AU14" s="865"/>
      <c r="AV14" s="865"/>
      <c r="AW14" s="868" t="s">
        <v>305</v>
      </c>
      <c r="AX14" s="941" t="s">
        <v>7008</v>
      </c>
      <c r="AY14" s="865" t="s">
        <v>7009</v>
      </c>
      <c r="AZ14" s="831"/>
      <c r="BA14" s="900" t="s">
        <v>7010</v>
      </c>
      <c r="BB14" s="900" t="s">
        <v>7011</v>
      </c>
      <c r="BC14" s="900" t="s">
        <v>4223</v>
      </c>
      <c r="BD14" s="900" t="s">
        <v>5114</v>
      </c>
      <c r="BE14" s="873" t="s">
        <v>7012</v>
      </c>
      <c r="BF14" s="831"/>
      <c r="BG14" s="875" t="s">
        <v>7013</v>
      </c>
      <c r="BH14" s="875" t="s">
        <v>5199</v>
      </c>
      <c r="BI14" s="874" t="s">
        <v>1871</v>
      </c>
      <c r="BJ14" s="955" t="s">
        <v>7014</v>
      </c>
      <c r="BK14" s="964" t="s">
        <v>7015</v>
      </c>
      <c r="BL14" s="875"/>
      <c r="BM14" s="875" t="s">
        <v>7016</v>
      </c>
      <c r="BN14" s="815"/>
      <c r="BO14" s="881" t="s">
        <v>4725</v>
      </c>
      <c r="BP14" s="930"/>
      <c r="BQ14" s="965" t="s">
        <v>4777</v>
      </c>
      <c r="BR14" s="880" t="s">
        <v>7017</v>
      </c>
      <c r="BS14" s="880"/>
      <c r="BT14" s="966" t="s">
        <v>7018</v>
      </c>
      <c r="BU14" s="930" t="s">
        <v>4795</v>
      </c>
      <c r="BV14" s="880" t="s">
        <v>7019</v>
      </c>
      <c r="BW14" s="880" t="s">
        <v>7020</v>
      </c>
      <c r="BX14" s="815"/>
      <c r="BY14" s="884" t="s">
        <v>2524</v>
      </c>
      <c r="BZ14" s="884" t="s">
        <v>7021</v>
      </c>
      <c r="CA14" s="885"/>
      <c r="CB14" s="905"/>
      <c r="CC14" s="885"/>
      <c r="CD14" s="884" t="s">
        <v>7022</v>
      </c>
      <c r="CE14" s="884" t="s">
        <v>7023</v>
      </c>
      <c r="CF14" s="884" t="s">
        <v>7024</v>
      </c>
      <c r="CG14" s="884"/>
      <c r="CH14" s="919" t="s">
        <v>7025</v>
      </c>
      <c r="CI14" s="885"/>
      <c r="CJ14" s="905"/>
      <c r="CK14" s="905"/>
    </row>
    <row r="15">
      <c r="A15" s="852" t="s">
        <v>2027</v>
      </c>
      <c r="B15" s="809" t="s">
        <v>7026</v>
      </c>
      <c r="C15" s="805" t="s">
        <v>1260</v>
      </c>
      <c r="D15" s="806" t="s">
        <v>650</v>
      </c>
      <c r="E15" s="807" t="s">
        <v>547</v>
      </c>
      <c r="F15" s="808" t="s">
        <v>2872</v>
      </c>
      <c r="G15" s="809" t="s">
        <v>7027</v>
      </c>
      <c r="H15" s="853"/>
      <c r="I15" s="854" t="s">
        <v>7028</v>
      </c>
      <c r="J15" s="854"/>
      <c r="K15" s="855" t="s">
        <v>183</v>
      </c>
      <c r="L15" s="854"/>
      <c r="M15" s="854"/>
      <c r="N15" s="853"/>
      <c r="O15" s="855" t="s">
        <v>7029</v>
      </c>
      <c r="P15" s="815"/>
      <c r="Q15" s="858"/>
      <c r="R15" s="860"/>
      <c r="S15" s="861" t="s">
        <v>7030</v>
      </c>
      <c r="T15" s="858"/>
      <c r="U15" s="858"/>
      <c r="V15" s="861" t="s">
        <v>7031</v>
      </c>
      <c r="W15" s="815"/>
      <c r="X15" s="864" t="s">
        <v>1374</v>
      </c>
      <c r="Y15" s="925"/>
      <c r="Z15" s="862" t="s">
        <v>7032</v>
      </c>
      <c r="AA15" s="823" t="s">
        <v>7033</v>
      </c>
      <c r="AB15" s="862" t="s">
        <v>3726</v>
      </c>
      <c r="AC15" s="823" t="s">
        <v>2050</v>
      </c>
      <c r="AD15" s="862" t="s">
        <v>4147</v>
      </c>
      <c r="AE15" s="862" t="s">
        <v>4664</v>
      </c>
      <c r="AF15" s="862"/>
      <c r="AG15" s="823" t="s">
        <v>7034</v>
      </c>
      <c r="AH15" s="825"/>
      <c r="AI15" s="815"/>
      <c r="AJ15" s="866"/>
      <c r="AK15" s="866"/>
      <c r="AL15" s="866"/>
      <c r="AM15" s="870" t="s">
        <v>1418</v>
      </c>
      <c r="AN15" s="866"/>
      <c r="AO15" s="866"/>
      <c r="AP15" s="865" t="s">
        <v>7035</v>
      </c>
      <c r="AQ15" s="866"/>
      <c r="AR15" s="866"/>
      <c r="AS15" s="866"/>
      <c r="AT15" s="866"/>
      <c r="AU15" s="866"/>
      <c r="AV15" s="866"/>
      <c r="AW15" s="866"/>
      <c r="AX15" s="870" t="s">
        <v>7036</v>
      </c>
      <c r="AY15" s="865" t="s">
        <v>7037</v>
      </c>
      <c r="AZ15" s="831"/>
      <c r="BA15" s="900"/>
      <c r="BB15" s="900"/>
      <c r="BC15" s="873" t="s">
        <v>3702</v>
      </c>
      <c r="BD15" s="871"/>
      <c r="BE15" s="900" t="s">
        <v>7038</v>
      </c>
      <c r="BF15" s="831"/>
      <c r="BG15" s="875" t="s">
        <v>6229</v>
      </c>
      <c r="BH15" s="876" t="s">
        <v>7039</v>
      </c>
      <c r="BI15" s="877"/>
      <c r="BJ15" s="877"/>
      <c r="BK15" s="955" t="s">
        <v>7040</v>
      </c>
      <c r="BL15" s="877"/>
      <c r="BM15" s="874" t="s">
        <v>7041</v>
      </c>
      <c r="BN15" s="815"/>
      <c r="BO15" s="880" t="s">
        <v>7042</v>
      </c>
      <c r="BP15" s="930"/>
      <c r="BQ15" s="880"/>
      <c r="BR15" s="881" t="s">
        <v>7043</v>
      </c>
      <c r="BS15" s="880"/>
      <c r="BT15" s="881" t="s">
        <v>1403</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7044</v>
      </c>
      <c r="B16" s="809" t="s">
        <v>7045</v>
      </c>
      <c r="C16" s="805" t="s">
        <v>1260</v>
      </c>
      <c r="D16" s="806" t="s">
        <v>438</v>
      </c>
      <c r="E16" s="807" t="s">
        <v>547</v>
      </c>
      <c r="F16" s="808" t="s">
        <v>5698</v>
      </c>
      <c r="G16" s="809" t="s">
        <v>4848</v>
      </c>
      <c r="H16" s="855" t="s">
        <v>2127</v>
      </c>
      <c r="I16" s="855" t="s">
        <v>7046</v>
      </c>
      <c r="J16" s="853"/>
      <c r="K16" s="853"/>
      <c r="L16" s="855" t="s">
        <v>3380</v>
      </c>
      <c r="M16" s="853"/>
      <c r="N16" s="855" t="s">
        <v>7047</v>
      </c>
      <c r="O16" s="853"/>
      <c r="P16" s="815"/>
      <c r="Q16" s="861" t="s">
        <v>246</v>
      </c>
      <c r="R16" s="858"/>
      <c r="S16" s="861" t="s">
        <v>6895</v>
      </c>
      <c r="T16" s="861" t="s">
        <v>3743</v>
      </c>
      <c r="U16" s="858"/>
      <c r="V16" s="861" t="s">
        <v>7048</v>
      </c>
      <c r="W16" s="815"/>
      <c r="X16" s="823" t="s">
        <v>273</v>
      </c>
      <c r="Y16" s="823" t="s">
        <v>7049</v>
      </c>
      <c r="Z16" s="823" t="s">
        <v>2372</v>
      </c>
      <c r="AA16" s="909" t="s">
        <v>7050</v>
      </c>
      <c r="AB16" s="823" t="s">
        <v>7051</v>
      </c>
      <c r="AC16" s="823" t="s">
        <v>1756</v>
      </c>
      <c r="AD16" s="823" t="s">
        <v>5608</v>
      </c>
      <c r="AE16" s="823" t="s">
        <v>7052</v>
      </c>
      <c r="AF16" s="824"/>
      <c r="AG16" s="862" t="s">
        <v>7053</v>
      </c>
      <c r="AH16" s="825"/>
      <c r="AI16" s="815"/>
      <c r="AJ16" s="911"/>
      <c r="AK16" s="870" t="s">
        <v>7054</v>
      </c>
      <c r="AL16" s="870" t="s">
        <v>7055</v>
      </c>
      <c r="AM16" s="870" t="s">
        <v>1214</v>
      </c>
      <c r="AN16" s="865"/>
      <c r="AO16" s="866"/>
      <c r="AP16" s="870" t="s">
        <v>4074</v>
      </c>
      <c r="AQ16" s="866"/>
      <c r="AR16" s="870" t="s">
        <v>7056</v>
      </c>
      <c r="AS16" s="898" t="s">
        <v>7057</v>
      </c>
      <c r="AT16" s="870" t="s">
        <v>7058</v>
      </c>
      <c r="AU16" s="898" t="s">
        <v>7059</v>
      </c>
      <c r="AV16" s="866"/>
      <c r="AW16" s="870" t="s">
        <v>369</v>
      </c>
      <c r="AX16" s="870" t="s">
        <v>7060</v>
      </c>
      <c r="AY16" s="870" t="s">
        <v>7061</v>
      </c>
      <c r="AZ16" s="831"/>
      <c r="BA16" s="926"/>
      <c r="BB16" s="873" t="s">
        <v>7062</v>
      </c>
      <c r="BC16" s="873" t="s">
        <v>7063</v>
      </c>
      <c r="BD16" s="871"/>
      <c r="BE16" s="873" t="s">
        <v>7064</v>
      </c>
      <c r="BF16" s="831"/>
      <c r="BG16" s="875" t="s">
        <v>4089</v>
      </c>
      <c r="BH16" s="875" t="s">
        <v>4620</v>
      </c>
      <c r="BI16" s="955" t="s">
        <v>1586</v>
      </c>
      <c r="BJ16" s="877"/>
      <c r="BK16" s="875" t="s">
        <v>4310</v>
      </c>
      <c r="BL16" s="877"/>
      <c r="BM16" s="875" t="s">
        <v>7065</v>
      </c>
      <c r="BN16" s="815"/>
      <c r="BO16" s="881" t="s">
        <v>3432</v>
      </c>
      <c r="BP16" s="929"/>
      <c r="BQ16" s="879"/>
      <c r="BR16" s="879"/>
      <c r="BS16" s="879"/>
      <c r="BT16" s="881" t="s">
        <v>847</v>
      </c>
      <c r="BU16" s="879"/>
      <c r="BV16" s="880" t="s">
        <v>7066</v>
      </c>
      <c r="BW16" s="880" t="s">
        <v>7067</v>
      </c>
      <c r="BX16" s="815"/>
      <c r="BY16" s="904" t="s">
        <v>1614</v>
      </c>
      <c r="BZ16" s="884"/>
      <c r="CA16" s="885"/>
      <c r="CB16" s="905"/>
      <c r="CC16" s="885"/>
      <c r="CD16" s="885"/>
      <c r="CE16" s="884" t="s">
        <v>7068</v>
      </c>
      <c r="CF16" s="885"/>
      <c r="CG16" s="885"/>
      <c r="CH16" s="885"/>
      <c r="CI16" s="885"/>
      <c r="CJ16" s="905"/>
      <c r="CK16" s="905"/>
    </row>
    <row r="17">
      <c r="A17" s="852" t="s">
        <v>7069</v>
      </c>
      <c r="B17" s="809" t="s">
        <v>7070</v>
      </c>
      <c r="C17" s="805" t="s">
        <v>1260</v>
      </c>
      <c r="D17" s="806" t="s">
        <v>1260</v>
      </c>
      <c r="E17" s="807" t="s">
        <v>1260</v>
      </c>
      <c r="F17" s="808" t="s">
        <v>3873</v>
      </c>
      <c r="G17" s="809" t="s">
        <v>5881</v>
      </c>
      <c r="H17" s="853"/>
      <c r="I17" s="853"/>
      <c r="J17" s="854" t="s">
        <v>7071</v>
      </c>
      <c r="K17" s="854" t="s">
        <v>7072</v>
      </c>
      <c r="L17" s="855" t="s">
        <v>7073</v>
      </c>
      <c r="M17" s="853"/>
      <c r="N17" s="933" t="s">
        <v>7074</v>
      </c>
      <c r="O17" s="854" t="s">
        <v>7075</v>
      </c>
      <c r="P17" s="815"/>
      <c r="Q17" s="935" t="s">
        <v>728</v>
      </c>
      <c r="R17" s="858"/>
      <c r="S17" s="858"/>
      <c r="T17" s="858"/>
      <c r="U17" s="857"/>
      <c r="V17" s="861" t="s">
        <v>7053</v>
      </c>
      <c r="W17" s="815"/>
      <c r="X17" s="925"/>
      <c r="Y17" s="823" t="s">
        <v>7076</v>
      </c>
      <c r="Z17" s="893" t="s">
        <v>2405</v>
      </c>
      <c r="AA17" s="967"/>
      <c r="AB17" s="925"/>
      <c r="AC17" s="893" t="s">
        <v>816</v>
      </c>
      <c r="AD17" s="893" t="s">
        <v>5874</v>
      </c>
      <c r="AE17" s="893" t="s">
        <v>7077</v>
      </c>
      <c r="AF17" s="862"/>
      <c r="AG17" s="893" t="s">
        <v>7078</v>
      </c>
      <c r="AH17" s="825"/>
      <c r="AI17" s="815"/>
      <c r="AJ17" s="865"/>
      <c r="AK17" s="941" t="s">
        <v>1471</v>
      </c>
      <c r="AL17" s="866"/>
      <c r="AM17" s="866"/>
      <c r="AN17" s="866"/>
      <c r="AO17" s="866"/>
      <c r="AP17" s="941" t="s">
        <v>7079</v>
      </c>
      <c r="AQ17" s="866"/>
      <c r="AR17" s="866"/>
      <c r="AS17" s="866"/>
      <c r="AT17" s="866"/>
      <c r="AU17" s="866"/>
      <c r="AV17" s="866"/>
      <c r="AW17" s="870" t="s">
        <v>6248</v>
      </c>
      <c r="AX17" s="865" t="s">
        <v>7080</v>
      </c>
      <c r="AY17" s="865" t="s">
        <v>6357</v>
      </c>
      <c r="AZ17" s="831"/>
      <c r="BA17" s="900" t="s">
        <v>7081</v>
      </c>
      <c r="BB17" s="968" t="s">
        <v>7082</v>
      </c>
      <c r="BC17" s="873" t="s">
        <v>511</v>
      </c>
      <c r="BD17" s="871"/>
      <c r="BE17" s="968" t="s">
        <v>7083</v>
      </c>
      <c r="BF17" s="831"/>
      <c r="BG17" s="875" t="s">
        <v>2854</v>
      </c>
      <c r="BH17" s="956" t="s">
        <v>7084</v>
      </c>
      <c r="BI17" s="875"/>
      <c r="BJ17" s="875"/>
      <c r="BK17" s="877"/>
      <c r="BL17" s="877"/>
      <c r="BM17" s="874" t="s">
        <v>7085</v>
      </c>
      <c r="BN17" s="815"/>
      <c r="BO17" s="930" t="s">
        <v>7086</v>
      </c>
      <c r="BP17" s="929"/>
      <c r="BQ17" s="879"/>
      <c r="BR17" s="880" t="s">
        <v>7087</v>
      </c>
      <c r="BS17" s="879"/>
      <c r="BT17" s="930" t="s">
        <v>2328</v>
      </c>
      <c r="BU17" s="879"/>
      <c r="BV17" s="880" t="s">
        <v>252</v>
      </c>
      <c r="BW17" s="880" t="s">
        <v>1573</v>
      </c>
      <c r="BX17" s="815"/>
      <c r="BY17" s="884" t="s">
        <v>4215</v>
      </c>
      <c r="BZ17" s="904" t="s">
        <v>6096</v>
      </c>
      <c r="CA17" s="885"/>
      <c r="CB17" s="905"/>
      <c r="CC17" s="885"/>
      <c r="CD17" s="885"/>
      <c r="CE17" s="884" t="s">
        <v>5961</v>
      </c>
      <c r="CF17" s="946" t="s">
        <v>7088</v>
      </c>
      <c r="CG17" s="885"/>
      <c r="CH17" s="885"/>
      <c r="CI17" s="884" t="s">
        <v>7089</v>
      </c>
      <c r="CJ17" s="905"/>
      <c r="CK17" s="905"/>
    </row>
    <row r="18">
      <c r="A18" s="852" t="s">
        <v>7090</v>
      </c>
      <c r="B18" s="809" t="s">
        <v>7091</v>
      </c>
      <c r="C18" s="805" t="s">
        <v>1260</v>
      </c>
      <c r="D18" s="806" t="s">
        <v>1260</v>
      </c>
      <c r="E18" s="807" t="s">
        <v>1260</v>
      </c>
      <c r="F18" s="808" t="s">
        <v>1260</v>
      </c>
      <c r="G18" s="809" t="s">
        <v>3347</v>
      </c>
      <c r="H18" s="853"/>
      <c r="I18" s="933" t="s">
        <v>2743</v>
      </c>
      <c r="J18" s="854"/>
      <c r="K18" s="853"/>
      <c r="L18" s="853"/>
      <c r="M18" s="853"/>
      <c r="N18" s="853"/>
      <c r="O18" s="854" t="s">
        <v>7092</v>
      </c>
      <c r="P18" s="815"/>
      <c r="Q18" s="935" t="s">
        <v>1485</v>
      </c>
      <c r="R18" s="858"/>
      <c r="S18" s="858"/>
      <c r="T18" s="935" t="s">
        <v>1040</v>
      </c>
      <c r="U18" s="857"/>
      <c r="V18" s="857" t="s">
        <v>7093</v>
      </c>
      <c r="W18" s="815"/>
      <c r="X18" s="936" t="s">
        <v>7094</v>
      </c>
      <c r="Y18" s="862" t="s">
        <v>7095</v>
      </c>
      <c r="Z18" s="936" t="s">
        <v>6965</v>
      </c>
      <c r="AA18" s="893" t="s">
        <v>7096</v>
      </c>
      <c r="AB18" s="893" t="s">
        <v>1738</v>
      </c>
      <c r="AC18" s="893" t="s">
        <v>3646</v>
      </c>
      <c r="AD18" s="936" t="s">
        <v>202</v>
      </c>
      <c r="AE18" s="893" t="s">
        <v>4632</v>
      </c>
      <c r="AF18" s="862"/>
      <c r="AG18" s="893" t="s">
        <v>7097</v>
      </c>
      <c r="AH18" s="825"/>
      <c r="AI18" s="815"/>
      <c r="AJ18" s="866"/>
      <c r="AK18" s="896" t="s">
        <v>5682</v>
      </c>
      <c r="AL18" s="941" t="s">
        <v>7098</v>
      </c>
      <c r="AM18" s="896" t="s">
        <v>7099</v>
      </c>
      <c r="AN18" s="866"/>
      <c r="AO18" s="941" t="s">
        <v>973</v>
      </c>
      <c r="AP18" s="896" t="s">
        <v>1564</v>
      </c>
      <c r="AQ18" s="941" t="s">
        <v>7100</v>
      </c>
      <c r="AR18" s="941" t="s">
        <v>7101</v>
      </c>
      <c r="AS18" s="866"/>
      <c r="AT18" s="866"/>
      <c r="AU18" s="866"/>
      <c r="AV18" s="866"/>
      <c r="AW18" s="896" t="s">
        <v>1253</v>
      </c>
      <c r="AX18" s="941" t="s">
        <v>7102</v>
      </c>
      <c r="AY18" s="941" t="s">
        <v>7103</v>
      </c>
      <c r="AZ18" s="831"/>
      <c r="BA18" s="900"/>
      <c r="BB18" s="968" t="s">
        <v>7104</v>
      </c>
      <c r="BC18" s="926"/>
      <c r="BD18" s="926"/>
      <c r="BE18" s="968" t="s">
        <v>7105</v>
      </c>
      <c r="BF18" s="831"/>
      <c r="BG18" s="956" t="s">
        <v>7106</v>
      </c>
      <c r="BH18" s="956" t="s">
        <v>2134</v>
      </c>
      <c r="BI18" s="877"/>
      <c r="BJ18" s="877"/>
      <c r="BK18" s="877"/>
      <c r="BL18" s="877"/>
      <c r="BM18" s="875" t="s">
        <v>7107</v>
      </c>
      <c r="BN18" s="815"/>
      <c r="BO18" s="930" t="s">
        <v>2035</v>
      </c>
      <c r="BP18" s="929"/>
      <c r="BQ18" s="879"/>
      <c r="BR18" s="930" t="s">
        <v>7108</v>
      </c>
      <c r="BS18" s="879"/>
      <c r="BT18" s="930" t="s">
        <v>3090</v>
      </c>
      <c r="BU18" s="879"/>
      <c r="BV18" s="930" t="s">
        <v>7109</v>
      </c>
      <c r="BW18" s="930" t="s">
        <v>7110</v>
      </c>
      <c r="BX18" s="815"/>
      <c r="BY18" s="946" t="s">
        <v>3520</v>
      </c>
      <c r="BZ18" s="885"/>
      <c r="CA18" s="885"/>
      <c r="CB18" s="905"/>
      <c r="CC18" s="885"/>
      <c r="CD18" s="885"/>
      <c r="CE18" s="885"/>
      <c r="CF18" s="885"/>
      <c r="CG18" s="885"/>
      <c r="CH18" s="885"/>
      <c r="CI18" s="885"/>
      <c r="CJ18" s="905"/>
      <c r="CK18" s="905"/>
    </row>
    <row r="19">
      <c r="A19" s="852" t="s">
        <v>1878</v>
      </c>
      <c r="B19" s="809" t="s">
        <v>6338</v>
      </c>
      <c r="C19" s="805" t="s">
        <v>1260</v>
      </c>
      <c r="D19" s="806" t="s">
        <v>1260</v>
      </c>
      <c r="E19" s="807" t="s">
        <v>1260</v>
      </c>
      <c r="F19" s="808" t="s">
        <v>1260</v>
      </c>
      <c r="G19" s="809" t="s">
        <v>5881</v>
      </c>
      <c r="H19" s="853"/>
      <c r="I19" s="854" t="s">
        <v>2699</v>
      </c>
      <c r="J19" s="854" t="s">
        <v>2099</v>
      </c>
      <c r="K19" s="854" t="s">
        <v>7111</v>
      </c>
      <c r="L19" s="933" t="s">
        <v>7112</v>
      </c>
      <c r="M19" s="853"/>
      <c r="N19" s="933" t="s">
        <v>7113</v>
      </c>
      <c r="O19" s="854" t="s">
        <v>7114</v>
      </c>
      <c r="P19" s="815"/>
      <c r="Q19" s="935" t="s">
        <v>2557</v>
      </c>
      <c r="R19" s="858"/>
      <c r="S19" s="858"/>
      <c r="T19" s="935" t="s">
        <v>5067</v>
      </c>
      <c r="U19" s="857"/>
      <c r="V19" s="935" t="s">
        <v>7115</v>
      </c>
      <c r="W19" s="815"/>
      <c r="X19" s="893" t="s">
        <v>4124</v>
      </c>
      <c r="Y19" s="893" t="s">
        <v>7116</v>
      </c>
      <c r="Z19" s="893" t="s">
        <v>7117</v>
      </c>
      <c r="AA19" s="893" t="s">
        <v>3037</v>
      </c>
      <c r="AB19" s="893" t="s">
        <v>4738</v>
      </c>
      <c r="AC19" s="862" t="s">
        <v>7118</v>
      </c>
      <c r="AD19" s="893" t="s">
        <v>4619</v>
      </c>
      <c r="AE19" s="893" t="s">
        <v>4916</v>
      </c>
      <c r="AF19" s="862"/>
      <c r="AG19" s="862" t="s">
        <v>7119</v>
      </c>
      <c r="AH19" s="969" t="s">
        <v>7120</v>
      </c>
      <c r="AI19" s="815"/>
      <c r="AJ19" s="866"/>
      <c r="AK19" s="866"/>
      <c r="AL19" s="866"/>
      <c r="AM19" s="865" t="s">
        <v>171</v>
      </c>
      <c r="AN19" s="866"/>
      <c r="AO19" s="941" t="s">
        <v>4400</v>
      </c>
      <c r="AP19" s="865" t="s">
        <v>3309</v>
      </c>
      <c r="AQ19" s="941" t="s">
        <v>7121</v>
      </c>
      <c r="AR19" s="866"/>
      <c r="AS19" s="866"/>
      <c r="AT19" s="866"/>
      <c r="AU19" s="866"/>
      <c r="AV19" s="866"/>
      <c r="AW19" s="941" t="s">
        <v>1077</v>
      </c>
      <c r="AX19" s="941" t="s">
        <v>4906</v>
      </c>
      <c r="AY19" s="866"/>
      <c r="AZ19" s="831"/>
      <c r="BA19" s="926"/>
      <c r="BB19" s="926"/>
      <c r="BC19" s="968" t="s">
        <v>7122</v>
      </c>
      <c r="BD19" s="900"/>
      <c r="BE19" s="900" t="s">
        <v>7123</v>
      </c>
      <c r="BF19" s="831"/>
      <c r="BG19" s="956" t="s">
        <v>1206</v>
      </c>
      <c r="BH19" s="956" t="s">
        <v>2134</v>
      </c>
      <c r="BI19" s="877"/>
      <c r="BJ19" s="877"/>
      <c r="BK19" s="875" t="s">
        <v>7124</v>
      </c>
      <c r="BL19" s="877"/>
      <c r="BM19" s="956" t="s">
        <v>7125</v>
      </c>
      <c r="BN19" s="815"/>
      <c r="BO19" s="930" t="s">
        <v>7126</v>
      </c>
      <c r="BP19" s="929"/>
      <c r="BQ19" s="879"/>
      <c r="BR19" s="879"/>
      <c r="BS19" s="879"/>
      <c r="BT19" s="930" t="s">
        <v>2755</v>
      </c>
      <c r="BU19" s="879"/>
      <c r="BV19" s="879"/>
      <c r="BW19" s="929" t="s">
        <v>7127</v>
      </c>
      <c r="BX19" s="815"/>
      <c r="BY19" s="884" t="s">
        <v>3002</v>
      </c>
      <c r="BZ19" s="885"/>
      <c r="CA19" s="885"/>
      <c r="CB19" s="905"/>
      <c r="CC19" s="885"/>
      <c r="CD19" s="885"/>
      <c r="CE19" s="885"/>
      <c r="CF19" s="885"/>
      <c r="CG19" s="885"/>
      <c r="CH19" s="885"/>
      <c r="CI19" s="885"/>
      <c r="CJ19" s="905"/>
      <c r="CK19" s="905"/>
    </row>
    <row r="20">
      <c r="A20" s="852" t="s">
        <v>3572</v>
      </c>
      <c r="B20" s="809" t="s">
        <v>7128</v>
      </c>
      <c r="C20" s="805" t="s">
        <v>1260</v>
      </c>
      <c r="D20" s="806" t="s">
        <v>547</v>
      </c>
      <c r="E20" s="807" t="s">
        <v>650</v>
      </c>
      <c r="F20" s="808" t="s">
        <v>1054</v>
      </c>
      <c r="G20" s="809" t="s">
        <v>2547</v>
      </c>
      <c r="H20" s="949" t="s">
        <v>266</v>
      </c>
      <c r="I20" s="853"/>
      <c r="J20" s="853"/>
      <c r="K20" s="853"/>
      <c r="L20" s="855" t="s">
        <v>1163</v>
      </c>
      <c r="M20" s="853"/>
      <c r="N20" s="855" t="s">
        <v>7129</v>
      </c>
      <c r="O20" s="853"/>
      <c r="P20" s="815"/>
      <c r="Q20" s="970" t="s">
        <v>7130</v>
      </c>
      <c r="R20" s="858"/>
      <c r="S20" s="857" t="s">
        <v>6049</v>
      </c>
      <c r="T20" s="970" t="s">
        <v>5461</v>
      </c>
      <c r="U20" s="971" t="s">
        <v>7131</v>
      </c>
      <c r="V20" s="857" t="s">
        <v>7132</v>
      </c>
      <c r="W20" s="815"/>
      <c r="X20" s="823" t="s">
        <v>2687</v>
      </c>
      <c r="Y20" s="862" t="s">
        <v>3585</v>
      </c>
      <c r="Z20" s="862" t="s">
        <v>6965</v>
      </c>
      <c r="AA20" s="909" t="s">
        <v>7133</v>
      </c>
      <c r="AB20" s="862" t="s">
        <v>2394</v>
      </c>
      <c r="AC20" s="862" t="s">
        <v>3948</v>
      </c>
      <c r="AD20" s="862" t="s">
        <v>3081</v>
      </c>
      <c r="AE20" s="972" t="s">
        <v>6761</v>
      </c>
      <c r="AF20" s="864" t="s">
        <v>1015</v>
      </c>
      <c r="AG20" s="862" t="s">
        <v>7134</v>
      </c>
      <c r="AH20" s="973" t="s">
        <v>3587</v>
      </c>
      <c r="AI20" s="815"/>
      <c r="AJ20" s="865"/>
      <c r="AK20" s="865" t="s">
        <v>7135</v>
      </c>
      <c r="AL20" s="865" t="s">
        <v>7136</v>
      </c>
      <c r="AM20" s="865" t="s">
        <v>7137</v>
      </c>
      <c r="AN20" s="865"/>
      <c r="AO20" s="866"/>
      <c r="AP20" s="868" t="s">
        <v>1782</v>
      </c>
      <c r="AQ20" s="866"/>
      <c r="AR20" s="865" t="s">
        <v>7138</v>
      </c>
      <c r="AS20" s="865" t="s">
        <v>7139</v>
      </c>
      <c r="AT20" s="865" t="s">
        <v>7140</v>
      </c>
      <c r="AU20" s="865" t="s">
        <v>7141</v>
      </c>
      <c r="AV20" s="866"/>
      <c r="AW20" s="868" t="s">
        <v>415</v>
      </c>
      <c r="AX20" s="870" t="s">
        <v>7142</v>
      </c>
      <c r="AY20" s="865" t="s">
        <v>7143</v>
      </c>
      <c r="AZ20" s="831"/>
      <c r="BA20" s="900" t="s">
        <v>7144</v>
      </c>
      <c r="BB20" s="900" t="s">
        <v>7145</v>
      </c>
      <c r="BC20" s="900" t="s">
        <v>5207</v>
      </c>
      <c r="BD20" s="900" t="s">
        <v>7146</v>
      </c>
      <c r="BE20" s="900" t="s">
        <v>7147</v>
      </c>
      <c r="BF20" s="831"/>
      <c r="BG20" s="875" t="s">
        <v>7148</v>
      </c>
      <c r="BH20" s="875" t="s">
        <v>2078</v>
      </c>
      <c r="BI20" s="875" t="s">
        <v>1892</v>
      </c>
      <c r="BJ20" s="877"/>
      <c r="BK20" s="875" t="s">
        <v>1474</v>
      </c>
      <c r="BL20" s="875" t="s">
        <v>7149</v>
      </c>
      <c r="BM20" s="875" t="s">
        <v>7150</v>
      </c>
      <c r="BN20" s="815"/>
      <c r="BO20" s="930" t="s">
        <v>4894</v>
      </c>
      <c r="BP20" s="929"/>
      <c r="BQ20" s="880" t="s">
        <v>2604</v>
      </c>
      <c r="BR20" s="880" t="s">
        <v>3795</v>
      </c>
      <c r="BS20" s="918" t="s">
        <v>7151</v>
      </c>
      <c r="BT20" s="930" t="s">
        <v>2320</v>
      </c>
      <c r="BU20" s="918" t="s">
        <v>7152</v>
      </c>
      <c r="BV20" s="880" t="s">
        <v>7153</v>
      </c>
      <c r="BW20" s="880" t="s">
        <v>7154</v>
      </c>
      <c r="BX20" s="815"/>
      <c r="BY20" s="885"/>
      <c r="BZ20" s="884" t="s">
        <v>3311</v>
      </c>
      <c r="CA20" s="885"/>
      <c r="CB20" s="905"/>
      <c r="CC20" s="885"/>
      <c r="CD20" s="884" t="s">
        <v>7155</v>
      </c>
      <c r="CE20" s="884" t="s">
        <v>7156</v>
      </c>
      <c r="CF20" s="884" t="s">
        <v>7157</v>
      </c>
      <c r="CG20" s="885"/>
      <c r="CH20" s="885"/>
      <c r="CI20" s="884" t="s">
        <v>7158</v>
      </c>
      <c r="CJ20" s="905"/>
      <c r="CK20" s="905"/>
    </row>
    <row r="21">
      <c r="A21" s="852" t="s">
        <v>7159</v>
      </c>
      <c r="B21" s="809" t="s">
        <v>7160</v>
      </c>
      <c r="C21" s="805" t="s">
        <v>1260</v>
      </c>
      <c r="D21" s="806" t="s">
        <v>1260</v>
      </c>
      <c r="E21" s="807" t="s">
        <v>547</v>
      </c>
      <c r="F21" s="808" t="s">
        <v>547</v>
      </c>
      <c r="G21" s="809" t="s">
        <v>7027</v>
      </c>
      <c r="H21" s="853"/>
      <c r="I21" s="853"/>
      <c r="J21" s="854" t="s">
        <v>7161</v>
      </c>
      <c r="K21" s="854" t="s">
        <v>7162</v>
      </c>
      <c r="L21" s="853"/>
      <c r="M21" s="853"/>
      <c r="N21" s="853"/>
      <c r="O21" s="933" t="s">
        <v>7163</v>
      </c>
      <c r="P21" s="815"/>
      <c r="Q21" s="857" t="s">
        <v>7164</v>
      </c>
      <c r="R21" s="858"/>
      <c r="S21" s="857" t="s">
        <v>5963</v>
      </c>
      <c r="T21" s="857" t="s">
        <v>5176</v>
      </c>
      <c r="U21" s="857" t="s">
        <v>7165</v>
      </c>
      <c r="V21" s="935" t="s">
        <v>7166</v>
      </c>
      <c r="W21" s="815"/>
      <c r="X21" s="925"/>
      <c r="Y21" s="925"/>
      <c r="Z21" s="862" t="s">
        <v>7167</v>
      </c>
      <c r="AA21" s="967"/>
      <c r="AB21" s="862" t="s">
        <v>2274</v>
      </c>
      <c r="AC21" s="893" t="s">
        <v>7168</v>
      </c>
      <c r="AD21" s="925"/>
      <c r="AE21" s="925"/>
      <c r="AF21" s="925"/>
      <c r="AG21" s="893" t="s">
        <v>7169</v>
      </c>
      <c r="AH21" s="825"/>
      <c r="AI21" s="815"/>
      <c r="AJ21" s="866"/>
      <c r="AK21" s="866"/>
      <c r="AL21" s="866"/>
      <c r="AM21" s="865" t="s">
        <v>1313</v>
      </c>
      <c r="AN21" s="865"/>
      <c r="AO21" s="866"/>
      <c r="AP21" s="866"/>
      <c r="AQ21" s="866"/>
      <c r="AR21" s="866"/>
      <c r="AS21" s="866"/>
      <c r="AT21" s="866"/>
      <c r="AU21" s="866"/>
      <c r="AV21" s="866"/>
      <c r="AW21" s="865" t="s">
        <v>3981</v>
      </c>
      <c r="AX21" s="941" t="s">
        <v>7170</v>
      </c>
      <c r="AY21" s="866"/>
      <c r="AZ21" s="831"/>
      <c r="BA21" s="926"/>
      <c r="BB21" s="900" t="s">
        <v>7171</v>
      </c>
      <c r="BC21" s="900" t="s">
        <v>3740</v>
      </c>
      <c r="BD21" s="900"/>
      <c r="BE21" s="968" t="s">
        <v>7172</v>
      </c>
      <c r="BF21" s="831"/>
      <c r="BG21" s="875" t="s">
        <v>716</v>
      </c>
      <c r="BH21" s="956" t="s">
        <v>4313</v>
      </c>
      <c r="BI21" s="875" t="s">
        <v>1671</v>
      </c>
      <c r="BJ21" s="875" t="s">
        <v>7173</v>
      </c>
      <c r="BK21" s="875" t="s">
        <v>7174</v>
      </c>
      <c r="BL21" s="877"/>
      <c r="BM21" s="875" t="s">
        <v>7175</v>
      </c>
      <c r="BN21" s="815"/>
      <c r="BO21" s="880" t="s">
        <v>4769</v>
      </c>
      <c r="BP21" s="929"/>
      <c r="BQ21" s="879"/>
      <c r="BR21" s="918" t="s">
        <v>7176</v>
      </c>
      <c r="BS21" s="879"/>
      <c r="BT21" s="880" t="s">
        <v>2370</v>
      </c>
      <c r="BU21" s="879"/>
      <c r="BV21" s="880" t="s">
        <v>7177</v>
      </c>
      <c r="BW21" s="880" t="s">
        <v>1848</v>
      </c>
      <c r="BX21" s="815"/>
      <c r="BY21" s="884" t="s">
        <v>4597</v>
      </c>
      <c r="BZ21" s="921"/>
      <c r="CA21" s="885"/>
      <c r="CB21" s="905"/>
      <c r="CC21" s="885"/>
      <c r="CD21" s="885"/>
      <c r="CE21" s="885"/>
      <c r="CF21" s="885"/>
      <c r="CG21" s="885"/>
      <c r="CH21" s="885"/>
      <c r="CI21" s="885"/>
      <c r="CJ21" s="905"/>
      <c r="CK21" s="905"/>
    </row>
    <row r="22">
      <c r="A22" s="974" t="s">
        <v>3441</v>
      </c>
      <c r="B22" s="809" t="s">
        <v>7178</v>
      </c>
      <c r="C22" s="805" t="s">
        <v>1260</v>
      </c>
      <c r="D22" s="806" t="s">
        <v>547</v>
      </c>
      <c r="E22" s="807" t="s">
        <v>1260</v>
      </c>
      <c r="F22" s="808" t="s">
        <v>332</v>
      </c>
      <c r="G22" s="809" t="s">
        <v>4117</v>
      </c>
      <c r="H22" s="853"/>
      <c r="I22" s="853"/>
      <c r="J22" s="853"/>
      <c r="K22" s="853"/>
      <c r="L22" s="854" t="s">
        <v>6530</v>
      </c>
      <c r="M22" s="853"/>
      <c r="N22" s="854" t="s">
        <v>7179</v>
      </c>
      <c r="O22" s="853"/>
      <c r="P22" s="815"/>
      <c r="Q22" s="858"/>
      <c r="R22" s="858"/>
      <c r="S22" s="858"/>
      <c r="T22" s="858"/>
      <c r="U22" s="857" t="s">
        <v>3126</v>
      </c>
      <c r="V22" s="857" t="s">
        <v>7180</v>
      </c>
      <c r="W22" s="815"/>
      <c r="X22" s="862" t="s">
        <v>384</v>
      </c>
      <c r="Y22" s="862" t="s">
        <v>7181</v>
      </c>
      <c r="Z22" s="862" t="s">
        <v>7182</v>
      </c>
      <c r="AA22" s="975" t="s">
        <v>2925</v>
      </c>
      <c r="AB22" s="862" t="s">
        <v>661</v>
      </c>
      <c r="AC22" s="862" t="s">
        <v>1882</v>
      </c>
      <c r="AD22" s="862" t="s">
        <v>7183</v>
      </c>
      <c r="AE22" s="862" t="s">
        <v>2564</v>
      </c>
      <c r="AF22" s="862"/>
      <c r="AG22" s="862" t="s">
        <v>7184</v>
      </c>
      <c r="AH22" s="976" t="s">
        <v>7185</v>
      </c>
      <c r="AI22" s="815"/>
      <c r="AJ22" s="865"/>
      <c r="AK22" s="865" t="s">
        <v>5838</v>
      </c>
      <c r="AL22" s="866"/>
      <c r="AM22" s="865" t="s">
        <v>5193</v>
      </c>
      <c r="AN22" s="866"/>
      <c r="AO22" s="866"/>
      <c r="AP22" s="865" t="s">
        <v>2062</v>
      </c>
      <c r="AQ22" s="866"/>
      <c r="AR22" s="865" t="s">
        <v>7186</v>
      </c>
      <c r="AS22" s="865"/>
      <c r="AT22" s="960"/>
      <c r="AU22" s="866"/>
      <c r="AV22" s="941" t="s">
        <v>7187</v>
      </c>
      <c r="AW22" s="870" t="s">
        <v>6151</v>
      </c>
      <c r="AX22" s="865" t="s">
        <v>7188</v>
      </c>
      <c r="AY22" s="865" t="s">
        <v>7189</v>
      </c>
      <c r="AZ22" s="831"/>
      <c r="BA22" s="926"/>
      <c r="BB22" s="873" t="s">
        <v>7190</v>
      </c>
      <c r="BC22" s="900" t="s">
        <v>2558</v>
      </c>
      <c r="BD22" s="900"/>
      <c r="BE22" s="927" t="s">
        <v>7191</v>
      </c>
      <c r="BF22" s="831"/>
      <c r="BG22" s="877"/>
      <c r="BH22" s="877"/>
      <c r="BI22" s="877"/>
      <c r="BJ22" s="877"/>
      <c r="BK22" s="877"/>
      <c r="BL22" s="901" t="s">
        <v>7192</v>
      </c>
      <c r="BM22" s="875" t="s">
        <v>7193</v>
      </c>
      <c r="BN22" s="815"/>
      <c r="BO22" s="879"/>
      <c r="BP22" s="929"/>
      <c r="BQ22" s="879"/>
      <c r="BR22" s="879"/>
      <c r="BS22" s="903" t="s">
        <v>7194</v>
      </c>
      <c r="BT22" s="879"/>
      <c r="BU22" s="879"/>
      <c r="BV22" s="879"/>
      <c r="BW22" s="880" t="s">
        <v>7195</v>
      </c>
      <c r="BX22" s="815"/>
      <c r="BY22" s="885"/>
      <c r="BZ22" s="885"/>
      <c r="CA22" s="885"/>
      <c r="CB22" s="905"/>
      <c r="CC22" s="885"/>
      <c r="CD22" s="885"/>
      <c r="CE22" s="885"/>
      <c r="CF22" s="885"/>
      <c r="CG22" s="885"/>
      <c r="CH22" s="885"/>
      <c r="CI22" s="885"/>
      <c r="CJ22" s="905"/>
      <c r="CK22" s="905"/>
    </row>
    <row r="23">
      <c r="A23" s="852" t="s">
        <v>2992</v>
      </c>
      <c r="B23" s="809" t="s">
        <v>7196</v>
      </c>
      <c r="C23" s="805" t="s">
        <v>547</v>
      </c>
      <c r="D23" s="806" t="s">
        <v>1260</v>
      </c>
      <c r="E23" s="807" t="s">
        <v>1260</v>
      </c>
      <c r="F23" s="808" t="s">
        <v>547</v>
      </c>
      <c r="G23" s="809" t="s">
        <v>5171</v>
      </c>
      <c r="H23" s="853"/>
      <c r="I23" s="853"/>
      <c r="J23" s="854" t="s">
        <v>311</v>
      </c>
      <c r="K23" s="854" t="s">
        <v>7197</v>
      </c>
      <c r="L23" s="854"/>
      <c r="M23" s="853"/>
      <c r="N23" s="853"/>
      <c r="O23" s="854" t="s">
        <v>7198</v>
      </c>
      <c r="P23" s="815"/>
      <c r="Q23" s="857" t="s">
        <v>4952</v>
      </c>
      <c r="R23" s="857" t="s">
        <v>3813</v>
      </c>
      <c r="S23" s="857" t="s">
        <v>694</v>
      </c>
      <c r="T23" s="857" t="s">
        <v>251</v>
      </c>
      <c r="U23" s="858"/>
      <c r="V23" s="857" t="s">
        <v>7199</v>
      </c>
      <c r="W23" s="815"/>
      <c r="X23" s="862" t="s">
        <v>6498</v>
      </c>
      <c r="Y23" s="925"/>
      <c r="Z23" s="862" t="s">
        <v>4930</v>
      </c>
      <c r="AA23" s="862" t="s">
        <v>7200</v>
      </c>
      <c r="AB23" s="862" t="s">
        <v>3010</v>
      </c>
      <c r="AC23" s="862" t="s">
        <v>1756</v>
      </c>
      <c r="AD23" s="862" t="s">
        <v>2672</v>
      </c>
      <c r="AE23" s="862" t="s">
        <v>2841</v>
      </c>
      <c r="AF23" s="862"/>
      <c r="AG23" s="862" t="s">
        <v>7201</v>
      </c>
      <c r="AH23" s="977" t="s">
        <v>3013</v>
      </c>
      <c r="AI23" s="815"/>
      <c r="AJ23" s="866"/>
      <c r="AK23" s="866"/>
      <c r="AL23" s="867" t="s">
        <v>7202</v>
      </c>
      <c r="AM23" s="865" t="s">
        <v>1965</v>
      </c>
      <c r="AN23" s="865"/>
      <c r="AO23" s="866"/>
      <c r="AP23" s="866"/>
      <c r="AQ23" s="866"/>
      <c r="AR23" s="865" t="s">
        <v>7203</v>
      </c>
      <c r="AS23" s="865"/>
      <c r="AT23" s="866"/>
      <c r="AU23" s="865" t="s">
        <v>7204</v>
      </c>
      <c r="AV23" s="941" t="s">
        <v>7205</v>
      </c>
      <c r="AW23" s="865" t="s">
        <v>193</v>
      </c>
      <c r="AX23" s="941" t="s">
        <v>7206</v>
      </c>
      <c r="AY23" s="865" t="s">
        <v>7207</v>
      </c>
      <c r="AZ23" s="831"/>
      <c r="BA23" s="900" t="s">
        <v>7208</v>
      </c>
      <c r="BB23" s="900" t="s">
        <v>7209</v>
      </c>
      <c r="BC23" s="926"/>
      <c r="BD23" s="926"/>
      <c r="BE23" s="900" t="s">
        <v>7210</v>
      </c>
      <c r="BF23" s="831"/>
      <c r="BG23" s="875" t="s">
        <v>6229</v>
      </c>
      <c r="BH23" s="877"/>
      <c r="BI23" s="875" t="s">
        <v>475</v>
      </c>
      <c r="BJ23" s="875" t="s">
        <v>7211</v>
      </c>
      <c r="BK23" s="875" t="s">
        <v>7212</v>
      </c>
      <c r="BL23" s="875" t="s">
        <v>7213</v>
      </c>
      <c r="BM23" s="964" t="s">
        <v>7214</v>
      </c>
      <c r="BN23" s="815"/>
      <c r="BO23" s="880" t="s">
        <v>7215</v>
      </c>
      <c r="BP23" s="880" t="s">
        <v>4188</v>
      </c>
      <c r="BQ23" s="879"/>
      <c r="BR23" s="880" t="s">
        <v>7216</v>
      </c>
      <c r="BS23" s="879"/>
      <c r="BT23" s="880" t="s">
        <v>3031</v>
      </c>
      <c r="BU23" s="880" t="s">
        <v>5194</v>
      </c>
      <c r="BV23" s="880" t="s">
        <v>7217</v>
      </c>
      <c r="BW23" s="880" t="s">
        <v>7218</v>
      </c>
      <c r="BX23" s="815"/>
      <c r="BY23" s="978" t="s">
        <v>3561</v>
      </c>
      <c r="BZ23" s="884" t="s">
        <v>853</v>
      </c>
      <c r="CA23" s="885"/>
      <c r="CB23" s="905"/>
      <c r="CC23" s="885"/>
      <c r="CD23" s="885"/>
      <c r="CE23" s="884" t="s">
        <v>7219</v>
      </c>
      <c r="CF23" s="884" t="s">
        <v>7220</v>
      </c>
      <c r="CG23" s="885"/>
      <c r="CH23" s="885"/>
      <c r="CI23" s="885"/>
      <c r="CJ23" s="905"/>
      <c r="CK23" s="905"/>
    </row>
    <row r="24">
      <c r="A24" s="852" t="s">
        <v>7221</v>
      </c>
      <c r="B24" s="809" t="s">
        <v>7222</v>
      </c>
      <c r="C24" s="805" t="s">
        <v>1260</v>
      </c>
      <c r="D24" s="806" t="s">
        <v>1260</v>
      </c>
      <c r="E24" s="807" t="s">
        <v>1260</v>
      </c>
      <c r="F24" s="808" t="s">
        <v>439</v>
      </c>
      <c r="G24" s="809" t="s">
        <v>222</v>
      </c>
      <c r="H24" s="853"/>
      <c r="I24" s="853"/>
      <c r="J24" s="853"/>
      <c r="K24" s="853"/>
      <c r="L24" s="950" t="s">
        <v>7223</v>
      </c>
      <c r="M24" s="853"/>
      <c r="N24" s="933" t="s">
        <v>7224</v>
      </c>
      <c r="O24" s="853"/>
      <c r="P24" s="815"/>
      <c r="Q24" s="858"/>
      <c r="R24" s="858"/>
      <c r="S24" s="858"/>
      <c r="T24" s="858"/>
      <c r="U24" s="857"/>
      <c r="V24" s="935" t="s">
        <v>7225</v>
      </c>
      <c r="W24" s="815"/>
      <c r="X24" s="925"/>
      <c r="Y24" s="925"/>
      <c r="Z24" s="936" t="s">
        <v>7226</v>
      </c>
      <c r="AA24" s="925"/>
      <c r="AB24" s="925"/>
      <c r="AC24" s="925"/>
      <c r="AD24" s="925"/>
      <c r="AE24" s="979" t="str">
        <f>HYPERLINK("https://youtu.be/0lXotWIeH0g","49.54")</f>
        <v>49.54</v>
      </c>
      <c r="AF24" s="967"/>
      <c r="AG24" s="893" t="s">
        <v>7227</v>
      </c>
      <c r="AH24" s="910" t="s">
        <v>7228</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7229</v>
      </c>
      <c r="AZ24" s="831"/>
      <c r="BA24" s="926"/>
      <c r="BB24" s="926"/>
      <c r="BC24" s="942" t="s">
        <v>4145</v>
      </c>
      <c r="BD24" s="926"/>
      <c r="BE24" s="968" t="s">
        <v>7230</v>
      </c>
      <c r="BF24" s="831"/>
      <c r="BG24" s="877"/>
      <c r="BH24" s="877"/>
      <c r="BI24" s="877"/>
      <c r="BJ24" s="877"/>
      <c r="BK24" s="877"/>
      <c r="BL24" s="944" t="str">
        <f>HYPERLINK("https://youtu.be/ZWHJWoriERw","3:48.70")</f>
        <v>3:48.70</v>
      </c>
      <c r="BM24" s="874" t="s">
        <v>7231</v>
      </c>
      <c r="BN24" s="815"/>
      <c r="BO24" s="929" t="s">
        <v>231</v>
      </c>
      <c r="BP24" s="929"/>
      <c r="BQ24" s="879"/>
      <c r="BR24" s="879"/>
      <c r="BS24" s="879"/>
      <c r="BT24" s="881" t="str">
        <f>HYPERLINK("https://youtu.be/-5bLlrzaDDc","27.91")</f>
        <v>27.91</v>
      </c>
      <c r="BU24" s="929" t="s">
        <v>7142</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7232</v>
      </c>
      <c r="B25" s="809" t="s">
        <v>7233</v>
      </c>
      <c r="C25" s="805" t="s">
        <v>1260</v>
      </c>
      <c r="D25" s="806" t="s">
        <v>1260</v>
      </c>
      <c r="E25" s="807" t="s">
        <v>1260</v>
      </c>
      <c r="F25" s="808" t="s">
        <v>438</v>
      </c>
      <c r="G25" s="809" t="s">
        <v>3974</v>
      </c>
      <c r="H25" s="853"/>
      <c r="I25" s="853"/>
      <c r="J25" s="853"/>
      <c r="K25" s="853"/>
      <c r="L25" s="854" t="s">
        <v>746</v>
      </c>
      <c r="M25" s="853"/>
      <c r="N25" s="854" t="s">
        <v>7234</v>
      </c>
      <c r="O25" s="854"/>
      <c r="P25" s="815"/>
      <c r="Q25" s="858"/>
      <c r="R25" s="858"/>
      <c r="S25" s="858"/>
      <c r="T25" s="858"/>
      <c r="U25" s="858"/>
      <c r="V25" s="935" t="s">
        <v>7235</v>
      </c>
      <c r="W25" s="815"/>
      <c r="X25" s="862" t="s">
        <v>2167</v>
      </c>
      <c r="Y25" s="893" t="s">
        <v>7236</v>
      </c>
      <c r="Z25" s="925"/>
      <c r="AA25" s="982" t="s">
        <v>7237</v>
      </c>
      <c r="AB25" s="925"/>
      <c r="AC25" s="823" t="s">
        <v>4788</v>
      </c>
      <c r="AD25" s="862" t="s">
        <v>1336</v>
      </c>
      <c r="AE25" s="862" t="s">
        <v>7238</v>
      </c>
      <c r="AF25" s="862"/>
      <c r="AG25" s="893" t="s">
        <v>7239</v>
      </c>
      <c r="AH25" s="825"/>
      <c r="AI25" s="815"/>
      <c r="AJ25" s="866"/>
      <c r="AK25" s="866"/>
      <c r="AL25" s="866"/>
      <c r="AM25" s="865" t="s">
        <v>4966</v>
      </c>
      <c r="AN25" s="866"/>
      <c r="AO25" s="866"/>
      <c r="AP25" s="866"/>
      <c r="AQ25" s="866"/>
      <c r="AR25" s="866"/>
      <c r="AS25" s="866"/>
      <c r="AT25" s="866"/>
      <c r="AU25" s="866"/>
      <c r="AV25" s="866"/>
      <c r="AW25" s="866"/>
      <c r="AX25" s="866"/>
      <c r="AY25" s="941" t="s">
        <v>7240</v>
      </c>
      <c r="AZ25" s="831"/>
      <c r="BA25" s="926"/>
      <c r="BB25" s="926"/>
      <c r="BC25" s="926"/>
      <c r="BD25" s="926"/>
      <c r="BE25" s="900" t="s">
        <v>7241</v>
      </c>
      <c r="BF25" s="831"/>
      <c r="BG25" s="877"/>
      <c r="BH25" s="877"/>
      <c r="BI25" s="877"/>
      <c r="BJ25" s="877"/>
      <c r="BK25" s="877"/>
      <c r="BL25" s="875" t="s">
        <v>7242</v>
      </c>
      <c r="BM25" s="877"/>
      <c r="BN25" s="815"/>
      <c r="BO25" s="880" t="s">
        <v>4945</v>
      </c>
      <c r="BP25" s="929"/>
      <c r="BQ25" s="879"/>
      <c r="BR25" s="880" t="s">
        <v>7243</v>
      </c>
      <c r="BS25" s="881" t="s">
        <v>7033</v>
      </c>
      <c r="BT25" s="880" t="s">
        <v>1320</v>
      </c>
      <c r="BU25" s="879"/>
      <c r="BV25" s="930" t="s">
        <v>7244</v>
      </c>
      <c r="BW25" s="880" t="s">
        <v>7245</v>
      </c>
      <c r="BX25" s="815"/>
      <c r="BY25" s="885"/>
      <c r="BZ25" s="885"/>
      <c r="CA25" s="885"/>
      <c r="CB25" s="905"/>
      <c r="CC25" s="885"/>
      <c r="CD25" s="885"/>
      <c r="CE25" s="884" t="s">
        <v>7246</v>
      </c>
      <c r="CF25" s="946" t="s">
        <v>7247</v>
      </c>
      <c r="CG25" s="885"/>
      <c r="CH25" s="885"/>
      <c r="CI25" s="885"/>
      <c r="CJ25" s="905"/>
      <c r="CK25" s="905"/>
    </row>
    <row r="26">
      <c r="A26" s="983" t="s">
        <v>899</v>
      </c>
      <c r="B26" s="809" t="s">
        <v>7248</v>
      </c>
      <c r="C26" s="805" t="s">
        <v>1260</v>
      </c>
      <c r="D26" s="806" t="s">
        <v>1260</v>
      </c>
      <c r="E26" s="807" t="s">
        <v>1260</v>
      </c>
      <c r="F26" s="808" t="s">
        <v>3873</v>
      </c>
      <c r="G26" s="809" t="s">
        <v>3974</v>
      </c>
      <c r="H26" s="855" t="s">
        <v>2617</v>
      </c>
      <c r="I26" s="855" t="s">
        <v>7249</v>
      </c>
      <c r="J26" s="984"/>
      <c r="K26" s="855" t="s">
        <v>3314</v>
      </c>
      <c r="L26" s="854"/>
      <c r="M26" s="853"/>
      <c r="N26" s="853"/>
      <c r="O26" s="933" t="s">
        <v>7250</v>
      </c>
      <c r="P26" s="815"/>
      <c r="Q26" s="935" t="s">
        <v>7251</v>
      </c>
      <c r="R26" s="858"/>
      <c r="S26" s="858"/>
      <c r="T26" s="935" t="s">
        <v>5207</v>
      </c>
      <c r="U26" s="857"/>
      <c r="V26" s="935" t="s">
        <v>7252</v>
      </c>
      <c r="W26" s="815"/>
      <c r="X26" s="893" t="s">
        <v>2146</v>
      </c>
      <c r="Y26" s="925"/>
      <c r="Z26" s="893" t="s">
        <v>1907</v>
      </c>
      <c r="AA26" s="967"/>
      <c r="AB26" s="893" t="s">
        <v>5397</v>
      </c>
      <c r="AC26" s="925"/>
      <c r="AD26" s="925"/>
      <c r="AE26" s="893" t="s">
        <v>4436</v>
      </c>
      <c r="AF26" s="862"/>
      <c r="AG26" s="893" t="s">
        <v>7253</v>
      </c>
      <c r="AH26" s="825"/>
      <c r="AI26" s="815"/>
      <c r="AJ26" s="866"/>
      <c r="AK26" s="866"/>
      <c r="AL26" s="866"/>
      <c r="AM26" s="866"/>
      <c r="AN26" s="866"/>
      <c r="AO26" s="941" t="s">
        <v>1847</v>
      </c>
      <c r="AP26" s="866"/>
      <c r="AQ26" s="870" t="s">
        <v>3213</v>
      </c>
      <c r="AR26" s="866"/>
      <c r="AS26" s="866"/>
      <c r="AT26" s="866"/>
      <c r="AU26" s="866"/>
      <c r="AV26" s="866"/>
      <c r="AW26" s="870" t="s">
        <v>723</v>
      </c>
      <c r="AX26" s="866"/>
      <c r="AY26" s="866"/>
      <c r="AZ26" s="831"/>
      <c r="BA26" s="926"/>
      <c r="BB26" s="926"/>
      <c r="BC26" s="926"/>
      <c r="BD26" s="926"/>
      <c r="BE26" s="968" t="s">
        <v>7254</v>
      </c>
      <c r="BF26" s="831"/>
      <c r="BG26" s="956" t="s">
        <v>2632</v>
      </c>
      <c r="BH26" s="877"/>
      <c r="BI26" s="877"/>
      <c r="BJ26" s="877"/>
      <c r="BK26" s="877"/>
      <c r="BL26" s="877"/>
      <c r="BM26" s="956" t="s">
        <v>7255</v>
      </c>
      <c r="BN26" s="815"/>
      <c r="BO26" s="930" t="s">
        <v>614</v>
      </c>
      <c r="BP26" s="929"/>
      <c r="BQ26" s="879"/>
      <c r="BR26" s="879"/>
      <c r="BS26" s="879"/>
      <c r="BT26" s="879"/>
      <c r="BU26" s="879"/>
      <c r="BV26" s="930" t="s">
        <v>7256</v>
      </c>
      <c r="BW26" s="879"/>
      <c r="BX26" s="815"/>
      <c r="BY26" s="904" t="s">
        <v>7257</v>
      </c>
      <c r="BZ26" s="885"/>
      <c r="CA26" s="885"/>
      <c r="CB26" s="905"/>
      <c r="CC26" s="885"/>
      <c r="CD26" s="885"/>
      <c r="CE26" s="904" t="s">
        <v>7151</v>
      </c>
      <c r="CF26" s="884" t="s">
        <v>7258</v>
      </c>
      <c r="CG26" s="885"/>
      <c r="CH26" s="885"/>
      <c r="CI26" s="885"/>
      <c r="CJ26" s="905"/>
      <c r="CK26" s="905"/>
    </row>
    <row r="27">
      <c r="A27" s="852" t="s">
        <v>7259</v>
      </c>
      <c r="B27" s="809" t="s">
        <v>7260</v>
      </c>
      <c r="C27" s="805" t="s">
        <v>547</v>
      </c>
      <c r="D27" s="806" t="s">
        <v>1260</v>
      </c>
      <c r="E27" s="807" t="s">
        <v>547</v>
      </c>
      <c r="F27" s="808" t="s">
        <v>332</v>
      </c>
      <c r="G27" s="809" t="s">
        <v>2937</v>
      </c>
      <c r="H27" s="854" t="s">
        <v>4044</v>
      </c>
      <c r="I27" s="854"/>
      <c r="J27" s="854"/>
      <c r="K27" s="853"/>
      <c r="L27" s="854" t="s">
        <v>7261</v>
      </c>
      <c r="M27" s="853"/>
      <c r="N27" s="854" t="s">
        <v>7262</v>
      </c>
      <c r="O27" s="853"/>
      <c r="P27" s="815"/>
      <c r="Q27" s="857" t="s">
        <v>7263</v>
      </c>
      <c r="R27" s="858"/>
      <c r="S27" s="858"/>
      <c r="T27" s="858"/>
      <c r="U27" s="935" t="s">
        <v>7264</v>
      </c>
      <c r="V27" s="857" t="s">
        <v>7265</v>
      </c>
      <c r="W27" s="815"/>
      <c r="X27" s="862"/>
      <c r="Y27" s="862"/>
      <c r="Z27" s="862" t="s">
        <v>7266</v>
      </c>
      <c r="AA27" s="975" t="s">
        <v>4621</v>
      </c>
      <c r="AB27" s="862" t="s">
        <v>1187</v>
      </c>
      <c r="AC27" s="925"/>
      <c r="AD27" s="925"/>
      <c r="AE27" s="862" t="s">
        <v>7267</v>
      </c>
      <c r="AF27" s="862"/>
      <c r="AG27" s="894" t="s">
        <v>7268</v>
      </c>
      <c r="AH27" s="963" t="s">
        <v>7269</v>
      </c>
      <c r="AI27" s="815"/>
      <c r="AJ27" s="911"/>
      <c r="AK27" s="867" t="s">
        <v>7270</v>
      </c>
      <c r="AL27" s="866"/>
      <c r="AM27" s="866"/>
      <c r="AN27" s="866"/>
      <c r="AO27" s="866"/>
      <c r="AP27" s="866"/>
      <c r="AQ27" s="866"/>
      <c r="AR27" s="941" t="s">
        <v>7271</v>
      </c>
      <c r="AS27" s="865" t="s">
        <v>7272</v>
      </c>
      <c r="AT27" s="866"/>
      <c r="AU27" s="866"/>
      <c r="AV27" s="941" t="s">
        <v>6474</v>
      </c>
      <c r="AW27" s="865" t="s">
        <v>138</v>
      </c>
      <c r="AX27" s="866"/>
      <c r="AY27" s="865" t="s">
        <v>7273</v>
      </c>
      <c r="AZ27" s="831"/>
      <c r="BA27" s="926"/>
      <c r="BB27" s="926"/>
      <c r="BC27" s="926"/>
      <c r="BD27" s="926"/>
      <c r="BE27" s="900" t="s">
        <v>7274</v>
      </c>
      <c r="BF27" s="831"/>
      <c r="BG27" s="877"/>
      <c r="BH27" s="877"/>
      <c r="BI27" s="877"/>
      <c r="BJ27" s="875"/>
      <c r="BK27" s="877"/>
      <c r="BL27" s="955" t="s">
        <v>7275</v>
      </c>
      <c r="BM27" s="874" t="s">
        <v>7276</v>
      </c>
      <c r="BN27" s="815"/>
      <c r="BO27" s="880" t="s">
        <v>4061</v>
      </c>
      <c r="BP27" s="929"/>
      <c r="BQ27" s="879"/>
      <c r="BR27" s="880" t="s">
        <v>7277</v>
      </c>
      <c r="BS27" s="879"/>
      <c r="BT27" s="930" t="s">
        <v>972</v>
      </c>
      <c r="BU27" s="879"/>
      <c r="BV27" s="880" t="s">
        <v>7278</v>
      </c>
      <c r="BW27" s="880" t="s">
        <v>7279</v>
      </c>
      <c r="BX27" s="815"/>
      <c r="BY27" s="885"/>
      <c r="BZ27" s="885"/>
      <c r="CA27" s="885"/>
      <c r="CB27" s="905"/>
      <c r="CC27" s="885"/>
      <c r="CD27" s="885"/>
      <c r="CE27" s="904" t="s">
        <v>7280</v>
      </c>
      <c r="CF27" s="885"/>
      <c r="CG27" s="885"/>
      <c r="CH27" s="885"/>
      <c r="CI27" s="885"/>
      <c r="CJ27" s="905"/>
      <c r="CK27" s="905"/>
    </row>
    <row r="28">
      <c r="A28" s="983" t="s">
        <v>7281</v>
      </c>
      <c r="B28" s="809" t="s">
        <v>7282</v>
      </c>
      <c r="C28" s="805" t="s">
        <v>1260</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7283</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7284</v>
      </c>
      <c r="BF28" s="831"/>
      <c r="BG28" s="877"/>
      <c r="BH28" s="877"/>
      <c r="BI28" s="877"/>
      <c r="BJ28" s="877"/>
      <c r="BK28" s="877"/>
      <c r="BL28" s="877"/>
      <c r="BM28" s="876" t="s">
        <v>7285</v>
      </c>
      <c r="BN28" s="826"/>
      <c r="BO28" s="981" t="str">
        <f>HYPERLINK("https://youtu.be/oOY4TocVyJU","1:05.01")</f>
        <v>1:05.01</v>
      </c>
      <c r="BP28" s="929"/>
      <c r="BQ28" s="879"/>
      <c r="BR28" s="880"/>
      <c r="BS28" s="880"/>
      <c r="BT28" s="879"/>
      <c r="BU28" s="879"/>
      <c r="BV28" s="879"/>
      <c r="BW28" s="903" t="s">
        <v>7286</v>
      </c>
      <c r="BX28" s="826"/>
      <c r="BY28" s="885"/>
      <c r="BZ28" s="885"/>
      <c r="CA28" s="921"/>
      <c r="CB28" s="988"/>
      <c r="CC28" s="921"/>
      <c r="CD28" s="885"/>
      <c r="CE28" s="885"/>
      <c r="CF28" s="885"/>
      <c r="CG28" s="885"/>
      <c r="CH28" s="885"/>
      <c r="CI28" s="885"/>
      <c r="CJ28" s="905"/>
      <c r="CK28" s="905"/>
    </row>
    <row r="29">
      <c r="A29" s="989" t="s">
        <v>7287</v>
      </c>
      <c r="B29" s="809" t="s">
        <v>7288</v>
      </c>
      <c r="C29" s="805" t="s">
        <v>1260</v>
      </c>
      <c r="D29" s="806" t="s">
        <v>1260</v>
      </c>
      <c r="E29" s="807" t="s">
        <v>1260</v>
      </c>
      <c r="F29" s="808" t="s">
        <v>439</v>
      </c>
      <c r="G29" s="809" t="s">
        <v>4117</v>
      </c>
      <c r="H29" s="949" t="s">
        <v>4250</v>
      </c>
      <c r="I29" s="854" t="s">
        <v>7289</v>
      </c>
      <c r="J29" s="854"/>
      <c r="K29" s="854"/>
      <c r="L29" s="933" t="s">
        <v>7290</v>
      </c>
      <c r="M29" s="853"/>
      <c r="N29" s="855" t="s">
        <v>7291</v>
      </c>
      <c r="O29" s="853"/>
      <c r="P29" s="815"/>
      <c r="Q29" s="858"/>
      <c r="R29" s="858"/>
      <c r="S29" s="858"/>
      <c r="T29" s="858"/>
      <c r="U29" s="857" t="s">
        <v>416</v>
      </c>
      <c r="V29" s="861" t="s">
        <v>7292</v>
      </c>
      <c r="W29" s="815"/>
      <c r="X29" s="893" t="s">
        <v>4941</v>
      </c>
      <c r="Y29" s="862" t="s">
        <v>6194</v>
      </c>
      <c r="Z29" s="893" t="s">
        <v>6109</v>
      </c>
      <c r="AA29" s="961" t="s">
        <v>4621</v>
      </c>
      <c r="AB29" s="893" t="s">
        <v>2511</v>
      </c>
      <c r="AC29" s="823" t="s">
        <v>7293</v>
      </c>
      <c r="AD29" s="925"/>
      <c r="AE29" s="823" t="str">
        <f>HYPERLINK("https://twitter.com/Qbe_Root/status/1242884733232648192","56.04")</f>
        <v>56.04</v>
      </c>
      <c r="AF29" s="894"/>
      <c r="AG29" s="823" t="s">
        <v>7294</v>
      </c>
      <c r="AH29" s="825"/>
      <c r="AI29" s="815"/>
      <c r="AJ29" s="865"/>
      <c r="AK29" s="865" t="s">
        <v>7295</v>
      </c>
      <c r="AL29" s="865" t="s">
        <v>7296</v>
      </c>
      <c r="AM29" s="865" t="s">
        <v>7297</v>
      </c>
      <c r="AN29" s="865"/>
      <c r="AO29" s="866"/>
      <c r="AP29" s="113" t="s">
        <v>7298</v>
      </c>
      <c r="AQ29" s="866"/>
      <c r="AR29" s="866"/>
      <c r="AS29" s="866"/>
      <c r="AT29" s="866"/>
      <c r="AU29" s="866"/>
      <c r="AV29" s="866"/>
      <c r="AW29" s="865" t="s">
        <v>1617</v>
      </c>
      <c r="AX29" s="865" t="s">
        <v>7299</v>
      </c>
      <c r="AY29" s="866"/>
      <c r="AZ29" s="831"/>
      <c r="BA29" s="926"/>
      <c r="BB29" s="926"/>
      <c r="BC29" s="926"/>
      <c r="BD29" s="926"/>
      <c r="BE29" s="968" t="s">
        <v>7300</v>
      </c>
      <c r="BF29" s="831"/>
      <c r="BG29" s="875" t="s">
        <v>1467</v>
      </c>
      <c r="BH29" s="877"/>
      <c r="BI29" s="877"/>
      <c r="BJ29" s="877"/>
      <c r="BK29" s="875" t="s">
        <v>7301</v>
      </c>
      <c r="BL29" s="877"/>
      <c r="BM29" s="875" t="s">
        <v>7302</v>
      </c>
      <c r="BN29" s="815"/>
      <c r="BO29" s="880" t="s">
        <v>7303</v>
      </c>
      <c r="BP29" s="929"/>
      <c r="BQ29" s="879"/>
      <c r="BR29" s="879"/>
      <c r="BS29" s="879"/>
      <c r="BT29" s="930" t="s">
        <v>1473</v>
      </c>
      <c r="BU29" s="879"/>
      <c r="BV29" s="990" t="str">
        <f>HYPERLINK("https://twitter.com/Qbe_Root/status/1400138849058275330", "1:53.21")</f>
        <v>1:53.21</v>
      </c>
      <c r="BW29" s="880" t="s">
        <v>2639</v>
      </c>
      <c r="BX29" s="815"/>
      <c r="BY29" s="885"/>
      <c r="BZ29" s="885"/>
      <c r="CA29" s="885"/>
      <c r="CB29" s="905"/>
      <c r="CC29" s="885"/>
      <c r="CD29" s="946" t="s">
        <v>1821</v>
      </c>
      <c r="CE29" s="885"/>
      <c r="CF29" s="885"/>
      <c r="CG29" s="885"/>
      <c r="CH29" s="885"/>
      <c r="CI29" s="885"/>
      <c r="CJ29" s="905"/>
      <c r="CK29" s="905"/>
    </row>
    <row r="30">
      <c r="A30" s="852" t="s">
        <v>4054</v>
      </c>
      <c r="B30" s="809" t="s">
        <v>7304</v>
      </c>
      <c r="C30" s="805" t="s">
        <v>1260</v>
      </c>
      <c r="D30" s="806" t="s">
        <v>1260</v>
      </c>
      <c r="E30" s="807" t="s">
        <v>1260</v>
      </c>
      <c r="F30" s="808" t="s">
        <v>438</v>
      </c>
      <c r="G30" s="809" t="s">
        <v>2994</v>
      </c>
      <c r="H30" s="854" t="s">
        <v>2311</v>
      </c>
      <c r="I30" s="853"/>
      <c r="J30" s="853"/>
      <c r="K30" s="853"/>
      <c r="L30" s="854" t="s">
        <v>6524</v>
      </c>
      <c r="M30" s="853"/>
      <c r="N30" s="854" t="s">
        <v>7305</v>
      </c>
      <c r="O30" s="853"/>
      <c r="P30" s="815"/>
      <c r="Q30" s="857" t="s">
        <v>7306</v>
      </c>
      <c r="R30" s="858"/>
      <c r="S30" s="858"/>
      <c r="T30" s="858"/>
      <c r="U30" s="935" t="s">
        <v>6907</v>
      </c>
      <c r="V30" s="857" t="s">
        <v>7307</v>
      </c>
      <c r="W30" s="815"/>
      <c r="X30" s="925"/>
      <c r="Y30" s="925"/>
      <c r="Z30" s="862" t="s">
        <v>7308</v>
      </c>
      <c r="AA30" s="967"/>
      <c r="AB30" s="862" t="s">
        <v>4878</v>
      </c>
      <c r="AC30" s="862" t="s">
        <v>309</v>
      </c>
      <c r="AD30" s="925"/>
      <c r="AE30" s="862" t="s">
        <v>3279</v>
      </c>
      <c r="AF30" s="862"/>
      <c r="AG30" s="823" t="s">
        <v>7309</v>
      </c>
      <c r="AH30" s="977" t="s">
        <v>7310</v>
      </c>
      <c r="AI30" s="815"/>
      <c r="AJ30" s="865"/>
      <c r="AK30" s="865" t="s">
        <v>7311</v>
      </c>
      <c r="AL30" s="865" t="s">
        <v>7312</v>
      </c>
      <c r="AM30" s="865" t="s">
        <v>3999</v>
      </c>
      <c r="AN30" s="865"/>
      <c r="AO30" s="866"/>
      <c r="AP30" s="866"/>
      <c r="AQ30" s="866"/>
      <c r="AR30" s="865" t="s">
        <v>7313</v>
      </c>
      <c r="AS30" s="865" t="s">
        <v>7314</v>
      </c>
      <c r="AT30" s="865"/>
      <c r="AU30" s="865" t="s">
        <v>7315</v>
      </c>
      <c r="AV30" s="865"/>
      <c r="AW30" s="865" t="s">
        <v>193</v>
      </c>
      <c r="AX30" s="866"/>
      <c r="AY30" s="865" t="s">
        <v>7316</v>
      </c>
      <c r="AZ30" s="831"/>
      <c r="BA30" s="900"/>
      <c r="BB30" s="900" t="s">
        <v>7317</v>
      </c>
      <c r="BC30" s="968" t="s">
        <v>4514</v>
      </c>
      <c r="BD30" s="900"/>
      <c r="BE30" s="968" t="s">
        <v>7318</v>
      </c>
      <c r="BF30" s="831"/>
      <c r="BG30" s="875" t="s">
        <v>7319</v>
      </c>
      <c r="BH30" s="877"/>
      <c r="BI30" s="877"/>
      <c r="BJ30" s="877"/>
      <c r="BK30" s="877"/>
      <c r="BL30" s="875" t="s">
        <v>7320</v>
      </c>
      <c r="BM30" s="875" t="s">
        <v>7321</v>
      </c>
      <c r="BN30" s="815"/>
      <c r="BO30" s="880" t="s">
        <v>3404</v>
      </c>
      <c r="BP30" s="929"/>
      <c r="BQ30" s="879"/>
      <c r="BR30" s="880" t="s">
        <v>7322</v>
      </c>
      <c r="BS30" s="930" t="s">
        <v>7323</v>
      </c>
      <c r="BT30" s="879"/>
      <c r="BU30" s="879"/>
      <c r="BV30" s="880" t="s">
        <v>7324</v>
      </c>
      <c r="BW30" s="880" t="s">
        <v>4525</v>
      </c>
      <c r="BX30" s="815"/>
      <c r="BY30" s="885"/>
      <c r="BZ30" s="885"/>
      <c r="CA30" s="885"/>
      <c r="CB30" s="905"/>
      <c r="CC30" s="885"/>
      <c r="CD30" s="885"/>
      <c r="CE30" s="885"/>
      <c r="CF30" s="884" t="s">
        <v>7325</v>
      </c>
      <c r="CG30" s="885"/>
      <c r="CH30" s="885"/>
      <c r="CI30" s="904" t="s">
        <v>7326</v>
      </c>
      <c r="CJ30" s="905"/>
      <c r="CK30" s="905"/>
    </row>
    <row r="31">
      <c r="A31" s="852" t="s">
        <v>6621</v>
      </c>
      <c r="B31" s="809" t="s">
        <v>7327</v>
      </c>
      <c r="C31" s="805" t="s">
        <v>547</v>
      </c>
      <c r="D31" s="806" t="s">
        <v>1260</v>
      </c>
      <c r="E31" s="807" t="s">
        <v>1260</v>
      </c>
      <c r="F31" s="808" t="s">
        <v>547</v>
      </c>
      <c r="G31" s="809" t="s">
        <v>6286</v>
      </c>
      <c r="H31" s="853"/>
      <c r="I31" s="853"/>
      <c r="J31" s="853"/>
      <c r="K31" s="853"/>
      <c r="L31" s="854" t="s">
        <v>7328</v>
      </c>
      <c r="M31" s="853"/>
      <c r="N31" s="854" t="s">
        <v>7329</v>
      </c>
      <c r="O31" s="853"/>
      <c r="P31" s="815"/>
      <c r="Q31" s="857" t="s">
        <v>7330</v>
      </c>
      <c r="R31" s="858"/>
      <c r="S31" s="857" t="s">
        <v>7331</v>
      </c>
      <c r="T31" s="858"/>
      <c r="U31" s="858"/>
      <c r="V31" s="857" t="s">
        <v>7332</v>
      </c>
      <c r="W31" s="815"/>
      <c r="X31" s="925"/>
      <c r="Y31" s="925"/>
      <c r="Z31" s="925"/>
      <c r="AA31" s="967"/>
      <c r="AB31" s="925"/>
      <c r="AC31" s="925"/>
      <c r="AD31" s="862" t="s">
        <v>204</v>
      </c>
      <c r="AE31" s="862" t="s">
        <v>1296</v>
      </c>
      <c r="AF31" s="925"/>
      <c r="AG31" s="862" t="s">
        <v>7333</v>
      </c>
      <c r="AH31" s="825"/>
      <c r="AI31" s="815"/>
      <c r="AJ31" s="866"/>
      <c r="AK31" s="866"/>
      <c r="AL31" s="866"/>
      <c r="AM31" s="865" t="s">
        <v>7334</v>
      </c>
      <c r="AN31" s="866"/>
      <c r="AO31" s="866"/>
      <c r="AP31" s="865" t="s">
        <v>7335</v>
      </c>
      <c r="AQ31" s="866"/>
      <c r="AR31" s="865" t="s">
        <v>7336</v>
      </c>
      <c r="AS31" s="865" t="s">
        <v>7337</v>
      </c>
      <c r="AT31" s="941" t="s">
        <v>7338</v>
      </c>
      <c r="AU31" s="865" t="s">
        <v>7339</v>
      </c>
      <c r="AV31" s="866"/>
      <c r="AW31" s="865" t="s">
        <v>415</v>
      </c>
      <c r="AX31" s="866"/>
      <c r="AY31" s="865" t="s">
        <v>7340</v>
      </c>
      <c r="AZ31" s="831"/>
      <c r="BA31" s="900" t="s">
        <v>7341</v>
      </c>
      <c r="BB31" s="900" t="s">
        <v>7342</v>
      </c>
      <c r="BC31" s="900" t="s">
        <v>5301</v>
      </c>
      <c r="BD31" s="926"/>
      <c r="BE31" s="900" t="s">
        <v>7343</v>
      </c>
      <c r="BF31" s="831"/>
      <c r="BG31" s="875" t="s">
        <v>6942</v>
      </c>
      <c r="BH31" s="875" t="s">
        <v>5889</v>
      </c>
      <c r="BI31" s="875" t="s">
        <v>3955</v>
      </c>
      <c r="BJ31" s="956" t="s">
        <v>6449</v>
      </c>
      <c r="BK31" s="877"/>
      <c r="BL31" s="875" t="s">
        <v>7344</v>
      </c>
      <c r="BM31" s="877"/>
      <c r="BN31" s="815"/>
      <c r="BO31" s="880" t="s">
        <v>7345</v>
      </c>
      <c r="BP31" s="929"/>
      <c r="BQ31" s="879"/>
      <c r="BR31" s="880" t="s">
        <v>1335</v>
      </c>
      <c r="BS31" s="879"/>
      <c r="BT31" s="880" t="s">
        <v>1290</v>
      </c>
      <c r="BU31" s="879"/>
      <c r="BV31" s="879"/>
      <c r="BW31" s="879"/>
      <c r="BX31" s="815"/>
      <c r="BY31" s="884" t="s">
        <v>4448</v>
      </c>
      <c r="BZ31" s="885"/>
      <c r="CA31" s="885"/>
      <c r="CB31" s="905"/>
      <c r="CC31" s="931" t="s">
        <v>7346</v>
      </c>
      <c r="CD31" s="885"/>
      <c r="CE31" s="885"/>
      <c r="CF31" s="884" t="s">
        <v>6807</v>
      </c>
      <c r="CG31" s="885"/>
      <c r="CH31" s="885"/>
      <c r="CI31" s="885"/>
      <c r="CJ31" s="905"/>
      <c r="CK31" s="905"/>
    </row>
    <row r="32">
      <c r="A32" s="852" t="s">
        <v>2935</v>
      </c>
      <c r="B32" s="809" t="s">
        <v>7347</v>
      </c>
      <c r="C32" s="805" t="s">
        <v>547</v>
      </c>
      <c r="D32" s="806" t="s">
        <v>1260</v>
      </c>
      <c r="E32" s="807" t="s">
        <v>438</v>
      </c>
      <c r="F32" s="808" t="s">
        <v>332</v>
      </c>
      <c r="G32" s="809" t="s">
        <v>333</v>
      </c>
      <c r="H32" s="854"/>
      <c r="I32" s="853"/>
      <c r="J32" s="853"/>
      <c r="K32" s="853"/>
      <c r="L32" s="853"/>
      <c r="M32" s="853"/>
      <c r="N32" s="853"/>
      <c r="O32" s="853"/>
      <c r="P32" s="815"/>
      <c r="Q32" s="858"/>
      <c r="R32" s="858"/>
      <c r="S32" s="858"/>
      <c r="T32" s="857" t="s">
        <v>2011</v>
      </c>
      <c r="U32" s="861" t="s">
        <v>7348</v>
      </c>
      <c r="V32" s="857" t="s">
        <v>7349</v>
      </c>
      <c r="W32" s="815"/>
      <c r="X32" s="925"/>
      <c r="Y32" s="925"/>
      <c r="Z32" s="925"/>
      <c r="AA32" s="967"/>
      <c r="AB32" s="862"/>
      <c r="AC32" s="822" t="s">
        <v>7350</v>
      </c>
      <c r="AD32" s="862" t="s">
        <v>7351</v>
      </c>
      <c r="AE32" s="862" t="s">
        <v>4584</v>
      </c>
      <c r="AF32" s="862"/>
      <c r="AG32" s="925"/>
      <c r="AH32" s="825"/>
      <c r="AI32" s="815"/>
      <c r="AJ32" s="866"/>
      <c r="AK32" s="866"/>
      <c r="AL32" s="866"/>
      <c r="AM32" s="866"/>
      <c r="AN32" s="866"/>
      <c r="AO32" s="866"/>
      <c r="AP32" s="897" t="s">
        <v>7352</v>
      </c>
      <c r="AQ32" s="866"/>
      <c r="AR32" s="866"/>
      <c r="AS32" s="866"/>
      <c r="AT32" s="866"/>
      <c r="AU32" s="866"/>
      <c r="AV32" s="866"/>
      <c r="AW32" s="865" t="s">
        <v>1788</v>
      </c>
      <c r="AX32" s="866"/>
      <c r="AY32" s="866"/>
      <c r="AZ32" s="831"/>
      <c r="BA32" s="926"/>
      <c r="BB32" s="926"/>
      <c r="BC32" s="912" t="s">
        <v>5701</v>
      </c>
      <c r="BD32" s="871"/>
      <c r="BE32" s="900" t="s">
        <v>7353</v>
      </c>
      <c r="BF32" s="831"/>
      <c r="BG32" s="877"/>
      <c r="BH32" s="877"/>
      <c r="BI32" s="877"/>
      <c r="BJ32" s="877"/>
      <c r="BK32" s="877"/>
      <c r="BL32" s="877"/>
      <c r="BM32" s="877"/>
      <c r="BN32" s="815"/>
      <c r="BO32" s="880" t="s">
        <v>7354</v>
      </c>
      <c r="BP32" s="929"/>
      <c r="BQ32" s="879"/>
      <c r="BR32" s="879"/>
      <c r="BS32" s="879"/>
      <c r="BT32" s="879"/>
      <c r="BU32" s="879"/>
      <c r="BV32" s="880" t="s">
        <v>7355</v>
      </c>
      <c r="BW32" s="879"/>
      <c r="BX32" s="815"/>
      <c r="BY32" s="885"/>
      <c r="BZ32" s="885"/>
      <c r="CA32" s="885"/>
      <c r="CB32" s="905"/>
      <c r="CC32" s="885"/>
      <c r="CD32" s="885"/>
      <c r="CE32" s="885"/>
      <c r="CF32" s="885"/>
      <c r="CG32" s="885"/>
      <c r="CH32" s="885"/>
      <c r="CI32" s="885"/>
      <c r="CJ32" s="905"/>
      <c r="CK32" s="905"/>
    </row>
    <row r="33">
      <c r="A33" s="852" t="s">
        <v>7356</v>
      </c>
      <c r="B33" s="809" t="s">
        <v>744</v>
      </c>
      <c r="C33" s="805" t="s">
        <v>1260</v>
      </c>
      <c r="D33" s="806" t="s">
        <v>1260</v>
      </c>
      <c r="E33" s="807" t="s">
        <v>1260</v>
      </c>
      <c r="F33" s="808" t="s">
        <v>1260</v>
      </c>
      <c r="G33" s="809" t="s">
        <v>221</v>
      </c>
      <c r="H33" s="853"/>
      <c r="I33" s="853"/>
      <c r="J33" s="854" t="s">
        <v>7357</v>
      </c>
      <c r="K33" s="853"/>
      <c r="L33" s="853"/>
      <c r="M33" s="853"/>
      <c r="N33" s="853"/>
      <c r="O33" s="854" t="s">
        <v>7358</v>
      </c>
      <c r="P33" s="815"/>
      <c r="Q33" s="858"/>
      <c r="R33" s="858"/>
      <c r="S33" s="858"/>
      <c r="T33" s="858"/>
      <c r="U33" s="858"/>
      <c r="V33" s="857" t="s">
        <v>7359</v>
      </c>
      <c r="W33" s="815"/>
      <c r="X33" s="925"/>
      <c r="Y33" s="925"/>
      <c r="Z33" s="925"/>
      <c r="AA33" s="967"/>
      <c r="AB33" s="925"/>
      <c r="AC33" s="925"/>
      <c r="AD33" s="925"/>
      <c r="AE33" s="862" t="s">
        <v>2301</v>
      </c>
      <c r="AF33" s="862"/>
      <c r="AG33" s="862" t="s">
        <v>7360</v>
      </c>
      <c r="AH33" s="825"/>
      <c r="AI33" s="815"/>
      <c r="AJ33" s="866"/>
      <c r="AK33" s="866"/>
      <c r="AL33" s="866"/>
      <c r="AM33" s="866"/>
      <c r="AN33" s="866"/>
      <c r="AO33" s="866"/>
      <c r="AP33" s="865" t="s">
        <v>7361</v>
      </c>
      <c r="AQ33" s="866"/>
      <c r="AR33" s="866"/>
      <c r="AS33" s="866"/>
      <c r="AT33" s="866"/>
      <c r="AU33" s="866"/>
      <c r="AV33" s="866"/>
      <c r="AW33" s="866"/>
      <c r="AX33" s="866"/>
      <c r="AY33" s="866"/>
      <c r="AZ33" s="831"/>
      <c r="BA33" s="900" t="s">
        <v>7362</v>
      </c>
      <c r="BB33" s="926"/>
      <c r="BC33" s="900"/>
      <c r="BD33" s="900"/>
      <c r="BE33" s="900" t="s">
        <v>7363</v>
      </c>
      <c r="BF33" s="831"/>
      <c r="BG33" s="877"/>
      <c r="BH33" s="877"/>
      <c r="BI33" s="877"/>
      <c r="BJ33" s="877"/>
      <c r="BK33" s="877"/>
      <c r="BL33" s="877"/>
      <c r="BM33" s="875" t="s">
        <v>7364</v>
      </c>
      <c r="BN33" s="815"/>
      <c r="BO33" s="879"/>
      <c r="BP33" s="929"/>
      <c r="BQ33" s="879"/>
      <c r="BR33" s="880" t="s">
        <v>2476</v>
      </c>
      <c r="BS33" s="879"/>
      <c r="BT33" s="879"/>
      <c r="BU33" s="879"/>
      <c r="BV33" s="930" t="s">
        <v>7365</v>
      </c>
      <c r="BW33" s="880" t="s">
        <v>7366</v>
      </c>
      <c r="BX33" s="815"/>
      <c r="BY33" s="884" t="s">
        <v>6343</v>
      </c>
      <c r="BZ33" s="885"/>
      <c r="CA33" s="884"/>
      <c r="CB33" s="946"/>
      <c r="CC33" s="884"/>
      <c r="CD33" s="885"/>
      <c r="CE33" s="885"/>
      <c r="CF33" s="885"/>
      <c r="CG33" s="885"/>
      <c r="CH33" s="885"/>
      <c r="CI33" s="885"/>
      <c r="CJ33" s="905"/>
      <c r="CK33" s="905"/>
    </row>
    <row r="34">
      <c r="A34" s="852" t="s">
        <v>5224</v>
      </c>
      <c r="B34" s="809" t="s">
        <v>223</v>
      </c>
      <c r="C34" s="805" t="s">
        <v>1260</v>
      </c>
      <c r="D34" s="806" t="s">
        <v>1260</v>
      </c>
      <c r="E34" s="807" t="s">
        <v>1260</v>
      </c>
      <c r="F34" s="808" t="s">
        <v>547</v>
      </c>
      <c r="G34" s="809" t="s">
        <v>4056</v>
      </c>
      <c r="H34" s="854" t="s">
        <v>4372</v>
      </c>
      <c r="I34" s="853"/>
      <c r="J34" s="853"/>
      <c r="K34" s="853"/>
      <c r="L34" s="854" t="s">
        <v>7367</v>
      </c>
      <c r="M34" s="853"/>
      <c r="N34" s="854" t="s">
        <v>7368</v>
      </c>
      <c r="O34" s="853"/>
      <c r="P34" s="815"/>
      <c r="Q34" s="858"/>
      <c r="R34" s="858"/>
      <c r="S34" s="858"/>
      <c r="T34" s="858"/>
      <c r="U34" s="857" t="s">
        <v>7369</v>
      </c>
      <c r="V34" s="857" t="s">
        <v>7370</v>
      </c>
      <c r="W34" s="815"/>
      <c r="X34" s="925"/>
      <c r="Y34" s="862" t="s">
        <v>5238</v>
      </c>
      <c r="Z34" s="862" t="s">
        <v>2701</v>
      </c>
      <c r="AA34" s="975" t="s">
        <v>7371</v>
      </c>
      <c r="AB34" s="862" t="s">
        <v>7372</v>
      </c>
      <c r="AC34" s="862" t="s">
        <v>7373</v>
      </c>
      <c r="AD34" s="925"/>
      <c r="AE34" s="862" t="s">
        <v>7374</v>
      </c>
      <c r="AF34" s="925"/>
      <c r="AG34" s="925"/>
      <c r="AH34" s="977" t="s">
        <v>7375</v>
      </c>
      <c r="AI34" s="815"/>
      <c r="AJ34" s="866"/>
      <c r="AK34" s="870" t="s">
        <v>7376</v>
      </c>
      <c r="AL34" s="866"/>
      <c r="AM34" s="866"/>
      <c r="AN34" s="866"/>
      <c r="AO34" s="866"/>
      <c r="AP34" s="865" t="s">
        <v>7377</v>
      </c>
      <c r="AQ34" s="866"/>
      <c r="AR34" s="866"/>
      <c r="AS34" s="866"/>
      <c r="AT34" s="866"/>
      <c r="AU34" s="866"/>
      <c r="AV34" s="866"/>
      <c r="AW34" s="865" t="s">
        <v>7378</v>
      </c>
      <c r="AX34" s="866"/>
      <c r="AY34" s="866"/>
      <c r="AZ34" s="831"/>
      <c r="BA34" s="926"/>
      <c r="BB34" s="900" t="s">
        <v>7209</v>
      </c>
      <c r="BC34" s="926"/>
      <c r="BD34" s="900" t="s">
        <v>5247</v>
      </c>
      <c r="BE34" s="900" t="s">
        <v>7379</v>
      </c>
      <c r="BF34" s="831"/>
      <c r="BG34" s="877"/>
      <c r="BH34" s="877"/>
      <c r="BI34" s="875" t="s">
        <v>7380</v>
      </c>
      <c r="BJ34" s="877"/>
      <c r="BK34" s="877"/>
      <c r="BL34" s="875" t="s">
        <v>7381</v>
      </c>
      <c r="BM34" s="960"/>
      <c r="BN34" s="815"/>
      <c r="BO34" s="880" t="s">
        <v>7382</v>
      </c>
      <c r="BP34" s="929"/>
      <c r="BQ34" s="879"/>
      <c r="BR34" s="880" t="s">
        <v>7383</v>
      </c>
      <c r="BS34" s="879"/>
      <c r="BT34" s="880" t="s">
        <v>7384</v>
      </c>
      <c r="BU34" s="880" t="s">
        <v>7385</v>
      </c>
      <c r="BV34" s="879"/>
      <c r="BW34" s="880" t="s">
        <v>7386</v>
      </c>
      <c r="BX34" s="815"/>
      <c r="BY34" s="885"/>
      <c r="BZ34" s="885"/>
      <c r="CA34" s="885"/>
      <c r="CB34" s="905"/>
      <c r="CC34" s="885"/>
      <c r="CD34" s="885"/>
      <c r="CE34" s="885"/>
      <c r="CF34" s="884" t="s">
        <v>7387</v>
      </c>
      <c r="CG34" s="885"/>
      <c r="CH34" s="885"/>
      <c r="CI34" s="885"/>
      <c r="CJ34" s="905"/>
      <c r="CK34" s="905"/>
    </row>
    <row r="35">
      <c r="A35" s="991" t="s">
        <v>5269</v>
      </c>
      <c r="B35" s="809" t="s">
        <v>4057</v>
      </c>
      <c r="C35" s="805" t="s">
        <v>1260</v>
      </c>
      <c r="D35" s="806" t="s">
        <v>547</v>
      </c>
      <c r="E35" s="807" t="s">
        <v>1260</v>
      </c>
      <c r="F35" s="808" t="s">
        <v>1054</v>
      </c>
      <c r="G35" s="809" t="s">
        <v>2872</v>
      </c>
      <c r="H35" s="854" t="s">
        <v>1852</v>
      </c>
      <c r="I35" s="854"/>
      <c r="J35" s="853"/>
      <c r="K35" s="853"/>
      <c r="L35" s="854" t="s">
        <v>7388</v>
      </c>
      <c r="M35" s="853"/>
      <c r="N35" s="855" t="s">
        <v>7389</v>
      </c>
      <c r="O35" s="853"/>
      <c r="P35" s="815"/>
      <c r="Q35" s="861" t="s">
        <v>7390</v>
      </c>
      <c r="R35" s="858"/>
      <c r="S35" s="858"/>
      <c r="T35" s="858"/>
      <c r="U35" s="861" t="s">
        <v>7391</v>
      </c>
      <c r="V35" s="861" t="s">
        <v>7392</v>
      </c>
      <c r="W35" s="815"/>
      <c r="X35" s="925"/>
      <c r="Y35" s="925"/>
      <c r="Z35" s="862" t="s">
        <v>7393</v>
      </c>
      <c r="AA35" s="967"/>
      <c r="AB35" s="925"/>
      <c r="AC35" s="925"/>
      <c r="AD35" s="925"/>
      <c r="AE35" s="925"/>
      <c r="AF35" s="925"/>
      <c r="AG35" s="925"/>
      <c r="AH35" s="976" t="s">
        <v>7394</v>
      </c>
      <c r="AI35" s="815"/>
      <c r="AJ35" s="866"/>
      <c r="AK35" s="865" t="s">
        <v>7395</v>
      </c>
      <c r="AL35" s="866"/>
      <c r="AM35" s="866"/>
      <c r="AN35" s="866"/>
      <c r="AO35" s="866"/>
      <c r="AP35" s="866"/>
      <c r="AQ35" s="866"/>
      <c r="AR35" s="866"/>
      <c r="AS35" s="866"/>
      <c r="AT35" s="866"/>
      <c r="AU35" s="866"/>
      <c r="AV35" s="866"/>
      <c r="AW35" s="865" t="s">
        <v>7396</v>
      </c>
      <c r="AX35" s="866"/>
      <c r="AY35" s="865" t="s">
        <v>7397</v>
      </c>
      <c r="AZ35" s="831"/>
      <c r="BA35" s="926"/>
      <c r="BB35" s="926"/>
      <c r="BC35" s="900" t="s">
        <v>7398</v>
      </c>
      <c r="BD35" s="872" t="s">
        <v>7399</v>
      </c>
      <c r="BE35" s="873" t="s">
        <v>7400</v>
      </c>
      <c r="BF35" s="831"/>
      <c r="BG35" s="877"/>
      <c r="BH35" s="877"/>
      <c r="BI35" s="877"/>
      <c r="BJ35" s="877"/>
      <c r="BK35" s="877"/>
      <c r="BL35" s="877"/>
      <c r="BM35" s="875" t="s">
        <v>7401</v>
      </c>
      <c r="BN35" s="815"/>
      <c r="BO35" s="879"/>
      <c r="BP35" s="929"/>
      <c r="BQ35" s="880" t="s">
        <v>3668</v>
      </c>
      <c r="BR35" s="879"/>
      <c r="BS35" s="879"/>
      <c r="BT35" s="879"/>
      <c r="BU35" s="881" t="s">
        <v>7402</v>
      </c>
      <c r="BV35" s="879"/>
      <c r="BW35" s="880" t="s">
        <v>7403</v>
      </c>
      <c r="BX35" s="815"/>
      <c r="BY35" s="885"/>
      <c r="BZ35" s="885"/>
      <c r="CA35" s="885"/>
      <c r="CB35" s="905"/>
      <c r="CC35" s="885"/>
      <c r="CD35" s="885"/>
      <c r="CE35" s="885"/>
      <c r="CF35" s="885"/>
      <c r="CG35" s="885"/>
      <c r="CH35" s="885"/>
      <c r="CI35" s="904" t="s">
        <v>7404</v>
      </c>
      <c r="CJ35" s="905"/>
      <c r="CK35" s="905"/>
    </row>
    <row r="36">
      <c r="A36" s="852" t="s">
        <v>2191</v>
      </c>
      <c r="B36" s="809" t="s">
        <v>548</v>
      </c>
      <c r="C36" s="805" t="s">
        <v>547</v>
      </c>
      <c r="D36" s="806" t="s">
        <v>1260</v>
      </c>
      <c r="E36" s="807" t="s">
        <v>1260</v>
      </c>
      <c r="F36" s="808" t="s">
        <v>547</v>
      </c>
      <c r="G36" s="809" t="s">
        <v>222</v>
      </c>
      <c r="H36" s="854"/>
      <c r="I36" s="853"/>
      <c r="J36" s="853"/>
      <c r="K36" s="853"/>
      <c r="L36" s="854" t="s">
        <v>7405</v>
      </c>
      <c r="M36" s="853"/>
      <c r="N36" s="854" t="s">
        <v>7406</v>
      </c>
      <c r="O36" s="854"/>
      <c r="P36" s="815"/>
      <c r="Q36" s="857" t="s">
        <v>7407</v>
      </c>
      <c r="R36" s="858"/>
      <c r="S36" s="858"/>
      <c r="T36" s="858"/>
      <c r="U36" s="858"/>
      <c r="V36" s="857" t="s">
        <v>7408</v>
      </c>
      <c r="W36" s="815"/>
      <c r="X36" s="925"/>
      <c r="Y36" s="925"/>
      <c r="Z36" s="862" t="s">
        <v>7409</v>
      </c>
      <c r="AA36" s="862" t="s">
        <v>7410</v>
      </c>
      <c r="AB36" s="862" t="s">
        <v>3966</v>
      </c>
      <c r="AC36" s="862" t="s">
        <v>7411</v>
      </c>
      <c r="AD36" s="925"/>
      <c r="AE36" s="862" t="s">
        <v>2610</v>
      </c>
      <c r="AF36" s="862"/>
      <c r="AG36" s="925"/>
      <c r="AH36" s="977" t="s">
        <v>7412</v>
      </c>
      <c r="AI36" s="815"/>
      <c r="AJ36" s="866"/>
      <c r="AK36" s="866"/>
      <c r="AL36" s="866"/>
      <c r="AM36" s="866"/>
      <c r="AN36" s="866"/>
      <c r="AO36" s="866"/>
      <c r="AP36" s="865" t="s">
        <v>7413</v>
      </c>
      <c r="AQ36" s="866"/>
      <c r="AR36" s="866"/>
      <c r="AS36" s="866"/>
      <c r="AT36" s="866"/>
      <c r="AU36" s="866"/>
      <c r="AV36" s="866"/>
      <c r="AW36" s="865" t="s">
        <v>434</v>
      </c>
      <c r="AX36" s="866"/>
      <c r="AY36" s="865" t="s">
        <v>7414</v>
      </c>
      <c r="AZ36" s="831"/>
      <c r="BA36" s="900" t="s">
        <v>7415</v>
      </c>
      <c r="BB36" s="900" t="s">
        <v>7416</v>
      </c>
      <c r="BC36" s="926"/>
      <c r="BD36" s="926"/>
      <c r="BE36" s="900" t="s">
        <v>7417</v>
      </c>
      <c r="BF36" s="831"/>
      <c r="BG36" s="877"/>
      <c r="BH36" s="877"/>
      <c r="BI36" s="877"/>
      <c r="BJ36" s="877"/>
      <c r="BK36" s="877"/>
      <c r="BL36" s="928" t="s">
        <v>7418</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7419</v>
      </c>
      <c r="C37" s="805" t="s">
        <v>1260</v>
      </c>
      <c r="D37" s="806" t="s">
        <v>1260</v>
      </c>
      <c r="E37" s="807" t="s">
        <v>1260</v>
      </c>
      <c r="F37" s="808" t="s">
        <v>1200</v>
      </c>
      <c r="G37" s="809" t="s">
        <v>1200</v>
      </c>
      <c r="H37" s="853"/>
      <c r="I37" s="855" t="s">
        <v>7420</v>
      </c>
      <c r="J37" s="853"/>
      <c r="K37" s="853"/>
      <c r="L37" s="855" t="s">
        <v>7421</v>
      </c>
      <c r="M37" s="853"/>
      <c r="N37" s="855" t="s">
        <v>7422</v>
      </c>
      <c r="O37" s="853"/>
      <c r="P37" s="815"/>
      <c r="Q37" s="858"/>
      <c r="R37" s="858"/>
      <c r="S37" s="858"/>
      <c r="T37" s="858"/>
      <c r="U37" s="858"/>
      <c r="V37" s="861" t="s">
        <v>7423</v>
      </c>
      <c r="W37" s="815"/>
      <c r="X37" s="925"/>
      <c r="Y37" s="925"/>
      <c r="Z37" s="925"/>
      <c r="AA37" s="967"/>
      <c r="AB37" s="925"/>
      <c r="AC37" s="925"/>
      <c r="AD37" s="925"/>
      <c r="AE37" s="823" t="s">
        <v>2262</v>
      </c>
      <c r="AF37" s="925"/>
      <c r="AG37" s="823" t="s">
        <v>7424</v>
      </c>
      <c r="AH37" s="825"/>
      <c r="AI37" s="815"/>
      <c r="AJ37" s="866"/>
      <c r="AK37" s="866"/>
      <c r="AL37" s="866"/>
      <c r="AM37" s="870" t="s">
        <v>2121</v>
      </c>
      <c r="AN37" s="866"/>
      <c r="AO37" s="866"/>
      <c r="AP37" s="866"/>
      <c r="AQ37" s="866"/>
      <c r="AR37" s="866"/>
      <c r="AS37" s="866"/>
      <c r="AT37" s="866"/>
      <c r="AU37" s="866"/>
      <c r="AV37" s="866"/>
      <c r="AW37" s="866"/>
      <c r="AX37" s="866"/>
      <c r="AY37" s="866"/>
      <c r="AZ37" s="831"/>
      <c r="BA37" s="926"/>
      <c r="BB37" s="926"/>
      <c r="BC37" s="926"/>
      <c r="BD37" s="926"/>
      <c r="BE37" s="873" t="s">
        <v>7425</v>
      </c>
      <c r="BF37" s="831"/>
      <c r="BG37" s="877"/>
      <c r="BH37" s="877"/>
      <c r="BI37" s="877"/>
      <c r="BJ37" s="877"/>
      <c r="BK37" s="877"/>
      <c r="BL37" s="874" t="s">
        <v>7426</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1552</v>
      </c>
      <c r="C38" s="805" t="s">
        <v>1260</v>
      </c>
      <c r="D38" s="806" t="s">
        <v>1260</v>
      </c>
      <c r="E38" s="807" t="s">
        <v>1260</v>
      </c>
      <c r="F38" s="808" t="s">
        <v>332</v>
      </c>
      <c r="G38" s="809" t="s">
        <v>6323</v>
      </c>
      <c r="H38" s="854" t="s">
        <v>7427</v>
      </c>
      <c r="I38" s="853"/>
      <c r="J38" s="853"/>
      <c r="K38" s="853"/>
      <c r="L38" s="853"/>
      <c r="M38" s="853"/>
      <c r="N38" s="853"/>
      <c r="O38" s="853"/>
      <c r="P38" s="815"/>
      <c r="Q38" s="858"/>
      <c r="R38" s="858"/>
      <c r="S38" s="857" t="s">
        <v>1092</v>
      </c>
      <c r="T38" s="857" t="s">
        <v>1831</v>
      </c>
      <c r="U38" s="857" t="s">
        <v>4580</v>
      </c>
      <c r="V38" s="857" t="s">
        <v>7428</v>
      </c>
      <c r="W38" s="815"/>
      <c r="X38" s="862" t="s">
        <v>1754</v>
      </c>
      <c r="Y38" s="925"/>
      <c r="Z38" s="925"/>
      <c r="AA38" s="967"/>
      <c r="AB38" s="925"/>
      <c r="AC38" s="925"/>
      <c r="AD38" s="925"/>
      <c r="AE38" s="925"/>
      <c r="AF38" s="862"/>
      <c r="AG38" s="925"/>
      <c r="AH38" s="825"/>
      <c r="AI38" s="815"/>
      <c r="AJ38" s="866"/>
      <c r="AK38" s="866"/>
      <c r="AL38" s="866"/>
      <c r="AM38" s="865" t="s">
        <v>7429</v>
      </c>
      <c r="AN38" s="866"/>
      <c r="AO38" s="866"/>
      <c r="AP38" s="865" t="s">
        <v>7430</v>
      </c>
      <c r="AQ38" s="866"/>
      <c r="AR38" s="870" t="s">
        <v>7431</v>
      </c>
      <c r="AS38" s="866"/>
      <c r="AT38" s="866"/>
      <c r="AU38" s="866"/>
      <c r="AV38" s="866"/>
      <c r="AW38" s="865" t="s">
        <v>1438</v>
      </c>
      <c r="AX38" s="866"/>
      <c r="AY38" s="866"/>
      <c r="AZ38" s="831"/>
      <c r="BA38" s="926"/>
      <c r="BB38" s="900" t="s">
        <v>7432</v>
      </c>
      <c r="BC38" s="900" t="s">
        <v>421</v>
      </c>
      <c r="BD38" s="900"/>
      <c r="BE38" s="900" t="s">
        <v>7433</v>
      </c>
      <c r="BF38" s="831"/>
      <c r="BG38" s="877"/>
      <c r="BH38" s="877"/>
      <c r="BI38" s="877"/>
      <c r="BJ38" s="877"/>
      <c r="BK38" s="877"/>
      <c r="BL38" s="877"/>
      <c r="BM38" s="877"/>
      <c r="BN38" s="815"/>
      <c r="BO38" s="881" t="s">
        <v>7434</v>
      </c>
      <c r="BP38" s="929"/>
      <c r="BQ38" s="881" t="s">
        <v>1103</v>
      </c>
      <c r="BR38" s="879"/>
      <c r="BS38" s="879"/>
      <c r="BT38" s="879"/>
      <c r="BU38" s="879"/>
      <c r="BV38" s="880" t="s">
        <v>7342</v>
      </c>
      <c r="BW38" s="880" t="s">
        <v>7435</v>
      </c>
      <c r="BX38" s="815"/>
      <c r="BY38" s="885"/>
      <c r="BZ38" s="904" t="s">
        <v>7436</v>
      </c>
      <c r="CA38" s="885"/>
      <c r="CB38" s="905"/>
      <c r="CC38" s="885"/>
      <c r="CD38" s="885"/>
      <c r="CE38" s="885"/>
      <c r="CF38" s="885"/>
      <c r="CG38" s="885"/>
      <c r="CH38" s="885"/>
      <c r="CI38" s="885"/>
      <c r="CJ38" s="905"/>
      <c r="CK38" s="905"/>
    </row>
    <row r="39">
      <c r="A39" s="852" t="s">
        <v>6374</v>
      </c>
      <c r="B39" s="809" t="s">
        <v>1811</v>
      </c>
      <c r="C39" s="805" t="s">
        <v>1260</v>
      </c>
      <c r="D39" s="806" t="s">
        <v>1260</v>
      </c>
      <c r="E39" s="807" t="s">
        <v>1260</v>
      </c>
      <c r="F39" s="808" t="s">
        <v>1260</v>
      </c>
      <c r="G39" s="809" t="s">
        <v>2872</v>
      </c>
      <c r="H39" s="853"/>
      <c r="I39" s="853"/>
      <c r="J39" s="853"/>
      <c r="K39" s="853"/>
      <c r="L39" s="854" t="s">
        <v>7437</v>
      </c>
      <c r="M39" s="853"/>
      <c r="N39" s="854" t="s">
        <v>7438</v>
      </c>
      <c r="O39" s="853"/>
      <c r="P39" s="815"/>
      <c r="Q39" s="858"/>
      <c r="R39" s="858"/>
      <c r="S39" s="858"/>
      <c r="T39" s="858"/>
      <c r="U39" s="857" t="s">
        <v>4526</v>
      </c>
      <c r="V39" s="857" t="s">
        <v>7439</v>
      </c>
      <c r="W39" s="815"/>
      <c r="X39" s="925"/>
      <c r="Y39" s="925"/>
      <c r="Z39" s="862" t="s">
        <v>7440</v>
      </c>
      <c r="AA39" s="967"/>
      <c r="AB39" s="925"/>
      <c r="AC39" s="925"/>
      <c r="AD39" s="862" t="s">
        <v>1412</v>
      </c>
      <c r="AE39" s="862" t="s">
        <v>3273</v>
      </c>
      <c r="AF39" s="862"/>
      <c r="AG39" s="925"/>
      <c r="AH39" s="977" t="s">
        <v>7441</v>
      </c>
      <c r="AI39" s="815"/>
      <c r="AJ39" s="866"/>
      <c r="AK39" s="866"/>
      <c r="AL39" s="866"/>
      <c r="AM39" s="865" t="s">
        <v>2985</v>
      </c>
      <c r="AN39" s="866"/>
      <c r="AO39" s="866"/>
      <c r="AP39" s="866"/>
      <c r="AQ39" s="866"/>
      <c r="AR39" s="866"/>
      <c r="AS39" s="866"/>
      <c r="AT39" s="866"/>
      <c r="AU39" s="866"/>
      <c r="AV39" s="866"/>
      <c r="AW39" s="865" t="s">
        <v>1284</v>
      </c>
      <c r="AX39" s="866"/>
      <c r="AY39" s="866"/>
      <c r="AZ39" s="831"/>
      <c r="BA39" s="926"/>
      <c r="BB39" s="926"/>
      <c r="BC39" s="926"/>
      <c r="BD39" s="926"/>
      <c r="BE39" s="900" t="s">
        <v>7442</v>
      </c>
      <c r="BF39" s="831"/>
      <c r="BG39" s="875" t="s">
        <v>7443</v>
      </c>
      <c r="BH39" s="875" t="s">
        <v>3002</v>
      </c>
      <c r="BI39" s="877"/>
      <c r="BJ39" s="877"/>
      <c r="BK39" s="877"/>
      <c r="BL39" s="875" t="s">
        <v>7444</v>
      </c>
      <c r="BM39" s="877"/>
      <c r="BN39" s="815"/>
      <c r="BO39" s="880" t="s">
        <v>1899</v>
      </c>
      <c r="BP39" s="929"/>
      <c r="BQ39" s="879"/>
      <c r="BR39" s="879"/>
      <c r="BS39" s="879"/>
      <c r="BT39" s="880" t="s">
        <v>4402</v>
      </c>
      <c r="BU39" s="879"/>
      <c r="BV39" s="880" t="s">
        <v>7445</v>
      </c>
      <c r="BW39" s="880" t="s">
        <v>7446</v>
      </c>
      <c r="BX39" s="815"/>
      <c r="BY39" s="885"/>
      <c r="BZ39" s="885"/>
      <c r="CA39" s="885"/>
      <c r="CB39" s="905"/>
      <c r="CC39" s="885"/>
      <c r="CD39" s="885"/>
      <c r="CE39" s="885"/>
      <c r="CF39" s="885"/>
      <c r="CG39" s="885"/>
      <c r="CH39" s="946" t="s">
        <v>6114</v>
      </c>
      <c r="CI39" s="885"/>
      <c r="CJ39" s="905"/>
      <c r="CK39" s="905"/>
    </row>
    <row r="40">
      <c r="A40" s="994" t="s">
        <v>3195</v>
      </c>
      <c r="B40" s="809" t="s">
        <v>5090</v>
      </c>
      <c r="C40" s="805" t="s">
        <v>547</v>
      </c>
      <c r="D40" s="806" t="s">
        <v>1260</v>
      </c>
      <c r="E40" s="807" t="s">
        <v>1260</v>
      </c>
      <c r="F40" s="808" t="s">
        <v>332</v>
      </c>
      <c r="G40" s="809" t="s">
        <v>1055</v>
      </c>
      <c r="H40" s="854" t="s">
        <v>840</v>
      </c>
      <c r="I40" s="853"/>
      <c r="J40" s="853"/>
      <c r="K40" s="853"/>
      <c r="L40" s="853"/>
      <c r="M40" s="853"/>
      <c r="N40" s="855" t="s">
        <v>7447</v>
      </c>
      <c r="O40" s="853"/>
      <c r="P40" s="815"/>
      <c r="Q40" s="858"/>
      <c r="R40" s="858"/>
      <c r="S40" s="924" t="s">
        <v>2843</v>
      </c>
      <c r="T40" s="858"/>
      <c r="U40" s="858"/>
      <c r="V40" s="857" t="s">
        <v>7448</v>
      </c>
      <c r="W40" s="815"/>
      <c r="X40" s="925"/>
      <c r="Y40" s="925"/>
      <c r="Z40" s="862" t="s">
        <v>7161</v>
      </c>
      <c r="AA40" s="909" t="s">
        <v>609</v>
      </c>
      <c r="AB40" s="925"/>
      <c r="AC40" s="925"/>
      <c r="AD40" s="862" t="s">
        <v>4852</v>
      </c>
      <c r="AE40" s="862" t="s">
        <v>751</v>
      </c>
      <c r="AF40" s="925"/>
      <c r="AG40" s="925"/>
      <c r="AH40" s="976" t="s">
        <v>7449</v>
      </c>
      <c r="AI40" s="815"/>
      <c r="AJ40" s="866"/>
      <c r="AK40" s="866"/>
      <c r="AL40" s="866"/>
      <c r="AM40" s="865" t="s">
        <v>7450</v>
      </c>
      <c r="AN40" s="866"/>
      <c r="AO40" s="866"/>
      <c r="AP40" s="866"/>
      <c r="AQ40" s="866"/>
      <c r="AR40" s="866"/>
      <c r="AS40" s="866"/>
      <c r="AT40" s="866"/>
      <c r="AU40" s="866"/>
      <c r="AV40" s="866"/>
      <c r="AW40" s="866"/>
      <c r="AX40" s="866"/>
      <c r="AY40" s="865" t="s">
        <v>7451</v>
      </c>
      <c r="AZ40" s="831"/>
      <c r="BA40" s="926"/>
      <c r="BB40" s="926"/>
      <c r="BC40" s="926"/>
      <c r="BD40" s="900" t="s">
        <v>7452</v>
      </c>
      <c r="BE40" s="900" t="s">
        <v>7453</v>
      </c>
      <c r="BF40" s="831"/>
      <c r="BG40" s="875" t="s">
        <v>1392</v>
      </c>
      <c r="BH40" s="877"/>
      <c r="BI40" s="877"/>
      <c r="BJ40" s="877"/>
      <c r="BK40" s="877"/>
      <c r="BL40" s="875" t="s">
        <v>7454</v>
      </c>
      <c r="BM40" s="877"/>
      <c r="BN40" s="815"/>
      <c r="BO40" s="879"/>
      <c r="BP40" s="929"/>
      <c r="BQ40" s="879"/>
      <c r="BR40" s="879"/>
      <c r="BS40" s="879"/>
      <c r="BT40" s="879"/>
      <c r="BU40" s="879"/>
      <c r="BV40" s="879"/>
      <c r="BW40" s="880" t="s">
        <v>1390</v>
      </c>
      <c r="BX40" s="815"/>
      <c r="BY40" s="885"/>
      <c r="BZ40" s="885"/>
      <c r="CA40" s="885"/>
      <c r="CB40" s="905"/>
      <c r="CC40" s="885"/>
      <c r="CD40" s="885"/>
      <c r="CE40" s="885"/>
      <c r="CF40" s="885"/>
      <c r="CG40" s="885"/>
      <c r="CH40" s="885"/>
      <c r="CI40" s="885"/>
      <c r="CJ40" s="905"/>
      <c r="CK40" s="905"/>
    </row>
    <row r="41">
      <c r="A41" s="852" t="s">
        <v>5346</v>
      </c>
      <c r="B41" s="809" t="s">
        <v>2029</v>
      </c>
      <c r="C41" s="805" t="s">
        <v>1260</v>
      </c>
      <c r="D41" s="806" t="s">
        <v>1260</v>
      </c>
      <c r="E41" s="807" t="s">
        <v>1260</v>
      </c>
      <c r="F41" s="808" t="s">
        <v>547</v>
      </c>
      <c r="G41" s="809" t="s">
        <v>221</v>
      </c>
      <c r="H41" s="853"/>
      <c r="I41" s="853"/>
      <c r="J41" s="853"/>
      <c r="K41" s="853"/>
      <c r="L41" s="949" t="s">
        <v>291</v>
      </c>
      <c r="M41" s="853"/>
      <c r="N41" s="854" t="s">
        <v>7455</v>
      </c>
      <c r="O41" s="853"/>
      <c r="P41" s="815"/>
      <c r="Q41" s="858"/>
      <c r="R41" s="858"/>
      <c r="S41" s="857" t="s">
        <v>7456</v>
      </c>
      <c r="T41" s="858"/>
      <c r="U41" s="858"/>
      <c r="V41" s="858"/>
      <c r="W41" s="815"/>
      <c r="X41" s="925"/>
      <c r="Y41" s="925"/>
      <c r="Z41" s="925"/>
      <c r="AA41" s="975" t="s">
        <v>7457</v>
      </c>
      <c r="AB41" s="895" t="s">
        <v>7458</v>
      </c>
      <c r="AC41" s="925"/>
      <c r="AD41" s="925"/>
      <c r="AE41" s="925"/>
      <c r="AF41" s="925"/>
      <c r="AG41" s="925"/>
      <c r="AH41" s="977" t="s">
        <v>7459</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7460</v>
      </c>
      <c r="BF41" s="831"/>
      <c r="BG41" s="877"/>
      <c r="BH41" s="877"/>
      <c r="BI41" s="877"/>
      <c r="BJ41" s="877"/>
      <c r="BK41" s="877"/>
      <c r="BL41" s="877"/>
      <c r="BM41" s="877"/>
      <c r="BN41" s="815"/>
      <c r="BO41" s="879"/>
      <c r="BP41" s="929"/>
      <c r="BQ41" s="879"/>
      <c r="BR41" s="879"/>
      <c r="BS41" s="879"/>
      <c r="BT41" s="879"/>
      <c r="BU41" s="965" t="s">
        <v>3417</v>
      </c>
      <c r="BV41" s="880" t="s">
        <v>391</v>
      </c>
      <c r="BW41" s="930" t="s">
        <v>7461</v>
      </c>
      <c r="BX41" s="815"/>
      <c r="BY41" s="885"/>
      <c r="BZ41" s="978" t="s">
        <v>2876</v>
      </c>
      <c r="CA41" s="885"/>
      <c r="CB41" s="905"/>
      <c r="CC41" s="885"/>
      <c r="CD41" s="885"/>
      <c r="CE41" s="885"/>
      <c r="CF41" s="884" t="s">
        <v>7462</v>
      </c>
      <c r="CG41" s="885"/>
      <c r="CH41" s="885"/>
      <c r="CI41" s="904" t="s">
        <v>5007</v>
      </c>
      <c r="CJ41" s="905"/>
      <c r="CK41" s="905"/>
    </row>
    <row r="42">
      <c r="A42" s="852" t="s">
        <v>7463</v>
      </c>
      <c r="B42" s="809" t="s">
        <v>3407</v>
      </c>
      <c r="C42" s="805" t="s">
        <v>547</v>
      </c>
      <c r="D42" s="806" t="s">
        <v>1260</v>
      </c>
      <c r="E42" s="807" t="s">
        <v>1260</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7464</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1417</v>
      </c>
      <c r="C43" s="805" t="s">
        <v>1260</v>
      </c>
      <c r="D43" s="806" t="s">
        <v>1260</v>
      </c>
      <c r="E43" s="807" t="s">
        <v>1260</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7465</v>
      </c>
      <c r="Z43" s="998"/>
      <c r="AA43" s="998"/>
      <c r="AB43" s="1001" t="s">
        <v>5163</v>
      </c>
      <c r="AC43" s="998"/>
      <c r="AD43" s="999"/>
      <c r="AE43" s="999"/>
      <c r="AF43" s="999"/>
      <c r="AG43" s="1001" t="s">
        <v>7466</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1260</v>
      </c>
      <c r="D44" s="806" t="s">
        <v>547</v>
      </c>
      <c r="E44" s="807" t="s">
        <v>1260</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6218</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7467</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1260</v>
      </c>
      <c r="D45" s="806" t="s">
        <v>1260</v>
      </c>
      <c r="E45" s="807" t="s">
        <v>1260</v>
      </c>
      <c r="F45" s="808" t="s">
        <v>1260</v>
      </c>
      <c r="G45" s="809" t="s">
        <v>333</v>
      </c>
      <c r="H45" s="853"/>
      <c r="I45" s="853"/>
      <c r="J45" s="854" t="s">
        <v>7468</v>
      </c>
      <c r="K45" s="854"/>
      <c r="L45" s="854"/>
      <c r="M45" s="854" t="s">
        <v>7469</v>
      </c>
      <c r="N45" s="853"/>
      <c r="O45" s="854" t="s">
        <v>7470</v>
      </c>
      <c r="P45" s="815"/>
      <c r="Q45" s="858"/>
      <c r="R45" s="857" t="s">
        <v>5050</v>
      </c>
      <c r="S45" s="858"/>
      <c r="T45" s="858"/>
      <c r="U45" s="858"/>
      <c r="V45" s="857" t="s">
        <v>7471</v>
      </c>
      <c r="W45" s="815"/>
      <c r="X45" s="925"/>
      <c r="Y45" s="925"/>
      <c r="Z45" s="925"/>
      <c r="AA45" s="975" t="s">
        <v>7472</v>
      </c>
      <c r="AB45" s="862" t="s">
        <v>7473</v>
      </c>
      <c r="AC45" s="925"/>
      <c r="AD45" s="925"/>
      <c r="AE45" s="925"/>
      <c r="AF45" s="925"/>
      <c r="AG45" s="862" t="s">
        <v>7474</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7475</v>
      </c>
      <c r="BF45" s="831"/>
      <c r="BG45" s="877"/>
      <c r="BH45" s="877"/>
      <c r="BI45" s="877"/>
      <c r="BJ45" s="877"/>
      <c r="BK45" s="877"/>
      <c r="BL45" s="877"/>
      <c r="BM45" s="875" t="s">
        <v>7476</v>
      </c>
      <c r="BN45" s="815"/>
      <c r="BO45" s="879"/>
      <c r="BP45" s="929"/>
      <c r="BQ45" s="879"/>
      <c r="BR45" s="879"/>
      <c r="BS45" s="879"/>
      <c r="BT45" s="879"/>
      <c r="BU45" s="879"/>
      <c r="BV45" s="880" t="s">
        <v>6845</v>
      </c>
      <c r="BW45" s="880" t="s">
        <v>7477</v>
      </c>
      <c r="BX45" s="815"/>
      <c r="BY45" s="885"/>
      <c r="BZ45" s="885"/>
      <c r="CA45" s="885"/>
      <c r="CB45" s="905"/>
      <c r="CC45" s="885"/>
      <c r="CD45" s="885"/>
      <c r="CE45" s="885"/>
      <c r="CF45" s="885"/>
      <c r="CG45" s="885"/>
      <c r="CH45" s="885"/>
      <c r="CI45" s="885"/>
      <c r="CJ45" s="905"/>
      <c r="CK45" s="905"/>
    </row>
    <row r="46">
      <c r="A46" s="852" t="s">
        <v>6018</v>
      </c>
      <c r="B46" s="809" t="s">
        <v>5698</v>
      </c>
      <c r="C46" s="805" t="s">
        <v>1260</v>
      </c>
      <c r="D46" s="806" t="s">
        <v>1260</v>
      </c>
      <c r="E46" s="807" t="s">
        <v>1260</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7478</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1260</v>
      </c>
      <c r="D47" s="806" t="s">
        <v>1260</v>
      </c>
      <c r="E47" s="807" t="s">
        <v>1260</v>
      </c>
      <c r="F47" s="808" t="s">
        <v>1260</v>
      </c>
      <c r="G47" s="809" t="s">
        <v>650</v>
      </c>
      <c r="H47" s="853"/>
      <c r="I47" s="853"/>
      <c r="J47" s="853"/>
      <c r="K47" s="853"/>
      <c r="L47" s="1003" t="s">
        <v>7479</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7480</v>
      </c>
      <c r="BF47" s="831"/>
      <c r="BG47" s="956" t="s">
        <v>7481</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7482</v>
      </c>
      <c r="C48" s="805" t="s">
        <v>1260</v>
      </c>
      <c r="D48" s="806" t="s">
        <v>1260</v>
      </c>
      <c r="E48" s="807" t="s">
        <v>1260</v>
      </c>
      <c r="F48" s="808" t="s">
        <v>1260</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7483</v>
      </c>
      <c r="AS48" s="866"/>
      <c r="AT48" s="866"/>
      <c r="AU48" s="866"/>
      <c r="AV48" s="866"/>
      <c r="AW48" s="865" t="s">
        <v>888</v>
      </c>
      <c r="AX48" s="866"/>
      <c r="AY48" s="866"/>
      <c r="AZ48" s="831"/>
      <c r="BA48" s="926"/>
      <c r="BB48" s="926"/>
      <c r="BC48" s="900" t="s">
        <v>2139</v>
      </c>
      <c r="BD48" s="926"/>
      <c r="BE48" s="926"/>
      <c r="BF48" s="831"/>
      <c r="BG48" s="877"/>
      <c r="BH48" s="877"/>
      <c r="BI48" s="877"/>
      <c r="BJ48" s="877"/>
      <c r="BK48" s="877"/>
      <c r="BL48" s="877"/>
      <c r="BM48" s="877"/>
      <c r="BN48" s="815"/>
      <c r="BO48" s="880" t="s">
        <v>7484</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7485</v>
      </c>
      <c r="B49" s="809" t="s">
        <v>220</v>
      </c>
      <c r="C49" s="805" t="s">
        <v>1260</v>
      </c>
      <c r="D49" s="806" t="s">
        <v>1260</v>
      </c>
      <c r="E49" s="807" t="s">
        <v>1260</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1260</v>
      </c>
      <c r="D50" s="806" t="s">
        <v>1260</v>
      </c>
      <c r="E50" s="807" t="s">
        <v>1260</v>
      </c>
      <c r="F50" s="808" t="s">
        <v>1260</v>
      </c>
      <c r="G50" s="809" t="s">
        <v>1054</v>
      </c>
      <c r="H50" s="853"/>
      <c r="I50" s="853"/>
      <c r="J50" s="853"/>
      <c r="K50" s="853"/>
      <c r="L50" s="854" t="s">
        <v>4838</v>
      </c>
      <c r="M50" s="853"/>
      <c r="N50" s="854" t="s">
        <v>7486</v>
      </c>
      <c r="O50" s="853"/>
      <c r="P50" s="815"/>
      <c r="Q50" s="858"/>
      <c r="R50" s="858"/>
      <c r="S50" s="858"/>
      <c r="T50" s="858"/>
      <c r="U50" s="857"/>
      <c r="V50" s="857" t="s">
        <v>7487</v>
      </c>
      <c r="W50" s="815"/>
      <c r="X50" s="925"/>
      <c r="Y50" s="925"/>
      <c r="Z50" s="893" t="s">
        <v>7488</v>
      </c>
      <c r="AA50" s="967"/>
      <c r="AB50" s="862" t="s">
        <v>816</v>
      </c>
      <c r="AC50" s="925"/>
      <c r="AD50" s="925"/>
      <c r="AE50" s="925"/>
      <c r="AF50" s="925"/>
      <c r="AG50" s="862" t="s">
        <v>7489</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7490</v>
      </c>
      <c r="BF50" s="831"/>
      <c r="BG50" s="877"/>
      <c r="BH50" s="877"/>
      <c r="BI50" s="877"/>
      <c r="BJ50" s="877"/>
      <c r="BK50" s="877"/>
      <c r="BL50" s="877"/>
      <c r="BM50" s="877"/>
      <c r="BN50" s="815"/>
      <c r="BO50" s="880" t="s">
        <v>7491</v>
      </c>
      <c r="BP50" s="929"/>
      <c r="BQ50" s="879"/>
      <c r="BR50" s="879"/>
      <c r="BS50" s="879"/>
      <c r="BT50" s="879"/>
      <c r="BU50" s="879"/>
      <c r="BV50" s="879"/>
      <c r="BW50" s="930" t="s">
        <v>7492</v>
      </c>
      <c r="BX50" s="815"/>
      <c r="BY50" s="885"/>
      <c r="BZ50" s="885"/>
      <c r="CA50" s="885"/>
      <c r="CB50" s="905"/>
      <c r="CC50" s="885"/>
      <c r="CD50" s="885"/>
      <c r="CE50" s="885"/>
      <c r="CF50" s="885"/>
      <c r="CG50" s="885"/>
      <c r="CH50" s="885"/>
      <c r="CI50" s="885"/>
      <c r="CJ50" s="905"/>
      <c r="CK50" s="905"/>
    </row>
    <row r="51">
      <c r="A51" s="852" t="s">
        <v>7493</v>
      </c>
      <c r="B51" s="809" t="s">
        <v>221</v>
      </c>
      <c r="C51" s="805" t="s">
        <v>1260</v>
      </c>
      <c r="D51" s="806" t="s">
        <v>1260</v>
      </c>
      <c r="E51" s="807" t="s">
        <v>1260</v>
      </c>
      <c r="F51" s="808" t="s">
        <v>1260</v>
      </c>
      <c r="G51" s="809" t="s">
        <v>439</v>
      </c>
      <c r="H51" s="853"/>
      <c r="I51" s="853"/>
      <c r="J51" s="853"/>
      <c r="K51" s="853"/>
      <c r="L51" s="853"/>
      <c r="M51" s="853"/>
      <c r="N51" s="853"/>
      <c r="O51" s="853"/>
      <c r="P51" s="815"/>
      <c r="Q51" s="858"/>
      <c r="R51" s="858"/>
      <c r="S51" s="858"/>
      <c r="T51" s="858"/>
      <c r="U51" s="858"/>
      <c r="V51" s="977" t="s">
        <v>7494</v>
      </c>
      <c r="W51" s="815"/>
      <c r="X51" s="925"/>
      <c r="Y51" s="925"/>
      <c r="Z51" s="925"/>
      <c r="AA51" s="967"/>
      <c r="AB51" s="925"/>
      <c r="AC51" s="925"/>
      <c r="AD51" s="925"/>
      <c r="AE51" s="925"/>
      <c r="AF51" s="925"/>
      <c r="AG51" s="925"/>
      <c r="AH51" s="977" t="s">
        <v>7495</v>
      </c>
      <c r="AI51" s="815"/>
      <c r="AJ51" s="866"/>
      <c r="AK51" s="866"/>
      <c r="AL51" s="866"/>
      <c r="AM51" s="866"/>
      <c r="AN51" s="866"/>
      <c r="AO51" s="866"/>
      <c r="AP51" s="866"/>
      <c r="AQ51" s="866"/>
      <c r="AR51" s="866"/>
      <c r="AS51" s="866"/>
      <c r="AT51" s="866"/>
      <c r="AU51" s="866"/>
      <c r="AV51" s="866"/>
      <c r="AW51" s="866"/>
      <c r="AX51" s="866"/>
      <c r="AY51" s="977" t="s">
        <v>7496</v>
      </c>
      <c r="AZ51" s="831"/>
      <c r="BA51" s="926"/>
      <c r="BB51" s="926"/>
      <c r="BC51" s="926"/>
      <c r="BD51" s="926"/>
      <c r="BE51" s="977" t="s">
        <v>7497</v>
      </c>
      <c r="BF51" s="831"/>
      <c r="BG51" s="877"/>
      <c r="BH51" s="877"/>
      <c r="BI51" s="877"/>
      <c r="BJ51" s="877"/>
      <c r="BK51" s="877"/>
      <c r="BL51" s="977" t="s">
        <v>7498</v>
      </c>
      <c r="BM51" s="875"/>
      <c r="BN51" s="815"/>
      <c r="BO51" s="879"/>
      <c r="BP51" s="929"/>
      <c r="BQ51" s="879"/>
      <c r="BR51" s="879"/>
      <c r="BS51" s="879"/>
      <c r="BT51" s="879"/>
      <c r="BU51" s="879"/>
      <c r="BV51" s="879"/>
      <c r="BW51" s="977" t="s">
        <v>7499</v>
      </c>
      <c r="BX51" s="815"/>
      <c r="BY51" s="885"/>
      <c r="BZ51" s="885"/>
      <c r="CA51" s="885"/>
      <c r="CB51" s="905"/>
      <c r="CC51" s="885"/>
      <c r="CD51" s="885"/>
      <c r="CE51" s="885"/>
      <c r="CF51" s="885"/>
      <c r="CG51" s="885"/>
      <c r="CH51" s="885"/>
      <c r="CI51" s="885"/>
      <c r="CJ51" s="905"/>
      <c r="CK51" s="905"/>
    </row>
    <row r="52">
      <c r="A52" s="983" t="s">
        <v>7500</v>
      </c>
      <c r="B52" s="809" t="s">
        <v>221</v>
      </c>
      <c r="C52" s="805" t="s">
        <v>1260</v>
      </c>
      <c r="D52" s="806" t="s">
        <v>1260</v>
      </c>
      <c r="E52" s="807" t="s">
        <v>1260</v>
      </c>
      <c r="F52" s="808" t="s">
        <v>1260</v>
      </c>
      <c r="G52" s="809" t="s">
        <v>438</v>
      </c>
      <c r="H52" s="853"/>
      <c r="I52" s="853"/>
      <c r="J52" s="853"/>
      <c r="K52" s="853"/>
      <c r="L52" s="853"/>
      <c r="M52" s="854"/>
      <c r="N52" s="853"/>
      <c r="O52" s="853"/>
      <c r="P52" s="815"/>
      <c r="Q52" s="858"/>
      <c r="R52" s="858"/>
      <c r="S52" s="858"/>
      <c r="T52" s="858"/>
      <c r="U52" s="858"/>
      <c r="V52" s="858"/>
      <c r="W52" s="815"/>
      <c r="X52" s="925"/>
      <c r="Y52" s="925"/>
      <c r="Z52" s="936" t="s">
        <v>7501</v>
      </c>
      <c r="AA52" s="925"/>
      <c r="AB52" s="936" t="s">
        <v>7502</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7503</v>
      </c>
      <c r="B53" s="809" t="s">
        <v>3061</v>
      </c>
      <c r="C53" s="805" t="s">
        <v>1260</v>
      </c>
      <c r="D53" s="806" t="s">
        <v>1260</v>
      </c>
      <c r="E53" s="807" t="s">
        <v>1260</v>
      </c>
      <c r="F53" s="808" t="s">
        <v>1260</v>
      </c>
      <c r="G53" s="809" t="s">
        <v>650</v>
      </c>
      <c r="H53" s="853"/>
      <c r="I53" s="853"/>
      <c r="J53" s="853"/>
      <c r="K53" s="853"/>
      <c r="L53" s="853"/>
      <c r="M53" s="853"/>
      <c r="N53" s="854" t="s">
        <v>7504</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7505</v>
      </c>
      <c r="BF53" s="831"/>
      <c r="BG53" s="877"/>
      <c r="BH53" s="877"/>
      <c r="BI53" s="877"/>
      <c r="BJ53" s="877"/>
      <c r="BK53" s="877"/>
      <c r="BL53" s="877"/>
      <c r="BM53" s="877"/>
      <c r="BN53" s="815"/>
      <c r="BO53" s="879"/>
      <c r="BP53" s="929"/>
      <c r="BQ53" s="879"/>
      <c r="BR53" s="879"/>
      <c r="BS53" s="879"/>
      <c r="BT53" s="879"/>
      <c r="BU53" s="879"/>
      <c r="BV53" s="879"/>
      <c r="BW53" s="880" t="s">
        <v>7506</v>
      </c>
      <c r="BX53" s="815"/>
      <c r="BY53" s="885"/>
      <c r="BZ53" s="885"/>
      <c r="CA53" s="885"/>
      <c r="CB53" s="905"/>
      <c r="CC53" s="885"/>
      <c r="CD53" s="885"/>
      <c r="CE53" s="885"/>
      <c r="CF53" s="885"/>
      <c r="CG53" s="885"/>
      <c r="CH53" s="885"/>
      <c r="CI53" s="885"/>
      <c r="CJ53" s="905"/>
      <c r="CK53" s="905"/>
    </row>
    <row r="54">
      <c r="A54" s="852" t="s">
        <v>3625</v>
      </c>
      <c r="B54" s="809" t="s">
        <v>1200</v>
      </c>
      <c r="C54" s="805" t="s">
        <v>1260</v>
      </c>
      <c r="D54" s="806" t="s">
        <v>1260</v>
      </c>
      <c r="E54" s="807" t="s">
        <v>1260</v>
      </c>
      <c r="F54" s="808" t="s">
        <v>547</v>
      </c>
      <c r="G54" s="809" t="s">
        <v>650</v>
      </c>
      <c r="H54" s="853"/>
      <c r="I54" s="853"/>
      <c r="J54" s="853"/>
      <c r="K54" s="853"/>
      <c r="L54" s="853"/>
      <c r="M54" s="853"/>
      <c r="N54" s="853"/>
      <c r="O54" s="853"/>
      <c r="P54" s="815"/>
      <c r="Q54" s="857" t="s">
        <v>6144</v>
      </c>
      <c r="R54" s="858"/>
      <c r="S54" s="858"/>
      <c r="T54" s="858"/>
      <c r="U54" s="858"/>
      <c r="V54" s="858"/>
      <c r="W54" s="815"/>
      <c r="X54" s="925"/>
      <c r="Y54" s="925"/>
      <c r="Z54" s="893" t="s">
        <v>1590</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7507</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6463</v>
      </c>
      <c r="B55" s="809" t="s">
        <v>1200</v>
      </c>
      <c r="C55" s="805" t="s">
        <v>1260</v>
      </c>
      <c r="D55" s="806" t="s">
        <v>1260</v>
      </c>
      <c r="E55" s="807" t="s">
        <v>1260</v>
      </c>
      <c r="F55" s="808" t="s">
        <v>1260</v>
      </c>
      <c r="G55" s="809" t="s">
        <v>438</v>
      </c>
      <c r="H55" s="853"/>
      <c r="I55" s="853"/>
      <c r="J55" s="853"/>
      <c r="K55" s="853"/>
      <c r="L55" s="853"/>
      <c r="M55" s="853"/>
      <c r="N55" s="853"/>
      <c r="O55" s="853"/>
      <c r="P55" s="815"/>
      <c r="Q55" s="858"/>
      <c r="R55" s="858"/>
      <c r="S55" s="858"/>
      <c r="T55" s="858"/>
      <c r="U55" s="858"/>
      <c r="V55" s="858"/>
      <c r="W55" s="815"/>
      <c r="X55" s="893" t="s">
        <v>1037</v>
      </c>
      <c r="Y55" s="925"/>
      <c r="Z55" s="893" t="s">
        <v>2058</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6148</v>
      </c>
      <c r="B56" s="809" t="s">
        <v>1054</v>
      </c>
      <c r="C56" s="805" t="s">
        <v>1260</v>
      </c>
      <c r="D56" s="806" t="s">
        <v>1260</v>
      </c>
      <c r="E56" s="807" t="s">
        <v>1260</v>
      </c>
      <c r="F56" s="808" t="s">
        <v>1260</v>
      </c>
      <c r="G56" s="809" t="s">
        <v>3873</v>
      </c>
      <c r="H56" s="853"/>
      <c r="I56" s="853"/>
      <c r="J56" s="853"/>
      <c r="K56" s="853"/>
      <c r="L56" s="853"/>
      <c r="M56" s="853"/>
      <c r="N56" s="854" t="s">
        <v>7508</v>
      </c>
      <c r="O56" s="853"/>
      <c r="P56" s="815"/>
      <c r="Q56" s="858"/>
      <c r="R56" s="858"/>
      <c r="S56" s="858"/>
      <c r="T56" s="858"/>
      <c r="U56" s="858"/>
      <c r="V56" s="857" t="s">
        <v>7509</v>
      </c>
      <c r="W56" s="815"/>
      <c r="X56" s="925"/>
      <c r="Y56" s="925"/>
      <c r="Z56" s="925"/>
      <c r="AA56" s="967"/>
      <c r="AB56" s="925"/>
      <c r="AC56" s="925"/>
      <c r="AD56" s="925"/>
      <c r="AE56" s="862" t="s">
        <v>7510</v>
      </c>
      <c r="AF56" s="925"/>
      <c r="AG56" s="925"/>
      <c r="AH56" s="977" t="s">
        <v>7511</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7512</v>
      </c>
      <c r="BE56" s="900" t="s">
        <v>7513</v>
      </c>
      <c r="BF56" s="831"/>
      <c r="BG56" s="877"/>
      <c r="BH56" s="877"/>
      <c r="BI56" s="877"/>
      <c r="BJ56" s="877"/>
      <c r="BK56" s="877"/>
      <c r="BL56" s="877"/>
      <c r="BM56" s="877"/>
      <c r="BN56" s="815"/>
      <c r="BO56" s="879"/>
      <c r="BP56" s="929"/>
      <c r="BQ56" s="879"/>
      <c r="BR56" s="879"/>
      <c r="BS56" s="879"/>
      <c r="BT56" s="879"/>
      <c r="BU56" s="879"/>
      <c r="BV56" s="879"/>
      <c r="BW56" s="880" t="s">
        <v>7514</v>
      </c>
      <c r="BX56" s="815"/>
      <c r="BY56" s="885"/>
      <c r="BZ56" s="885"/>
      <c r="CA56" s="885"/>
      <c r="CB56" s="905"/>
      <c r="CC56" s="885"/>
      <c r="CD56" s="885"/>
      <c r="CE56" s="885"/>
      <c r="CF56" s="885"/>
      <c r="CG56" s="885"/>
      <c r="CH56" s="885"/>
      <c r="CI56" s="885"/>
      <c r="CJ56" s="905"/>
      <c r="CK56" s="905"/>
    </row>
    <row r="57">
      <c r="A57" s="852" t="s">
        <v>7515</v>
      </c>
      <c r="B57" s="809" t="s">
        <v>649</v>
      </c>
      <c r="C57" s="805" t="s">
        <v>1260</v>
      </c>
      <c r="D57" s="806" t="s">
        <v>1260</v>
      </c>
      <c r="E57" s="807" t="s">
        <v>1260</v>
      </c>
      <c r="F57" s="808" t="s">
        <v>1260</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5901</v>
      </c>
      <c r="AL57" s="865" t="s">
        <v>7516</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1712</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1260</v>
      </c>
      <c r="D58" s="806" t="s">
        <v>1260</v>
      </c>
      <c r="E58" s="807" t="s">
        <v>1260</v>
      </c>
      <c r="F58" s="808" t="s">
        <v>1260</v>
      </c>
      <c r="G58" s="809" t="s">
        <v>547</v>
      </c>
      <c r="H58" s="853"/>
      <c r="I58" s="853"/>
      <c r="J58" s="853"/>
      <c r="K58" s="853"/>
      <c r="L58" s="853"/>
      <c r="M58" s="853"/>
      <c r="N58" s="853"/>
      <c r="O58" s="853"/>
      <c r="P58" s="815"/>
      <c r="Q58" s="858"/>
      <c r="R58" s="858"/>
      <c r="S58" s="858"/>
      <c r="T58" s="858"/>
      <c r="U58" s="858"/>
      <c r="V58" s="857" t="s">
        <v>7517</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7518</v>
      </c>
      <c r="B59" s="809" t="s">
        <v>334</v>
      </c>
      <c r="C59" s="805" t="s">
        <v>1260</v>
      </c>
      <c r="D59" s="806" t="s">
        <v>1260</v>
      </c>
      <c r="E59" s="807" t="s">
        <v>1260</v>
      </c>
      <c r="F59" s="808" t="s">
        <v>1260</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7519</v>
      </c>
      <c r="B60" s="809" t="s">
        <v>332</v>
      </c>
      <c r="C60" s="805" t="s">
        <v>1260</v>
      </c>
      <c r="D60" s="806" t="s">
        <v>1260</v>
      </c>
      <c r="E60" s="807" t="s">
        <v>1260</v>
      </c>
      <c r="F60" s="808" t="s">
        <v>1260</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6275</v>
      </c>
      <c r="B61" s="809" t="s">
        <v>332</v>
      </c>
      <c r="C61" s="805" t="s">
        <v>1260</v>
      </c>
      <c r="D61" s="806" t="s">
        <v>1260</v>
      </c>
      <c r="E61" s="807" t="s">
        <v>1260</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7520</v>
      </c>
      <c r="B62" s="809" t="s">
        <v>332</v>
      </c>
      <c r="C62" s="805" t="s">
        <v>1260</v>
      </c>
      <c r="D62" s="806" t="s">
        <v>1260</v>
      </c>
      <c r="E62" s="807" t="s">
        <v>1260</v>
      </c>
      <c r="F62" s="808" t="s">
        <v>438</v>
      </c>
      <c r="G62" s="809" t="s">
        <v>438</v>
      </c>
      <c r="H62" s="853"/>
      <c r="I62" s="853"/>
      <c r="J62" s="853"/>
      <c r="K62" s="853"/>
      <c r="L62" s="855" t="s">
        <v>7521</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6815</v>
      </c>
      <c r="BV62" s="879"/>
      <c r="BW62" s="879"/>
      <c r="BX62" s="815"/>
      <c r="BY62" s="885"/>
      <c r="BZ62" s="885"/>
      <c r="CA62" s="885"/>
      <c r="CB62" s="905"/>
      <c r="CC62" s="885"/>
      <c r="CD62" s="885"/>
      <c r="CE62" s="885"/>
      <c r="CF62" s="885"/>
      <c r="CG62" s="885"/>
      <c r="CH62" s="885"/>
      <c r="CI62" s="885"/>
      <c r="CJ62" s="905"/>
      <c r="CK62" s="905"/>
    </row>
    <row r="63">
      <c r="A63" s="852" t="s">
        <v>7522</v>
      </c>
      <c r="B63" s="809" t="s">
        <v>547</v>
      </c>
      <c r="C63" s="805" t="s">
        <v>1260</v>
      </c>
      <c r="D63" s="806" t="s">
        <v>1260</v>
      </c>
      <c r="E63" s="807" t="s">
        <v>1260</v>
      </c>
      <c r="F63" s="808" t="s">
        <v>1260</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5787</v>
      </c>
      <c r="B64" s="809" t="s">
        <v>547</v>
      </c>
      <c r="C64" s="805" t="s">
        <v>1260</v>
      </c>
      <c r="D64" s="806" t="s">
        <v>1260</v>
      </c>
      <c r="E64" s="807" t="s">
        <v>1260</v>
      </c>
      <c r="F64" s="808" t="s">
        <v>1260</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7523</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6550</v>
      </c>
      <c r="B65" s="809" t="s">
        <v>1260</v>
      </c>
      <c r="C65" s="805" t="s">
        <v>1260</v>
      </c>
      <c r="D65" s="806" t="s">
        <v>1260</v>
      </c>
      <c r="E65" s="807" t="s">
        <v>1260</v>
      </c>
      <c r="F65" s="808" t="s">
        <v>1260</v>
      </c>
      <c r="G65" s="809" t="s">
        <v>1260</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1260</v>
      </c>
      <c r="C66" s="805" t="s">
        <v>1260</v>
      </c>
      <c r="D66" s="806" t="s">
        <v>1260</v>
      </c>
      <c r="E66" s="807" t="s">
        <v>1260</v>
      </c>
      <c r="F66" s="808" t="s">
        <v>1260</v>
      </c>
      <c r="G66" s="809" t="s">
        <v>1260</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1260</v>
      </c>
      <c r="C67" s="805" t="s">
        <v>1260</v>
      </c>
      <c r="D67" s="806" t="s">
        <v>1260</v>
      </c>
      <c r="E67" s="807" t="s">
        <v>1260</v>
      </c>
      <c r="F67" s="808" t="s">
        <v>1260</v>
      </c>
      <c r="G67" s="809" t="s">
        <v>1260</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1260</v>
      </c>
      <c r="C68" s="805" t="s">
        <v>1260</v>
      </c>
      <c r="D68" s="806" t="s">
        <v>1260</v>
      </c>
      <c r="E68" s="807" t="s">
        <v>1260</v>
      </c>
      <c r="F68" s="808" t="s">
        <v>1260</v>
      </c>
      <c r="G68" s="809" t="s">
        <v>1260</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1260</v>
      </c>
      <c r="C69" s="805" t="s">
        <v>1260</v>
      </c>
      <c r="D69" s="806" t="s">
        <v>1260</v>
      </c>
      <c r="E69" s="807" t="s">
        <v>1260</v>
      </c>
      <c r="F69" s="808" t="s">
        <v>1260</v>
      </c>
      <c r="G69" s="809" t="s">
        <v>1260</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1260</v>
      </c>
      <c r="C70" s="805" t="s">
        <v>1260</v>
      </c>
      <c r="D70" s="806" t="s">
        <v>1260</v>
      </c>
      <c r="E70" s="807" t="s">
        <v>1260</v>
      </c>
      <c r="F70" s="808" t="s">
        <v>1260</v>
      </c>
      <c r="G70" s="809" t="s">
        <v>1260</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1260</v>
      </c>
      <c r="C71" s="805" t="s">
        <v>1260</v>
      </c>
      <c r="D71" s="806" t="s">
        <v>1260</v>
      </c>
      <c r="E71" s="807" t="s">
        <v>1260</v>
      </c>
      <c r="F71" s="808" t="s">
        <v>1260</v>
      </c>
      <c r="G71" s="809" t="s">
        <v>1260</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1260</v>
      </c>
      <c r="C72" s="805" t="s">
        <v>1260</v>
      </c>
      <c r="D72" s="806" t="s">
        <v>1260</v>
      </c>
      <c r="E72" s="807" t="s">
        <v>1260</v>
      </c>
      <c r="F72" s="808" t="s">
        <v>1260</v>
      </c>
      <c r="G72" s="809" t="s">
        <v>1260</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1260</v>
      </c>
      <c r="C73" s="805" t="s">
        <v>1260</v>
      </c>
      <c r="D73" s="806" t="s">
        <v>1260</v>
      </c>
      <c r="E73" s="807" t="s">
        <v>1260</v>
      </c>
      <c r="F73" s="808" t="s">
        <v>1260</v>
      </c>
      <c r="G73" s="809" t="s">
        <v>1260</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1260</v>
      </c>
      <c r="C74" s="805" t="s">
        <v>1260</v>
      </c>
      <c r="D74" s="806" t="s">
        <v>1260</v>
      </c>
      <c r="E74" s="807" t="s">
        <v>1260</v>
      </c>
      <c r="F74" s="808" t="s">
        <v>1260</v>
      </c>
      <c r="G74" s="809" t="s">
        <v>1260</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1260</v>
      </c>
      <c r="C75" s="805" t="s">
        <v>1260</v>
      </c>
      <c r="D75" s="806" t="s">
        <v>1260</v>
      </c>
      <c r="E75" s="807" t="s">
        <v>1260</v>
      </c>
      <c r="F75" s="808" t="s">
        <v>1260</v>
      </c>
      <c r="G75" s="809" t="s">
        <v>1260</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1260</v>
      </c>
      <c r="C76" s="805" t="s">
        <v>1260</v>
      </c>
      <c r="D76" s="806" t="s">
        <v>1260</v>
      </c>
      <c r="E76" s="807" t="s">
        <v>1260</v>
      </c>
      <c r="F76" s="808" t="s">
        <v>1260</v>
      </c>
      <c r="G76" s="809" t="s">
        <v>1260</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1260</v>
      </c>
      <c r="C77" s="805" t="s">
        <v>1260</v>
      </c>
      <c r="D77" s="806" t="s">
        <v>1260</v>
      </c>
      <c r="E77" s="807" t="s">
        <v>1260</v>
      </c>
      <c r="F77" s="808" t="s">
        <v>1260</v>
      </c>
      <c r="G77" s="809" t="s">
        <v>1260</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1260</v>
      </c>
      <c r="C78" s="805" t="s">
        <v>1260</v>
      </c>
      <c r="D78" s="806" t="s">
        <v>1260</v>
      </c>
      <c r="E78" s="807" t="s">
        <v>1260</v>
      </c>
      <c r="F78" s="808" t="s">
        <v>1260</v>
      </c>
      <c r="G78" s="809" t="s">
        <v>1260</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1260</v>
      </c>
      <c r="C79" s="805" t="s">
        <v>1260</v>
      </c>
      <c r="D79" s="806" t="s">
        <v>1260</v>
      </c>
      <c r="E79" s="807" t="s">
        <v>1260</v>
      </c>
      <c r="F79" s="808" t="s">
        <v>1260</v>
      </c>
      <c r="G79" s="809" t="s">
        <v>1260</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1260</v>
      </c>
      <c r="C80" s="805" t="s">
        <v>1260</v>
      </c>
      <c r="D80" s="806" t="s">
        <v>1260</v>
      </c>
      <c r="E80" s="807" t="s">
        <v>1260</v>
      </c>
      <c r="F80" s="808" t="s">
        <v>1260</v>
      </c>
      <c r="G80" s="809" t="s">
        <v>1260</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1260</v>
      </c>
      <c r="C81" s="805" t="s">
        <v>1260</v>
      </c>
      <c r="D81" s="806" t="s">
        <v>1260</v>
      </c>
      <c r="E81" s="807" t="s">
        <v>1260</v>
      </c>
      <c r="F81" s="808" t="s">
        <v>1260</v>
      </c>
      <c r="G81" s="809" t="s">
        <v>1260</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1260</v>
      </c>
      <c r="C82" s="805" t="s">
        <v>1260</v>
      </c>
      <c r="D82" s="806" t="s">
        <v>1260</v>
      </c>
      <c r="E82" s="807" t="s">
        <v>1260</v>
      </c>
      <c r="F82" s="808" t="s">
        <v>1260</v>
      </c>
      <c r="G82" s="809" t="s">
        <v>1260</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1260</v>
      </c>
      <c r="C83" s="805" t="s">
        <v>1260</v>
      </c>
      <c r="D83" s="806" t="s">
        <v>1260</v>
      </c>
      <c r="E83" s="807" t="s">
        <v>1260</v>
      </c>
      <c r="F83" s="808" t="s">
        <v>1260</v>
      </c>
      <c r="G83" s="809" t="s">
        <v>1260</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1260</v>
      </c>
      <c r="C84" s="805" t="s">
        <v>1260</v>
      </c>
      <c r="D84" s="806" t="s">
        <v>1260</v>
      </c>
      <c r="E84" s="807" t="s">
        <v>1260</v>
      </c>
      <c r="F84" s="808" t="s">
        <v>1260</v>
      </c>
      <c r="G84" s="809" t="s">
        <v>1260</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1260</v>
      </c>
      <c r="C85" s="805" t="s">
        <v>1260</v>
      </c>
      <c r="D85" s="806" t="s">
        <v>1260</v>
      </c>
      <c r="E85" s="807" t="s">
        <v>1260</v>
      </c>
      <c r="F85" s="808" t="s">
        <v>1260</v>
      </c>
      <c r="G85" s="809" t="s">
        <v>1260</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1260</v>
      </c>
      <c r="C86" s="805" t="s">
        <v>1260</v>
      </c>
      <c r="D86" s="806" t="s">
        <v>1260</v>
      </c>
      <c r="E86" s="807" t="s">
        <v>1260</v>
      </c>
      <c r="F86" s="808" t="s">
        <v>1260</v>
      </c>
      <c r="G86" s="809" t="s">
        <v>1260</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1260</v>
      </c>
      <c r="C87" s="805" t="s">
        <v>1260</v>
      </c>
      <c r="D87" s="806" t="s">
        <v>1260</v>
      </c>
      <c r="E87" s="807" t="s">
        <v>1260</v>
      </c>
      <c r="F87" s="808" t="s">
        <v>1260</v>
      </c>
      <c r="G87" s="809" t="s">
        <v>1260</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1260</v>
      </c>
      <c r="C88" s="805" t="s">
        <v>1260</v>
      </c>
      <c r="D88" s="806" t="s">
        <v>1260</v>
      </c>
      <c r="E88" s="807" t="s">
        <v>1260</v>
      </c>
      <c r="F88" s="808" t="s">
        <v>1260</v>
      </c>
      <c r="G88" s="809" t="s">
        <v>1260</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1260</v>
      </c>
      <c r="C89" s="805" t="s">
        <v>1260</v>
      </c>
      <c r="D89" s="806" t="s">
        <v>1260</v>
      </c>
      <c r="E89" s="807" t="s">
        <v>1260</v>
      </c>
      <c r="F89" s="808" t="s">
        <v>1260</v>
      </c>
      <c r="G89" s="809" t="s">
        <v>1260</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1260</v>
      </c>
      <c r="C90" s="805" t="s">
        <v>1260</v>
      </c>
      <c r="D90" s="806" t="s">
        <v>1260</v>
      </c>
      <c r="E90" s="807" t="s">
        <v>1260</v>
      </c>
      <c r="F90" s="808" t="s">
        <v>1260</v>
      </c>
      <c r="G90" s="809" t="s">
        <v>1260</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1260</v>
      </c>
      <c r="C91" s="805" t="s">
        <v>1260</v>
      </c>
      <c r="D91" s="806" t="s">
        <v>1260</v>
      </c>
      <c r="E91" s="807" t="s">
        <v>1260</v>
      </c>
      <c r="F91" s="808" t="s">
        <v>1260</v>
      </c>
      <c r="G91" s="809" t="s">
        <v>1260</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1260</v>
      </c>
      <c r="C92" s="805" t="s">
        <v>1260</v>
      </c>
      <c r="D92" s="806" t="s">
        <v>1260</v>
      </c>
      <c r="E92" s="807" t="s">
        <v>1260</v>
      </c>
      <c r="F92" s="808" t="s">
        <v>1260</v>
      </c>
      <c r="G92" s="809" t="s">
        <v>1260</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1260</v>
      </c>
      <c r="C93" s="805" t="s">
        <v>1260</v>
      </c>
      <c r="D93" s="806" t="s">
        <v>1260</v>
      </c>
      <c r="E93" s="807" t="s">
        <v>1260</v>
      </c>
      <c r="F93" s="808" t="s">
        <v>1260</v>
      </c>
      <c r="G93" s="809" t="s">
        <v>1260</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1260</v>
      </c>
      <c r="C94" s="805" t="s">
        <v>1260</v>
      </c>
      <c r="D94" s="806" t="s">
        <v>1260</v>
      </c>
      <c r="E94" s="807" t="s">
        <v>1260</v>
      </c>
      <c r="F94" s="808" t="s">
        <v>1260</v>
      </c>
      <c r="G94" s="809" t="s">
        <v>1260</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1260</v>
      </c>
      <c r="C95" s="805" t="s">
        <v>1260</v>
      </c>
      <c r="D95" s="806" t="s">
        <v>1260</v>
      </c>
      <c r="E95" s="807" t="s">
        <v>1260</v>
      </c>
      <c r="F95" s="808" t="s">
        <v>1260</v>
      </c>
      <c r="G95" s="809" t="s">
        <v>1260</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1260</v>
      </c>
      <c r="C96" s="805" t="s">
        <v>1260</v>
      </c>
      <c r="D96" s="806" t="s">
        <v>1260</v>
      </c>
      <c r="E96" s="807" t="s">
        <v>1260</v>
      </c>
      <c r="F96" s="808" t="s">
        <v>1260</v>
      </c>
      <c r="G96" s="809" t="s">
        <v>1260</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1260</v>
      </c>
      <c r="C97" s="805" t="s">
        <v>1260</v>
      </c>
      <c r="D97" s="806" t="s">
        <v>1260</v>
      </c>
      <c r="E97" s="807" t="s">
        <v>1260</v>
      </c>
      <c r="F97" s="808" t="s">
        <v>1260</v>
      </c>
      <c r="G97" s="809" t="s">
        <v>1260</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1260</v>
      </c>
      <c r="C98" s="805" t="s">
        <v>1260</v>
      </c>
      <c r="D98" s="806" t="s">
        <v>1260</v>
      </c>
      <c r="E98" s="807" t="s">
        <v>1260</v>
      </c>
      <c r="F98" s="808" t="s">
        <v>1260</v>
      </c>
      <c r="G98" s="809" t="s">
        <v>1260</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1260</v>
      </c>
      <c r="C99" s="805" t="s">
        <v>1260</v>
      </c>
      <c r="D99" s="806" t="s">
        <v>1260</v>
      </c>
      <c r="E99" s="807" t="s">
        <v>1260</v>
      </c>
      <c r="F99" s="808" t="s">
        <v>1260</v>
      </c>
      <c r="G99" s="809" t="s">
        <v>1260</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1260</v>
      </c>
      <c r="C100" s="805" t="s">
        <v>1260</v>
      </c>
      <c r="D100" s="806" t="s">
        <v>1260</v>
      </c>
      <c r="E100" s="807" t="s">
        <v>1260</v>
      </c>
      <c r="F100" s="808" t="s">
        <v>1260</v>
      </c>
      <c r="G100" s="809" t="s">
        <v>1260</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1260</v>
      </c>
      <c r="C101" s="805" t="s">
        <v>1260</v>
      </c>
      <c r="D101" s="806" t="s">
        <v>1260</v>
      </c>
      <c r="E101" s="807" t="s">
        <v>1260</v>
      </c>
      <c r="F101" s="808" t="s">
        <v>1260</v>
      </c>
      <c r="G101" s="809" t="s">
        <v>1260</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1260</v>
      </c>
      <c r="C102" s="805" t="s">
        <v>1260</v>
      </c>
      <c r="D102" s="806" t="s">
        <v>1260</v>
      </c>
      <c r="E102" s="807" t="s">
        <v>1260</v>
      </c>
      <c r="F102" s="808" t="s">
        <v>1260</v>
      </c>
      <c r="G102" s="809" t="s">
        <v>1260</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1260</v>
      </c>
      <c r="C103" s="805" t="s">
        <v>1260</v>
      </c>
      <c r="D103" s="806" t="s">
        <v>1260</v>
      </c>
      <c r="E103" s="807" t="s">
        <v>1260</v>
      </c>
      <c r="F103" s="808" t="s">
        <v>1260</v>
      </c>
      <c r="G103" s="809" t="s">
        <v>1260</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1260</v>
      </c>
      <c r="C104" s="805" t="s">
        <v>1260</v>
      </c>
      <c r="D104" s="806" t="s">
        <v>1260</v>
      </c>
      <c r="E104" s="807" t="s">
        <v>1260</v>
      </c>
      <c r="F104" s="808" t="s">
        <v>1260</v>
      </c>
      <c r="G104" s="809" t="s">
        <v>1260</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1260</v>
      </c>
      <c r="C105" s="805" t="s">
        <v>1260</v>
      </c>
      <c r="D105" s="806" t="s">
        <v>1260</v>
      </c>
      <c r="E105" s="807" t="s">
        <v>1260</v>
      </c>
      <c r="F105" s="808" t="s">
        <v>1260</v>
      </c>
      <c r="G105" s="809" t="s">
        <v>1260</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1260</v>
      </c>
      <c r="C106" s="805" t="s">
        <v>1260</v>
      </c>
      <c r="D106" s="806" t="s">
        <v>1260</v>
      </c>
      <c r="E106" s="807" t="s">
        <v>1260</v>
      </c>
      <c r="F106" s="808" t="s">
        <v>1260</v>
      </c>
      <c r="G106" s="809" t="s">
        <v>1260</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1260</v>
      </c>
      <c r="C107" s="805" t="s">
        <v>1260</v>
      </c>
      <c r="D107" s="806" t="s">
        <v>1260</v>
      </c>
      <c r="E107" s="807" t="s">
        <v>1260</v>
      </c>
      <c r="F107" s="808" t="s">
        <v>1260</v>
      </c>
      <c r="G107" s="809" t="s">
        <v>1260</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1260</v>
      </c>
      <c r="C108" s="805" t="s">
        <v>1260</v>
      </c>
      <c r="D108" s="806" t="s">
        <v>1260</v>
      </c>
      <c r="E108" s="807" t="s">
        <v>1260</v>
      </c>
      <c r="F108" s="808" t="s">
        <v>1260</v>
      </c>
      <c r="G108" s="809" t="s">
        <v>1260</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1260</v>
      </c>
      <c r="C109" s="805" t="s">
        <v>1260</v>
      </c>
      <c r="D109" s="806" t="s">
        <v>1260</v>
      </c>
      <c r="E109" s="807" t="s">
        <v>1260</v>
      </c>
      <c r="F109" s="808" t="s">
        <v>1260</v>
      </c>
      <c r="G109" s="809" t="s">
        <v>1260</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1260</v>
      </c>
      <c r="C110" s="805" t="s">
        <v>1260</v>
      </c>
      <c r="D110" s="806" t="s">
        <v>1260</v>
      </c>
      <c r="E110" s="807" t="s">
        <v>1260</v>
      </c>
      <c r="F110" s="808" t="s">
        <v>1260</v>
      </c>
      <c r="G110" s="809" t="s">
        <v>1260</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1260</v>
      </c>
      <c r="C111" s="805" t="s">
        <v>1260</v>
      </c>
      <c r="D111" s="806" t="s">
        <v>1260</v>
      </c>
      <c r="E111" s="807" t="s">
        <v>1260</v>
      </c>
      <c r="F111" s="808" t="s">
        <v>1260</v>
      </c>
      <c r="G111" s="809" t="s">
        <v>1260</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1260</v>
      </c>
      <c r="C112" s="805" t="s">
        <v>1260</v>
      </c>
      <c r="D112" s="806" t="s">
        <v>1260</v>
      </c>
      <c r="E112" s="807" t="s">
        <v>1260</v>
      </c>
      <c r="F112" s="808" t="s">
        <v>1260</v>
      </c>
      <c r="G112" s="809" t="s">
        <v>1260</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1260</v>
      </c>
      <c r="C113" s="805" t="s">
        <v>1260</v>
      </c>
      <c r="D113" s="806" t="s">
        <v>1260</v>
      </c>
      <c r="E113" s="807" t="s">
        <v>1260</v>
      </c>
      <c r="F113" s="808" t="s">
        <v>1260</v>
      </c>
      <c r="G113" s="809" t="s">
        <v>1260</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1260</v>
      </c>
      <c r="C114" s="805" t="s">
        <v>1260</v>
      </c>
      <c r="D114" s="806" t="s">
        <v>1260</v>
      </c>
      <c r="E114" s="807" t="s">
        <v>1260</v>
      </c>
      <c r="F114" s="808" t="s">
        <v>1260</v>
      </c>
      <c r="G114" s="809" t="s">
        <v>1260</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1260</v>
      </c>
      <c r="C115" s="805" t="s">
        <v>1260</v>
      </c>
      <c r="D115" s="806" t="s">
        <v>1260</v>
      </c>
      <c r="E115" s="807" t="s">
        <v>1260</v>
      </c>
      <c r="F115" s="808" t="s">
        <v>1260</v>
      </c>
      <c r="G115" s="809" t="s">
        <v>1260</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1260</v>
      </c>
      <c r="C116" s="805" t="s">
        <v>1260</v>
      </c>
      <c r="D116" s="806" t="s">
        <v>1260</v>
      </c>
      <c r="E116" s="807" t="s">
        <v>1260</v>
      </c>
      <c r="F116" s="808" t="s">
        <v>1260</v>
      </c>
      <c r="G116" s="809" t="s">
        <v>1260</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1260</v>
      </c>
      <c r="C117" s="805" t="s">
        <v>1260</v>
      </c>
      <c r="D117" s="806" t="s">
        <v>1260</v>
      </c>
      <c r="E117" s="807" t="s">
        <v>1260</v>
      </c>
      <c r="F117" s="808" t="s">
        <v>1260</v>
      </c>
      <c r="G117" s="809" t="s">
        <v>1260</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1260</v>
      </c>
      <c r="C118" s="805" t="s">
        <v>1260</v>
      </c>
      <c r="D118" s="806" t="s">
        <v>1260</v>
      </c>
      <c r="E118" s="807" t="s">
        <v>1260</v>
      </c>
      <c r="F118" s="808" t="s">
        <v>1260</v>
      </c>
      <c r="G118" s="809" t="s">
        <v>1260</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1260</v>
      </c>
      <c r="C119" s="805" t="s">
        <v>1260</v>
      </c>
      <c r="D119" s="806" t="s">
        <v>1260</v>
      </c>
      <c r="E119" s="807" t="s">
        <v>1260</v>
      </c>
      <c r="F119" s="808" t="s">
        <v>1260</v>
      </c>
      <c r="G119" s="809" t="s">
        <v>1260</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1260</v>
      </c>
      <c r="C120" s="805" t="s">
        <v>1260</v>
      </c>
      <c r="D120" s="806" t="s">
        <v>1260</v>
      </c>
      <c r="E120" s="807" t="s">
        <v>1260</v>
      </c>
      <c r="F120" s="808" t="s">
        <v>1260</v>
      </c>
      <c r="G120" s="809" t="s">
        <v>1260</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1260</v>
      </c>
      <c r="C121" s="805" t="s">
        <v>1260</v>
      </c>
      <c r="D121" s="806" t="s">
        <v>1260</v>
      </c>
      <c r="E121" s="807" t="s">
        <v>1260</v>
      </c>
      <c r="F121" s="808" t="s">
        <v>1260</v>
      </c>
      <c r="G121" s="809" t="s">
        <v>1260</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1260</v>
      </c>
      <c r="C122" s="805" t="s">
        <v>1260</v>
      </c>
      <c r="D122" s="806" t="s">
        <v>1260</v>
      </c>
      <c r="E122" s="807" t="s">
        <v>1260</v>
      </c>
      <c r="F122" s="808" t="s">
        <v>1260</v>
      </c>
      <c r="G122" s="809" t="s">
        <v>1260</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1260</v>
      </c>
      <c r="C123" s="805" t="s">
        <v>1260</v>
      </c>
      <c r="D123" s="806" t="s">
        <v>1260</v>
      </c>
      <c r="E123" s="807" t="s">
        <v>1260</v>
      </c>
      <c r="F123" s="808" t="s">
        <v>1260</v>
      </c>
      <c r="G123" s="809" t="s">
        <v>1260</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1260</v>
      </c>
      <c r="C124" s="805" t="s">
        <v>1260</v>
      </c>
      <c r="D124" s="806" t="s">
        <v>1260</v>
      </c>
      <c r="E124" s="807" t="s">
        <v>1260</v>
      </c>
      <c r="F124" s="808" t="s">
        <v>1260</v>
      </c>
      <c r="G124" s="809" t="s">
        <v>1260</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1260</v>
      </c>
      <c r="C125" s="805" t="s">
        <v>1260</v>
      </c>
      <c r="D125" s="806" t="s">
        <v>1260</v>
      </c>
      <c r="E125" s="807" t="s">
        <v>1260</v>
      </c>
      <c r="F125" s="808" t="s">
        <v>1260</v>
      </c>
      <c r="G125" s="809" t="s">
        <v>1260</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1260</v>
      </c>
      <c r="C126" s="805" t="s">
        <v>1260</v>
      </c>
      <c r="D126" s="806" t="s">
        <v>1260</v>
      </c>
      <c r="E126" s="807" t="s">
        <v>1260</v>
      </c>
      <c r="F126" s="808" t="s">
        <v>1260</v>
      </c>
      <c r="G126" s="809" t="s">
        <v>1260</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1260</v>
      </c>
      <c r="C127" s="805" t="s">
        <v>1260</v>
      </c>
      <c r="D127" s="806" t="s">
        <v>1260</v>
      </c>
      <c r="E127" s="807" t="s">
        <v>1260</v>
      </c>
      <c r="F127" s="808" t="s">
        <v>1260</v>
      </c>
      <c r="G127" s="809" t="s">
        <v>1260</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1260</v>
      </c>
      <c r="C128" s="805" t="s">
        <v>1260</v>
      </c>
      <c r="D128" s="806" t="s">
        <v>1260</v>
      </c>
      <c r="E128" s="807" t="s">
        <v>1260</v>
      </c>
      <c r="F128" s="808" t="s">
        <v>1260</v>
      </c>
      <c r="G128" s="809" t="s">
        <v>1260</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1260</v>
      </c>
      <c r="C129" s="805" t="s">
        <v>1260</v>
      </c>
      <c r="D129" s="806" t="s">
        <v>1260</v>
      </c>
      <c r="E129" s="807" t="s">
        <v>1260</v>
      </c>
      <c r="F129" s="808" t="s">
        <v>1260</v>
      </c>
      <c r="G129" s="809" t="s">
        <v>1260</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1260</v>
      </c>
      <c r="C130" s="805" t="s">
        <v>1260</v>
      </c>
      <c r="D130" s="806" t="s">
        <v>1260</v>
      </c>
      <c r="E130" s="807" t="s">
        <v>1260</v>
      </c>
      <c r="F130" s="808" t="s">
        <v>1260</v>
      </c>
      <c r="G130" s="809" t="s">
        <v>1260</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1260</v>
      </c>
      <c r="C131" s="805" t="s">
        <v>1260</v>
      </c>
      <c r="D131" s="806" t="s">
        <v>1260</v>
      </c>
      <c r="E131" s="807" t="s">
        <v>1260</v>
      </c>
      <c r="F131" s="808" t="s">
        <v>1260</v>
      </c>
      <c r="G131" s="809" t="s">
        <v>1260</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1260</v>
      </c>
      <c r="C132" s="805" t="s">
        <v>1260</v>
      </c>
      <c r="D132" s="806" t="s">
        <v>1260</v>
      </c>
      <c r="E132" s="807" t="s">
        <v>1260</v>
      </c>
      <c r="F132" s="808" t="s">
        <v>1260</v>
      </c>
      <c r="G132" s="809" t="s">
        <v>1260</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1260</v>
      </c>
      <c r="C133" s="805" t="s">
        <v>1260</v>
      </c>
      <c r="D133" s="806" t="s">
        <v>1260</v>
      </c>
      <c r="E133" s="807" t="s">
        <v>1260</v>
      </c>
      <c r="F133" s="808" t="s">
        <v>1260</v>
      </c>
      <c r="G133" s="809" t="s">
        <v>1260</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1260</v>
      </c>
      <c r="C134" s="805" t="s">
        <v>1260</v>
      </c>
      <c r="D134" s="806" t="s">
        <v>1260</v>
      </c>
      <c r="E134" s="807" t="s">
        <v>1260</v>
      </c>
      <c r="F134" s="808" t="s">
        <v>1260</v>
      </c>
      <c r="G134" s="809" t="s">
        <v>1260</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1260</v>
      </c>
      <c r="C135" s="805" t="s">
        <v>1260</v>
      </c>
      <c r="D135" s="806" t="s">
        <v>1260</v>
      </c>
      <c r="E135" s="807" t="s">
        <v>1260</v>
      </c>
      <c r="F135" s="808" t="s">
        <v>1260</v>
      </c>
      <c r="G135" s="809" t="s">
        <v>1260</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1260</v>
      </c>
      <c r="C136" s="805" t="s">
        <v>1260</v>
      </c>
      <c r="D136" s="806" t="s">
        <v>1260</v>
      </c>
      <c r="E136" s="807" t="s">
        <v>1260</v>
      </c>
      <c r="F136" s="808" t="s">
        <v>1260</v>
      </c>
      <c r="G136" s="809" t="s">
        <v>1260</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1260</v>
      </c>
      <c r="C137" s="805" t="s">
        <v>1260</v>
      </c>
      <c r="D137" s="806" t="s">
        <v>1260</v>
      </c>
      <c r="E137" s="807" t="s">
        <v>1260</v>
      </c>
      <c r="F137" s="808" t="s">
        <v>1260</v>
      </c>
      <c r="G137" s="809" t="s">
        <v>1260</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1260</v>
      </c>
      <c r="C138" s="805" t="s">
        <v>1260</v>
      </c>
      <c r="D138" s="806" t="s">
        <v>1260</v>
      </c>
      <c r="E138" s="807" t="s">
        <v>1260</v>
      </c>
      <c r="F138" s="808" t="s">
        <v>1260</v>
      </c>
      <c r="G138" s="809" t="s">
        <v>1260</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1260</v>
      </c>
      <c r="C139" s="805" t="s">
        <v>1260</v>
      </c>
      <c r="D139" s="806" t="s">
        <v>1260</v>
      </c>
      <c r="E139" s="807" t="s">
        <v>1260</v>
      </c>
      <c r="F139" s="808" t="s">
        <v>1260</v>
      </c>
      <c r="G139" s="809" t="s">
        <v>1260</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1260</v>
      </c>
      <c r="C140" s="805" t="s">
        <v>1260</v>
      </c>
      <c r="D140" s="806" t="s">
        <v>1260</v>
      </c>
      <c r="E140" s="807" t="s">
        <v>1260</v>
      </c>
      <c r="F140" s="808" t="s">
        <v>1260</v>
      </c>
      <c r="G140" s="809" t="s">
        <v>1260</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1260</v>
      </c>
      <c r="C141" s="805" t="s">
        <v>1260</v>
      </c>
      <c r="D141" s="806" t="s">
        <v>1260</v>
      </c>
      <c r="E141" s="807" t="s">
        <v>1260</v>
      </c>
      <c r="F141" s="808" t="s">
        <v>1260</v>
      </c>
      <c r="G141" s="809" t="s">
        <v>1260</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1260</v>
      </c>
      <c r="C142" s="805" t="s">
        <v>1260</v>
      </c>
      <c r="D142" s="806" t="s">
        <v>1260</v>
      </c>
      <c r="E142" s="807" t="s">
        <v>1260</v>
      </c>
      <c r="F142" s="808" t="s">
        <v>1260</v>
      </c>
      <c r="G142" s="809" t="s">
        <v>1260</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1260</v>
      </c>
      <c r="C143" s="805" t="s">
        <v>1260</v>
      </c>
      <c r="D143" s="806" t="s">
        <v>1260</v>
      </c>
      <c r="E143" s="807" t="s">
        <v>1260</v>
      </c>
      <c r="F143" s="808" t="s">
        <v>1260</v>
      </c>
      <c r="G143" s="809" t="s">
        <v>1260</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1260</v>
      </c>
      <c r="C144" s="805" t="s">
        <v>1260</v>
      </c>
      <c r="D144" s="806" t="s">
        <v>1260</v>
      </c>
      <c r="E144" s="807" t="s">
        <v>1260</v>
      </c>
      <c r="F144" s="808" t="s">
        <v>1260</v>
      </c>
      <c r="G144" s="809" t="s">
        <v>1260</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1260</v>
      </c>
      <c r="C145" s="805" t="s">
        <v>1260</v>
      </c>
      <c r="D145" s="806" t="s">
        <v>1260</v>
      </c>
      <c r="E145" s="807" t="s">
        <v>1260</v>
      </c>
      <c r="F145" s="808" t="s">
        <v>1260</v>
      </c>
      <c r="G145" s="809" t="s">
        <v>1260</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1260</v>
      </c>
      <c r="C146" s="805" t="s">
        <v>1260</v>
      </c>
      <c r="D146" s="806" t="s">
        <v>1260</v>
      </c>
      <c r="E146" s="807" t="s">
        <v>1260</v>
      </c>
      <c r="F146" s="808" t="s">
        <v>1260</v>
      </c>
      <c r="G146" s="809" t="s">
        <v>1260</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1260</v>
      </c>
      <c r="C147" s="805" t="s">
        <v>1260</v>
      </c>
      <c r="D147" s="806" t="s">
        <v>1260</v>
      </c>
      <c r="E147" s="807" t="s">
        <v>1260</v>
      </c>
      <c r="F147" s="808" t="s">
        <v>1260</v>
      </c>
      <c r="G147" s="809" t="s">
        <v>1260</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1260</v>
      </c>
      <c r="C148" s="805" t="s">
        <v>1260</v>
      </c>
      <c r="D148" s="806" t="s">
        <v>1260</v>
      </c>
      <c r="E148" s="807" t="s">
        <v>1260</v>
      </c>
      <c r="F148" s="808" t="s">
        <v>1260</v>
      </c>
      <c r="G148" s="809" t="s">
        <v>1260</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1260</v>
      </c>
      <c r="C149" s="805" t="s">
        <v>1260</v>
      </c>
      <c r="D149" s="806" t="s">
        <v>1260</v>
      </c>
      <c r="E149" s="807" t="s">
        <v>1260</v>
      </c>
      <c r="F149" s="808" t="s">
        <v>1260</v>
      </c>
      <c r="G149" s="809" t="s">
        <v>1260</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1260</v>
      </c>
      <c r="C150" s="805" t="s">
        <v>1260</v>
      </c>
      <c r="D150" s="806" t="s">
        <v>1260</v>
      </c>
      <c r="E150" s="807" t="s">
        <v>1260</v>
      </c>
      <c r="F150" s="808" t="s">
        <v>1260</v>
      </c>
      <c r="G150" s="809" t="s">
        <v>1260</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1260</v>
      </c>
      <c r="C151" s="805" t="s">
        <v>1260</v>
      </c>
      <c r="D151" s="806" t="s">
        <v>1260</v>
      </c>
      <c r="E151" s="807" t="s">
        <v>1260</v>
      </c>
      <c r="F151" s="808" t="s">
        <v>1260</v>
      </c>
      <c r="G151" s="809" t="s">
        <v>1260</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1260</v>
      </c>
      <c r="C152" s="805" t="s">
        <v>1260</v>
      </c>
      <c r="D152" s="806" t="s">
        <v>1260</v>
      </c>
      <c r="E152" s="807" t="s">
        <v>1260</v>
      </c>
      <c r="F152" s="808" t="s">
        <v>1260</v>
      </c>
      <c r="G152" s="809" t="s">
        <v>1260</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1260</v>
      </c>
      <c r="C153" s="805" t="s">
        <v>1260</v>
      </c>
      <c r="D153" s="806" t="s">
        <v>1260</v>
      </c>
      <c r="E153" s="807" t="s">
        <v>1260</v>
      </c>
      <c r="F153" s="808" t="s">
        <v>1260</v>
      </c>
      <c r="G153" s="809" t="s">
        <v>1260</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1260</v>
      </c>
      <c r="C154" s="805" t="s">
        <v>1260</v>
      </c>
      <c r="D154" s="806" t="s">
        <v>1260</v>
      </c>
      <c r="E154" s="807" t="s">
        <v>1260</v>
      </c>
      <c r="F154" s="808" t="s">
        <v>1260</v>
      </c>
      <c r="G154" s="809" t="s">
        <v>1260</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1260</v>
      </c>
      <c r="C155" s="805" t="s">
        <v>1260</v>
      </c>
      <c r="D155" s="806" t="s">
        <v>1260</v>
      </c>
      <c r="E155" s="807" t="s">
        <v>1260</v>
      </c>
      <c r="F155" s="808" t="s">
        <v>1260</v>
      </c>
      <c r="G155" s="809" t="s">
        <v>1260</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1260</v>
      </c>
      <c r="C156" s="805" t="s">
        <v>1260</v>
      </c>
      <c r="D156" s="806" t="s">
        <v>1260</v>
      </c>
      <c r="E156" s="807" t="s">
        <v>1260</v>
      </c>
      <c r="F156" s="808" t="s">
        <v>1260</v>
      </c>
      <c r="G156" s="809" t="s">
        <v>1260</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1260</v>
      </c>
      <c r="C157" s="805" t="s">
        <v>1260</v>
      </c>
      <c r="D157" s="806" t="s">
        <v>1260</v>
      </c>
      <c r="E157" s="807" t="s">
        <v>1260</v>
      </c>
      <c r="F157" s="808" t="s">
        <v>1260</v>
      </c>
      <c r="G157" s="809" t="s">
        <v>1260</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1260</v>
      </c>
      <c r="C158" s="805" t="s">
        <v>1260</v>
      </c>
      <c r="D158" s="806" t="s">
        <v>1260</v>
      </c>
      <c r="E158" s="807" t="s">
        <v>1260</v>
      </c>
      <c r="F158" s="808" t="s">
        <v>1260</v>
      </c>
      <c r="G158" s="809" t="s">
        <v>1260</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1260</v>
      </c>
      <c r="C159" s="805" t="s">
        <v>1260</v>
      </c>
      <c r="D159" s="806" t="s">
        <v>1260</v>
      </c>
      <c r="E159" s="807" t="s">
        <v>1260</v>
      </c>
      <c r="F159" s="808" t="s">
        <v>1260</v>
      </c>
      <c r="G159" s="809" t="s">
        <v>1260</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1260</v>
      </c>
      <c r="C160" s="805" t="s">
        <v>1260</v>
      </c>
      <c r="D160" s="806" t="s">
        <v>1260</v>
      </c>
      <c r="E160" s="807" t="s">
        <v>1260</v>
      </c>
      <c r="F160" s="808" t="s">
        <v>1260</v>
      </c>
      <c r="G160" s="809" t="s">
        <v>1260</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1260</v>
      </c>
      <c r="C161" s="805" t="s">
        <v>1260</v>
      </c>
      <c r="D161" s="806" t="s">
        <v>1260</v>
      </c>
      <c r="E161" s="807" t="s">
        <v>1260</v>
      </c>
      <c r="F161" s="808" t="s">
        <v>1260</v>
      </c>
      <c r="G161" s="809" t="s">
        <v>1260</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1260</v>
      </c>
      <c r="C162" s="805" t="s">
        <v>1260</v>
      </c>
      <c r="D162" s="806" t="s">
        <v>1260</v>
      </c>
      <c r="E162" s="807" t="s">
        <v>1260</v>
      </c>
      <c r="F162" s="808" t="s">
        <v>1260</v>
      </c>
      <c r="G162" s="809" t="s">
        <v>1260</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1260</v>
      </c>
      <c r="C163" s="805" t="s">
        <v>1260</v>
      </c>
      <c r="D163" s="806" t="s">
        <v>1260</v>
      </c>
      <c r="E163" s="807" t="s">
        <v>1260</v>
      </c>
      <c r="F163" s="808" t="s">
        <v>1260</v>
      </c>
      <c r="G163" s="809" t="s">
        <v>1260</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1260</v>
      </c>
      <c r="C164" s="805" t="s">
        <v>1260</v>
      </c>
      <c r="D164" s="806" t="s">
        <v>1260</v>
      </c>
      <c r="E164" s="807" t="s">
        <v>1260</v>
      </c>
      <c r="F164" s="808" t="s">
        <v>1260</v>
      </c>
      <c r="G164" s="809" t="s">
        <v>1260</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1260</v>
      </c>
      <c r="C165" s="805" t="s">
        <v>1260</v>
      </c>
      <c r="D165" s="806" t="s">
        <v>1260</v>
      </c>
      <c r="E165" s="807" t="s">
        <v>1260</v>
      </c>
      <c r="F165" s="808" t="s">
        <v>1260</v>
      </c>
      <c r="G165" s="809" t="s">
        <v>1260</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1260</v>
      </c>
      <c r="C166" s="805" t="s">
        <v>1260</v>
      </c>
      <c r="D166" s="806" t="s">
        <v>1260</v>
      </c>
      <c r="E166" s="807" t="s">
        <v>1260</v>
      </c>
      <c r="F166" s="808" t="s">
        <v>1260</v>
      </c>
      <c r="G166" s="809" t="s">
        <v>1260</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1260</v>
      </c>
      <c r="C167" s="805" t="s">
        <v>1260</v>
      </c>
      <c r="D167" s="806" t="s">
        <v>1260</v>
      </c>
      <c r="E167" s="807" t="s">
        <v>1260</v>
      </c>
      <c r="F167" s="808" t="s">
        <v>1260</v>
      </c>
      <c r="G167" s="809" t="s">
        <v>1260</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1260</v>
      </c>
      <c r="C168" s="805" t="s">
        <v>1260</v>
      </c>
      <c r="D168" s="806" t="s">
        <v>1260</v>
      </c>
      <c r="E168" s="807" t="s">
        <v>1260</v>
      </c>
      <c r="F168" s="808" t="s">
        <v>1260</v>
      </c>
      <c r="G168" s="809" t="s">
        <v>1260</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1260</v>
      </c>
      <c r="C169" s="805" t="s">
        <v>1260</v>
      </c>
      <c r="D169" s="806" t="s">
        <v>1260</v>
      </c>
      <c r="E169" s="807" t="s">
        <v>1260</v>
      </c>
      <c r="F169" s="808" t="s">
        <v>1260</v>
      </c>
      <c r="G169" s="809" t="s">
        <v>1260</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1260</v>
      </c>
      <c r="C170" s="805" t="s">
        <v>1260</v>
      </c>
      <c r="D170" s="806" t="s">
        <v>1260</v>
      </c>
      <c r="E170" s="807" t="s">
        <v>1260</v>
      </c>
      <c r="F170" s="808" t="s">
        <v>1260</v>
      </c>
      <c r="G170" s="809" t="s">
        <v>1260</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1260</v>
      </c>
      <c r="C171" s="805" t="s">
        <v>1260</v>
      </c>
      <c r="D171" s="806" t="s">
        <v>1260</v>
      </c>
      <c r="E171" s="807" t="s">
        <v>1260</v>
      </c>
      <c r="F171" s="808" t="s">
        <v>1260</v>
      </c>
      <c r="G171" s="809" t="s">
        <v>1260</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1260</v>
      </c>
      <c r="C172" s="805" t="s">
        <v>1260</v>
      </c>
      <c r="D172" s="806" t="s">
        <v>1260</v>
      </c>
      <c r="E172" s="807" t="s">
        <v>1260</v>
      </c>
      <c r="F172" s="808" t="s">
        <v>1260</v>
      </c>
      <c r="G172" s="809" t="s">
        <v>1260</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1260</v>
      </c>
      <c r="C173" s="805" t="s">
        <v>1260</v>
      </c>
      <c r="D173" s="806" t="s">
        <v>1260</v>
      </c>
      <c r="E173" s="807" t="s">
        <v>1260</v>
      </c>
      <c r="F173" s="808" t="s">
        <v>1260</v>
      </c>
      <c r="G173" s="809" t="s">
        <v>1260</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1260</v>
      </c>
      <c r="C174" s="805" t="s">
        <v>1260</v>
      </c>
      <c r="D174" s="806" t="s">
        <v>1260</v>
      </c>
      <c r="E174" s="807" t="s">
        <v>1260</v>
      </c>
      <c r="F174" s="808" t="s">
        <v>1260</v>
      </c>
      <c r="G174" s="809" t="s">
        <v>1260</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1260</v>
      </c>
      <c r="C175" s="805" t="s">
        <v>1260</v>
      </c>
      <c r="D175" s="806" t="s">
        <v>1260</v>
      </c>
      <c r="E175" s="807" t="s">
        <v>1260</v>
      </c>
      <c r="F175" s="808" t="s">
        <v>1260</v>
      </c>
      <c r="G175" s="809" t="s">
        <v>1260</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1260</v>
      </c>
      <c r="C176" s="805" t="s">
        <v>1260</v>
      </c>
      <c r="D176" s="806" t="s">
        <v>1260</v>
      </c>
      <c r="E176" s="807" t="s">
        <v>1260</v>
      </c>
      <c r="F176" s="808" t="s">
        <v>1260</v>
      </c>
      <c r="G176" s="809" t="s">
        <v>1260</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1260</v>
      </c>
      <c r="C177" s="805" t="s">
        <v>1260</v>
      </c>
      <c r="D177" s="806" t="s">
        <v>1260</v>
      </c>
      <c r="E177" s="807" t="s">
        <v>1260</v>
      </c>
      <c r="F177" s="808" t="s">
        <v>1260</v>
      </c>
      <c r="G177" s="809" t="s">
        <v>1260</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1260</v>
      </c>
      <c r="C178" s="805" t="s">
        <v>1260</v>
      </c>
      <c r="D178" s="806" t="s">
        <v>1260</v>
      </c>
      <c r="E178" s="807" t="s">
        <v>1260</v>
      </c>
      <c r="F178" s="808" t="s">
        <v>1260</v>
      </c>
      <c r="G178" s="809" t="s">
        <v>1260</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1260</v>
      </c>
      <c r="C179" s="805" t="s">
        <v>1260</v>
      </c>
      <c r="D179" s="806" t="s">
        <v>1260</v>
      </c>
      <c r="E179" s="807" t="s">
        <v>1260</v>
      </c>
      <c r="F179" s="808" t="s">
        <v>1260</v>
      </c>
      <c r="G179" s="809" t="s">
        <v>1260</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1260</v>
      </c>
      <c r="C180" s="805" t="s">
        <v>1260</v>
      </c>
      <c r="D180" s="806" t="s">
        <v>1260</v>
      </c>
      <c r="E180" s="807" t="s">
        <v>1260</v>
      </c>
      <c r="F180" s="808" t="s">
        <v>1260</v>
      </c>
      <c r="G180" s="809" t="s">
        <v>1260</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1260</v>
      </c>
      <c r="C181" s="805" t="s">
        <v>1260</v>
      </c>
      <c r="D181" s="806" t="s">
        <v>1260</v>
      </c>
      <c r="E181" s="807" t="s">
        <v>1260</v>
      </c>
      <c r="F181" s="808" t="s">
        <v>1260</v>
      </c>
      <c r="G181" s="809" t="s">
        <v>1260</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1260</v>
      </c>
      <c r="C182" s="805" t="s">
        <v>1260</v>
      </c>
      <c r="D182" s="806" t="s">
        <v>1260</v>
      </c>
      <c r="E182" s="807" t="s">
        <v>1260</v>
      </c>
      <c r="F182" s="808" t="s">
        <v>1260</v>
      </c>
      <c r="G182" s="809" t="s">
        <v>1260</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1260</v>
      </c>
      <c r="C183" s="805" t="s">
        <v>1260</v>
      </c>
      <c r="D183" s="806" t="s">
        <v>1260</v>
      </c>
      <c r="E183" s="807" t="s">
        <v>1260</v>
      </c>
      <c r="F183" s="808" t="s">
        <v>1260</v>
      </c>
      <c r="G183" s="809" t="s">
        <v>1260</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1260</v>
      </c>
      <c r="C184" s="805" t="s">
        <v>1260</v>
      </c>
      <c r="D184" s="806" t="s">
        <v>1260</v>
      </c>
      <c r="E184" s="807" t="s">
        <v>1260</v>
      </c>
      <c r="F184" s="808" t="s">
        <v>1260</v>
      </c>
      <c r="G184" s="809" t="s">
        <v>1260</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1260</v>
      </c>
      <c r="C185" s="805" t="s">
        <v>1260</v>
      </c>
      <c r="D185" s="806" t="s">
        <v>1260</v>
      </c>
      <c r="E185" s="807" t="s">
        <v>1260</v>
      </c>
      <c r="F185" s="808" t="s">
        <v>1260</v>
      </c>
      <c r="G185" s="809" t="s">
        <v>1260</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1260</v>
      </c>
      <c r="C186" s="805" t="s">
        <v>1260</v>
      </c>
      <c r="D186" s="806" t="s">
        <v>1260</v>
      </c>
      <c r="E186" s="807" t="s">
        <v>1260</v>
      </c>
      <c r="F186" s="808" t="s">
        <v>1260</v>
      </c>
      <c r="G186" s="809" t="s">
        <v>1260</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1260</v>
      </c>
      <c r="C187" s="805" t="s">
        <v>1260</v>
      </c>
      <c r="D187" s="806" t="s">
        <v>1260</v>
      </c>
      <c r="E187" s="807" t="s">
        <v>1260</v>
      </c>
      <c r="F187" s="808" t="s">
        <v>1260</v>
      </c>
      <c r="G187" s="809" t="s">
        <v>1260</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1260</v>
      </c>
      <c r="C188" s="805" t="s">
        <v>1260</v>
      </c>
      <c r="D188" s="806" t="s">
        <v>1260</v>
      </c>
      <c r="E188" s="807" t="s">
        <v>1260</v>
      </c>
      <c r="F188" s="808" t="s">
        <v>1260</v>
      </c>
      <c r="G188" s="809" t="s">
        <v>1260</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1260</v>
      </c>
      <c r="C189" s="805" t="s">
        <v>1260</v>
      </c>
      <c r="D189" s="806" t="s">
        <v>1260</v>
      </c>
      <c r="E189" s="807" t="s">
        <v>1260</v>
      </c>
      <c r="F189" s="808" t="s">
        <v>1260</v>
      </c>
      <c r="G189" s="809" t="s">
        <v>1260</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1260</v>
      </c>
      <c r="C190" s="805" t="s">
        <v>1260</v>
      </c>
      <c r="D190" s="806" t="s">
        <v>1260</v>
      </c>
      <c r="E190" s="807" t="s">
        <v>1260</v>
      </c>
      <c r="F190" s="808" t="s">
        <v>1260</v>
      </c>
      <c r="G190" s="809" t="s">
        <v>1260</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1260</v>
      </c>
      <c r="C191" s="805" t="s">
        <v>1260</v>
      </c>
      <c r="D191" s="806" t="s">
        <v>1260</v>
      </c>
      <c r="E191" s="807" t="s">
        <v>1260</v>
      </c>
      <c r="F191" s="808" t="s">
        <v>1260</v>
      </c>
      <c r="G191" s="809" t="s">
        <v>1260</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1260</v>
      </c>
      <c r="C192" s="805" t="s">
        <v>1260</v>
      </c>
      <c r="D192" s="806" t="s">
        <v>1260</v>
      </c>
      <c r="E192" s="807" t="s">
        <v>1260</v>
      </c>
      <c r="F192" s="808" t="s">
        <v>1260</v>
      </c>
      <c r="G192" s="809" t="s">
        <v>1260</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1260</v>
      </c>
      <c r="C193" s="805" t="s">
        <v>1260</v>
      </c>
      <c r="D193" s="806" t="s">
        <v>1260</v>
      </c>
      <c r="E193" s="807" t="s">
        <v>1260</v>
      </c>
      <c r="F193" s="808" t="s">
        <v>1260</v>
      </c>
      <c r="G193" s="809" t="s">
        <v>1260</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1260</v>
      </c>
      <c r="C194" s="805" t="s">
        <v>1260</v>
      </c>
      <c r="D194" s="806" t="s">
        <v>1260</v>
      </c>
      <c r="E194" s="807" t="s">
        <v>1260</v>
      </c>
      <c r="F194" s="808" t="s">
        <v>1260</v>
      </c>
      <c r="G194" s="809" t="s">
        <v>1260</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1260</v>
      </c>
      <c r="C195" s="805" t="s">
        <v>1260</v>
      </c>
      <c r="D195" s="806" t="s">
        <v>1260</v>
      </c>
      <c r="E195" s="807" t="s">
        <v>1260</v>
      </c>
      <c r="F195" s="808" t="s">
        <v>1260</v>
      </c>
      <c r="G195" s="809" t="s">
        <v>1260</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1260</v>
      </c>
      <c r="C196" s="805" t="s">
        <v>1260</v>
      </c>
      <c r="D196" s="806" t="s">
        <v>1260</v>
      </c>
      <c r="E196" s="807" t="s">
        <v>1260</v>
      </c>
      <c r="F196" s="808" t="s">
        <v>1260</v>
      </c>
      <c r="G196" s="809" t="s">
        <v>1260</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1260</v>
      </c>
      <c r="C197" s="805" t="s">
        <v>1260</v>
      </c>
      <c r="D197" s="806" t="s">
        <v>1260</v>
      </c>
      <c r="E197" s="807" t="s">
        <v>1260</v>
      </c>
      <c r="F197" s="808" t="s">
        <v>1260</v>
      </c>
      <c r="G197" s="809" t="s">
        <v>1260</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1260</v>
      </c>
      <c r="C198" s="805" t="s">
        <v>1260</v>
      </c>
      <c r="D198" s="806" t="s">
        <v>1260</v>
      </c>
      <c r="E198" s="807" t="s">
        <v>1260</v>
      </c>
      <c r="F198" s="808" t="s">
        <v>1260</v>
      </c>
      <c r="G198" s="809" t="s">
        <v>1260</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1260</v>
      </c>
      <c r="C199" s="805" t="s">
        <v>1260</v>
      </c>
      <c r="D199" s="806" t="s">
        <v>1260</v>
      </c>
      <c r="E199" s="807" t="s">
        <v>1260</v>
      </c>
      <c r="F199" s="808" t="s">
        <v>1260</v>
      </c>
      <c r="G199" s="809" t="s">
        <v>1260</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1260</v>
      </c>
      <c r="C200" s="805" t="s">
        <v>1260</v>
      </c>
      <c r="D200" s="806" t="s">
        <v>1260</v>
      </c>
      <c r="E200" s="807" t="s">
        <v>1260</v>
      </c>
      <c r="F200" s="808" t="s">
        <v>1260</v>
      </c>
      <c r="G200" s="809" t="s">
        <v>1260</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1260</v>
      </c>
      <c r="C201" s="805" t="s">
        <v>1260</v>
      </c>
      <c r="D201" s="806" t="s">
        <v>1260</v>
      </c>
      <c r="E201" s="807" t="s">
        <v>1260</v>
      </c>
      <c r="F201" s="808" t="s">
        <v>1260</v>
      </c>
      <c r="G201" s="809" t="s">
        <v>1260</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1260</v>
      </c>
      <c r="C202" s="805" t="s">
        <v>1260</v>
      </c>
      <c r="D202" s="806" t="s">
        <v>1260</v>
      </c>
      <c r="E202" s="807" t="s">
        <v>1260</v>
      </c>
      <c r="F202" s="808" t="s">
        <v>1260</v>
      </c>
      <c r="G202" s="809" t="s">
        <v>1260</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1260</v>
      </c>
      <c r="C203" s="805" t="s">
        <v>1260</v>
      </c>
      <c r="D203" s="806" t="s">
        <v>1260</v>
      </c>
      <c r="E203" s="807" t="s">
        <v>1260</v>
      </c>
      <c r="F203" s="808" t="s">
        <v>1260</v>
      </c>
      <c r="G203" s="809" t="s">
        <v>1260</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1260</v>
      </c>
      <c r="C204" s="805" t="s">
        <v>1260</v>
      </c>
      <c r="D204" s="806" t="s">
        <v>1260</v>
      </c>
      <c r="E204" s="807" t="s">
        <v>1260</v>
      </c>
      <c r="F204" s="808" t="s">
        <v>1260</v>
      </c>
      <c r="G204" s="809" t="s">
        <v>1260</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1260</v>
      </c>
      <c r="C205" s="805" t="s">
        <v>1260</v>
      </c>
      <c r="D205" s="806" t="s">
        <v>1260</v>
      </c>
      <c r="E205" s="807" t="s">
        <v>1260</v>
      </c>
      <c r="F205" s="808" t="s">
        <v>1260</v>
      </c>
      <c r="G205" s="809" t="s">
        <v>1260</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1260</v>
      </c>
      <c r="C206" s="805" t="s">
        <v>1260</v>
      </c>
      <c r="D206" s="806" t="s">
        <v>1260</v>
      </c>
      <c r="E206" s="807" t="s">
        <v>1260</v>
      </c>
      <c r="F206" s="808" t="s">
        <v>1260</v>
      </c>
      <c r="G206" s="809" t="s">
        <v>1260</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1260</v>
      </c>
      <c r="C207" s="805" t="s">
        <v>1260</v>
      </c>
      <c r="D207" s="806" t="s">
        <v>1260</v>
      </c>
      <c r="E207" s="807" t="s">
        <v>1260</v>
      </c>
      <c r="F207" s="808" t="s">
        <v>1260</v>
      </c>
      <c r="G207" s="809" t="s">
        <v>1260</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1260</v>
      </c>
      <c r="C208" s="805" t="s">
        <v>1260</v>
      </c>
      <c r="D208" s="806" t="s">
        <v>1260</v>
      </c>
      <c r="E208" s="807" t="s">
        <v>1260</v>
      </c>
      <c r="F208" s="808" t="s">
        <v>1260</v>
      </c>
      <c r="G208" s="809" t="s">
        <v>1260</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1260</v>
      </c>
      <c r="C209" s="805" t="s">
        <v>1260</v>
      </c>
      <c r="D209" s="806" t="s">
        <v>1260</v>
      </c>
      <c r="E209" s="807" t="s">
        <v>1260</v>
      </c>
      <c r="F209" s="808" t="s">
        <v>1260</v>
      </c>
      <c r="G209" s="809" t="s">
        <v>1260</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1260</v>
      </c>
      <c r="C210" s="805" t="s">
        <v>1260</v>
      </c>
      <c r="D210" s="806" t="s">
        <v>1260</v>
      </c>
      <c r="E210" s="807" t="s">
        <v>1260</v>
      </c>
      <c r="F210" s="808" t="s">
        <v>1260</v>
      </c>
      <c r="G210" s="809" t="s">
        <v>1260</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1260</v>
      </c>
      <c r="C211" s="805" t="s">
        <v>1260</v>
      </c>
      <c r="D211" s="806" t="s">
        <v>1260</v>
      </c>
      <c r="E211" s="807" t="s">
        <v>1260</v>
      </c>
      <c r="F211" s="808" t="s">
        <v>1260</v>
      </c>
      <c r="G211" s="809" t="s">
        <v>1260</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1260</v>
      </c>
      <c r="C212" s="805" t="s">
        <v>1260</v>
      </c>
      <c r="D212" s="806" t="s">
        <v>1260</v>
      </c>
      <c r="E212" s="807" t="s">
        <v>1260</v>
      </c>
      <c r="F212" s="808" t="s">
        <v>1260</v>
      </c>
      <c r="G212" s="809" t="s">
        <v>1260</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1260</v>
      </c>
      <c r="C213" s="805" t="s">
        <v>1260</v>
      </c>
      <c r="D213" s="806" t="s">
        <v>1260</v>
      </c>
      <c r="E213" s="807" t="s">
        <v>1260</v>
      </c>
      <c r="F213" s="808" t="s">
        <v>1260</v>
      </c>
      <c r="G213" s="809" t="s">
        <v>1260</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1260</v>
      </c>
      <c r="C214" s="805" t="s">
        <v>1260</v>
      </c>
      <c r="D214" s="806" t="s">
        <v>1260</v>
      </c>
      <c r="E214" s="807" t="s">
        <v>1260</v>
      </c>
      <c r="F214" s="808" t="s">
        <v>1260</v>
      </c>
      <c r="G214" s="809" t="s">
        <v>1260</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1260</v>
      </c>
      <c r="C215" s="805" t="s">
        <v>1260</v>
      </c>
      <c r="D215" s="806" t="s">
        <v>1260</v>
      </c>
      <c r="E215" s="807" t="s">
        <v>1260</v>
      </c>
      <c r="F215" s="808" t="s">
        <v>1260</v>
      </c>
      <c r="G215" s="809" t="s">
        <v>1260</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1260</v>
      </c>
      <c r="C216" s="805" t="s">
        <v>1260</v>
      </c>
      <c r="D216" s="806" t="s">
        <v>1260</v>
      </c>
      <c r="E216" s="807" t="s">
        <v>1260</v>
      </c>
      <c r="F216" s="808" t="s">
        <v>1260</v>
      </c>
      <c r="G216" s="809" t="s">
        <v>1260</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1260</v>
      </c>
      <c r="C217" s="805" t="s">
        <v>1260</v>
      </c>
      <c r="D217" s="806" t="s">
        <v>1260</v>
      </c>
      <c r="E217" s="807" t="s">
        <v>1260</v>
      </c>
      <c r="F217" s="808" t="s">
        <v>1260</v>
      </c>
      <c r="G217" s="809" t="s">
        <v>1260</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1260</v>
      </c>
      <c r="C218" s="805" t="s">
        <v>1260</v>
      </c>
      <c r="D218" s="806" t="s">
        <v>1260</v>
      </c>
      <c r="E218" s="807" t="s">
        <v>1260</v>
      </c>
      <c r="F218" s="808" t="s">
        <v>1260</v>
      </c>
      <c r="G218" s="809" t="s">
        <v>1260</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1260</v>
      </c>
      <c r="C219" s="805" t="s">
        <v>1260</v>
      </c>
      <c r="D219" s="806" t="s">
        <v>1260</v>
      </c>
      <c r="E219" s="807" t="s">
        <v>1260</v>
      </c>
      <c r="F219" s="808" t="s">
        <v>1260</v>
      </c>
      <c r="G219" s="809" t="s">
        <v>1260</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1260</v>
      </c>
      <c r="C220" s="805" t="s">
        <v>1260</v>
      </c>
      <c r="D220" s="806" t="s">
        <v>1260</v>
      </c>
      <c r="E220" s="807" t="s">
        <v>1260</v>
      </c>
      <c r="F220" s="808" t="s">
        <v>1260</v>
      </c>
      <c r="G220" s="809" t="s">
        <v>1260</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1260</v>
      </c>
      <c r="C221" s="805" t="s">
        <v>1260</v>
      </c>
      <c r="D221" s="806" t="s">
        <v>1260</v>
      </c>
      <c r="E221" s="807" t="s">
        <v>1260</v>
      </c>
      <c r="F221" s="808" t="s">
        <v>1260</v>
      </c>
      <c r="G221" s="809" t="s">
        <v>1260</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1260</v>
      </c>
      <c r="C222" s="805" t="s">
        <v>1260</v>
      </c>
      <c r="D222" s="806" t="s">
        <v>1260</v>
      </c>
      <c r="E222" s="807" t="s">
        <v>1260</v>
      </c>
      <c r="F222" s="808" t="s">
        <v>1260</v>
      </c>
      <c r="G222" s="809" t="s">
        <v>1260</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1260</v>
      </c>
      <c r="C223" s="805" t="s">
        <v>1260</v>
      </c>
      <c r="D223" s="806" t="s">
        <v>1260</v>
      </c>
      <c r="E223" s="807" t="s">
        <v>1260</v>
      </c>
      <c r="F223" s="808" t="s">
        <v>1260</v>
      </c>
      <c r="G223" s="809" t="s">
        <v>1260</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1260</v>
      </c>
      <c r="C224" s="805" t="s">
        <v>1260</v>
      </c>
      <c r="D224" s="806" t="s">
        <v>1260</v>
      </c>
      <c r="E224" s="807" t="s">
        <v>1260</v>
      </c>
      <c r="F224" s="808" t="s">
        <v>1260</v>
      </c>
      <c r="G224" s="809" t="s">
        <v>1260</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1260</v>
      </c>
      <c r="C225" s="805" t="s">
        <v>1260</v>
      </c>
      <c r="D225" s="806" t="s">
        <v>1260</v>
      </c>
      <c r="E225" s="807" t="s">
        <v>1260</v>
      </c>
      <c r="F225" s="808" t="s">
        <v>1260</v>
      </c>
      <c r="G225" s="809" t="s">
        <v>1260</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1260</v>
      </c>
      <c r="C226" s="805" t="s">
        <v>1260</v>
      </c>
      <c r="D226" s="806" t="s">
        <v>1260</v>
      </c>
      <c r="E226" s="807" t="s">
        <v>1260</v>
      </c>
      <c r="F226" s="808" t="s">
        <v>1260</v>
      </c>
      <c r="G226" s="809" t="s">
        <v>1260</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1260</v>
      </c>
      <c r="C227" s="805" t="s">
        <v>1260</v>
      </c>
      <c r="D227" s="806" t="s">
        <v>1260</v>
      </c>
      <c r="E227" s="807" t="s">
        <v>1260</v>
      </c>
      <c r="F227" s="808" t="s">
        <v>1260</v>
      </c>
      <c r="G227" s="809" t="s">
        <v>1260</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1260</v>
      </c>
      <c r="C228" s="805" t="s">
        <v>1260</v>
      </c>
      <c r="D228" s="806" t="s">
        <v>1260</v>
      </c>
      <c r="E228" s="807" t="s">
        <v>1260</v>
      </c>
      <c r="F228" s="808" t="s">
        <v>1260</v>
      </c>
      <c r="G228" s="809" t="s">
        <v>1260</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1260</v>
      </c>
      <c r="C229" s="805" t="s">
        <v>1260</v>
      </c>
      <c r="D229" s="806" t="s">
        <v>1260</v>
      </c>
      <c r="E229" s="807" t="s">
        <v>1260</v>
      </c>
      <c r="F229" s="808" t="s">
        <v>1260</v>
      </c>
      <c r="G229" s="809" t="s">
        <v>1260</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1260</v>
      </c>
      <c r="C230" s="805" t="s">
        <v>1260</v>
      </c>
      <c r="D230" s="806" t="s">
        <v>1260</v>
      </c>
      <c r="E230" s="807" t="s">
        <v>1260</v>
      </c>
      <c r="F230" s="808" t="s">
        <v>1260</v>
      </c>
      <c r="G230" s="809" t="s">
        <v>1260</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1260</v>
      </c>
      <c r="C231" s="805" t="s">
        <v>1260</v>
      </c>
      <c r="D231" s="806" t="s">
        <v>1260</v>
      </c>
      <c r="E231" s="807" t="s">
        <v>1260</v>
      </c>
      <c r="F231" s="808" t="s">
        <v>1260</v>
      </c>
      <c r="G231" s="809" t="s">
        <v>1260</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1260</v>
      </c>
      <c r="C232" s="805" t="s">
        <v>1260</v>
      </c>
      <c r="D232" s="806" t="s">
        <v>1260</v>
      </c>
      <c r="E232" s="807" t="s">
        <v>1260</v>
      </c>
      <c r="F232" s="808" t="s">
        <v>1260</v>
      </c>
      <c r="G232" s="809" t="s">
        <v>1260</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1260</v>
      </c>
      <c r="C233" s="805" t="s">
        <v>1260</v>
      </c>
      <c r="D233" s="806" t="s">
        <v>1260</v>
      </c>
      <c r="E233" s="807" t="s">
        <v>1260</v>
      </c>
      <c r="F233" s="808" t="s">
        <v>1260</v>
      </c>
      <c r="G233" s="809" t="s">
        <v>1260</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1260</v>
      </c>
      <c r="C234" s="805" t="s">
        <v>1260</v>
      </c>
      <c r="D234" s="806" t="s">
        <v>1260</v>
      </c>
      <c r="E234" s="807" t="s">
        <v>1260</v>
      </c>
      <c r="F234" s="808" t="s">
        <v>1260</v>
      </c>
      <c r="G234" s="809" t="s">
        <v>1260</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1260</v>
      </c>
      <c r="C235" s="805" t="s">
        <v>1260</v>
      </c>
      <c r="D235" s="806" t="s">
        <v>1260</v>
      </c>
      <c r="E235" s="807" t="s">
        <v>1260</v>
      </c>
      <c r="F235" s="808" t="s">
        <v>1260</v>
      </c>
      <c r="G235" s="809" t="s">
        <v>1260</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1260</v>
      </c>
      <c r="C236" s="805" t="s">
        <v>1260</v>
      </c>
      <c r="D236" s="806" t="s">
        <v>1260</v>
      </c>
      <c r="E236" s="807" t="s">
        <v>1260</v>
      </c>
      <c r="F236" s="808" t="s">
        <v>1260</v>
      </c>
      <c r="G236" s="809" t="s">
        <v>1260</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1260</v>
      </c>
      <c r="C237" s="805" t="s">
        <v>1260</v>
      </c>
      <c r="D237" s="806" t="s">
        <v>1260</v>
      </c>
      <c r="E237" s="807" t="s">
        <v>1260</v>
      </c>
      <c r="F237" s="808" t="s">
        <v>1260</v>
      </c>
      <c r="G237" s="809" t="s">
        <v>1260</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1260</v>
      </c>
      <c r="C238" s="805" t="s">
        <v>1260</v>
      </c>
      <c r="D238" s="806" t="s">
        <v>1260</v>
      </c>
      <c r="E238" s="807" t="s">
        <v>1260</v>
      </c>
      <c r="F238" s="808" t="s">
        <v>1260</v>
      </c>
      <c r="G238" s="809" t="s">
        <v>1260</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1260</v>
      </c>
      <c r="C239" s="805" t="s">
        <v>1260</v>
      </c>
      <c r="D239" s="806" t="s">
        <v>1260</v>
      </c>
      <c r="E239" s="807" t="s">
        <v>1260</v>
      </c>
      <c r="F239" s="808" t="s">
        <v>1260</v>
      </c>
      <c r="G239" s="809" t="s">
        <v>1260</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1260</v>
      </c>
      <c r="C240" s="805" t="s">
        <v>1260</v>
      </c>
      <c r="D240" s="806" t="s">
        <v>1260</v>
      </c>
      <c r="E240" s="807" t="s">
        <v>1260</v>
      </c>
      <c r="F240" s="808" t="s">
        <v>1260</v>
      </c>
      <c r="G240" s="809" t="s">
        <v>1260</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1260</v>
      </c>
      <c r="C241" s="805" t="s">
        <v>1260</v>
      </c>
      <c r="D241" s="806" t="s">
        <v>1260</v>
      </c>
      <c r="E241" s="807" t="s">
        <v>1260</v>
      </c>
      <c r="F241" s="808" t="s">
        <v>1260</v>
      </c>
      <c r="G241" s="809" t="s">
        <v>1260</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1260</v>
      </c>
      <c r="C242" s="805" t="s">
        <v>1260</v>
      </c>
      <c r="D242" s="806" t="s">
        <v>1260</v>
      </c>
      <c r="E242" s="807" t="s">
        <v>1260</v>
      </c>
      <c r="F242" s="808" t="s">
        <v>1260</v>
      </c>
      <c r="G242" s="809" t="s">
        <v>1260</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1260</v>
      </c>
      <c r="C243" s="805" t="s">
        <v>1260</v>
      </c>
      <c r="D243" s="806" t="s">
        <v>1260</v>
      </c>
      <c r="E243" s="807" t="s">
        <v>1260</v>
      </c>
      <c r="F243" s="808" t="s">
        <v>1260</v>
      </c>
      <c r="G243" s="809" t="s">
        <v>1260</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1260</v>
      </c>
      <c r="C244" s="805" t="s">
        <v>1260</v>
      </c>
      <c r="D244" s="806" t="s">
        <v>1260</v>
      </c>
      <c r="E244" s="807" t="s">
        <v>1260</v>
      </c>
      <c r="F244" s="808" t="s">
        <v>1260</v>
      </c>
      <c r="G244" s="809" t="s">
        <v>1260</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1260</v>
      </c>
      <c r="C245" s="805" t="s">
        <v>1260</v>
      </c>
      <c r="D245" s="806" t="s">
        <v>1260</v>
      </c>
      <c r="E245" s="807" t="s">
        <v>1260</v>
      </c>
      <c r="F245" s="808" t="s">
        <v>1260</v>
      </c>
      <c r="G245" s="809" t="s">
        <v>1260</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1260</v>
      </c>
      <c r="C246" s="805" t="s">
        <v>1260</v>
      </c>
      <c r="D246" s="806" t="s">
        <v>1260</v>
      </c>
      <c r="E246" s="807" t="s">
        <v>1260</v>
      </c>
      <c r="F246" s="808" t="s">
        <v>1260</v>
      </c>
      <c r="G246" s="809" t="s">
        <v>1260</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1260</v>
      </c>
      <c r="C247" s="805" t="s">
        <v>1260</v>
      </c>
      <c r="D247" s="806" t="s">
        <v>1260</v>
      </c>
      <c r="E247" s="807" t="s">
        <v>1260</v>
      </c>
      <c r="F247" s="808" t="s">
        <v>1260</v>
      </c>
      <c r="G247" s="809" t="s">
        <v>1260</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1260</v>
      </c>
      <c r="C248" s="805" t="s">
        <v>1260</v>
      </c>
      <c r="D248" s="806" t="s">
        <v>1260</v>
      </c>
      <c r="E248" s="807" t="s">
        <v>1260</v>
      </c>
      <c r="F248" s="808" t="s">
        <v>1260</v>
      </c>
      <c r="G248" s="809" t="s">
        <v>1260</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1260</v>
      </c>
      <c r="C249" s="805" t="s">
        <v>1260</v>
      </c>
      <c r="D249" s="806" t="s">
        <v>1260</v>
      </c>
      <c r="E249" s="807" t="s">
        <v>1260</v>
      </c>
      <c r="F249" s="808" t="s">
        <v>1260</v>
      </c>
      <c r="G249" s="809" t="s">
        <v>1260</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1260</v>
      </c>
      <c r="C250" s="805" t="s">
        <v>1260</v>
      </c>
      <c r="D250" s="806" t="s">
        <v>1260</v>
      </c>
      <c r="E250" s="807" t="s">
        <v>1260</v>
      </c>
      <c r="F250" s="808" t="s">
        <v>1260</v>
      </c>
      <c r="G250" s="809" t="s">
        <v>1260</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1260</v>
      </c>
      <c r="C251" s="805" t="s">
        <v>1260</v>
      </c>
      <c r="D251" s="806" t="s">
        <v>1260</v>
      </c>
      <c r="E251" s="807" t="s">
        <v>1260</v>
      </c>
      <c r="F251" s="808" t="s">
        <v>1260</v>
      </c>
      <c r="G251" s="809" t="s">
        <v>1260</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1260</v>
      </c>
      <c r="C252" s="805" t="s">
        <v>1260</v>
      </c>
      <c r="D252" s="806" t="s">
        <v>1260</v>
      </c>
      <c r="E252" s="807" t="s">
        <v>1260</v>
      </c>
      <c r="F252" s="808" t="s">
        <v>1260</v>
      </c>
      <c r="G252" s="809" t="s">
        <v>1260</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1260</v>
      </c>
      <c r="C253" s="805" t="s">
        <v>1260</v>
      </c>
      <c r="D253" s="806" t="s">
        <v>1260</v>
      </c>
      <c r="E253" s="807" t="s">
        <v>1260</v>
      </c>
      <c r="F253" s="808" t="s">
        <v>1260</v>
      </c>
      <c r="G253" s="809" t="s">
        <v>1260</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1260</v>
      </c>
      <c r="C254" s="805" t="s">
        <v>1260</v>
      </c>
      <c r="D254" s="806" t="s">
        <v>1260</v>
      </c>
      <c r="E254" s="807" t="s">
        <v>1260</v>
      </c>
      <c r="F254" s="808" t="s">
        <v>1260</v>
      </c>
      <c r="G254" s="809" t="s">
        <v>1260</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1260</v>
      </c>
      <c r="C255" s="805" t="s">
        <v>1260</v>
      </c>
      <c r="D255" s="806" t="s">
        <v>1260</v>
      </c>
      <c r="E255" s="807" t="s">
        <v>1260</v>
      </c>
      <c r="F255" s="808" t="s">
        <v>1260</v>
      </c>
      <c r="G255" s="809" t="s">
        <v>1260</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1260</v>
      </c>
      <c r="C256" s="805" t="s">
        <v>1260</v>
      </c>
      <c r="D256" s="806" t="s">
        <v>1260</v>
      </c>
      <c r="E256" s="807" t="s">
        <v>1260</v>
      </c>
      <c r="F256" s="808" t="s">
        <v>1260</v>
      </c>
      <c r="G256" s="809" t="s">
        <v>1260</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1260</v>
      </c>
      <c r="C257" s="805" t="s">
        <v>1260</v>
      </c>
      <c r="D257" s="806" t="s">
        <v>1260</v>
      </c>
      <c r="E257" s="807" t="s">
        <v>1260</v>
      </c>
      <c r="F257" s="808" t="s">
        <v>1260</v>
      </c>
      <c r="G257" s="809" t="s">
        <v>1260</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1260</v>
      </c>
      <c r="C258" s="805" t="s">
        <v>1260</v>
      </c>
      <c r="D258" s="806" t="s">
        <v>1260</v>
      </c>
      <c r="E258" s="807" t="s">
        <v>1260</v>
      </c>
      <c r="F258" s="808" t="s">
        <v>1260</v>
      </c>
      <c r="G258" s="809" t="s">
        <v>1260</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1260</v>
      </c>
      <c r="C259" s="805" t="s">
        <v>1260</v>
      </c>
      <c r="D259" s="806" t="s">
        <v>1260</v>
      </c>
      <c r="E259" s="807" t="s">
        <v>1260</v>
      </c>
      <c r="F259" s="808" t="s">
        <v>1260</v>
      </c>
      <c r="G259" s="809" t="s">
        <v>1260</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1260</v>
      </c>
      <c r="C260" s="805" t="s">
        <v>1260</v>
      </c>
      <c r="D260" s="806" t="s">
        <v>1260</v>
      </c>
      <c r="E260" s="807" t="s">
        <v>1260</v>
      </c>
      <c r="F260" s="808" t="s">
        <v>1260</v>
      </c>
      <c r="G260" s="809" t="s">
        <v>1260</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1260</v>
      </c>
      <c r="C261" s="805" t="s">
        <v>1260</v>
      </c>
      <c r="D261" s="806" t="s">
        <v>1260</v>
      </c>
      <c r="E261" s="807" t="s">
        <v>1260</v>
      </c>
      <c r="F261" s="808" t="s">
        <v>1260</v>
      </c>
      <c r="G261" s="809" t="s">
        <v>1260</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1260</v>
      </c>
      <c r="C262" s="805" t="s">
        <v>1260</v>
      </c>
      <c r="D262" s="806" t="s">
        <v>1260</v>
      </c>
      <c r="E262" s="807" t="s">
        <v>1260</v>
      </c>
      <c r="F262" s="808" t="s">
        <v>1260</v>
      </c>
      <c r="G262" s="809" t="s">
        <v>1260</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1260</v>
      </c>
      <c r="C263" s="805" t="s">
        <v>1260</v>
      </c>
      <c r="D263" s="806" t="s">
        <v>1260</v>
      </c>
      <c r="E263" s="807" t="s">
        <v>1260</v>
      </c>
      <c r="F263" s="808" t="s">
        <v>1260</v>
      </c>
      <c r="G263" s="809" t="s">
        <v>1260</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1260</v>
      </c>
      <c r="C264" s="805" t="s">
        <v>1260</v>
      </c>
      <c r="D264" s="806" t="s">
        <v>1260</v>
      </c>
      <c r="E264" s="807" t="s">
        <v>1260</v>
      </c>
      <c r="F264" s="808" t="s">
        <v>1260</v>
      </c>
      <c r="G264" s="809" t="s">
        <v>1260</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1260</v>
      </c>
      <c r="C265" s="805" t="s">
        <v>1260</v>
      </c>
      <c r="D265" s="806" t="s">
        <v>1260</v>
      </c>
      <c r="E265" s="807" t="s">
        <v>1260</v>
      </c>
      <c r="F265" s="808" t="s">
        <v>1260</v>
      </c>
      <c r="G265" s="809" t="s">
        <v>1260</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1260</v>
      </c>
      <c r="C266" s="805" t="s">
        <v>1260</v>
      </c>
      <c r="D266" s="806" t="s">
        <v>1260</v>
      </c>
      <c r="E266" s="807" t="s">
        <v>1260</v>
      </c>
      <c r="F266" s="808" t="s">
        <v>1260</v>
      </c>
      <c r="G266" s="809" t="s">
        <v>1260</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1260</v>
      </c>
      <c r="C267" s="805" t="s">
        <v>1260</v>
      </c>
      <c r="D267" s="806" t="s">
        <v>1260</v>
      </c>
      <c r="E267" s="807" t="s">
        <v>1260</v>
      </c>
      <c r="F267" s="808" t="s">
        <v>1260</v>
      </c>
      <c r="G267" s="809" t="s">
        <v>1260</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1260</v>
      </c>
      <c r="C268" s="805" t="s">
        <v>1260</v>
      </c>
      <c r="D268" s="806" t="s">
        <v>1260</v>
      </c>
      <c r="E268" s="807" t="s">
        <v>1260</v>
      </c>
      <c r="F268" s="808" t="s">
        <v>1260</v>
      </c>
      <c r="G268" s="809" t="s">
        <v>1260</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1260</v>
      </c>
      <c r="C269" s="805" t="s">
        <v>1260</v>
      </c>
      <c r="D269" s="806" t="s">
        <v>1260</v>
      </c>
      <c r="E269" s="807" t="s">
        <v>1260</v>
      </c>
      <c r="F269" s="808" t="s">
        <v>1260</v>
      </c>
      <c r="G269" s="809" t="s">
        <v>1260</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1260</v>
      </c>
      <c r="C270" s="805" t="s">
        <v>1260</v>
      </c>
      <c r="D270" s="806" t="s">
        <v>1260</v>
      </c>
      <c r="E270" s="807" t="s">
        <v>1260</v>
      </c>
      <c r="F270" s="808" t="s">
        <v>1260</v>
      </c>
      <c r="G270" s="809" t="s">
        <v>1260</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1260</v>
      </c>
      <c r="C271" s="805" t="s">
        <v>1260</v>
      </c>
      <c r="D271" s="806" t="s">
        <v>1260</v>
      </c>
      <c r="E271" s="807" t="s">
        <v>1260</v>
      </c>
      <c r="F271" s="808" t="s">
        <v>1260</v>
      </c>
      <c r="G271" s="809" t="s">
        <v>1260</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1260</v>
      </c>
      <c r="C272" s="805" t="s">
        <v>1260</v>
      </c>
      <c r="D272" s="806" t="s">
        <v>1260</v>
      </c>
      <c r="E272" s="807" t="s">
        <v>1260</v>
      </c>
      <c r="F272" s="808" t="s">
        <v>1260</v>
      </c>
      <c r="G272" s="809" t="s">
        <v>1260</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1260</v>
      </c>
      <c r="C273" s="805" t="s">
        <v>1260</v>
      </c>
      <c r="D273" s="806" t="s">
        <v>1260</v>
      </c>
      <c r="E273" s="807" t="s">
        <v>1260</v>
      </c>
      <c r="F273" s="808" t="s">
        <v>1260</v>
      </c>
      <c r="G273" s="809" t="s">
        <v>1260</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1260</v>
      </c>
      <c r="C274" s="805" t="s">
        <v>1260</v>
      </c>
      <c r="D274" s="806" t="s">
        <v>1260</v>
      </c>
      <c r="E274" s="807" t="s">
        <v>1260</v>
      </c>
      <c r="F274" s="808" t="s">
        <v>1260</v>
      </c>
      <c r="G274" s="809" t="s">
        <v>1260</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1260</v>
      </c>
      <c r="C275" s="805" t="s">
        <v>1260</v>
      </c>
      <c r="D275" s="806" t="s">
        <v>1260</v>
      </c>
      <c r="E275" s="807" t="s">
        <v>1260</v>
      </c>
      <c r="F275" s="808" t="s">
        <v>1260</v>
      </c>
      <c r="G275" s="809" t="s">
        <v>1260</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1260</v>
      </c>
      <c r="C276" s="805" t="s">
        <v>1260</v>
      </c>
      <c r="D276" s="806" t="s">
        <v>1260</v>
      </c>
      <c r="E276" s="807" t="s">
        <v>1260</v>
      </c>
      <c r="F276" s="808" t="s">
        <v>1260</v>
      </c>
      <c r="G276" s="809" t="s">
        <v>1260</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1260</v>
      </c>
      <c r="C277" s="805" t="s">
        <v>1260</v>
      </c>
      <c r="D277" s="806" t="s">
        <v>1260</v>
      </c>
      <c r="E277" s="807" t="s">
        <v>1260</v>
      </c>
      <c r="F277" s="808" t="s">
        <v>1260</v>
      </c>
      <c r="G277" s="809" t="s">
        <v>1260</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1260</v>
      </c>
      <c r="C278" s="805" t="s">
        <v>1260</v>
      </c>
      <c r="D278" s="806" t="s">
        <v>1260</v>
      </c>
      <c r="E278" s="807" t="s">
        <v>1260</v>
      </c>
      <c r="F278" s="808" t="s">
        <v>1260</v>
      </c>
      <c r="G278" s="809" t="s">
        <v>1260</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1260</v>
      </c>
      <c r="C279" s="805" t="s">
        <v>1260</v>
      </c>
      <c r="D279" s="806" t="s">
        <v>1260</v>
      </c>
      <c r="E279" s="807" t="s">
        <v>1260</v>
      </c>
      <c r="F279" s="808" t="s">
        <v>1260</v>
      </c>
      <c r="G279" s="809" t="s">
        <v>1260</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1260</v>
      </c>
      <c r="C280" s="805" t="s">
        <v>1260</v>
      </c>
      <c r="D280" s="806" t="s">
        <v>1260</v>
      </c>
      <c r="E280" s="807" t="s">
        <v>1260</v>
      </c>
      <c r="F280" s="808" t="s">
        <v>1260</v>
      </c>
      <c r="G280" s="809" t="s">
        <v>1260</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1260</v>
      </c>
      <c r="C281" s="805" t="s">
        <v>1260</v>
      </c>
      <c r="D281" s="806" t="s">
        <v>1260</v>
      </c>
      <c r="E281" s="807" t="s">
        <v>1260</v>
      </c>
      <c r="F281" s="808" t="s">
        <v>1260</v>
      </c>
      <c r="G281" s="809" t="s">
        <v>1260</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1260</v>
      </c>
      <c r="C282" s="805" t="s">
        <v>1260</v>
      </c>
      <c r="D282" s="806" t="s">
        <v>1260</v>
      </c>
      <c r="E282" s="807" t="s">
        <v>1260</v>
      </c>
      <c r="F282" s="808" t="s">
        <v>1260</v>
      </c>
      <c r="G282" s="809" t="s">
        <v>1260</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1260</v>
      </c>
      <c r="C283" s="805" t="s">
        <v>1260</v>
      </c>
      <c r="D283" s="806" t="s">
        <v>1260</v>
      </c>
      <c r="E283" s="807" t="s">
        <v>1260</v>
      </c>
      <c r="F283" s="808" t="s">
        <v>1260</v>
      </c>
      <c r="G283" s="809" t="s">
        <v>1260</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1260</v>
      </c>
      <c r="C284" s="805" t="s">
        <v>1260</v>
      </c>
      <c r="D284" s="806" t="s">
        <v>1260</v>
      </c>
      <c r="E284" s="807" t="s">
        <v>1260</v>
      </c>
      <c r="F284" s="808" t="s">
        <v>1260</v>
      </c>
      <c r="G284" s="809" t="s">
        <v>1260</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1260</v>
      </c>
      <c r="C285" s="805" t="s">
        <v>1260</v>
      </c>
      <c r="D285" s="806" t="s">
        <v>1260</v>
      </c>
      <c r="E285" s="807" t="s">
        <v>1260</v>
      </c>
      <c r="F285" s="808" t="s">
        <v>1260</v>
      </c>
      <c r="G285" s="809" t="s">
        <v>1260</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1260</v>
      </c>
      <c r="C286" s="805" t="s">
        <v>1260</v>
      </c>
      <c r="D286" s="806" t="s">
        <v>1260</v>
      </c>
      <c r="E286" s="807" t="s">
        <v>1260</v>
      </c>
      <c r="F286" s="808" t="s">
        <v>1260</v>
      </c>
      <c r="G286" s="809" t="s">
        <v>1260</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1260</v>
      </c>
      <c r="C287" s="805" t="s">
        <v>1260</v>
      </c>
      <c r="D287" s="806" t="s">
        <v>1260</v>
      </c>
      <c r="E287" s="807" t="s">
        <v>1260</v>
      </c>
      <c r="F287" s="808" t="s">
        <v>1260</v>
      </c>
      <c r="G287" s="809" t="s">
        <v>1260</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1260</v>
      </c>
      <c r="C288" s="805" t="s">
        <v>1260</v>
      </c>
      <c r="D288" s="806" t="s">
        <v>1260</v>
      </c>
      <c r="E288" s="807" t="s">
        <v>1260</v>
      </c>
      <c r="F288" s="808" t="s">
        <v>1260</v>
      </c>
      <c r="G288" s="809" t="s">
        <v>1260</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1260</v>
      </c>
      <c r="C289" s="805" t="s">
        <v>1260</v>
      </c>
      <c r="D289" s="806" t="s">
        <v>1260</v>
      </c>
      <c r="E289" s="807" t="s">
        <v>1260</v>
      </c>
      <c r="F289" s="808" t="s">
        <v>1260</v>
      </c>
      <c r="G289" s="809" t="s">
        <v>1260</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1260</v>
      </c>
      <c r="C290" s="805" t="s">
        <v>1260</v>
      </c>
      <c r="D290" s="806" t="s">
        <v>1260</v>
      </c>
      <c r="E290" s="807" t="s">
        <v>1260</v>
      </c>
      <c r="F290" s="808" t="s">
        <v>1260</v>
      </c>
      <c r="G290" s="809" t="s">
        <v>1260</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1260</v>
      </c>
      <c r="C291" s="805" t="s">
        <v>1260</v>
      </c>
      <c r="D291" s="806" t="s">
        <v>1260</v>
      </c>
      <c r="E291" s="807" t="s">
        <v>1260</v>
      </c>
      <c r="F291" s="808" t="s">
        <v>1260</v>
      </c>
      <c r="G291" s="809" t="s">
        <v>1260</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1260</v>
      </c>
      <c r="C292" s="805" t="s">
        <v>1260</v>
      </c>
      <c r="D292" s="806" t="s">
        <v>1260</v>
      </c>
      <c r="E292" s="807" t="s">
        <v>1260</v>
      </c>
      <c r="F292" s="808" t="s">
        <v>1260</v>
      </c>
      <c r="G292" s="809" t="s">
        <v>1260</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1260</v>
      </c>
      <c r="C293" s="805" t="s">
        <v>1260</v>
      </c>
      <c r="D293" s="806" t="s">
        <v>1260</v>
      </c>
      <c r="E293" s="807" t="s">
        <v>1260</v>
      </c>
      <c r="F293" s="808" t="s">
        <v>1260</v>
      </c>
      <c r="G293" s="809" t="s">
        <v>1260</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1260</v>
      </c>
      <c r="C294" s="805" t="s">
        <v>1260</v>
      </c>
      <c r="D294" s="806" t="s">
        <v>1260</v>
      </c>
      <c r="E294" s="807" t="s">
        <v>1260</v>
      </c>
      <c r="F294" s="808" t="s">
        <v>1260</v>
      </c>
      <c r="G294" s="809" t="s">
        <v>1260</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1260</v>
      </c>
      <c r="C295" s="805" t="s">
        <v>1260</v>
      </c>
      <c r="D295" s="806" t="s">
        <v>1260</v>
      </c>
      <c r="E295" s="807" t="s">
        <v>1260</v>
      </c>
      <c r="F295" s="808" t="s">
        <v>1260</v>
      </c>
      <c r="G295" s="809" t="s">
        <v>1260</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1260</v>
      </c>
      <c r="C296" s="805" t="s">
        <v>1260</v>
      </c>
      <c r="D296" s="806" t="s">
        <v>1260</v>
      </c>
      <c r="E296" s="807" t="s">
        <v>1260</v>
      </c>
      <c r="F296" s="808" t="s">
        <v>1260</v>
      </c>
      <c r="G296" s="809" t="s">
        <v>1260</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1260</v>
      </c>
      <c r="C297" s="805" t="s">
        <v>1260</v>
      </c>
      <c r="D297" s="806" t="s">
        <v>1260</v>
      </c>
      <c r="E297" s="807" t="s">
        <v>1260</v>
      </c>
      <c r="F297" s="808" t="s">
        <v>1260</v>
      </c>
      <c r="G297" s="809" t="s">
        <v>1260</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1260</v>
      </c>
      <c r="C298" s="805" t="s">
        <v>1260</v>
      </c>
      <c r="D298" s="806" t="s">
        <v>1260</v>
      </c>
      <c r="E298" s="807" t="s">
        <v>1260</v>
      </c>
      <c r="F298" s="808" t="s">
        <v>1260</v>
      </c>
      <c r="G298" s="809" t="s">
        <v>1260</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1260</v>
      </c>
      <c r="C299" s="805" t="s">
        <v>1260</v>
      </c>
      <c r="D299" s="806" t="s">
        <v>1260</v>
      </c>
      <c r="E299" s="807" t="s">
        <v>1260</v>
      </c>
      <c r="F299" s="808" t="s">
        <v>1260</v>
      </c>
      <c r="G299" s="809" t="s">
        <v>1260</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1260</v>
      </c>
      <c r="C300" s="805" t="s">
        <v>1260</v>
      </c>
      <c r="D300" s="806" t="s">
        <v>1260</v>
      </c>
      <c r="E300" s="807" t="s">
        <v>1260</v>
      </c>
      <c r="F300" s="808" t="s">
        <v>1260</v>
      </c>
      <c r="G300" s="809" t="s">
        <v>1260</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1260</v>
      </c>
      <c r="C301" s="805" t="s">
        <v>1260</v>
      </c>
      <c r="D301" s="806" t="s">
        <v>1260</v>
      </c>
      <c r="E301" s="807" t="s">
        <v>1260</v>
      </c>
      <c r="F301" s="808" t="s">
        <v>1260</v>
      </c>
      <c r="G301" s="809" t="s">
        <v>1260</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1260</v>
      </c>
      <c r="C302" s="805" t="s">
        <v>1260</v>
      </c>
      <c r="D302" s="806" t="s">
        <v>1260</v>
      </c>
      <c r="E302" s="807" t="s">
        <v>1260</v>
      </c>
      <c r="F302" s="808" t="s">
        <v>1260</v>
      </c>
      <c r="G302" s="809" t="s">
        <v>1260</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1260</v>
      </c>
      <c r="C303" s="805" t="s">
        <v>1260</v>
      </c>
      <c r="D303" s="806" t="s">
        <v>1260</v>
      </c>
      <c r="E303" s="807" t="s">
        <v>1260</v>
      </c>
      <c r="F303" s="808" t="s">
        <v>1260</v>
      </c>
      <c r="G303" s="809" t="s">
        <v>1260</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7"/>
      <c r="AH1" s="1017"/>
    </row>
    <row r="2" ht="38.25" customHeight="1">
      <c r="A2" s="35" t="s">
        <v>43</v>
      </c>
      <c r="B2" s="36" t="s">
        <v>44</v>
      </c>
      <c r="C2" s="36" t="s">
        <v>45</v>
      </c>
      <c r="F2" s="36" t="s">
        <v>7528</v>
      </c>
      <c r="H2" s="1018" t="s">
        <v>7529</v>
      </c>
      <c r="I2" s="1019"/>
      <c r="J2" s="1019"/>
      <c r="K2" s="1020" t="s">
        <v>7530</v>
      </c>
      <c r="L2" s="1021" t="s">
        <v>7531</v>
      </c>
      <c r="M2" s="1020" t="s">
        <v>7532</v>
      </c>
      <c r="N2" s="1020" t="s">
        <v>7533</v>
      </c>
      <c r="O2" s="1022" t="s">
        <v>7534</v>
      </c>
      <c r="P2" s="1022" t="s">
        <v>7535</v>
      </c>
      <c r="Q2" s="1022"/>
      <c r="R2" s="42" t="s">
        <v>48</v>
      </c>
      <c r="S2" s="42" t="s">
        <v>7536</v>
      </c>
      <c r="T2" s="42"/>
      <c r="U2" s="44" t="s">
        <v>50</v>
      </c>
      <c r="V2" s="44" t="s">
        <v>54</v>
      </c>
      <c r="W2" s="44" t="s">
        <v>62</v>
      </c>
      <c r="X2" s="45" t="s">
        <v>52</v>
      </c>
      <c r="Y2" s="45"/>
      <c r="Z2" s="45"/>
      <c r="AA2" s="47" t="s">
        <v>51</v>
      </c>
      <c r="AB2" s="1023" t="s">
        <v>7537</v>
      </c>
      <c r="AC2" s="47"/>
      <c r="AD2" s="1024" t="s">
        <v>7538</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7539</v>
      </c>
      <c r="N3" s="998" t="s">
        <v>1159</v>
      </c>
      <c r="O3" s="999"/>
      <c r="P3" s="999"/>
      <c r="Q3" s="1032"/>
      <c r="R3" s="1033" t="s">
        <v>6110</v>
      </c>
      <c r="S3" s="999"/>
      <c r="T3" s="999"/>
      <c r="U3" s="1034" t="s">
        <v>2118</v>
      </c>
      <c r="V3" s="1032"/>
      <c r="W3" s="1032"/>
      <c r="X3" s="1035" t="s">
        <v>7540</v>
      </c>
      <c r="Y3" s="1032"/>
      <c r="Z3" s="1032"/>
      <c r="AA3" s="1001" t="s">
        <v>1247</v>
      </c>
      <c r="AB3" s="1032"/>
      <c r="AC3" s="999"/>
      <c r="AD3" s="1032"/>
      <c r="AE3" s="1032"/>
      <c r="AF3" s="1032"/>
      <c r="AG3" s="1036"/>
      <c r="AH3" s="1036"/>
    </row>
    <row r="4">
      <c r="A4" s="1037" t="s">
        <v>4266</v>
      </c>
      <c r="B4" s="1027" t="s">
        <v>6323</v>
      </c>
      <c r="C4" s="1028" t="s">
        <v>547</v>
      </c>
      <c r="D4" s="1029" t="s">
        <v>547</v>
      </c>
      <c r="E4" s="1030" t="s">
        <v>438</v>
      </c>
      <c r="F4" s="1031" t="s">
        <v>332</v>
      </c>
      <c r="G4" s="1027" t="s">
        <v>332</v>
      </c>
      <c r="H4" s="1038"/>
      <c r="I4" s="1039"/>
      <c r="J4" s="1040"/>
      <c r="K4" s="1041"/>
      <c r="L4" s="999"/>
      <c r="M4" s="999"/>
      <c r="N4" s="999"/>
      <c r="O4" s="999"/>
      <c r="P4" s="999"/>
      <c r="Q4" s="1032"/>
      <c r="R4" s="1035" t="s">
        <v>6317</v>
      </c>
      <c r="S4" s="1038"/>
      <c r="T4" s="1038"/>
      <c r="U4" s="1042" t="s">
        <v>7541</v>
      </c>
      <c r="V4" s="1032"/>
      <c r="W4" s="1032"/>
      <c r="X4" s="1042" t="s">
        <v>7542</v>
      </c>
      <c r="Y4" s="1032"/>
      <c r="Z4" s="1032"/>
      <c r="AA4" s="1043" t="s">
        <v>7543</v>
      </c>
      <c r="AB4" s="1032"/>
      <c r="AC4" s="999"/>
      <c r="AD4" s="1032"/>
      <c r="AE4" s="1032"/>
      <c r="AF4" s="1032"/>
      <c r="AG4" s="1036"/>
      <c r="AH4" s="1036"/>
    </row>
    <row r="5">
      <c r="A5" s="1037" t="s">
        <v>4054</v>
      </c>
      <c r="B5" s="1027" t="s">
        <v>333</v>
      </c>
      <c r="C5" s="1028" t="s">
        <v>1260</v>
      </c>
      <c r="D5" s="1029" t="s">
        <v>547</v>
      </c>
      <c r="E5" s="1030" t="s">
        <v>1260</v>
      </c>
      <c r="F5" s="1031" t="s">
        <v>650</v>
      </c>
      <c r="G5" s="1027" t="s">
        <v>334</v>
      </c>
      <c r="H5" s="999"/>
      <c r="I5" s="97"/>
      <c r="J5" s="92"/>
      <c r="K5" s="999"/>
      <c r="L5" s="999"/>
      <c r="M5" s="999"/>
      <c r="N5" s="999"/>
      <c r="O5" s="999"/>
      <c r="P5" s="999"/>
      <c r="Q5" s="1032"/>
      <c r="R5" s="1034" t="s">
        <v>4524</v>
      </c>
      <c r="S5" s="1044" t="s">
        <v>1750</v>
      </c>
      <c r="T5" s="999"/>
      <c r="U5" s="1001" t="s">
        <v>1109</v>
      </c>
      <c r="V5" s="1032"/>
      <c r="W5" s="1032"/>
      <c r="X5" s="1001" t="s">
        <v>7544</v>
      </c>
      <c r="Y5" s="1032"/>
      <c r="Z5" s="1032"/>
      <c r="AA5" s="1045" t="s">
        <v>7545</v>
      </c>
      <c r="AB5" s="1032"/>
      <c r="AC5" s="999"/>
      <c r="AD5" s="1032"/>
      <c r="AE5" s="1032"/>
      <c r="AF5" s="1032"/>
      <c r="AG5" s="1036"/>
      <c r="AH5" s="1036"/>
    </row>
    <row r="6">
      <c r="A6" s="1037" t="s">
        <v>2461</v>
      </c>
      <c r="B6" s="1027" t="s">
        <v>333</v>
      </c>
      <c r="C6" s="1028" t="s">
        <v>547</v>
      </c>
      <c r="D6" s="1029" t="s">
        <v>547</v>
      </c>
      <c r="E6" s="1030" t="s">
        <v>1260</v>
      </c>
      <c r="F6" s="1031" t="s">
        <v>650</v>
      </c>
      <c r="G6" s="1027" t="s">
        <v>650</v>
      </c>
      <c r="H6" s="999"/>
      <c r="I6" s="97"/>
      <c r="J6" s="1040"/>
      <c r="K6" s="999"/>
      <c r="L6" s="999"/>
      <c r="M6" s="999"/>
      <c r="N6" s="999"/>
      <c r="O6" s="999"/>
      <c r="P6" s="999"/>
      <c r="Q6" s="1032"/>
      <c r="R6" s="1032"/>
      <c r="S6" s="999"/>
      <c r="T6" s="999"/>
      <c r="U6" s="1046" t="s">
        <v>1648</v>
      </c>
      <c r="V6" s="97"/>
      <c r="W6" s="1047" t="s">
        <v>7319</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7546</v>
      </c>
      <c r="L7" s="1033" t="s">
        <v>6281</v>
      </c>
      <c r="M7" s="999"/>
      <c r="N7" s="999"/>
      <c r="O7" s="999"/>
      <c r="P7" s="1034" t="s">
        <v>7547</v>
      </c>
      <c r="Q7" s="1032"/>
      <c r="R7" s="1032"/>
      <c r="S7" s="999"/>
      <c r="T7" s="999"/>
      <c r="U7" s="1032"/>
      <c r="V7" s="1032"/>
      <c r="W7" s="1032"/>
      <c r="X7" s="1035" t="s">
        <v>7540</v>
      </c>
      <c r="Y7" s="1032"/>
      <c r="Z7" s="1032"/>
      <c r="AA7" s="999"/>
      <c r="AB7" s="1032"/>
      <c r="AC7" s="999"/>
      <c r="AD7" s="1032"/>
      <c r="AE7" s="1032"/>
      <c r="AF7" s="1032"/>
      <c r="AG7" s="1036"/>
      <c r="AH7" s="1036"/>
    </row>
    <row r="8">
      <c r="A8" s="1037" t="s">
        <v>1052</v>
      </c>
      <c r="B8" s="1027" t="s">
        <v>1200</v>
      </c>
      <c r="C8" s="1028" t="s">
        <v>438</v>
      </c>
      <c r="D8" s="1029" t="s">
        <v>547</v>
      </c>
      <c r="E8" s="1030" t="s">
        <v>1260</v>
      </c>
      <c r="F8" s="1031" t="s">
        <v>650</v>
      </c>
      <c r="G8" s="1027" t="s">
        <v>650</v>
      </c>
      <c r="H8" s="999"/>
      <c r="I8" s="97"/>
      <c r="J8" s="92"/>
      <c r="K8" s="1038"/>
      <c r="L8" s="1038"/>
      <c r="M8" s="1038"/>
      <c r="N8" s="998"/>
      <c r="O8" s="1048"/>
      <c r="P8" s="999"/>
      <c r="Q8" s="1032"/>
      <c r="R8" s="1032"/>
      <c r="S8" s="1034" t="s">
        <v>7548</v>
      </c>
      <c r="T8" s="999"/>
      <c r="U8" s="1032"/>
      <c r="V8" s="1032"/>
      <c r="W8" s="1032"/>
      <c r="X8" s="999"/>
      <c r="Y8" s="1032"/>
      <c r="Z8" s="1032"/>
      <c r="AA8" s="1035" t="s">
        <v>7549</v>
      </c>
      <c r="AB8" s="1035" t="s">
        <v>6454</v>
      </c>
      <c r="AC8" s="999"/>
      <c r="AD8" s="1032"/>
      <c r="AE8" s="1032"/>
      <c r="AF8" s="1032"/>
      <c r="AG8" s="1036"/>
      <c r="AH8" s="1036"/>
    </row>
    <row r="9">
      <c r="A9" s="1005" t="s">
        <v>7503</v>
      </c>
      <c r="B9" s="1027" t="s">
        <v>1054</v>
      </c>
      <c r="C9" s="1028" t="s">
        <v>1260</v>
      </c>
      <c r="D9" s="1029" t="s">
        <v>1260</v>
      </c>
      <c r="E9" s="1030" t="s">
        <v>1260</v>
      </c>
      <c r="F9" s="1031" t="s">
        <v>332</v>
      </c>
      <c r="G9" s="1027" t="s">
        <v>332</v>
      </c>
      <c r="H9" s="1038"/>
      <c r="I9" s="1039"/>
      <c r="J9" s="1040"/>
      <c r="K9" s="1041"/>
      <c r="L9" s="1041"/>
      <c r="M9" s="1041"/>
      <c r="N9" s="1049"/>
      <c r="O9" s="1049"/>
      <c r="P9" s="1049"/>
      <c r="Q9" s="1050"/>
      <c r="R9" s="1001" t="s">
        <v>358</v>
      </c>
      <c r="S9" s="1038"/>
      <c r="T9" s="1038"/>
      <c r="U9" s="1051" t="s">
        <v>1779</v>
      </c>
      <c r="V9" s="1032"/>
      <c r="W9" s="1032"/>
      <c r="X9" s="1051" t="s">
        <v>646</v>
      </c>
      <c r="Y9" s="1050"/>
      <c r="Z9" s="1050"/>
      <c r="AA9" s="1051" t="s">
        <v>7550</v>
      </c>
      <c r="AB9" s="1050"/>
      <c r="AC9" s="1049"/>
      <c r="AD9" s="1032"/>
      <c r="AE9" s="1050"/>
      <c r="AF9" s="1050"/>
      <c r="AG9" s="1052"/>
      <c r="AH9" s="1052"/>
    </row>
    <row r="10">
      <c r="A10" s="1037" t="s">
        <v>7551</v>
      </c>
      <c r="B10" s="1027" t="s">
        <v>1054</v>
      </c>
      <c r="C10" s="1028" t="s">
        <v>650</v>
      </c>
      <c r="D10" s="1029" t="s">
        <v>1260</v>
      </c>
      <c r="E10" s="1030" t="s">
        <v>1260</v>
      </c>
      <c r="F10" s="1031" t="s">
        <v>650</v>
      </c>
      <c r="G10" s="1027" t="s">
        <v>650</v>
      </c>
      <c r="H10" s="999"/>
      <c r="I10" s="97"/>
      <c r="J10" s="92"/>
      <c r="K10" s="1035" t="s">
        <v>7552</v>
      </c>
      <c r="L10" s="1035" t="s">
        <v>7553</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1260</v>
      </c>
      <c r="D11" s="1029" t="s">
        <v>547</v>
      </c>
      <c r="E11" s="1030" t="s">
        <v>1260</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7554</v>
      </c>
      <c r="AE11" s="1032"/>
      <c r="AF11" s="1032"/>
      <c r="AG11" s="1036"/>
      <c r="AH11" s="1036"/>
    </row>
    <row r="12">
      <c r="A12" s="1037" t="s">
        <v>2715</v>
      </c>
      <c r="B12" s="1027" t="s">
        <v>3873</v>
      </c>
      <c r="C12" s="1028" t="s">
        <v>1260</v>
      </c>
      <c r="D12" s="1029" t="s">
        <v>1260</v>
      </c>
      <c r="E12" s="1030" t="s">
        <v>547</v>
      </c>
      <c r="F12" s="1031" t="s">
        <v>438</v>
      </c>
      <c r="G12" s="1027" t="s">
        <v>438</v>
      </c>
      <c r="H12" s="999"/>
      <c r="I12" s="97"/>
      <c r="J12" s="92"/>
      <c r="K12" s="999"/>
      <c r="L12" s="1001" t="s">
        <v>6740</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1260</v>
      </c>
      <c r="E13" s="1030" t="s">
        <v>1260</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7555</v>
      </c>
      <c r="AE13" s="1032"/>
      <c r="AF13" s="1032"/>
      <c r="AG13" s="1036"/>
      <c r="AH13" s="1036"/>
    </row>
    <row r="14">
      <c r="A14" s="1005" t="s">
        <v>4551</v>
      </c>
      <c r="B14" s="1027" t="s">
        <v>439</v>
      </c>
      <c r="C14" s="1028" t="s">
        <v>547</v>
      </c>
      <c r="D14" s="1029" t="s">
        <v>1260</v>
      </c>
      <c r="E14" s="1030" t="s">
        <v>1260</v>
      </c>
      <c r="F14" s="1031" t="s">
        <v>547</v>
      </c>
      <c r="G14" s="1027" t="s">
        <v>547</v>
      </c>
      <c r="H14" s="999"/>
      <c r="I14" s="97"/>
      <c r="J14" s="92"/>
      <c r="K14" s="999"/>
      <c r="L14" s="999"/>
      <c r="M14" s="999"/>
      <c r="N14" s="999"/>
      <c r="O14" s="999"/>
      <c r="P14" s="999"/>
      <c r="Q14" s="1032"/>
      <c r="R14" s="1032"/>
      <c r="S14" s="999"/>
      <c r="T14" s="999"/>
      <c r="U14" s="1055"/>
      <c r="V14" s="1032"/>
      <c r="W14" s="1001" t="s">
        <v>7556</v>
      </c>
      <c r="X14" s="999"/>
      <c r="Y14" s="1032"/>
      <c r="Z14" s="1032"/>
      <c r="AA14" s="999"/>
      <c r="AB14" s="1032"/>
      <c r="AC14" s="999"/>
      <c r="AD14" s="1032"/>
      <c r="AE14" s="1032"/>
      <c r="AF14" s="1032"/>
      <c r="AG14" s="1036"/>
      <c r="AH14" s="1036"/>
    </row>
    <row r="15">
      <c r="A15" s="1037" t="s">
        <v>7557</v>
      </c>
      <c r="B15" s="1027" t="s">
        <v>334</v>
      </c>
      <c r="C15" s="1028" t="s">
        <v>547</v>
      </c>
      <c r="D15" s="1029" t="s">
        <v>1260</v>
      </c>
      <c r="E15" s="1030" t="s">
        <v>1260</v>
      </c>
      <c r="F15" s="1031" t="s">
        <v>547</v>
      </c>
      <c r="G15" s="1027" t="s">
        <v>547</v>
      </c>
      <c r="H15" s="999"/>
      <c r="I15" s="97"/>
      <c r="J15" s="92"/>
      <c r="K15" s="999"/>
      <c r="L15" s="1035" t="s">
        <v>7553</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1260</v>
      </c>
      <c r="D16" s="1029" t="s">
        <v>1260</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7558</v>
      </c>
      <c r="AE16" s="1032"/>
      <c r="AF16" s="1032"/>
      <c r="AG16" s="1036"/>
      <c r="AH16" s="1036"/>
    </row>
    <row r="17">
      <c r="A17" s="1037" t="s">
        <v>647</v>
      </c>
      <c r="B17" s="1027" t="s">
        <v>332</v>
      </c>
      <c r="C17" s="1028" t="s">
        <v>1260</v>
      </c>
      <c r="D17" s="1029" t="s">
        <v>1260</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7559</v>
      </c>
      <c r="B18" s="1027" t="s">
        <v>332</v>
      </c>
      <c r="C18" s="1028" t="s">
        <v>547</v>
      </c>
      <c r="D18" s="1029" t="s">
        <v>1260</v>
      </c>
      <c r="E18" s="1030" t="s">
        <v>1260</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1260</v>
      </c>
      <c r="D19" s="1029" t="s">
        <v>1260</v>
      </c>
      <c r="E19" s="1030" t="s">
        <v>1260</v>
      </c>
      <c r="F19" s="1031" t="s">
        <v>650</v>
      </c>
      <c r="G19" s="1027" t="s">
        <v>650</v>
      </c>
      <c r="H19" s="1038"/>
      <c r="I19" s="1040"/>
      <c r="J19" s="1040"/>
      <c r="K19" s="1041"/>
      <c r="L19" s="1041"/>
      <c r="M19" s="1041"/>
      <c r="N19" s="1041"/>
      <c r="O19" s="1041"/>
      <c r="P19" s="1041"/>
      <c r="Q19" s="1041"/>
      <c r="R19" s="1001" t="s">
        <v>3746</v>
      </c>
      <c r="S19" s="1038"/>
      <c r="T19" s="1038"/>
      <c r="U19" s="1051" t="s">
        <v>7560</v>
      </c>
      <c r="V19" s="999"/>
      <c r="W19" s="999"/>
      <c r="X19" s="1051" t="s">
        <v>1347</v>
      </c>
      <c r="Y19" s="1041"/>
      <c r="Z19" s="1041"/>
      <c r="AA19" s="1049"/>
      <c r="AB19" s="1041"/>
      <c r="AC19" s="1041"/>
      <c r="AD19" s="998"/>
      <c r="AE19" s="1057"/>
      <c r="AF19" s="1057"/>
      <c r="AG19" s="1058"/>
      <c r="AH19" s="1059"/>
    </row>
    <row r="20">
      <c r="A20" s="887" t="s">
        <v>1415</v>
      </c>
      <c r="B20" s="1027" t="s">
        <v>650</v>
      </c>
      <c r="C20" s="1028" t="s">
        <v>1260</v>
      </c>
      <c r="D20" s="1029" t="s">
        <v>1260</v>
      </c>
      <c r="E20" s="1030" t="s">
        <v>1260</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7561</v>
      </c>
      <c r="AE20" s="1032"/>
      <c r="AF20" s="1032"/>
      <c r="AG20" s="1036"/>
      <c r="AH20" s="1036"/>
    </row>
    <row r="21">
      <c r="A21" s="887" t="s">
        <v>6629</v>
      </c>
      <c r="B21" s="1027" t="s">
        <v>650</v>
      </c>
      <c r="C21" s="1028" t="s">
        <v>1260</v>
      </c>
      <c r="D21" s="1029" t="s">
        <v>1260</v>
      </c>
      <c r="E21" s="1030" t="s">
        <v>1260</v>
      </c>
      <c r="F21" s="1031" t="s">
        <v>547</v>
      </c>
      <c r="G21" s="1027" t="s">
        <v>547</v>
      </c>
      <c r="H21" s="999"/>
      <c r="I21" s="97"/>
      <c r="J21" s="1040"/>
      <c r="K21" s="1038"/>
      <c r="L21" s="998"/>
      <c r="M21" s="998"/>
      <c r="N21" s="1048"/>
      <c r="O21" s="999"/>
      <c r="P21" s="999"/>
      <c r="Q21" s="1032"/>
      <c r="R21" s="1032"/>
      <c r="S21" s="999"/>
      <c r="T21" s="999"/>
      <c r="U21" s="1055"/>
      <c r="V21" s="97"/>
      <c r="W21" s="1033" t="s">
        <v>7562</v>
      </c>
      <c r="X21" s="999"/>
      <c r="Y21" s="1032"/>
      <c r="Z21" s="1032"/>
      <c r="AA21" s="999"/>
      <c r="AB21" s="1032"/>
      <c r="AC21" s="999"/>
      <c r="AD21" s="1032"/>
      <c r="AE21" s="1032"/>
      <c r="AF21" s="1032"/>
      <c r="AG21" s="1036"/>
      <c r="AH21" s="1036"/>
    </row>
    <row r="22">
      <c r="A22" s="1037" t="s">
        <v>4923</v>
      </c>
      <c r="B22" s="1027" t="s">
        <v>650</v>
      </c>
      <c r="C22" s="1028" t="s">
        <v>547</v>
      </c>
      <c r="D22" s="1029" t="s">
        <v>1260</v>
      </c>
      <c r="E22" s="1030" t="s">
        <v>1260</v>
      </c>
      <c r="F22" s="1031" t="s">
        <v>547</v>
      </c>
      <c r="G22" s="1027" t="s">
        <v>547</v>
      </c>
      <c r="H22" s="999"/>
      <c r="I22" s="97"/>
      <c r="J22" s="92"/>
      <c r="K22" s="999"/>
      <c r="L22" s="999"/>
      <c r="M22" s="999"/>
      <c r="N22" s="999"/>
      <c r="O22" s="999"/>
      <c r="P22" s="1035" t="s">
        <v>7563</v>
      </c>
      <c r="Q22" s="1032"/>
      <c r="R22" s="1032"/>
      <c r="S22" s="999"/>
      <c r="T22" s="999"/>
      <c r="U22" s="1032"/>
      <c r="V22" s="1032"/>
      <c r="W22" s="1032"/>
      <c r="X22" s="999"/>
      <c r="Y22" s="1032"/>
      <c r="Z22" s="1032"/>
      <c r="AA22" s="999"/>
      <c r="AB22" s="1032"/>
      <c r="AC22" s="999"/>
      <c r="AD22" s="1032"/>
      <c r="AE22" s="1032"/>
      <c r="AF22" s="1032"/>
      <c r="AG22" s="1036"/>
      <c r="AH22" s="1036"/>
    </row>
    <row r="23">
      <c r="A23" s="1037" t="s">
        <v>2027</v>
      </c>
      <c r="B23" s="1027" t="s">
        <v>438</v>
      </c>
      <c r="C23" s="1028" t="s">
        <v>1260</v>
      </c>
      <c r="D23" s="1029" t="s">
        <v>1260</v>
      </c>
      <c r="E23" s="1030" t="s">
        <v>1260</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7564</v>
      </c>
      <c r="AE23" s="1032"/>
      <c r="AF23" s="1032"/>
      <c r="AG23" s="1036"/>
      <c r="AH23" s="1036"/>
    </row>
    <row r="24">
      <c r="A24" s="1037" t="s">
        <v>7044</v>
      </c>
      <c r="B24" s="1027" t="s">
        <v>438</v>
      </c>
      <c r="C24" s="1028" t="s">
        <v>1260</v>
      </c>
      <c r="D24" s="1029" t="s">
        <v>1260</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1260</v>
      </c>
      <c r="D25" s="1029" t="s">
        <v>1260</v>
      </c>
      <c r="E25" s="1030" t="s">
        <v>1260</v>
      </c>
      <c r="F25" s="1031" t="s">
        <v>547</v>
      </c>
      <c r="G25" s="1027" t="s">
        <v>547</v>
      </c>
      <c r="H25" s="1053"/>
      <c r="I25" s="97"/>
      <c r="J25" s="92"/>
      <c r="K25" s="999"/>
      <c r="L25" s="999"/>
      <c r="M25" s="999"/>
      <c r="N25" s="999"/>
      <c r="O25" s="999"/>
      <c r="P25" s="999"/>
      <c r="Q25" s="1032"/>
      <c r="R25" s="1054"/>
      <c r="S25" s="1053"/>
      <c r="T25" s="1053"/>
      <c r="U25" s="1060"/>
      <c r="V25" s="97"/>
      <c r="W25" s="1046" t="s">
        <v>7565</v>
      </c>
      <c r="X25" s="999"/>
      <c r="Y25" s="1032"/>
      <c r="Z25" s="1032"/>
      <c r="AA25" s="999"/>
      <c r="AB25" s="1032"/>
      <c r="AC25" s="999"/>
      <c r="AD25" s="1032"/>
      <c r="AE25" s="1032"/>
      <c r="AF25" s="1032"/>
      <c r="AG25" s="1036"/>
      <c r="AH25" s="1036"/>
    </row>
    <row r="26">
      <c r="A26" s="1037" t="s">
        <v>2583</v>
      </c>
      <c r="B26" s="1027" t="s">
        <v>547</v>
      </c>
      <c r="C26" s="1028" t="s">
        <v>547</v>
      </c>
      <c r="D26" s="1029" t="s">
        <v>1260</v>
      </c>
      <c r="E26" s="1030" t="s">
        <v>1260</v>
      </c>
      <c r="F26" s="1031" t="s">
        <v>547</v>
      </c>
      <c r="G26" s="1027" t="s">
        <v>547</v>
      </c>
      <c r="H26" s="999"/>
      <c r="I26" s="97"/>
      <c r="J26" s="92"/>
      <c r="K26" s="999"/>
      <c r="L26" s="999"/>
      <c r="M26" s="999"/>
      <c r="N26" s="999"/>
      <c r="O26" s="999"/>
      <c r="P26" s="999"/>
      <c r="Q26" s="1032"/>
      <c r="R26" s="1032"/>
      <c r="S26" s="999"/>
      <c r="T26" s="999"/>
      <c r="U26" s="1032"/>
      <c r="V26" s="1035" t="s">
        <v>7566</v>
      </c>
      <c r="W26" s="1032"/>
      <c r="X26" s="999"/>
      <c r="Y26" s="1032"/>
      <c r="Z26" s="1032"/>
      <c r="AA26" s="999"/>
      <c r="AB26" s="1032"/>
      <c r="AC26" s="999"/>
      <c r="AD26" s="1032"/>
      <c r="AE26" s="1032"/>
      <c r="AF26" s="1032"/>
      <c r="AG26" s="1036"/>
      <c r="AH26" s="1036"/>
    </row>
    <row r="27">
      <c r="A27" s="1061" t="s">
        <v>7567</v>
      </c>
      <c r="B27" s="1027" t="s">
        <v>547</v>
      </c>
      <c r="C27" s="1028" t="s">
        <v>1260</v>
      </c>
      <c r="D27" s="1029" t="s">
        <v>1260</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6413</v>
      </c>
      <c r="B28" s="1027" t="s">
        <v>547</v>
      </c>
      <c r="C28" s="1028" t="s">
        <v>1260</v>
      </c>
      <c r="D28" s="1029" t="s">
        <v>1260</v>
      </c>
      <c r="E28" s="1030" t="s">
        <v>1260</v>
      </c>
      <c r="F28" s="1031" t="s">
        <v>547</v>
      </c>
      <c r="G28" s="1027" t="s">
        <v>547</v>
      </c>
      <c r="H28" s="999"/>
      <c r="I28" s="97"/>
      <c r="J28" s="92"/>
      <c r="K28" s="999"/>
      <c r="L28" s="1001" t="s">
        <v>7568</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6418</v>
      </c>
      <c r="B29" s="1027" t="s">
        <v>1260</v>
      </c>
      <c r="C29" s="1028" t="s">
        <v>1260</v>
      </c>
      <c r="D29" s="1029" t="s">
        <v>1260</v>
      </c>
      <c r="E29" s="1030" t="s">
        <v>1260</v>
      </c>
      <c r="F29" s="1031" t="s">
        <v>1260</v>
      </c>
      <c r="G29" s="1027" t="s">
        <v>1260</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1260</v>
      </c>
      <c r="C30" s="1028" t="s">
        <v>1260</v>
      </c>
      <c r="D30" s="1029" t="s">
        <v>1260</v>
      </c>
      <c r="E30" s="1030" t="s">
        <v>1260</v>
      </c>
      <c r="F30" s="1031" t="s">
        <v>1260</v>
      </c>
      <c r="G30" s="1027" t="s">
        <v>1260</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1260</v>
      </c>
      <c r="C31" s="1028" t="s">
        <v>1260</v>
      </c>
      <c r="D31" s="1029" t="s">
        <v>1260</v>
      </c>
      <c r="E31" s="1030" t="s">
        <v>1260</v>
      </c>
      <c r="F31" s="1031" t="s">
        <v>1260</v>
      </c>
      <c r="G31" s="1027" t="s">
        <v>1260</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1260</v>
      </c>
      <c r="C32" s="1028" t="s">
        <v>1260</v>
      </c>
      <c r="D32" s="1029" t="s">
        <v>1260</v>
      </c>
      <c r="E32" s="1030" t="s">
        <v>1260</v>
      </c>
      <c r="F32" s="1031" t="s">
        <v>1260</v>
      </c>
      <c r="G32" s="1027" t="s">
        <v>1260</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1260</v>
      </c>
      <c r="C33" s="1028" t="s">
        <v>1260</v>
      </c>
      <c r="D33" s="1029" t="s">
        <v>1260</v>
      </c>
      <c r="E33" s="1030" t="s">
        <v>1260</v>
      </c>
      <c r="F33" s="1031" t="s">
        <v>1260</v>
      </c>
      <c r="G33" s="1027" t="s">
        <v>1260</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1260</v>
      </c>
      <c r="C34" s="1028" t="s">
        <v>1260</v>
      </c>
      <c r="D34" s="1029" t="s">
        <v>1260</v>
      </c>
      <c r="E34" s="1030" t="s">
        <v>1260</v>
      </c>
      <c r="F34" s="1031" t="s">
        <v>1260</v>
      </c>
      <c r="G34" s="1027" t="s">
        <v>1260</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1260</v>
      </c>
      <c r="C35" s="1028" t="s">
        <v>1260</v>
      </c>
      <c r="D35" s="1029" t="s">
        <v>1260</v>
      </c>
      <c r="E35" s="1030" t="s">
        <v>1260</v>
      </c>
      <c r="F35" s="1031" t="s">
        <v>1260</v>
      </c>
      <c r="G35" s="1027" t="s">
        <v>1260</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1260</v>
      </c>
      <c r="C36" s="1028" t="s">
        <v>1260</v>
      </c>
      <c r="D36" s="1029" t="s">
        <v>1260</v>
      </c>
      <c r="E36" s="1030" t="s">
        <v>1260</v>
      </c>
      <c r="F36" s="1031" t="s">
        <v>1260</v>
      </c>
      <c r="G36" s="1027" t="s">
        <v>1260</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1260</v>
      </c>
      <c r="C37" s="1028" t="s">
        <v>1260</v>
      </c>
      <c r="D37" s="1029" t="s">
        <v>1260</v>
      </c>
      <c r="E37" s="1030" t="s">
        <v>1260</v>
      </c>
      <c r="F37" s="1031" t="s">
        <v>1260</v>
      </c>
      <c r="G37" s="1027" t="s">
        <v>1260</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1260</v>
      </c>
      <c r="C38" s="1028" t="s">
        <v>1260</v>
      </c>
      <c r="D38" s="1029" t="s">
        <v>1260</v>
      </c>
      <c r="E38" s="1030" t="s">
        <v>1260</v>
      </c>
      <c r="F38" s="1031" t="s">
        <v>1260</v>
      </c>
      <c r="G38" s="1027" t="s">
        <v>1260</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1260</v>
      </c>
      <c r="C39" s="1028" t="s">
        <v>1260</v>
      </c>
      <c r="D39" s="1029" t="s">
        <v>1260</v>
      </c>
      <c r="E39" s="1030" t="s">
        <v>1260</v>
      </c>
      <c r="F39" s="1031" t="s">
        <v>1260</v>
      </c>
      <c r="G39" s="1027" t="s">
        <v>1260</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1260</v>
      </c>
      <c r="C40" s="1028" t="s">
        <v>1260</v>
      </c>
      <c r="D40" s="1029" t="s">
        <v>1260</v>
      </c>
      <c r="E40" s="1030" t="s">
        <v>1260</v>
      </c>
      <c r="F40" s="1031" t="s">
        <v>1260</v>
      </c>
      <c r="G40" s="1027" t="s">
        <v>1260</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1260</v>
      </c>
      <c r="C41" s="1028" t="s">
        <v>1260</v>
      </c>
      <c r="D41" s="1029" t="s">
        <v>1260</v>
      </c>
      <c r="E41" s="1030" t="s">
        <v>1260</v>
      </c>
      <c r="F41" s="1031" t="s">
        <v>1260</v>
      </c>
      <c r="G41" s="1027" t="s">
        <v>1260</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1260</v>
      </c>
      <c r="C42" s="1028" t="s">
        <v>1260</v>
      </c>
      <c r="D42" s="1029" t="s">
        <v>1260</v>
      </c>
      <c r="E42" s="1030" t="s">
        <v>1260</v>
      </c>
      <c r="F42" s="1031" t="s">
        <v>1260</v>
      </c>
      <c r="G42" s="1027" t="s">
        <v>1260</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1260</v>
      </c>
      <c r="C43" s="1028" t="s">
        <v>1260</v>
      </c>
      <c r="D43" s="1029" t="s">
        <v>1260</v>
      </c>
      <c r="E43" s="1030" t="s">
        <v>1260</v>
      </c>
      <c r="F43" s="1031" t="s">
        <v>1260</v>
      </c>
      <c r="G43" s="1027" t="s">
        <v>1260</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1260</v>
      </c>
      <c r="C44" s="1028" t="s">
        <v>1260</v>
      </c>
      <c r="D44" s="1029" t="s">
        <v>1260</v>
      </c>
      <c r="E44" s="1030" t="s">
        <v>1260</v>
      </c>
      <c r="F44" s="1031" t="s">
        <v>1260</v>
      </c>
      <c r="G44" s="1027" t="s">
        <v>1260</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1260</v>
      </c>
      <c r="C45" s="1028" t="s">
        <v>1260</v>
      </c>
      <c r="D45" s="1029" t="s">
        <v>1260</v>
      </c>
      <c r="E45" s="1030" t="s">
        <v>1260</v>
      </c>
      <c r="F45" s="1031" t="s">
        <v>1260</v>
      </c>
      <c r="G45" s="1027" t="s">
        <v>1260</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1260</v>
      </c>
      <c r="C46" s="1028" t="s">
        <v>1260</v>
      </c>
      <c r="D46" s="1029" t="s">
        <v>1260</v>
      </c>
      <c r="E46" s="1030" t="s">
        <v>1260</v>
      </c>
      <c r="F46" s="1031" t="s">
        <v>1260</v>
      </c>
      <c r="G46" s="1027" t="s">
        <v>1260</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1260</v>
      </c>
      <c r="C47" s="1028" t="s">
        <v>1260</v>
      </c>
      <c r="D47" s="1029" t="s">
        <v>1260</v>
      </c>
      <c r="E47" s="1030" t="s">
        <v>1260</v>
      </c>
      <c r="F47" s="1031" t="s">
        <v>1260</v>
      </c>
      <c r="G47" s="1027" t="s">
        <v>1260</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1260</v>
      </c>
      <c r="C48" s="1028" t="s">
        <v>1260</v>
      </c>
      <c r="D48" s="1029" t="s">
        <v>1260</v>
      </c>
      <c r="E48" s="1030" t="s">
        <v>1260</v>
      </c>
      <c r="F48" s="1031" t="s">
        <v>1260</v>
      </c>
      <c r="G48" s="1027" t="s">
        <v>1260</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1260</v>
      </c>
      <c r="C49" s="1028" t="s">
        <v>1260</v>
      </c>
      <c r="D49" s="1029" t="s">
        <v>1260</v>
      </c>
      <c r="E49" s="1030" t="s">
        <v>1260</v>
      </c>
      <c r="F49" s="1031" t="s">
        <v>1260</v>
      </c>
      <c r="G49" s="1027" t="s">
        <v>1260</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1260</v>
      </c>
      <c r="C50" s="1028" t="s">
        <v>1260</v>
      </c>
      <c r="D50" s="1029" t="s">
        <v>1260</v>
      </c>
      <c r="E50" s="1030" t="s">
        <v>1260</v>
      </c>
      <c r="F50" s="1031" t="s">
        <v>1260</v>
      </c>
      <c r="G50" s="1027" t="s">
        <v>1260</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1260</v>
      </c>
      <c r="C51" s="1028" t="s">
        <v>1260</v>
      </c>
      <c r="D51" s="1029" t="s">
        <v>1260</v>
      </c>
      <c r="E51" s="1030" t="s">
        <v>1260</v>
      </c>
      <c r="F51" s="1031" t="s">
        <v>1260</v>
      </c>
      <c r="G51" s="1027" t="s">
        <v>1260</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7569</v>
      </c>
      <c r="D1" s="1065" t="s">
        <v>1550</v>
      </c>
      <c r="E1" s="1066" t="s">
        <v>7570</v>
      </c>
      <c r="F1" s="1067" t="s">
        <v>2545</v>
      </c>
      <c r="G1" s="1065" t="s">
        <v>981</v>
      </c>
      <c r="H1" s="1065" t="s">
        <v>7571</v>
      </c>
      <c r="I1" s="1065" t="s">
        <v>7572</v>
      </c>
      <c r="J1" s="1066" t="s">
        <v>7573</v>
      </c>
      <c r="K1" s="1065" t="s">
        <v>7044</v>
      </c>
      <c r="L1" s="1065" t="s">
        <v>7574</v>
      </c>
      <c r="M1" s="1066" t="s">
        <v>7575</v>
      </c>
      <c r="N1" s="1065" t="s">
        <v>741</v>
      </c>
      <c r="O1" s="1065" t="s">
        <v>7576</v>
      </c>
      <c r="P1" s="1065" t="s">
        <v>1052</v>
      </c>
      <c r="Q1" s="1068" t="s">
        <v>7577</v>
      </c>
      <c r="R1" s="1069" t="s">
        <v>7578</v>
      </c>
      <c r="S1" s="1065" t="s">
        <v>1878</v>
      </c>
      <c r="T1" s="1065" t="s">
        <v>7579</v>
      </c>
      <c r="U1" s="1065" t="s">
        <v>7287</v>
      </c>
      <c r="V1" s="1066" t="s">
        <v>7580</v>
      </c>
      <c r="W1" s="1065" t="s">
        <v>2715</v>
      </c>
      <c r="X1" s="1065" t="s">
        <v>7581</v>
      </c>
      <c r="Y1" s="1065" t="s">
        <v>7159</v>
      </c>
      <c r="Z1" s="1065" t="s">
        <v>4054</v>
      </c>
      <c r="AA1" s="1065" t="s">
        <v>7582</v>
      </c>
      <c r="AB1" s="1065" t="s">
        <v>6781</v>
      </c>
      <c r="AC1" s="1065" t="s">
        <v>3572</v>
      </c>
      <c r="AD1" s="1065" t="s">
        <v>7232</v>
      </c>
      <c r="AE1" s="1065" t="s">
        <v>7583</v>
      </c>
      <c r="AF1" s="1065" t="s">
        <v>7584</v>
      </c>
      <c r="AG1" s="1065" t="s">
        <v>1198</v>
      </c>
      <c r="AH1" s="1065" t="s">
        <v>218</v>
      </c>
      <c r="AI1" s="1065" t="s">
        <v>1632</v>
      </c>
      <c r="AJ1" s="1065" t="s">
        <v>2088</v>
      </c>
      <c r="AK1" s="1065" t="s">
        <v>7585</v>
      </c>
      <c r="AL1" s="1065" t="s">
        <v>7586</v>
      </c>
      <c r="AM1" s="1065" t="s">
        <v>7587</v>
      </c>
      <c r="AN1" s="1065" t="s">
        <v>2027</v>
      </c>
      <c r="AO1" s="1065" t="s">
        <v>7588</v>
      </c>
      <c r="AP1" s="1065" t="s">
        <v>7589</v>
      </c>
      <c r="AQ1" s="1065" t="s">
        <v>6027</v>
      </c>
      <c r="AR1" s="1065" t="s">
        <v>7590</v>
      </c>
      <c r="AS1" s="1065" t="s">
        <v>7591</v>
      </c>
      <c r="AT1" s="1065" t="s">
        <v>7592</v>
      </c>
      <c r="AU1" s="1069" t="s">
        <v>7593</v>
      </c>
      <c r="AV1" s="1065" t="s">
        <v>3195</v>
      </c>
      <c r="AW1" s="1065" t="s">
        <v>3906</v>
      </c>
      <c r="AX1" s="1065" t="s">
        <v>5898</v>
      </c>
      <c r="AY1" s="1065" t="s">
        <v>7594</v>
      </c>
      <c r="AZ1" s="1065" t="s">
        <v>5346</v>
      </c>
      <c r="BA1" s="1069" t="s">
        <v>4684</v>
      </c>
      <c r="BB1" s="1065" t="s">
        <v>827</v>
      </c>
      <c r="BC1" s="1065" t="s">
        <v>647</v>
      </c>
      <c r="BD1" s="1065" t="s">
        <v>7595</v>
      </c>
      <c r="BE1" s="1066" t="s">
        <v>7281</v>
      </c>
      <c r="BF1" s="1065" t="s">
        <v>7485</v>
      </c>
      <c r="BG1" s="1065" t="s">
        <v>7493</v>
      </c>
      <c r="BH1" s="1065" t="s">
        <v>1722</v>
      </c>
      <c r="BI1" s="1069" t="s">
        <v>6660</v>
      </c>
      <c r="BJ1" s="1069" t="s">
        <v>6621</v>
      </c>
      <c r="BK1" s="1069" t="s">
        <v>1808</v>
      </c>
      <c r="BL1" s="1069" t="s">
        <v>7596</v>
      </c>
      <c r="BM1" s="1070"/>
      <c r="BN1" s="1070"/>
      <c r="BO1" s="1070"/>
    </row>
    <row r="2" ht="15.75" customHeight="1">
      <c r="A2" s="1071" t="s">
        <v>7597</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7598</v>
      </c>
      <c r="B4" s="1081" t="s">
        <v>7599</v>
      </c>
      <c r="C4" s="1082" t="s">
        <v>335</v>
      </c>
      <c r="D4" s="1083" t="s">
        <v>910</v>
      </c>
      <c r="E4" s="1084" t="s">
        <v>335</v>
      </c>
      <c r="F4" s="1085"/>
      <c r="G4" s="1086" t="s">
        <v>1047</v>
      </c>
      <c r="H4" s="1087" t="s">
        <v>1261</v>
      </c>
      <c r="I4" s="1088" t="s">
        <v>2556</v>
      </c>
      <c r="J4" s="1086" t="str">
        <f>HYPERLINK("https://youtu.be/BAG8a3WI9KM","52.27")</f>
        <v>52.27</v>
      </c>
      <c r="K4" s="1086" t="s">
        <v>2620</v>
      </c>
      <c r="L4" s="1089" t="s">
        <v>2065</v>
      </c>
      <c r="M4" s="1086" t="s">
        <v>442</v>
      </c>
      <c r="N4" s="1089" t="s">
        <v>745</v>
      </c>
      <c r="O4" s="1086" t="str">
        <f>HYPERLINK("https://youtu.be/qv_H1NgDIQ8","53.73")</f>
        <v>53.73</v>
      </c>
      <c r="P4" s="1086" t="s">
        <v>2987</v>
      </c>
      <c r="Q4" s="1088" t="s">
        <v>1305</v>
      </c>
      <c r="R4" s="1090" t="s">
        <v>7600</v>
      </c>
      <c r="S4" s="1086" t="str">
        <f>HYPERLINK("https://clips.twitch.tv/ZealousSeductiveOkapiCharlieBitMe","51.96")</f>
        <v>51.96</v>
      </c>
      <c r="T4" s="1089"/>
      <c r="U4" s="1086" t="s">
        <v>1801</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7601</v>
      </c>
      <c r="B5" s="1093" t="s">
        <v>7602</v>
      </c>
      <c r="C5" s="1082" t="s">
        <v>7096</v>
      </c>
      <c r="D5" s="1094" t="s">
        <v>7603</v>
      </c>
      <c r="E5" s="1094" t="s">
        <v>7604</v>
      </c>
      <c r="F5" s="1095"/>
      <c r="G5" s="1094"/>
      <c r="H5" s="1087" t="s">
        <v>7605</v>
      </c>
      <c r="I5" s="1088" t="s">
        <v>7606</v>
      </c>
      <c r="J5" s="1094" t="s">
        <v>7607</v>
      </c>
      <c r="K5" s="1094"/>
      <c r="L5" s="1094" t="s">
        <v>3654</v>
      </c>
      <c r="M5" s="1094"/>
      <c r="N5" s="1094"/>
      <c r="O5" s="1094" t="s">
        <v>7608</v>
      </c>
      <c r="P5" s="1094" t="str">
        <f>HYPERLINK("https://youtu.be/y9FQ4EcrohI", "1:21.52")</f>
        <v>1:21.52</v>
      </c>
      <c r="Q5" s="1088" t="s">
        <v>7609</v>
      </c>
      <c r="R5" s="1096" t="s">
        <v>7610</v>
      </c>
      <c r="S5" s="1094"/>
      <c r="T5" s="1094" t="s">
        <v>7096</v>
      </c>
      <c r="U5" s="1094" t="s">
        <v>2586</v>
      </c>
      <c r="V5" s="1094"/>
      <c r="W5" s="1094"/>
      <c r="X5" s="1094"/>
      <c r="Y5" s="1094"/>
      <c r="Z5" s="1094"/>
      <c r="AA5" s="1094"/>
      <c r="AB5" s="1094"/>
      <c r="AC5" s="1094" t="s">
        <v>7611</v>
      </c>
      <c r="AD5" s="1094"/>
      <c r="AE5" s="1094"/>
      <c r="AF5" s="1094" t="s">
        <v>7612</v>
      </c>
      <c r="AG5" s="1094"/>
      <c r="AH5" s="1094"/>
      <c r="AI5" s="1094"/>
      <c r="AJ5" s="1094"/>
      <c r="AK5" s="1094"/>
      <c r="AL5" s="1086" t="s">
        <v>4424</v>
      </c>
      <c r="AM5" s="1094"/>
      <c r="AN5" s="1094"/>
      <c r="AO5" s="1094"/>
      <c r="AP5" s="1094"/>
      <c r="AQ5" s="1094" t="s">
        <v>5732</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7613</v>
      </c>
      <c r="C6" s="1082" t="s">
        <v>336</v>
      </c>
      <c r="D6" s="1001" t="s">
        <v>1555</v>
      </c>
      <c r="E6" s="1086" t="s">
        <v>336</v>
      </c>
      <c r="F6" s="1100" t="s">
        <v>2548</v>
      </c>
      <c r="G6" s="1086" t="s">
        <v>6955</v>
      </c>
      <c r="H6" s="1087" t="s">
        <v>1262</v>
      </c>
      <c r="I6" s="1088" t="s">
        <v>7614</v>
      </c>
      <c r="J6" s="1086" t="str">
        <f>HYPERLINK("https://youtu.be/ZP_d48CVxG0","1:19.30")</f>
        <v>1:19.30</v>
      </c>
      <c r="K6" s="1089"/>
      <c r="L6" s="1089"/>
      <c r="M6" s="1089" t="s">
        <v>102</v>
      </c>
      <c r="N6" s="1089" t="s">
        <v>746</v>
      </c>
      <c r="O6" s="1089" t="s">
        <v>4609</v>
      </c>
      <c r="P6" s="1086" t="s">
        <v>1058</v>
      </c>
      <c r="Q6" s="1088" t="s">
        <v>6756</v>
      </c>
      <c r="R6" s="1101" t="s">
        <v>7615</v>
      </c>
      <c r="S6" s="1089" t="s">
        <v>102</v>
      </c>
      <c r="T6" s="1089"/>
      <c r="U6" s="1089"/>
      <c r="V6" s="1089"/>
      <c r="W6" s="1086" t="s">
        <v>7266</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7616</v>
      </c>
      <c r="B7" s="1103" t="s">
        <v>7617</v>
      </c>
      <c r="C7" s="1104" t="s">
        <v>2126</v>
      </c>
      <c r="D7" s="1105"/>
      <c r="E7" s="1105"/>
      <c r="F7" s="1085"/>
      <c r="G7" s="1105"/>
      <c r="H7" s="1106"/>
      <c r="I7" s="1105"/>
      <c r="J7" s="1105"/>
      <c r="K7" s="1105"/>
      <c r="L7" s="1105"/>
      <c r="M7" s="1105"/>
      <c r="N7" s="1105"/>
      <c r="O7" s="1105"/>
      <c r="P7" s="1105"/>
      <c r="Q7" s="1105"/>
      <c r="R7" s="1101" t="s">
        <v>7618</v>
      </c>
      <c r="S7" s="1105"/>
      <c r="T7" s="1105"/>
      <c r="U7" s="1105"/>
      <c r="V7" s="1105"/>
      <c r="W7" s="1086" t="s">
        <v>2126</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7619</v>
      </c>
      <c r="C8" s="1082" t="s">
        <v>143</v>
      </c>
      <c r="D8" s="1094" t="s">
        <v>7620</v>
      </c>
      <c r="E8" s="1094" t="s">
        <v>7621</v>
      </c>
      <c r="F8" s="1107" t="s">
        <v>1155</v>
      </c>
      <c r="G8" s="1086" t="s">
        <v>143</v>
      </c>
      <c r="H8" s="1106"/>
      <c r="I8" s="1088"/>
      <c r="J8" s="1094" t="s">
        <v>1373</v>
      </c>
      <c r="K8" s="1094"/>
      <c r="L8" s="1094"/>
      <c r="M8" s="1094" t="s">
        <v>1140</v>
      </c>
      <c r="N8" s="1094" t="s">
        <v>1140</v>
      </c>
      <c r="O8" s="1094" t="s">
        <v>7622</v>
      </c>
      <c r="P8" s="1094"/>
      <c r="Q8" s="1088"/>
      <c r="R8" s="1096" t="s">
        <v>7623</v>
      </c>
      <c r="S8" s="1094" t="s">
        <v>5867</v>
      </c>
      <c r="T8" s="1094" t="s">
        <v>3856</v>
      </c>
      <c r="U8" s="1094" t="s">
        <v>7624</v>
      </c>
      <c r="V8" s="1094" t="s">
        <v>7625</v>
      </c>
      <c r="W8" s="1094"/>
      <c r="X8" s="1094"/>
      <c r="Y8" s="1094" t="s">
        <v>5867</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7626</v>
      </c>
      <c r="B9" s="1103" t="s">
        <v>7627</v>
      </c>
      <c r="C9" s="1082" t="s">
        <v>2327</v>
      </c>
      <c r="D9" s="1105"/>
      <c r="E9" s="1105"/>
      <c r="F9" s="1085"/>
      <c r="G9" s="1105"/>
      <c r="H9" s="1087" t="s">
        <v>1409</v>
      </c>
      <c r="I9" s="1105"/>
      <c r="J9" s="1105"/>
      <c r="K9" s="1105"/>
      <c r="L9" s="1105"/>
      <c r="M9" s="1105"/>
      <c r="N9" s="1105"/>
      <c r="O9" s="1105"/>
      <c r="P9" s="1105" t="s">
        <v>636</v>
      </c>
      <c r="Q9" s="1105"/>
      <c r="R9" s="1101" t="s">
        <v>7628</v>
      </c>
      <c r="S9" s="1105"/>
      <c r="T9" s="1105" t="s">
        <v>2327</v>
      </c>
      <c r="U9" s="1105"/>
      <c r="V9" s="1105"/>
      <c r="W9" s="1105"/>
      <c r="X9" s="1105"/>
      <c r="Y9" s="1105"/>
      <c r="Z9" s="1105"/>
      <c r="AA9" s="1105"/>
      <c r="AB9" s="1105"/>
      <c r="AC9" s="1105"/>
      <c r="AD9" s="1105"/>
      <c r="AE9" s="1105" t="s">
        <v>2629</v>
      </c>
      <c r="AF9" s="1105"/>
      <c r="AG9" s="1105"/>
      <c r="AH9" s="1105"/>
      <c r="AI9" s="1105"/>
      <c r="AJ9" s="1105"/>
      <c r="AK9" s="1105"/>
      <c r="AL9" s="1105"/>
      <c r="AM9" s="1105"/>
      <c r="AN9" s="1105"/>
      <c r="AO9" s="1105"/>
      <c r="AP9" s="1105"/>
      <c r="AQ9" s="1105" t="s">
        <v>7629</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7630</v>
      </c>
      <c r="C10" s="1108" t="s">
        <v>2540</v>
      </c>
      <c r="D10" s="1089"/>
      <c r="E10" s="1089"/>
      <c r="F10" s="1109"/>
      <c r="G10" s="1089"/>
      <c r="H10" s="1106"/>
      <c r="I10" s="1088" t="s">
        <v>7631</v>
      </c>
      <c r="J10" s="1089"/>
      <c r="K10" s="1089"/>
      <c r="L10" s="1089"/>
      <c r="M10" s="1089"/>
      <c r="N10" s="1089"/>
      <c r="O10" s="1089"/>
      <c r="P10" s="1089"/>
      <c r="Q10" s="1088"/>
      <c r="R10" s="1096" t="s">
        <v>7632</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7613</v>
      </c>
      <c r="C11" s="1082" t="s">
        <v>7633</v>
      </c>
      <c r="D11" s="1089"/>
      <c r="E11" s="1086" t="s">
        <v>1244</v>
      </c>
      <c r="F11" s="1112" t="s">
        <v>5074</v>
      </c>
      <c r="G11" s="1089"/>
      <c r="H11" s="1087" t="s">
        <v>2168</v>
      </c>
      <c r="I11" s="1088" t="s">
        <v>7634</v>
      </c>
      <c r="J11" s="1089"/>
      <c r="K11" s="1089"/>
      <c r="L11" s="1089"/>
      <c r="M11" s="1089"/>
      <c r="N11" s="1089"/>
      <c r="O11" s="1089"/>
      <c r="P11" s="1086" t="s">
        <v>7633</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2348</v>
      </c>
      <c r="D12" s="1094" t="s">
        <v>1791</v>
      </c>
      <c r="E12" s="1094" t="s">
        <v>2827</v>
      </c>
      <c r="F12" s="1114" t="s">
        <v>2348</v>
      </c>
      <c r="G12" s="1094"/>
      <c r="H12" s="1087" t="s">
        <v>7639</v>
      </c>
      <c r="I12" s="1088" t="s">
        <v>7640</v>
      </c>
      <c r="J12" s="1094" t="s">
        <v>7436</v>
      </c>
      <c r="K12" s="1094"/>
      <c r="L12" s="1094" t="s">
        <v>1866</v>
      </c>
      <c r="M12" s="1094"/>
      <c r="N12" s="1094" t="s">
        <v>4503</v>
      </c>
      <c r="O12" s="1094" t="s">
        <v>4793</v>
      </c>
      <c r="P12" s="1094"/>
      <c r="Q12" s="1088" t="s">
        <v>3409</v>
      </c>
      <c r="R12" s="1101" t="s">
        <v>7641</v>
      </c>
      <c r="S12" s="1094" t="s">
        <v>4503</v>
      </c>
      <c r="T12" s="1094"/>
      <c r="U12" s="1094" t="s">
        <v>4380</v>
      </c>
      <c r="V12" s="1094"/>
      <c r="W12" s="1094" t="s">
        <v>656</v>
      </c>
      <c r="X12" s="1094" t="s">
        <v>2896</v>
      </c>
      <c r="Y12" s="1094"/>
      <c r="Z12" s="1094"/>
      <c r="AA12" s="1094"/>
      <c r="AB12" s="1094"/>
      <c r="AC12" s="1094" t="s">
        <v>7642</v>
      </c>
      <c r="AD12" s="1094"/>
      <c r="AE12" s="1094"/>
      <c r="AF12" s="1094"/>
      <c r="AG12" s="1094"/>
      <c r="AH12" s="1094"/>
      <c r="AI12" s="1094"/>
      <c r="AJ12" s="1094"/>
      <c r="AK12" s="1094"/>
      <c r="AL12" s="1089"/>
      <c r="AM12" s="1094"/>
      <c r="AN12" s="1094"/>
      <c r="AO12" s="1094" t="s">
        <v>2036</v>
      </c>
      <c r="AP12" s="1094"/>
      <c r="AQ12" s="1094" t="s">
        <v>6240</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4278</v>
      </c>
      <c r="D13" s="1001" t="s">
        <v>1556</v>
      </c>
      <c r="E13" s="1086" t="s">
        <v>337</v>
      </c>
      <c r="F13" s="1100" t="s">
        <v>2549</v>
      </c>
      <c r="G13" s="1086" t="s">
        <v>4278</v>
      </c>
      <c r="H13" s="1087" t="s">
        <v>1263</v>
      </c>
      <c r="I13" s="1088" t="s">
        <v>2195</v>
      </c>
      <c r="J13" s="1089" t="s">
        <v>7644</v>
      </c>
      <c r="K13" s="1086" t="s">
        <v>726</v>
      </c>
      <c r="L13" s="1089"/>
      <c r="M13" s="1089" t="s">
        <v>2348</v>
      </c>
      <c r="N13" s="1086" t="s">
        <v>2111</v>
      </c>
      <c r="O13" s="1089" t="s">
        <v>7645</v>
      </c>
      <c r="P13" s="1086" t="s">
        <v>7646</v>
      </c>
      <c r="Q13" s="1088" t="s">
        <v>2827</v>
      </c>
      <c r="R13" s="1116"/>
      <c r="S13" s="1089" t="s">
        <v>3876</v>
      </c>
      <c r="T13" s="1089"/>
      <c r="U13" s="1086" t="s">
        <v>7647</v>
      </c>
      <c r="V13" s="1089" t="s">
        <v>1501</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7616</v>
      </c>
      <c r="B14" s="1117" t="s">
        <v>7638</v>
      </c>
      <c r="C14" s="1082" t="s">
        <v>6317</v>
      </c>
      <c r="D14" s="1094" t="s">
        <v>119</v>
      </c>
      <c r="E14" s="1094" t="s">
        <v>6317</v>
      </c>
      <c r="F14" s="1114" t="s">
        <v>6138</v>
      </c>
      <c r="G14" s="1089" t="s">
        <v>4447</v>
      </c>
      <c r="H14" s="1087" t="str">
        <f>HYPERLINK("https://www.twitch.tv/videos/569558488","14.31")</f>
        <v>14.31</v>
      </c>
      <c r="I14" s="1118" t="s">
        <v>7648</v>
      </c>
      <c r="J14" s="1094" t="str">
        <f>HYPERLINK("https://youtu.be/F4XtupQ5d4o","14.33")</f>
        <v>14.33</v>
      </c>
      <c r="K14" s="1094" t="s">
        <v>4447</v>
      </c>
      <c r="L14" s="1086" t="s">
        <v>4059</v>
      </c>
      <c r="M14" s="1094"/>
      <c r="N14" s="1094" t="str">
        <f>HYPERLINK("https://www.youtube.com/watch?v=h3GaauXfeR4","14.16")</f>
        <v>14.16</v>
      </c>
      <c r="O14" s="1094" t="str">
        <f>HYPERLINK("https://youtu.be/rZW3Nzg9CsM","14.20")</f>
        <v>14.20</v>
      </c>
      <c r="P14" s="1094"/>
      <c r="Q14" s="1088" t="s">
        <v>4401</v>
      </c>
      <c r="R14" s="1090" t="s">
        <v>5444</v>
      </c>
      <c r="S14" s="1094" t="s">
        <v>2280</v>
      </c>
      <c r="T14" s="1094" t="s">
        <v>3909</v>
      </c>
      <c r="U14" s="1094"/>
      <c r="V14" s="1094"/>
      <c r="W14" s="1094"/>
      <c r="X14" s="1094" t="s">
        <v>5657</v>
      </c>
      <c r="Y14" s="1094"/>
      <c r="Z14" s="1094" t="s">
        <v>4524</v>
      </c>
      <c r="AA14" s="1094"/>
      <c r="AB14" s="1094"/>
      <c r="AC14" s="1094" t="s">
        <v>6138</v>
      </c>
      <c r="AD14" s="1094"/>
      <c r="AE14" s="1094"/>
      <c r="AF14" s="1094" t="s">
        <v>665</v>
      </c>
      <c r="AG14" s="1094" t="s">
        <v>6926</v>
      </c>
      <c r="AH14" s="1094"/>
      <c r="AI14" s="1094" t="s">
        <v>5444</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1557</v>
      </c>
      <c r="E15" s="1094" t="s">
        <v>444</v>
      </c>
      <c r="F15" s="1120" t="s">
        <v>2550</v>
      </c>
      <c r="G15" s="1089" t="s">
        <v>1060</v>
      </c>
      <c r="H15" s="1087" t="s">
        <v>1264</v>
      </c>
      <c r="I15" s="1088" t="s">
        <v>4663</v>
      </c>
      <c r="J15" s="1094" t="str">
        <f>HYPERLINK("https://clips.twitch.tv/BusyTriangularAlmondRuleFive","13.97")</f>
        <v>13.97</v>
      </c>
      <c r="K15" s="1094" t="s">
        <v>1264</v>
      </c>
      <c r="L15" s="1094" t="s">
        <v>1953</v>
      </c>
      <c r="M15" s="1094" t="s">
        <v>444</v>
      </c>
      <c r="N15" s="1094" t="str">
        <f>HYPERLINK("https://youtu.be/v-0tSrJ8Kf0","13.80")</f>
        <v>13.80</v>
      </c>
      <c r="O15" s="1094" t="str">
        <f>HYPERLINK("https://youtu.be/Kv9otnDdZKc","13.93")</f>
        <v>13.93</v>
      </c>
      <c r="P15" s="1094" t="s">
        <v>1060</v>
      </c>
      <c r="Q15" s="1088" t="s">
        <v>2382</v>
      </c>
      <c r="R15" s="1116"/>
      <c r="S15" s="1094" t="s">
        <v>1953</v>
      </c>
      <c r="T15" s="1094"/>
      <c r="U15" s="1086" t="s">
        <v>2550</v>
      </c>
      <c r="V15" s="1094"/>
      <c r="W15" s="1094"/>
      <c r="X15" s="1094" t="s">
        <v>2628</v>
      </c>
      <c r="Y15" s="1094"/>
      <c r="Z15" s="1094"/>
      <c r="AA15" s="1094"/>
      <c r="AB15" s="1094"/>
      <c r="AC15" s="1094" t="s">
        <v>1421</v>
      </c>
      <c r="AD15" s="1094"/>
      <c r="AE15" s="1094"/>
      <c r="AF15" s="1094" t="s">
        <v>1639</v>
      </c>
      <c r="AG15" s="1094"/>
      <c r="AH15" s="1094"/>
      <c r="AI15" s="1094" t="s">
        <v>1639</v>
      </c>
      <c r="AJ15" s="1094" t="s">
        <v>1060</v>
      </c>
      <c r="AK15" s="1094"/>
      <c r="AL15" s="1086" t="s">
        <v>1953</v>
      </c>
      <c r="AM15" s="1094" t="s">
        <v>1815</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7626</v>
      </c>
      <c r="B16" s="1121" t="s">
        <v>7649</v>
      </c>
      <c r="C16" s="1082" t="s">
        <v>2672</v>
      </c>
      <c r="D16" s="1094" t="s">
        <v>5540</v>
      </c>
      <c r="E16" s="1094"/>
      <c r="F16" s="1114" t="s">
        <v>2149</v>
      </c>
      <c r="G16" s="1094"/>
      <c r="H16" s="1106"/>
      <c r="I16" s="1088" t="s">
        <v>2135</v>
      </c>
      <c r="J16" s="1094"/>
      <c r="K16" s="1094"/>
      <c r="L16" s="1094"/>
      <c r="M16" s="1094"/>
      <c r="N16" s="1094" t="s">
        <v>2672</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2259</v>
      </c>
      <c r="I17" s="1088"/>
      <c r="J17" s="1089"/>
      <c r="K17" s="1086" t="s">
        <v>7656</v>
      </c>
      <c r="L17" s="1089"/>
      <c r="M17" s="1089" t="s">
        <v>7656</v>
      </c>
      <c r="N17" s="1089"/>
      <c r="O17" s="1089"/>
      <c r="P17" s="1086" t="s">
        <v>1990</v>
      </c>
      <c r="Q17" s="1088" t="s">
        <v>7657</v>
      </c>
      <c r="R17" s="1090"/>
      <c r="S17" s="1089" t="s">
        <v>7658</v>
      </c>
      <c r="T17" s="1089"/>
      <c r="U17" s="1089"/>
      <c r="V17" s="1089" t="s">
        <v>2672</v>
      </c>
      <c r="W17" s="1089"/>
      <c r="X17" s="1089"/>
      <c r="Y17" s="1089" t="s">
        <v>7656</v>
      </c>
      <c r="Z17" s="1089"/>
      <c r="AA17" s="1086" t="s">
        <v>1990</v>
      </c>
      <c r="AB17" s="1089"/>
      <c r="AC17" s="1089"/>
      <c r="AD17" s="1089"/>
      <c r="AE17" s="1089"/>
      <c r="AF17" s="1089"/>
      <c r="AG17" s="1089"/>
      <c r="AH17" s="1086" t="s">
        <v>7653</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1699</v>
      </c>
      <c r="D18" s="1094" t="s">
        <v>3614</v>
      </c>
      <c r="E18" s="1094" t="s">
        <v>1173</v>
      </c>
      <c r="F18" s="1095"/>
      <c r="G18" s="1094"/>
      <c r="H18" s="1087" t="s">
        <v>4448</v>
      </c>
      <c r="I18" s="1088"/>
      <c r="J18" s="1094" t="s">
        <v>4215</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4657</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2862</v>
      </c>
      <c r="D19" s="1094"/>
      <c r="E19" s="1094" t="s">
        <v>882</v>
      </c>
      <c r="F19" s="1085"/>
      <c r="G19" s="1094"/>
      <c r="H19" s="1106"/>
      <c r="I19" s="1088"/>
      <c r="J19" s="1094"/>
      <c r="K19" s="1094"/>
      <c r="L19" s="1094" t="s">
        <v>6719</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1558</v>
      </c>
      <c r="E20" s="1094" t="s">
        <v>418</v>
      </c>
      <c r="F20" s="1120" t="s">
        <v>2128</v>
      </c>
      <c r="G20" s="1094" t="s">
        <v>4386</v>
      </c>
      <c r="H20" s="1087" t="s">
        <v>1265</v>
      </c>
      <c r="I20" s="1088" t="s">
        <v>235</v>
      </c>
      <c r="J20" s="1094" t="str">
        <f>HYPERLINK("https://clips.twitch.tv/EnergeticBeautifulMallardRalpherZ","42.96")</f>
        <v>42.96</v>
      </c>
      <c r="K20" s="1094" t="s">
        <v>141</v>
      </c>
      <c r="L20" s="1086" t="s">
        <v>2828</v>
      </c>
      <c r="M20" s="1094" t="s">
        <v>628</v>
      </c>
      <c r="N20" s="1094" t="s">
        <v>592</v>
      </c>
      <c r="O20" s="1094" t="s">
        <v>1891</v>
      </c>
      <c r="P20" s="1094" t="s">
        <v>660</v>
      </c>
      <c r="Q20" s="1088" t="s">
        <v>3297</v>
      </c>
      <c r="R20" s="1116"/>
      <c r="S20" s="1094" t="s">
        <v>1558</v>
      </c>
      <c r="T20" s="1094"/>
      <c r="U20" s="1094" t="s">
        <v>7668</v>
      </c>
      <c r="V20" s="1094"/>
      <c r="W20" s="1086" t="s">
        <v>5727</v>
      </c>
      <c r="X20" s="1094" t="s">
        <v>7669</v>
      </c>
      <c r="Y20" s="1094" t="s">
        <v>553</v>
      </c>
      <c r="Z20" s="1094"/>
      <c r="AA20" s="1094"/>
      <c r="AB20" s="1094"/>
      <c r="AC20" s="1094" t="s">
        <v>5205</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1915</v>
      </c>
      <c r="D22" s="1047"/>
      <c r="E22" s="1047"/>
      <c r="F22" s="1085"/>
      <c r="G22" s="1047"/>
      <c r="H22" s="1106"/>
      <c r="I22" s="1124"/>
      <c r="J22" s="1047"/>
      <c r="K22" s="1047"/>
      <c r="L22" s="1047"/>
      <c r="M22" s="1047"/>
      <c r="N22" s="1047"/>
      <c r="O22" s="1047"/>
      <c r="P22" s="1047"/>
      <c r="Q22" s="1124"/>
      <c r="R22" s="1091"/>
      <c r="S22" s="1047"/>
      <c r="T22" s="1127" t="s">
        <v>1915</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2672</v>
      </c>
      <c r="D23" s="1047"/>
      <c r="E23" s="1047" t="s">
        <v>160</v>
      </c>
      <c r="F23" s="1085"/>
      <c r="G23" s="1047"/>
      <c r="H23" s="1106" t="s">
        <v>4167</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3891</v>
      </c>
      <c r="F24" s="1112" t="s">
        <v>4259</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3447</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2830</v>
      </c>
      <c r="D27" s="1086" t="s">
        <v>1560</v>
      </c>
      <c r="E27" s="1094" t="s">
        <v>7691</v>
      </c>
      <c r="F27" s="1114" t="s">
        <v>6754</v>
      </c>
      <c r="G27" s="1094"/>
      <c r="H27" s="1106"/>
      <c r="I27" s="1088"/>
      <c r="J27" s="1094"/>
      <c r="K27" s="1094"/>
      <c r="L27" s="1094"/>
      <c r="M27" s="1094"/>
      <c r="N27" s="1094"/>
      <c r="O27" s="1094"/>
      <c r="P27" s="1094"/>
      <c r="Q27" s="1088"/>
      <c r="R27" s="1091"/>
      <c r="S27" s="1094"/>
      <c r="T27" s="1094"/>
      <c r="U27" s="1094"/>
      <c r="V27" s="1094"/>
      <c r="W27" s="1094" t="s">
        <v>4571</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2552</v>
      </c>
      <c r="G28" s="1094"/>
      <c r="H28" s="1087" t="s">
        <v>1267</v>
      </c>
      <c r="I28" s="1088"/>
      <c r="J28" s="1094"/>
      <c r="K28" s="1094" t="s">
        <v>7695</v>
      </c>
      <c r="L28" s="1094" t="s">
        <v>7696</v>
      </c>
      <c r="M28" s="1094"/>
      <c r="N28" s="1094"/>
      <c r="O28" s="1094"/>
      <c r="P28" s="1094" t="s">
        <v>7697</v>
      </c>
      <c r="Q28" s="1088" t="s">
        <v>7698</v>
      </c>
      <c r="R28" s="1097"/>
      <c r="S28" s="1094" t="s">
        <v>7699</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7616</v>
      </c>
      <c r="B29" s="1103" t="s">
        <v>7700</v>
      </c>
      <c r="C29" s="1082" t="s">
        <v>5474</v>
      </c>
      <c r="D29" s="1094" t="s">
        <v>480</v>
      </c>
      <c r="E29" s="1094" t="s">
        <v>5474</v>
      </c>
      <c r="F29" s="1085"/>
      <c r="G29" s="1094"/>
      <c r="H29" s="1087" t="s">
        <v>5610</v>
      </c>
      <c r="I29" s="1088"/>
      <c r="J29" s="1094"/>
      <c r="K29" s="1094"/>
      <c r="L29" s="1094" t="s">
        <v>480</v>
      </c>
      <c r="M29" s="1094"/>
      <c r="N29" s="1094"/>
      <c r="O29" s="1094"/>
      <c r="P29" s="1094"/>
      <c r="Q29" s="1088"/>
      <c r="R29" s="1090" t="s">
        <v>4858</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2958</v>
      </c>
      <c r="D30" s="1094"/>
      <c r="E30" s="1094" t="s">
        <v>2958</v>
      </c>
      <c r="F30" s="1095"/>
      <c r="G30" s="1094"/>
      <c r="H30" s="1106"/>
      <c r="I30" s="1088"/>
      <c r="J30" s="1094"/>
      <c r="K30" s="1094"/>
      <c r="L30" s="1094" t="s">
        <v>5743</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4268</v>
      </c>
      <c r="D31" s="1094"/>
      <c r="E31" s="1094" t="s">
        <v>1967</v>
      </c>
      <c r="F31" s="1132" t="s">
        <v>5743</v>
      </c>
      <c r="G31" s="1094"/>
      <c r="H31" s="1106"/>
      <c r="I31" s="1088"/>
      <c r="J31" s="1094" t="s">
        <v>4921</v>
      </c>
      <c r="K31" s="1094" t="s">
        <v>772</v>
      </c>
      <c r="L31" s="1094" t="s">
        <v>3448</v>
      </c>
      <c r="M31" s="1094"/>
      <c r="N31" s="1094" t="s">
        <v>1447</v>
      </c>
      <c r="O31" s="1094" t="s">
        <v>5743</v>
      </c>
      <c r="P31" s="1094"/>
      <c r="Q31" s="1088"/>
      <c r="R31" s="1090" t="s">
        <v>2561</v>
      </c>
      <c r="S31" s="1094"/>
      <c r="T31" s="1094"/>
      <c r="U31" s="1094"/>
      <c r="V31" s="1094"/>
      <c r="W31" s="1094"/>
      <c r="X31" s="1094"/>
      <c r="Y31" s="1094"/>
      <c r="Z31" s="1094" t="s">
        <v>451</v>
      </c>
      <c r="AA31" s="1094"/>
      <c r="AB31" s="1094"/>
      <c r="AC31" s="1094" t="s">
        <v>6809</v>
      </c>
      <c r="AD31" s="1094"/>
      <c r="AE31" s="1094"/>
      <c r="AF31" s="1094"/>
      <c r="AG31" s="1094"/>
      <c r="AH31" s="1094"/>
      <c r="AI31" s="1094"/>
      <c r="AJ31" s="1094"/>
      <c r="AK31" s="1094" t="s">
        <v>1301</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2046</v>
      </c>
      <c r="D32" s="1094"/>
      <c r="E32" s="1094" t="s">
        <v>1425</v>
      </c>
      <c r="F32" s="1095"/>
      <c r="G32" s="1094"/>
      <c r="H32" s="1087" t="s">
        <v>4942</v>
      </c>
      <c r="I32" s="1088"/>
      <c r="J32" s="1094" t="s">
        <v>1967</v>
      </c>
      <c r="K32" s="1094" t="s">
        <v>2046</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2881</v>
      </c>
      <c r="D34" s="1094"/>
      <c r="E34" s="1094" t="s">
        <v>3173</v>
      </c>
      <c r="F34" s="1095"/>
      <c r="G34" s="1094"/>
      <c r="H34" s="1106"/>
      <c r="I34" s="1088"/>
      <c r="J34" s="1094"/>
      <c r="K34" s="1094"/>
      <c r="L34" s="1094" t="s">
        <v>4268</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3748</v>
      </c>
      <c r="D35" s="1094"/>
      <c r="E35" s="1094" t="s">
        <v>3448</v>
      </c>
      <c r="F35" s="1085"/>
      <c r="G35" s="1094"/>
      <c r="H35" s="1106"/>
      <c r="I35" s="1118" t="s">
        <v>7708</v>
      </c>
      <c r="J35" s="1094"/>
      <c r="K35" s="1094" t="s">
        <v>3748</v>
      </c>
      <c r="L35" s="1094" t="s">
        <v>3879</v>
      </c>
      <c r="M35" s="1094"/>
      <c r="N35" s="1094" t="s">
        <v>5442</v>
      </c>
      <c r="O35" s="1094"/>
      <c r="P35" s="1094"/>
      <c r="Q35" s="1088"/>
      <c r="R35" s="1091"/>
      <c r="S35" s="1094" t="s">
        <v>7709</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4148</v>
      </c>
      <c r="D36" s="1094"/>
      <c r="E36" s="1094" t="s">
        <v>3850</v>
      </c>
      <c r="F36" s="1095"/>
      <c r="G36" s="1094"/>
      <c r="H36" s="1106"/>
      <c r="I36" s="1088"/>
      <c r="J36" s="1094"/>
      <c r="K36" s="1094" t="s">
        <v>4148</v>
      </c>
      <c r="L36" s="1094" t="s">
        <v>7711</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2318</v>
      </c>
      <c r="D37" s="1094" t="s">
        <v>1561</v>
      </c>
      <c r="E37" s="1094" t="s">
        <v>3748</v>
      </c>
      <c r="F37" s="1114" t="s">
        <v>3159</v>
      </c>
      <c r="G37" s="1094"/>
      <c r="H37" s="1106"/>
      <c r="I37" s="1088"/>
      <c r="J37" s="1094" t="s">
        <v>7713</v>
      </c>
      <c r="K37" s="1094" t="s">
        <v>2318</v>
      </c>
      <c r="L37" s="1094" t="s">
        <v>2273</v>
      </c>
      <c r="M37" s="1094"/>
      <c r="N37" s="1094" t="s">
        <v>7711</v>
      </c>
      <c r="O37" s="1094"/>
      <c r="P37" s="1094"/>
      <c r="Q37" s="1088"/>
      <c r="R37" s="1091"/>
      <c r="S37" s="1094" t="s">
        <v>3140</v>
      </c>
      <c r="T37" s="1094"/>
      <c r="U37" s="1094"/>
      <c r="V37" s="1094"/>
      <c r="W37" s="1086" t="s">
        <v>3748</v>
      </c>
      <c r="X37" s="1094" t="s">
        <v>5982</v>
      </c>
      <c r="Y37" s="1094"/>
      <c r="Z37" s="1094"/>
      <c r="AA37" s="1094"/>
      <c r="AB37" s="1094"/>
      <c r="AC37" s="1094" t="s">
        <v>1743</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4011</v>
      </c>
      <c r="F38" s="1100" t="s">
        <v>2553</v>
      </c>
      <c r="G38" s="1094" t="s">
        <v>763</v>
      </c>
      <c r="H38" s="1087" t="s">
        <v>3826</v>
      </c>
      <c r="I38" s="1088"/>
      <c r="J38" s="1094" t="s">
        <v>2036</v>
      </c>
      <c r="K38" s="1094" t="s">
        <v>1137</v>
      </c>
      <c r="L38" s="1094" t="s">
        <v>4893</v>
      </c>
      <c r="M38" s="1094"/>
      <c r="N38" s="1094"/>
      <c r="O38" s="1094"/>
      <c r="P38" s="1094" t="s">
        <v>2036</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1642</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7626</v>
      </c>
      <c r="B39" s="1103" t="s">
        <v>7715</v>
      </c>
      <c r="C39" s="1082" t="s">
        <v>4373</v>
      </c>
      <c r="D39" s="1094" t="s">
        <v>7716</v>
      </c>
      <c r="E39" s="1094" t="s">
        <v>4373</v>
      </c>
      <c r="F39" s="1114" t="s">
        <v>7717</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7718</v>
      </c>
      <c r="AA39" s="1094" t="s">
        <v>1718</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2541</v>
      </c>
      <c r="D40" s="1094" t="s">
        <v>2755</v>
      </c>
      <c r="E40" s="1094" t="s">
        <v>3667</v>
      </c>
      <c r="F40" s="1112" t="s">
        <v>5074</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5341</v>
      </c>
      <c r="E41" s="1094" t="s">
        <v>7560</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4895</v>
      </c>
      <c r="R41" s="1096" t="s">
        <v>4420</v>
      </c>
      <c r="S41" s="1094" t="str">
        <f>HYPERLINK("https://clips.twitch.tv/VainSmokyPotSeemsGood","16.88")</f>
        <v>16.88</v>
      </c>
      <c r="T41" s="1094"/>
      <c r="U41" s="1094" t="s">
        <v>1067</v>
      </c>
      <c r="V41" s="1094"/>
      <c r="W41" s="1094"/>
      <c r="X41" s="1094" t="s">
        <v>5356</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1562</v>
      </c>
      <c r="E42" s="1086" t="s">
        <v>343</v>
      </c>
      <c r="F42" s="1095"/>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7724</v>
      </c>
      <c r="B43" s="1081" t="s">
        <v>7725</v>
      </c>
      <c r="C43" s="1082" t="s">
        <v>4966</v>
      </c>
      <c r="D43" s="1001" t="s">
        <v>1563</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2406</v>
      </c>
      <c r="D44" s="998" t="s">
        <v>1357</v>
      </c>
      <c r="E44" s="1094" t="s">
        <v>2406</v>
      </c>
      <c r="F44" s="1085"/>
      <c r="G44" s="1094"/>
      <c r="H44" s="1106"/>
      <c r="I44" s="1088" t="s">
        <v>808</v>
      </c>
      <c r="J44" s="1094" t="str">
        <f>HYPERLINK("https://youtu.be/t-1yqXLdZMA","38.05")</f>
        <v>38.05</v>
      </c>
      <c r="K44" s="1094" t="s">
        <v>7729</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1283</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2841</v>
      </c>
      <c r="F46" s="1085"/>
      <c r="G46" s="1094"/>
      <c r="H46" s="1106"/>
      <c r="I46" s="1088"/>
      <c r="J46" s="1094" t="s">
        <v>1636</v>
      </c>
      <c r="K46" s="1094"/>
      <c r="L46" s="1094" t="s">
        <v>2177</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2637</v>
      </c>
      <c r="D47" s="1088"/>
      <c r="E47" s="1088"/>
      <c r="F47" s="1095"/>
      <c r="G47" s="1088"/>
      <c r="H47" s="1106"/>
      <c r="I47" s="1088"/>
      <c r="J47" s="1086" t="s">
        <v>2637</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5472</v>
      </c>
      <c r="D49" s="1139" t="s">
        <v>6154</v>
      </c>
      <c r="E49" s="1088"/>
      <c r="F49" s="1095"/>
      <c r="G49" s="1088" t="s">
        <v>6154</v>
      </c>
      <c r="H49" s="1106"/>
      <c r="I49" s="1088" t="s">
        <v>7738</v>
      </c>
      <c r="J49" s="1086" t="s">
        <v>5472</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7599</v>
      </c>
      <c r="C53" s="1082" t="s">
        <v>349</v>
      </c>
      <c r="D53" s="1001" t="s">
        <v>7748</v>
      </c>
      <c r="E53" s="1086" t="s">
        <v>349</v>
      </c>
      <c r="F53" s="1095"/>
      <c r="G53" s="1089"/>
      <c r="H53" s="1087" t="s">
        <v>1272</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1913</v>
      </c>
      <c r="D55" s="1094"/>
      <c r="E55" s="1094" t="s">
        <v>1478</v>
      </c>
      <c r="F55" s="1085"/>
      <c r="G55" s="1094"/>
      <c r="H55" s="1087" t="s">
        <v>2020</v>
      </c>
      <c r="I55" s="1153"/>
      <c r="J55" s="1094" t="s">
        <v>5753</v>
      </c>
      <c r="K55" s="1094" t="s">
        <v>1913</v>
      </c>
      <c r="L55" s="1094" t="s">
        <v>7752</v>
      </c>
      <c r="M55" s="1094" t="s">
        <v>910</v>
      </c>
      <c r="N55" s="1094" t="s">
        <v>754</v>
      </c>
      <c r="O55" s="1094" t="s">
        <v>2996</v>
      </c>
      <c r="P55" s="1094"/>
      <c r="Q55" s="1088" t="s">
        <v>3428</v>
      </c>
      <c r="R55" s="1154" t="s">
        <v>7753</v>
      </c>
      <c r="S55" s="1094" t="s">
        <v>122</v>
      </c>
      <c r="T55" s="1094" t="s">
        <v>7754</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1606</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3197</v>
      </c>
      <c r="D56" s="1094"/>
      <c r="E56" s="1094" t="s">
        <v>3197</v>
      </c>
      <c r="F56" s="1158"/>
      <c r="G56" s="1094"/>
      <c r="H56" s="1106"/>
      <c r="I56" s="1153"/>
      <c r="J56" s="1094"/>
      <c r="K56" s="1094"/>
      <c r="L56" s="1094"/>
      <c r="M56" s="1094"/>
      <c r="N56" s="1094"/>
      <c r="O56" s="1094"/>
      <c r="P56" s="1094" t="s">
        <v>402</v>
      </c>
      <c r="Q56" s="1088" t="s">
        <v>1305</v>
      </c>
      <c r="R56" s="1097"/>
      <c r="S56" s="1094" t="s">
        <v>803</v>
      </c>
      <c r="T56" s="1094"/>
      <c r="U56" s="1094"/>
      <c r="V56" s="1094" t="s">
        <v>5960</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3588</v>
      </c>
      <c r="E57" s="1161"/>
      <c r="F57" s="1085"/>
      <c r="G57" s="1161"/>
      <c r="H57" s="1106"/>
      <c r="I57" s="1153"/>
      <c r="J57" s="1161"/>
      <c r="K57" s="1161"/>
      <c r="L57" s="1161"/>
      <c r="M57" s="1161"/>
      <c r="N57" s="1161"/>
      <c r="O57" s="1162" t="s">
        <v>4953</v>
      </c>
      <c r="P57" s="1161"/>
      <c r="Q57" s="1088"/>
      <c r="R57" s="1155"/>
      <c r="S57" s="1161"/>
      <c r="T57" s="1161"/>
      <c r="U57" s="1161"/>
      <c r="V57" s="1161"/>
      <c r="W57" s="1130" t="s">
        <v>2001</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4301</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7626</v>
      </c>
      <c r="B60" s="1166" t="s">
        <v>7751</v>
      </c>
      <c r="C60" s="1152" t="s">
        <v>3838</v>
      </c>
      <c r="D60" s="1130"/>
      <c r="E60" s="1130" t="s">
        <v>5167</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2150</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1367</v>
      </c>
      <c r="D62" s="1130" t="s">
        <v>5065</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2662</v>
      </c>
      <c r="F63" s="1168" t="s">
        <v>1077</v>
      </c>
      <c r="G63" s="1087" t="s">
        <v>623</v>
      </c>
      <c r="H63" s="1087" t="s">
        <v>7763</v>
      </c>
      <c r="I63" s="1153"/>
      <c r="J63" s="1130"/>
      <c r="K63" s="1130"/>
      <c r="L63" s="1130"/>
      <c r="M63" s="1130"/>
      <c r="N63" s="1130"/>
      <c r="O63" s="1130"/>
      <c r="P63" s="1087" t="s">
        <v>3986</v>
      </c>
      <c r="Q63" s="1088" t="s">
        <v>7764</v>
      </c>
      <c r="R63" s="1097"/>
      <c r="S63" s="1130" t="s">
        <v>7665</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7616</v>
      </c>
      <c r="B64" s="1170" t="s">
        <v>7765</v>
      </c>
      <c r="C64" s="1152" t="s">
        <v>4142</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5015</v>
      </c>
      <c r="D65" s="1130"/>
      <c r="E65" s="1130"/>
      <c r="F65" s="1168" t="s">
        <v>5015</v>
      </c>
      <c r="G65" s="1096" t="s">
        <v>5015</v>
      </c>
      <c r="H65" s="1106"/>
      <c r="I65" s="1153"/>
      <c r="J65" s="1130"/>
      <c r="K65" s="1130"/>
      <c r="L65" s="1130"/>
      <c r="M65" s="1130"/>
      <c r="N65" s="1130"/>
      <c r="O65" s="1130"/>
      <c r="P65" s="1106"/>
      <c r="Q65" s="1088"/>
      <c r="R65" s="1096" t="s">
        <v>7769</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7601</v>
      </c>
      <c r="B66" s="1151" t="s">
        <v>7599</v>
      </c>
      <c r="C66" s="1172" t="s">
        <v>2556</v>
      </c>
      <c r="D66" s="1135" t="s">
        <v>7770</v>
      </c>
      <c r="E66" s="1135"/>
      <c r="F66" s="1168" t="s">
        <v>2556</v>
      </c>
      <c r="G66" s="1135" t="s">
        <v>2262</v>
      </c>
      <c r="H66" s="1106"/>
      <c r="I66" s="1164" t="s">
        <v>7771</v>
      </c>
      <c r="J66" s="1135"/>
      <c r="K66" s="1135"/>
      <c r="L66" s="1135"/>
      <c r="M66" s="1135"/>
      <c r="N66" s="1135"/>
      <c r="O66" s="1135"/>
      <c r="P66" s="1135"/>
      <c r="Q66" s="1118"/>
      <c r="R66" s="1154" t="s">
        <v>7772</v>
      </c>
      <c r="S66" s="1135"/>
      <c r="T66" s="1135"/>
      <c r="U66" s="1135"/>
      <c r="V66" s="1135"/>
      <c r="W66" s="1135"/>
      <c r="X66" s="1135"/>
      <c r="Y66" s="1135"/>
      <c r="Z66" s="1135"/>
      <c r="AA66" s="1135" t="s">
        <v>2095</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7616</v>
      </c>
      <c r="B67" s="1166" t="s">
        <v>7773</v>
      </c>
      <c r="C67" s="1152" t="s">
        <v>3745</v>
      </c>
      <c r="D67" s="1135"/>
      <c r="E67" s="1135"/>
      <c r="F67" s="1085"/>
      <c r="G67" s="1087">
        <v>35.06</v>
      </c>
      <c r="H67" s="1106"/>
      <c r="I67" s="1153"/>
      <c r="J67" s="1135"/>
      <c r="K67" s="1135"/>
      <c r="L67" s="1135"/>
      <c r="M67" s="1135"/>
      <c r="N67" s="1135"/>
      <c r="O67" s="1135"/>
      <c r="P67" s="1135"/>
      <c r="Q67" s="1118"/>
      <c r="R67" s="1096" t="s">
        <v>7774</v>
      </c>
      <c r="S67" s="1135"/>
      <c r="T67" s="1135"/>
      <c r="U67" s="1135"/>
      <c r="V67" s="1135"/>
      <c r="W67" s="1135" t="s">
        <v>7775</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7776</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7777</v>
      </c>
      <c r="C68" s="1136"/>
      <c r="D68" s="1088"/>
      <c r="E68" s="1088"/>
      <c r="F68" s="1174"/>
      <c r="G68" s="1088"/>
      <c r="H68" s="1106"/>
      <c r="I68" s="1175"/>
      <c r="J68" s="1088"/>
      <c r="K68" s="1088"/>
      <c r="L68" s="1088"/>
      <c r="M68" s="1088"/>
      <c r="N68" s="1088"/>
      <c r="O68" s="1088"/>
      <c r="P68" s="1088"/>
      <c r="Q68" s="1088"/>
      <c r="R68" s="1154" t="s">
        <v>7778</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7779</v>
      </c>
      <c r="C69" s="1113" t="s">
        <v>1144</v>
      </c>
      <c r="D69" s="1088" t="s">
        <v>7665</v>
      </c>
      <c r="E69" s="1088"/>
      <c r="F69" s="1114" t="s">
        <v>1144</v>
      </c>
      <c r="G69" s="1140" t="s">
        <v>1255</v>
      </c>
      <c r="H69" s="1106"/>
      <c r="I69" s="1177" t="s">
        <v>7780</v>
      </c>
      <c r="J69" s="1088"/>
      <c r="K69" s="1088"/>
      <c r="L69" s="1088"/>
      <c r="M69" s="1088"/>
      <c r="N69" s="1088"/>
      <c r="O69" s="1088"/>
      <c r="P69" s="1088"/>
      <c r="Q69" s="1088"/>
      <c r="R69" s="1154" t="s">
        <v>7781</v>
      </c>
      <c r="S69" s="1088"/>
      <c r="T69" s="1086" t="s">
        <v>7766</v>
      </c>
      <c r="U69" s="1088"/>
      <c r="V69" s="1088"/>
      <c r="W69" s="1086" t="s">
        <v>7782</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7626</v>
      </c>
      <c r="B70" s="1166" t="s">
        <v>7773</v>
      </c>
      <c r="C70" s="1104" t="s">
        <v>1098</v>
      </c>
      <c r="D70" s="1088" t="s">
        <v>4224</v>
      </c>
      <c r="E70" s="1088"/>
      <c r="F70" s="1085"/>
      <c r="G70" s="1088"/>
      <c r="H70" s="1106"/>
      <c r="I70" s="1175"/>
      <c r="J70" s="1088"/>
      <c r="K70" s="1140" t="s">
        <v>6384</v>
      </c>
      <c r="L70" s="1088"/>
      <c r="M70" s="1088"/>
      <c r="N70" s="1088"/>
      <c r="O70" s="1088"/>
      <c r="P70" s="1088"/>
      <c r="Q70" s="1088"/>
      <c r="R70" s="1096" t="s">
        <v>7783</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7784</v>
      </c>
      <c r="C71" s="1104" t="s">
        <v>468</v>
      </c>
      <c r="D71" s="1094" t="s">
        <v>2355</v>
      </c>
      <c r="E71" s="1094" t="s">
        <v>3482</v>
      </c>
      <c r="F71" s="1168" t="s">
        <v>7785</v>
      </c>
      <c r="G71" s="1094" t="s">
        <v>575</v>
      </c>
      <c r="H71" s="1106"/>
      <c r="I71" s="1164" t="s">
        <v>6278</v>
      </c>
      <c r="J71" s="1094"/>
      <c r="K71" s="1094" t="s">
        <v>7785</v>
      </c>
      <c r="L71" s="1094"/>
      <c r="M71" s="1094"/>
      <c r="N71" s="1094" t="s">
        <v>3482</v>
      </c>
      <c r="O71" s="1094"/>
      <c r="P71" s="1094"/>
      <c r="Q71" s="1088"/>
      <c r="R71" s="1154" t="s">
        <v>7786</v>
      </c>
      <c r="S71" s="1094"/>
      <c r="T71" s="1094"/>
      <c r="U71" s="1094"/>
      <c r="V71" s="1094" t="s">
        <v>2839</v>
      </c>
      <c r="W71" s="1130" t="s">
        <v>5671</v>
      </c>
      <c r="X71" s="1094"/>
      <c r="Y71" s="1094" t="s">
        <v>3378</v>
      </c>
      <c r="Z71" s="1094" t="s">
        <v>5107</v>
      </c>
      <c r="AA71" s="1094"/>
      <c r="AB71" s="1094" t="s">
        <v>4836</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7787</v>
      </c>
      <c r="B72" s="1151" t="s">
        <v>7788</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7789</v>
      </c>
      <c r="S72" s="1178" t="str">
        <f>HYPERLINK("https://clips.twitch.tv/ThankfulSpoopyHerdWOOP","16.58")</f>
        <v>16.58</v>
      </c>
      <c r="T72" s="1178"/>
      <c r="U72" s="1178"/>
      <c r="V72" s="1178"/>
      <c r="W72" s="1178"/>
      <c r="X72" s="1178" t="s">
        <v>7790</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7791</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7792</v>
      </c>
      <c r="C74" s="1152" t="s">
        <v>665</v>
      </c>
      <c r="D74" s="1094" t="s">
        <v>1274</v>
      </c>
      <c r="E74" s="1135" t="s">
        <v>911</v>
      </c>
      <c r="F74" s="1168" t="s">
        <v>1823</v>
      </c>
      <c r="G74" s="1135" t="s">
        <v>1212</v>
      </c>
      <c r="H74" s="1087" t="s">
        <v>1274</v>
      </c>
      <c r="I74" s="1164" t="s">
        <v>7793</v>
      </c>
      <c r="J74" s="1135" t="s">
        <v>1430</v>
      </c>
      <c r="K74" s="1135" t="s">
        <v>4385</v>
      </c>
      <c r="L74" s="1135" t="s">
        <v>3107</v>
      </c>
      <c r="M74" s="1135" t="s">
        <v>7794</v>
      </c>
      <c r="N74" s="1135" t="s">
        <v>5959</v>
      </c>
      <c r="O74" s="1135" t="s">
        <v>358</v>
      </c>
      <c r="P74" s="1135" t="s">
        <v>6172</v>
      </c>
      <c r="Q74" s="1118"/>
      <c r="R74" s="1154" t="s">
        <v>5661</v>
      </c>
      <c r="S74" s="1135" t="s">
        <v>1959</v>
      </c>
      <c r="T74" s="1135"/>
      <c r="U74" s="1135" t="s">
        <v>1608</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7795</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7796</v>
      </c>
      <c r="B75" s="1151" t="s">
        <v>7797</v>
      </c>
      <c r="C75" s="1152" t="s">
        <v>2202</v>
      </c>
      <c r="D75" s="1094"/>
      <c r="E75" s="1094" t="s">
        <v>2202</v>
      </c>
      <c r="F75" s="1158"/>
      <c r="G75" s="1094"/>
      <c r="H75" s="1087" t="s">
        <v>6627</v>
      </c>
      <c r="I75" s="1153"/>
      <c r="J75" s="1094" t="s">
        <v>7798</v>
      </c>
      <c r="K75" s="1094"/>
      <c r="L75" s="1094" t="s">
        <v>4235</v>
      </c>
      <c r="M75" s="1094"/>
      <c r="N75" s="1094"/>
      <c r="O75" s="1094" t="s">
        <v>7799</v>
      </c>
      <c r="P75" s="1094"/>
      <c r="Q75" s="1088"/>
      <c r="R75" s="1180" t="s">
        <v>7800</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7801</v>
      </c>
      <c r="C76" s="1152" t="s">
        <v>353</v>
      </c>
      <c r="D76" s="1094" t="s">
        <v>1477</v>
      </c>
      <c r="E76" s="1094" t="s">
        <v>353</v>
      </c>
      <c r="F76" s="1100" t="s">
        <v>359</v>
      </c>
      <c r="G76" s="1094" t="s">
        <v>1537</v>
      </c>
      <c r="H76" s="1087" t="s">
        <v>1275</v>
      </c>
      <c r="I76" s="1164" t="s">
        <v>7802</v>
      </c>
      <c r="J76" s="1094" t="s">
        <v>1431</v>
      </c>
      <c r="K76" s="1094" t="s">
        <v>5001</v>
      </c>
      <c r="L76" s="1094" t="s">
        <v>7803</v>
      </c>
      <c r="M76" s="1094" t="s">
        <v>912</v>
      </c>
      <c r="N76" s="1094" t="s">
        <v>756</v>
      </c>
      <c r="O76" s="1094" t="s">
        <v>1360</v>
      </c>
      <c r="P76" s="1094" t="s">
        <v>2326</v>
      </c>
      <c r="Q76" s="1088" t="s">
        <v>3883</v>
      </c>
      <c r="R76" s="1097"/>
      <c r="S76" s="1094" t="s">
        <v>7804</v>
      </c>
      <c r="T76" s="1094"/>
      <c r="U76" s="1094" t="s">
        <v>4644</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7616</v>
      </c>
      <c r="B77" s="1166" t="s">
        <v>7805</v>
      </c>
      <c r="C77" s="1104" t="s">
        <v>7806</v>
      </c>
      <c r="D77" s="1094"/>
      <c r="E77" s="1094"/>
      <c r="F77" s="1158"/>
      <c r="G77" s="1094"/>
      <c r="H77" s="1106"/>
      <c r="I77" s="1153"/>
      <c r="J77" s="1094"/>
      <c r="K77" s="1094"/>
      <c r="L77" s="1094"/>
      <c r="M77" s="1094"/>
      <c r="N77" s="1094"/>
      <c r="O77" s="1094"/>
      <c r="P77" s="1094"/>
      <c r="Q77" s="1088"/>
      <c r="R77" s="1116" t="s">
        <v>1764</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7806</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7807</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7808</v>
      </c>
      <c r="C79" s="1152" t="s">
        <v>354</v>
      </c>
      <c r="D79" s="1094" t="s">
        <v>1567</v>
      </c>
      <c r="E79" s="1094" t="s">
        <v>757</v>
      </c>
      <c r="F79" s="1120" t="s">
        <v>1123</v>
      </c>
      <c r="G79" s="1094" t="s">
        <v>6235</v>
      </c>
      <c r="H79" s="1087" t="s">
        <v>1276</v>
      </c>
      <c r="I79" s="1164" t="s">
        <v>1144</v>
      </c>
      <c r="J79" s="1094" t="str">
        <f>HYPERLINK("https://www.youtube.com/watch?v=Imyo7x5mfG4&amp;feature=youtu.be","30.15")</f>
        <v>30.15</v>
      </c>
      <c r="K79" s="1094" t="s">
        <v>1737</v>
      </c>
      <c r="L79" s="1094" t="s">
        <v>1964</v>
      </c>
      <c r="M79" s="1094" t="s">
        <v>121</v>
      </c>
      <c r="N79" s="1094" t="s">
        <v>757</v>
      </c>
      <c r="O79" s="1094" t="s">
        <v>121</v>
      </c>
      <c r="P79" s="1094" t="s">
        <v>1070</v>
      </c>
      <c r="Q79" s="1088" t="s">
        <v>3339</v>
      </c>
      <c r="R79" s="1180"/>
      <c r="S79" s="1094" t="s">
        <v>5033</v>
      </c>
      <c r="T79" s="1094"/>
      <c r="U79" s="1094"/>
      <c r="V79" s="1094"/>
      <c r="W79" s="1086" t="s">
        <v>1607</v>
      </c>
      <c r="X79" s="1094" t="s">
        <v>970</v>
      </c>
      <c r="Y79" s="1094"/>
      <c r="Z79" s="1094"/>
      <c r="AA79" s="1094"/>
      <c r="AB79" s="1094"/>
      <c r="AC79" s="1094"/>
      <c r="AD79" s="1094"/>
      <c r="AE79" s="1094"/>
      <c r="AF79" s="1094"/>
      <c r="AG79" s="1094"/>
      <c r="AH79" s="1094"/>
      <c r="AI79" s="1094"/>
      <c r="AJ79" s="1094"/>
      <c r="AK79" s="1094"/>
      <c r="AL79" s="1153"/>
      <c r="AM79" s="1094" t="s">
        <v>1610</v>
      </c>
      <c r="AN79" s="1094"/>
      <c r="AO79" s="1094"/>
      <c r="AP79" s="1094"/>
      <c r="AQ79" s="1094"/>
      <c r="AR79" s="1153"/>
      <c r="AS79" s="1094"/>
      <c r="AT79" s="1094"/>
      <c r="AU79" s="1155"/>
      <c r="AV79" s="1094"/>
      <c r="AW79" s="1094"/>
      <c r="AX79" s="1094" t="s">
        <v>7809</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7626</v>
      </c>
      <c r="B80" s="1166" t="s">
        <v>7797</v>
      </c>
      <c r="C80" s="1152" t="s">
        <v>4059</v>
      </c>
      <c r="D80" s="1094"/>
      <c r="E80" s="1094" t="s">
        <v>4059</v>
      </c>
      <c r="F80" s="1158"/>
      <c r="G80" s="1094"/>
      <c r="H80" s="1087" t="s">
        <v>2477</v>
      </c>
      <c r="I80" s="1153"/>
      <c r="J80" s="1094"/>
      <c r="K80" s="1094"/>
      <c r="L80" s="1094"/>
      <c r="M80" s="1094"/>
      <c r="N80" s="1094"/>
      <c r="O80" s="1094"/>
      <c r="P80" s="1094"/>
      <c r="Q80" s="1088"/>
      <c r="R80" s="1096" t="s">
        <v>7810</v>
      </c>
      <c r="S80" s="1094"/>
      <c r="T80" s="1094"/>
      <c r="U80" s="1094"/>
      <c r="V80" s="1094"/>
      <c r="W80" s="1094"/>
      <c r="X80" s="1094"/>
      <c r="Y80" s="1094"/>
      <c r="Z80" s="1094" t="s">
        <v>3746</v>
      </c>
      <c r="AA80" s="1094"/>
      <c r="AB80" s="1094"/>
      <c r="AC80" s="1094"/>
      <c r="AD80" s="1094"/>
      <c r="AE80" s="1094" t="s">
        <v>1959</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7811</v>
      </c>
      <c r="C81" s="1152" t="s">
        <v>2742</v>
      </c>
      <c r="D81" s="1094" t="s">
        <v>2537</v>
      </c>
      <c r="E81" s="1094" t="s">
        <v>2404</v>
      </c>
      <c r="F81" s="1114" t="s">
        <v>7812</v>
      </c>
      <c r="G81" s="1094"/>
      <c r="H81" s="1087" t="s">
        <v>7813</v>
      </c>
      <c r="I81" s="1153"/>
      <c r="J81" s="1094"/>
      <c r="K81" s="1094"/>
      <c r="L81" s="1094"/>
      <c r="M81" s="1094"/>
      <c r="N81" s="1094" t="s">
        <v>7814</v>
      </c>
      <c r="O81" s="1094"/>
      <c r="P81" s="1094"/>
      <c r="Q81" s="1088" t="s">
        <v>7815</v>
      </c>
      <c r="R81" s="1154" t="s">
        <v>7816</v>
      </c>
      <c r="S81" s="1094"/>
      <c r="T81" s="1094"/>
      <c r="U81" s="1094" t="s">
        <v>4049</v>
      </c>
      <c r="V81" s="1094"/>
      <c r="W81" s="1094"/>
      <c r="X81" s="1094"/>
      <c r="Y81" s="1094" t="s">
        <v>7815</v>
      </c>
      <c r="Z81" s="1094" t="s">
        <v>1872</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7817</v>
      </c>
      <c r="C82" s="1152" t="s">
        <v>3018</v>
      </c>
      <c r="D82" s="1130"/>
      <c r="E82" s="1130"/>
      <c r="F82" s="1168" t="s">
        <v>1909</v>
      </c>
      <c r="G82" s="1178" t="s">
        <v>3018</v>
      </c>
      <c r="H82" s="1106"/>
      <c r="I82" s="1153"/>
      <c r="J82" s="1130"/>
      <c r="K82" s="1130"/>
      <c r="L82" s="1130"/>
      <c r="M82" s="1130"/>
      <c r="N82" s="1130"/>
      <c r="O82" s="1130"/>
      <c r="P82" s="1130" t="s">
        <v>3018</v>
      </c>
      <c r="Q82" s="1088" t="s">
        <v>4979</v>
      </c>
      <c r="R82" s="1097"/>
      <c r="S82" s="1130"/>
      <c r="T82" s="1130"/>
      <c r="U82" s="1130"/>
      <c r="V82" s="1130"/>
      <c r="W82" s="1130"/>
      <c r="X82" s="1130"/>
      <c r="Y82" s="1130"/>
      <c r="Z82" s="1130"/>
      <c r="AA82" s="1130"/>
      <c r="AB82" s="1130" t="s">
        <v>2056</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7818</v>
      </c>
      <c r="C83" s="1152" t="s">
        <v>2258</v>
      </c>
      <c r="D83" s="1094"/>
      <c r="E83" s="1094" t="s">
        <v>2258</v>
      </c>
      <c r="F83" s="1158"/>
      <c r="G83" s="1094"/>
      <c r="H83" s="1087" t="s">
        <v>7819</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7820</v>
      </c>
      <c r="C84" s="1152" t="s">
        <v>2692</v>
      </c>
      <c r="D84" s="1094" t="s">
        <v>3652</v>
      </c>
      <c r="E84" s="1094" t="s">
        <v>2692</v>
      </c>
      <c r="F84" s="1085"/>
      <c r="G84" s="1094"/>
      <c r="H84" s="1106"/>
      <c r="I84" s="1153"/>
      <c r="J84" s="1094"/>
      <c r="K84" s="1094"/>
      <c r="L84" s="1094" t="s">
        <v>7821</v>
      </c>
      <c r="M84" s="1094" t="s">
        <v>5212</v>
      </c>
      <c r="N84" s="1094"/>
      <c r="O84" s="1094" t="str">
        <f>HYPERLINK("https://youtu.be/HUwmtKe7cOY","56.54")</f>
        <v>56.54</v>
      </c>
      <c r="P84" s="1094"/>
      <c r="Q84" s="1088" t="s">
        <v>3825</v>
      </c>
      <c r="R84" s="1180" t="s">
        <v>7822</v>
      </c>
      <c r="S84" s="1094"/>
      <c r="T84" s="1094"/>
      <c r="U84" s="1094"/>
      <c r="V84" s="1094"/>
      <c r="W84" s="1094" t="s">
        <v>7823</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7824</v>
      </c>
      <c r="C85" s="1152" t="s">
        <v>951</v>
      </c>
      <c r="D85" s="1094" t="s">
        <v>1568</v>
      </c>
      <c r="E85" s="1094" t="s">
        <v>5245</v>
      </c>
      <c r="F85" s="1120" t="s">
        <v>758</v>
      </c>
      <c r="G85" s="1094" t="s">
        <v>951</v>
      </c>
      <c r="H85" s="1087" t="s">
        <v>1277</v>
      </c>
      <c r="I85" s="1164" t="s">
        <v>7825</v>
      </c>
      <c r="J85" s="1094" t="s">
        <v>2948</v>
      </c>
      <c r="K85" s="1094" t="s">
        <v>4432</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7826</v>
      </c>
      <c r="B86" s="1151" t="s">
        <v>7827</v>
      </c>
      <c r="C86" s="1152" t="s">
        <v>3546</v>
      </c>
      <c r="D86" s="1094"/>
      <c r="E86" s="1094" t="s">
        <v>7828</v>
      </c>
      <c r="F86" s="1085"/>
      <c r="G86" s="1094"/>
      <c r="H86" s="1087" t="s">
        <v>5327</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7829</v>
      </c>
      <c r="C87" s="1152" t="s">
        <v>1569</v>
      </c>
      <c r="D87" s="1094" t="s">
        <v>1569</v>
      </c>
      <c r="E87" s="1161"/>
      <c r="F87" s="1120" t="s">
        <v>2557</v>
      </c>
      <c r="G87" s="1161"/>
      <c r="H87" s="1106"/>
      <c r="I87" s="1164" t="s">
        <v>7830</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7831</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7832</v>
      </c>
      <c r="C88" s="1184" t="s">
        <v>6604</v>
      </c>
      <c r="D88" s="1185" t="s">
        <v>7833</v>
      </c>
      <c r="E88" s="1186" t="s">
        <v>2392</v>
      </c>
      <c r="F88" s="1186"/>
      <c r="G88" s="1185" t="s">
        <v>760</v>
      </c>
      <c r="H88" s="1186" t="s">
        <v>669</v>
      </c>
      <c r="I88" s="1011"/>
      <c r="J88" s="1186" t="s">
        <v>2442</v>
      </c>
      <c r="K88" s="1186" t="s">
        <v>1279</v>
      </c>
      <c r="L88" s="1185" t="s">
        <v>3111</v>
      </c>
      <c r="M88" s="1185" t="s">
        <v>7834</v>
      </c>
      <c r="N88" s="1011"/>
      <c r="O88" s="1011"/>
      <c r="P88" s="1186" t="s">
        <v>6604</v>
      </c>
      <c r="Q88" s="1186" t="s">
        <v>7835</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7836</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7837</v>
      </c>
      <c r="B89" s="1170" t="s">
        <v>7599</v>
      </c>
      <c r="C89" s="1172" t="s">
        <v>7838</v>
      </c>
      <c r="D89" s="1086" t="s">
        <v>7839</v>
      </c>
      <c r="E89" s="1130"/>
      <c r="F89" s="1168" t="s">
        <v>5054</v>
      </c>
      <c r="G89" s="1086" t="s">
        <v>7838</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7840</v>
      </c>
      <c r="B90" s="1170" t="s">
        <v>7599</v>
      </c>
      <c r="C90" s="1113" t="s">
        <v>7841</v>
      </c>
      <c r="D90" s="1086" t="s">
        <v>7842</v>
      </c>
      <c r="E90" s="1130"/>
      <c r="F90" s="1132" t="s">
        <v>7843</v>
      </c>
      <c r="G90" s="1086" t="s">
        <v>7841</v>
      </c>
      <c r="H90" s="1106"/>
      <c r="I90" s="1153"/>
      <c r="J90" s="1130"/>
      <c r="K90" s="1130"/>
      <c r="L90" s="1130"/>
      <c r="M90" s="1130"/>
      <c r="N90" s="1130"/>
      <c r="O90" s="1130"/>
      <c r="P90" s="1130"/>
      <c r="Q90" s="1088"/>
      <c r="R90" s="1155"/>
      <c r="S90" s="1130"/>
      <c r="T90" s="1130"/>
      <c r="U90" s="1130"/>
      <c r="V90" s="1130"/>
      <c r="W90" s="1086" t="s">
        <v>7844</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5423</v>
      </c>
      <c r="D91" s="1094" t="s">
        <v>7122</v>
      </c>
      <c r="E91" s="1094" t="s">
        <v>5423</v>
      </c>
      <c r="F91" s="1158"/>
      <c r="G91" s="1094" t="s">
        <v>5423</v>
      </c>
      <c r="H91" s="1106"/>
      <c r="I91" s="1164" t="s">
        <v>7845</v>
      </c>
      <c r="J91" s="1094" t="s">
        <v>5195</v>
      </c>
      <c r="K91" s="1094"/>
      <c r="L91" s="1094" t="s">
        <v>4750</v>
      </c>
      <c r="M91" s="1094"/>
      <c r="N91" s="1094" t="s">
        <v>3702</v>
      </c>
      <c r="O91" s="1094" t="str">
        <f>HYPERLINK("https://youtu.be/HjDDp_Mj_yI","16.74")</f>
        <v>16.74</v>
      </c>
      <c r="P91" s="1094"/>
      <c r="Q91" s="1088" t="s">
        <v>6462</v>
      </c>
      <c r="R91" s="1116" t="s">
        <v>7846</v>
      </c>
      <c r="S91" s="1094"/>
      <c r="T91" s="1094" t="s">
        <v>5423</v>
      </c>
      <c r="U91" s="1094"/>
      <c r="V91" s="1094"/>
      <c r="W91" s="1094"/>
      <c r="X91" s="1094" t="s">
        <v>5195</v>
      </c>
      <c r="Y91" s="1094"/>
      <c r="Z91" s="1094"/>
      <c r="AA91" s="1094"/>
      <c r="AB91" s="1094"/>
      <c r="AC91" s="1094"/>
      <c r="AD91" s="1094"/>
      <c r="AE91" s="1094"/>
      <c r="AF91" s="1094" t="s">
        <v>5423</v>
      </c>
      <c r="AG91" s="1094"/>
      <c r="AH91" s="1094"/>
      <c r="AI91" s="1094"/>
      <c r="AJ91" s="1094"/>
      <c r="AK91" s="1094"/>
      <c r="AL91" s="1153"/>
      <c r="AM91" s="1094"/>
      <c r="AN91" s="1094"/>
      <c r="AO91" s="1094" t="s">
        <v>5634</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7847</v>
      </c>
      <c r="C92" s="1152" t="s">
        <v>1779</v>
      </c>
      <c r="D92" s="1094"/>
      <c r="E92" s="1094" t="s">
        <v>1779</v>
      </c>
      <c r="F92" s="1085"/>
      <c r="G92" s="1094" t="s">
        <v>1779</v>
      </c>
      <c r="H92" s="1106"/>
      <c r="I92" s="1153"/>
      <c r="J92" s="1094"/>
      <c r="K92" s="1094"/>
      <c r="L92" s="1094"/>
      <c r="M92" s="1094"/>
      <c r="N92" s="1094" t="s">
        <v>1779</v>
      </c>
      <c r="O92" s="1094"/>
      <c r="P92" s="1094"/>
      <c r="Q92" s="1088"/>
      <c r="R92" s="1155"/>
      <c r="S92" s="1094" t="s">
        <v>2926</v>
      </c>
      <c r="T92" s="1094" t="s">
        <v>1779</v>
      </c>
      <c r="U92" s="1094"/>
      <c r="V92" s="1094"/>
      <c r="W92" s="1094"/>
      <c r="X92" s="1094"/>
      <c r="Y92" s="1094"/>
      <c r="Z92" s="1094"/>
      <c r="AA92" s="1094"/>
      <c r="AB92" s="1094"/>
      <c r="AC92" s="1094"/>
      <c r="AD92" s="1094"/>
      <c r="AE92" s="1094"/>
      <c r="AF92" s="1094" t="s">
        <v>6787</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7848</v>
      </c>
      <c r="C93" s="1152" t="s">
        <v>294</v>
      </c>
      <c r="D93" s="1094"/>
      <c r="E93" s="1094" t="s">
        <v>1318</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7849</v>
      </c>
      <c r="C94" s="1152" t="s">
        <v>997</v>
      </c>
      <c r="D94" s="1094" t="s">
        <v>1570</v>
      </c>
      <c r="E94" s="1086" t="s">
        <v>358</v>
      </c>
      <c r="F94" s="1085"/>
      <c r="G94" s="1086" t="s">
        <v>997</v>
      </c>
      <c r="H94" s="1087" t="s">
        <v>1280</v>
      </c>
      <c r="I94" s="1153"/>
      <c r="J94" s="1089"/>
      <c r="K94" s="1086" t="s">
        <v>7850</v>
      </c>
      <c r="L94" s="1089"/>
      <c r="M94" s="1089" t="s">
        <v>125</v>
      </c>
      <c r="N94" s="1086" t="s">
        <v>6094</v>
      </c>
      <c r="O94" s="1089"/>
      <c r="P94" s="1086" t="s">
        <v>125</v>
      </c>
      <c r="Q94" s="1088" t="s">
        <v>125</v>
      </c>
      <c r="R94" s="1155"/>
      <c r="S94" s="1089"/>
      <c r="T94" s="1089"/>
      <c r="U94" s="1089"/>
      <c r="V94" s="1089"/>
      <c r="W94" s="1089"/>
      <c r="X94" s="1089"/>
      <c r="Y94" s="1089"/>
      <c r="Z94" s="1089"/>
      <c r="AA94" s="1089"/>
      <c r="AB94" s="1089"/>
      <c r="AC94" s="1089"/>
      <c r="AD94" s="1089"/>
      <c r="AE94" s="1089"/>
      <c r="AF94" s="1086" t="s">
        <v>1280</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7851</v>
      </c>
      <c r="C95" s="1152" t="s">
        <v>2477</v>
      </c>
      <c r="D95" s="1094" t="s">
        <v>2477</v>
      </c>
      <c r="E95" s="1094"/>
      <c r="F95" s="1174" t="s">
        <v>2477</v>
      </c>
      <c r="G95" s="1089" t="s">
        <v>5024</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7852</v>
      </c>
      <c r="C96" s="1152" t="s">
        <v>359</v>
      </c>
      <c r="D96" s="1001" t="s">
        <v>1571</v>
      </c>
      <c r="E96" s="1094" t="s">
        <v>1755</v>
      </c>
      <c r="F96" s="1085"/>
      <c r="G96" s="1094"/>
      <c r="H96" s="1087" t="s">
        <v>5016</v>
      </c>
      <c r="I96" s="1164" t="s">
        <v>7853</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6662</v>
      </c>
      <c r="BM96" s="1097"/>
      <c r="BN96" s="1097"/>
      <c r="BO96" s="1097"/>
    </row>
    <row r="97" ht="15.75" customHeight="1">
      <c r="A97" s="1150" t="s">
        <v>7854</v>
      </c>
      <c r="B97" s="1151" t="s">
        <v>7728</v>
      </c>
      <c r="C97" s="1152" t="s">
        <v>7855</v>
      </c>
      <c r="D97" s="1139" t="s">
        <v>1790</v>
      </c>
      <c r="E97" s="1094" t="s">
        <v>128</v>
      </c>
      <c r="F97" s="1085"/>
      <c r="G97" s="1094" t="s">
        <v>572</v>
      </c>
      <c r="H97" s="1106"/>
      <c r="I97" s="1164" t="s">
        <v>1895</v>
      </c>
      <c r="J97" s="1094"/>
      <c r="K97" s="1094"/>
      <c r="L97" s="1094"/>
      <c r="M97" s="1094" t="s">
        <v>4271</v>
      </c>
      <c r="N97" s="1094" t="str">
        <f>HYPERLINK("https://www.youtube.com/watch?v=8BrDAvD-IV4","1:01.54")</f>
        <v>1:01.54</v>
      </c>
      <c r="O97" s="1094" t="s">
        <v>1742</v>
      </c>
      <c r="P97" s="1094"/>
      <c r="Q97" s="1088"/>
      <c r="R97" s="1155"/>
      <c r="S97" s="1094"/>
      <c r="T97" s="1094"/>
      <c r="U97" s="1094"/>
      <c r="V97" s="1094"/>
      <c r="W97" s="1086" t="s">
        <v>1732</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7856</v>
      </c>
      <c r="B98" s="1170" t="s">
        <v>7728</v>
      </c>
      <c r="C98" s="1188"/>
      <c r="D98" s="1137" t="s">
        <v>7857</v>
      </c>
      <c r="E98" s="1094"/>
      <c r="F98" s="1085"/>
      <c r="G98" s="1094" t="s">
        <v>4528</v>
      </c>
      <c r="H98" s="1106"/>
      <c r="I98" s="1164" t="s">
        <v>7858</v>
      </c>
      <c r="J98" s="1094"/>
      <c r="K98" s="1094"/>
      <c r="L98" s="1094"/>
      <c r="M98" s="1094"/>
      <c r="N98" s="1094"/>
      <c r="O98" s="1094"/>
      <c r="P98" s="1094"/>
      <c r="Q98" s="1088"/>
      <c r="R98" s="1155"/>
      <c r="S98" s="1094"/>
      <c r="T98" s="1094"/>
      <c r="U98" s="1094"/>
      <c r="V98" s="1094"/>
      <c r="W98" s="1086" t="s">
        <v>7859</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7599</v>
      </c>
      <c r="C99" s="1152" t="s">
        <v>360</v>
      </c>
      <c r="D99" s="1001" t="s">
        <v>1573</v>
      </c>
      <c r="E99" s="1086" t="s">
        <v>360</v>
      </c>
      <c r="F99" s="1158"/>
      <c r="G99" s="1089"/>
      <c r="H99" s="1087" t="s">
        <v>1282</v>
      </c>
      <c r="I99" s="1164" t="s">
        <v>7860</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7525</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7598</v>
      </c>
      <c r="B101" s="1196"/>
      <c r="C101" s="1197" t="s">
        <v>4211</v>
      </c>
      <c r="D101" s="1001" t="s">
        <v>1574</v>
      </c>
      <c r="E101" s="1198" t="s">
        <v>2443</v>
      </c>
      <c r="F101" s="1085"/>
      <c r="G101" s="1198"/>
      <c r="H101" s="1087" t="s">
        <v>6065</v>
      </c>
      <c r="I101" s="1199" t="s">
        <v>7861</v>
      </c>
      <c r="J101" s="1198" t="str">
        <f>HYPERLINK("https://youtu.be/ycBfir2aflI","41.70")</f>
        <v>41.70</v>
      </c>
      <c r="K101" s="1198" t="s">
        <v>7644</v>
      </c>
      <c r="L101" s="1198"/>
      <c r="M101" s="1198" t="s">
        <v>918</v>
      </c>
      <c r="N101" s="1198"/>
      <c r="O101" s="1198" t="str">
        <f>HYPERLINK("https://youtu.be/OxlK2SgEm_U","42.73")</f>
        <v>42.73</v>
      </c>
      <c r="P101" s="1198"/>
      <c r="Q101" s="1200" t="s">
        <v>1837</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7616</v>
      </c>
      <c r="B102" s="1204"/>
      <c r="C102" s="1197" t="s">
        <v>1617</v>
      </c>
      <c r="D102" s="1001" t="s">
        <v>1575</v>
      </c>
      <c r="E102" s="1205"/>
      <c r="F102" s="1206"/>
      <c r="G102" s="1205"/>
      <c r="H102" s="1087" t="s">
        <v>7761</v>
      </c>
      <c r="I102" s="1199" t="s">
        <v>7862</v>
      </c>
      <c r="J102" s="1198" t="s">
        <v>3344</v>
      </c>
      <c r="K102" s="1198" t="s">
        <v>4162</v>
      </c>
      <c r="L102" s="1205" t="s">
        <v>1237</v>
      </c>
      <c r="M102" s="1205" t="s">
        <v>919</v>
      </c>
      <c r="N102" s="1198" t="s">
        <v>764</v>
      </c>
      <c r="O102" s="1205" t="s">
        <v>3727</v>
      </c>
      <c r="P102" s="1198" t="s">
        <v>1617</v>
      </c>
      <c r="Q102" s="1207" t="s">
        <v>2917</v>
      </c>
      <c r="R102" s="1097"/>
      <c r="S102" s="1205"/>
      <c r="T102" s="1205" t="s">
        <v>5874</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7626</v>
      </c>
      <c r="B103" s="1208"/>
      <c r="C103" s="1197" t="s">
        <v>3403</v>
      </c>
      <c r="D103" s="1209" t="s">
        <v>4527</v>
      </c>
      <c r="E103" s="1205"/>
      <c r="F103" s="1085"/>
      <c r="G103" s="1205"/>
      <c r="H103" s="1087" t="s">
        <v>6113</v>
      </c>
      <c r="I103" s="1199" t="s">
        <v>5479</v>
      </c>
      <c r="J103" s="1205"/>
      <c r="K103" s="1198" t="s">
        <v>3403</v>
      </c>
      <c r="L103" s="1205"/>
      <c r="M103" s="1205" t="s">
        <v>3482</v>
      </c>
      <c r="N103" s="1205"/>
      <c r="O103" s="1205"/>
      <c r="P103" s="1205"/>
      <c r="Q103" s="1207"/>
      <c r="R103" s="1201"/>
      <c r="S103" s="1205"/>
      <c r="T103" s="1205"/>
      <c r="U103" s="1205"/>
      <c r="V103" s="1205" t="s">
        <v>1831</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7863</v>
      </c>
      <c r="B104" s="1210" t="s">
        <v>7864</v>
      </c>
      <c r="C104" s="1197" t="s">
        <v>1513</v>
      </c>
      <c r="D104" s="998" t="s">
        <v>7865</v>
      </c>
      <c r="E104" s="1205"/>
      <c r="F104" s="1085"/>
      <c r="G104" s="1205"/>
      <c r="H104" s="1087" t="s">
        <v>1285</v>
      </c>
      <c r="I104" s="1199" t="s">
        <v>7866</v>
      </c>
      <c r="J104" s="1205" t="s">
        <v>6890</v>
      </c>
      <c r="K104" s="1198" t="s">
        <v>7867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1513</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7868</v>
      </c>
      <c r="C105" s="1197" t="s">
        <v>7869</v>
      </c>
      <c r="D105" s="1001" t="s">
        <v>1576</v>
      </c>
      <c r="E105" s="1205"/>
      <c r="F105" s="1206"/>
      <c r="G105" s="1205"/>
      <c r="H105" s="1106"/>
      <c r="I105" s="1202"/>
      <c r="J105" s="1205"/>
      <c r="K105" s="1198" t="s">
        <v>7869</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7787</v>
      </c>
      <c r="B106" s="1210" t="s">
        <v>7870</v>
      </c>
      <c r="C106" s="1197" t="s">
        <v>5724</v>
      </c>
      <c r="D106" s="998" t="s">
        <v>6715</v>
      </c>
      <c r="E106" s="1205"/>
      <c r="F106" s="1085"/>
      <c r="G106" s="1205"/>
      <c r="H106" s="1087" t="s">
        <v>613</v>
      </c>
      <c r="I106" s="1202"/>
      <c r="J106" s="1205"/>
      <c r="K106" s="1198" t="s">
        <v>7871</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7872</v>
      </c>
      <c r="BG106" s="1205"/>
      <c r="BH106" s="1205"/>
      <c r="BI106" s="1201"/>
      <c r="BJ106" s="1201"/>
      <c r="BK106" s="1201"/>
      <c r="BL106" s="1201"/>
      <c r="BM106" s="1201"/>
      <c r="BN106" s="1201"/>
      <c r="BO106" s="1201"/>
    </row>
    <row r="107" ht="15.75" customHeight="1">
      <c r="A107" s="1195" t="s">
        <v>7796</v>
      </c>
      <c r="B107" s="1210" t="s">
        <v>7873</v>
      </c>
      <c r="C107" s="1197" t="s">
        <v>7874</v>
      </c>
      <c r="D107" s="998" t="s">
        <v>3724</v>
      </c>
      <c r="E107" s="1205"/>
      <c r="F107" s="1206"/>
      <c r="G107" s="1205"/>
      <c r="H107" s="1087" t="s">
        <v>134</v>
      </c>
      <c r="I107" s="1199"/>
      <c r="J107" s="1205" t="s">
        <v>7875</v>
      </c>
      <c r="K107" s="1198" t="s">
        <v>7876</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7616</v>
      </c>
      <c r="B108" s="1204" t="s">
        <v>7873</v>
      </c>
      <c r="C108" s="1082" t="s">
        <v>7877</v>
      </c>
      <c r="D108" s="1139" t="s">
        <v>7766</v>
      </c>
      <c r="E108" s="1198" t="s">
        <v>366</v>
      </c>
      <c r="F108" s="1085"/>
      <c r="G108" s="1198"/>
      <c r="H108" s="1087" t="s">
        <v>7878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7626</v>
      </c>
      <c r="B109" s="1213" t="s">
        <v>7864</v>
      </c>
      <c r="C109" s="1197" t="s">
        <v>1788</v>
      </c>
      <c r="D109" s="1205"/>
      <c r="E109" s="1205"/>
      <c r="F109" s="1206"/>
      <c r="G109" s="1205"/>
      <c r="H109" s="1087" t="s">
        <v>4274</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7879</v>
      </c>
      <c r="B110" s="1214" t="s">
        <v>7599</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7826</v>
      </c>
      <c r="B111" s="1210" t="s">
        <v>7728</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7880</v>
      </c>
      <c r="C112" s="1197" t="s">
        <v>1261</v>
      </c>
      <c r="D112" s="1001" t="s">
        <v>1579</v>
      </c>
      <c r="E112" s="1205"/>
      <c r="F112" s="1085"/>
      <c r="G112" s="1205"/>
      <c r="H112" s="1087" t="s">
        <v>1288</v>
      </c>
      <c r="I112" s="1202"/>
      <c r="J112" s="1205" t="s">
        <v>7881</v>
      </c>
      <c r="K112" s="1198" t="s">
        <v>1261</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7721</v>
      </c>
      <c r="B113" s="1210" t="s">
        <v>7882</v>
      </c>
      <c r="C113" s="1197" t="s">
        <v>1127</v>
      </c>
      <c r="D113" s="1205" t="s">
        <v>1548</v>
      </c>
      <c r="F113" s="1216" t="s">
        <v>5534</v>
      </c>
      <c r="H113" s="1106"/>
      <c r="I113" s="1202"/>
      <c r="J113" s="1198" t="str">
        <f>HYPERLINK("https://youtu.be/NIfI1hsvvFQ","19.73")</f>
        <v>19.73</v>
      </c>
      <c r="K113" s="1198" t="s">
        <v>1127</v>
      </c>
      <c r="L113" s="1198" t="s">
        <v>2603</v>
      </c>
      <c r="M113" s="1198"/>
      <c r="N113" s="1205" t="s">
        <v>1750</v>
      </c>
      <c r="O113" s="1198" t="str">
        <f>HYPERLINK("https://youtu.be/vlD8b3WQME8","20.08")</f>
        <v>20.08</v>
      </c>
      <c r="P113" s="1198"/>
      <c r="Q113" s="1200" t="s">
        <v>3156</v>
      </c>
      <c r="R113" s="1217" t="s">
        <v>7883</v>
      </c>
      <c r="S113" s="1198"/>
      <c r="T113" s="1198" t="s">
        <v>6113</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7884</v>
      </c>
      <c r="C114" s="1197"/>
      <c r="D114" s="1198"/>
      <c r="E114" s="1198" t="s">
        <v>6113</v>
      </c>
      <c r="F114" s="1216" t="s">
        <v>3827</v>
      </c>
      <c r="G114" s="1198" t="s">
        <v>6113</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7723</v>
      </c>
      <c r="C115" s="1197" t="s">
        <v>473</v>
      </c>
      <c r="D115" s="1094" t="s">
        <v>845</v>
      </c>
      <c r="E115" s="1198" t="s">
        <v>678</v>
      </c>
      <c r="F115" s="1120" t="s">
        <v>2558</v>
      </c>
      <c r="G115" s="1198" t="s">
        <v>473</v>
      </c>
      <c r="H115" s="1087" t="s">
        <v>1664</v>
      </c>
      <c r="I115" s="1199" t="s">
        <v>7885</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7724</v>
      </c>
      <c r="B116" s="1210" t="s">
        <v>7886</v>
      </c>
      <c r="C116" s="1197" t="s">
        <v>2246</v>
      </c>
      <c r="D116" s="1205"/>
      <c r="E116" s="1205"/>
      <c r="F116" s="1206"/>
      <c r="G116" s="1205"/>
      <c r="H116" s="1087" t="s">
        <v>4262</v>
      </c>
      <c r="I116" s="1202"/>
      <c r="J116" s="1205"/>
      <c r="K116" s="1205"/>
      <c r="L116" s="1198" t="s">
        <v>4019</v>
      </c>
      <c r="M116" s="1205"/>
      <c r="N116" s="1205"/>
      <c r="O116" s="1205" t="s">
        <v>5477</v>
      </c>
      <c r="P116" s="1205"/>
      <c r="Q116" s="1207"/>
      <c r="R116" s="1217" t="s">
        <v>7887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1547</v>
      </c>
      <c r="AM116" s="1205"/>
      <c r="AN116" s="1205"/>
      <c r="AO116" s="1205"/>
      <c r="AP116" s="1205"/>
      <c r="AQ116" s="1205" t="s">
        <v>6436</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7888</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2562</v>
      </c>
      <c r="T117" s="1205" t="s">
        <v>847</v>
      </c>
      <c r="U117" s="1205"/>
      <c r="V117" s="1205"/>
      <c r="W117" s="1205" t="s">
        <v>4704</v>
      </c>
      <c r="X117" s="1205" t="s">
        <v>7889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7890</v>
      </c>
      <c r="C118" s="1197" t="s">
        <v>7891</v>
      </c>
      <c r="D118" s="1094" t="s">
        <v>1580</v>
      </c>
      <c r="E118" s="1198" t="s">
        <v>7891</v>
      </c>
      <c r="F118" s="1114" t="s">
        <v>2055</v>
      </c>
      <c r="G118" s="1205" t="s">
        <v>1862</v>
      </c>
      <c r="H118" s="1106"/>
      <c r="I118" s="1202"/>
      <c r="J118" s="1198" t="s">
        <v>259</v>
      </c>
      <c r="K118" s="1198" t="s">
        <v>4803</v>
      </c>
      <c r="L118" s="1198" t="s">
        <v>847</v>
      </c>
      <c r="M118" s="1198"/>
      <c r="N118" s="1198" t="s">
        <v>770</v>
      </c>
      <c r="O118" s="1198"/>
      <c r="P118" s="1198" t="s">
        <v>4242</v>
      </c>
      <c r="Q118" s="1200" t="s">
        <v>6205</v>
      </c>
      <c r="R118" s="1201"/>
      <c r="S118" s="1198" t="s">
        <v>2572</v>
      </c>
      <c r="T118" s="1198" t="s">
        <v>3374</v>
      </c>
      <c r="U118" s="1198"/>
      <c r="V118" s="1198" t="s">
        <v>6743</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7892</v>
      </c>
      <c r="C119" s="1197" t="s">
        <v>7893</v>
      </c>
      <c r="D119" s="1205"/>
      <c r="E119" s="1205"/>
      <c r="F119" s="1100" t="s">
        <v>2559</v>
      </c>
      <c r="G119" s="1205"/>
      <c r="H119" s="1106"/>
      <c r="I119" s="1202"/>
      <c r="J119" s="1205"/>
      <c r="K119" s="1205"/>
      <c r="L119" s="1205"/>
      <c r="M119" s="1205"/>
      <c r="N119" s="1205"/>
      <c r="O119" s="1205"/>
      <c r="P119" s="1205"/>
      <c r="Q119" s="1207"/>
      <c r="R119" s="1097"/>
      <c r="S119" s="1205"/>
      <c r="T119" s="1205"/>
      <c r="U119" s="1205" t="s">
        <v>7894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7895</v>
      </c>
      <c r="B120" s="1214" t="s">
        <v>7728</v>
      </c>
      <c r="C120" s="1197" t="s">
        <v>925</v>
      </c>
      <c r="D120" s="1001" t="s">
        <v>1582</v>
      </c>
      <c r="E120" s="1205"/>
      <c r="F120" s="1206"/>
      <c r="G120" s="1205" t="s">
        <v>5174</v>
      </c>
      <c r="H120" s="1106"/>
      <c r="I120" s="1199" t="s">
        <v>6086</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6038</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7856</v>
      </c>
      <c r="B121" s="1204" t="s">
        <v>7728</v>
      </c>
      <c r="C121" s="1136"/>
      <c r="D121" s="1137" t="s">
        <v>7896</v>
      </c>
      <c r="E121" s="1205"/>
      <c r="F121" s="1206"/>
      <c r="G121" s="1205"/>
      <c r="H121" s="1106"/>
      <c r="I121" s="1199" t="s">
        <v>5286</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6671</v>
      </c>
      <c r="B122" s="1214" t="s">
        <v>7599</v>
      </c>
      <c r="C122" s="1197" t="s">
        <v>851</v>
      </c>
      <c r="D122" s="1001" t="s">
        <v>1581</v>
      </c>
      <c r="E122" s="1205"/>
      <c r="F122" s="1206"/>
      <c r="G122" s="1205"/>
      <c r="H122" s="1087" t="s">
        <v>1290</v>
      </c>
      <c r="I122" s="1199" t="s">
        <v>1255</v>
      </c>
      <c r="J122" s="1198" t="str">
        <f>HYPERLINK("https://youtu.be/JiJPMQx9xwU","31.85")</f>
        <v>31.85</v>
      </c>
      <c r="K122" s="1205"/>
      <c r="L122" s="1205"/>
      <c r="M122" s="1205" t="s">
        <v>1482</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7864</v>
      </c>
      <c r="C123" s="1197" t="s">
        <v>2959</v>
      </c>
      <c r="D123" s="1001" t="s">
        <v>7897</v>
      </c>
      <c r="E123" s="1205"/>
      <c r="F123" s="1085"/>
      <c r="G123" s="1205"/>
      <c r="H123" s="1106"/>
      <c r="I123" s="1202"/>
      <c r="J123" s="1198" t="s">
        <v>7898</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7899</v>
      </c>
      <c r="B125" s="1228"/>
      <c r="C125" s="1197" t="s">
        <v>4114</v>
      </c>
      <c r="D125" s="1198" t="s">
        <v>7900</v>
      </c>
      <c r="E125" s="1198" t="s">
        <v>7901</v>
      </c>
      <c r="F125" s="1114" t="s">
        <v>7902</v>
      </c>
      <c r="G125" s="1198" t="s">
        <v>4114</v>
      </c>
      <c r="H125" s="1106"/>
      <c r="I125" s="1202"/>
      <c r="J125" s="1198"/>
      <c r="K125" s="1198"/>
      <c r="L125" s="1198"/>
      <c r="M125" s="1198" t="s">
        <v>7901</v>
      </c>
      <c r="N125" s="1198"/>
      <c r="O125" s="1198"/>
      <c r="P125" s="1198"/>
      <c r="Q125" s="1200" t="s">
        <v>7903</v>
      </c>
      <c r="R125" s="1229"/>
      <c r="S125" s="1198"/>
      <c r="T125" s="1198"/>
      <c r="U125" s="1198" t="s">
        <v>7904</v>
      </c>
      <c r="V125" s="1198"/>
      <c r="W125" s="1198"/>
      <c r="X125" s="1198"/>
      <c r="Y125" s="1198" t="s">
        <v>7903</v>
      </c>
      <c r="Z125" s="1198"/>
      <c r="AA125" s="1198"/>
      <c r="AB125" s="1198" t="s">
        <v>7902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7598</v>
      </c>
      <c r="B126" s="1230" t="s">
        <v>7905</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7906</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7907</v>
      </c>
      <c r="C128" s="1113" t="s">
        <v>1183</v>
      </c>
      <c r="D128" s="1094" t="s">
        <v>663</v>
      </c>
      <c r="E128" s="1205"/>
      <c r="F128" s="1114" t="s">
        <v>1183</v>
      </c>
      <c r="G128" s="1205"/>
      <c r="H128" s="1087" t="s">
        <v>1352</v>
      </c>
      <c r="I128" s="1202"/>
      <c r="J128" s="1205"/>
      <c r="K128" s="1205" t="s">
        <v>2785</v>
      </c>
      <c r="L128" s="1205" t="s">
        <v>7908</v>
      </c>
      <c r="M128" s="1205"/>
      <c r="N128" s="1205"/>
      <c r="O128" s="1205"/>
      <c r="P128" s="1205"/>
      <c r="Q128" s="1207" t="s">
        <v>7909</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7910</v>
      </c>
      <c r="C129" s="1082" t="s">
        <v>1005</v>
      </c>
      <c r="D129" s="1205"/>
      <c r="E129" s="1205"/>
      <c r="F129" s="1120" t="s">
        <v>2560</v>
      </c>
      <c r="G129" s="1127" t="s">
        <v>1005</v>
      </c>
      <c r="H129" s="1087" t="s">
        <v>1293</v>
      </c>
      <c r="I129" s="1202"/>
      <c r="J129" s="1205"/>
      <c r="K129" s="1205"/>
      <c r="L129" s="1205"/>
      <c r="M129" s="1205"/>
      <c r="N129" s="1205"/>
      <c r="O129" s="1205"/>
      <c r="P129" s="1127"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7616</v>
      </c>
      <c r="B130" s="1238" t="s">
        <v>7599</v>
      </c>
      <c r="C130" s="1197" t="s">
        <v>2582</v>
      </c>
      <c r="D130" s="1202"/>
      <c r="E130" s="1202"/>
      <c r="F130" s="1239" t="s">
        <v>2736</v>
      </c>
      <c r="G130" s="1127" t="s">
        <v>2582</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7626</v>
      </c>
      <c r="B131" s="1242" t="s">
        <v>7599</v>
      </c>
      <c r="C131" s="1197" t="s">
        <v>7911</v>
      </c>
      <c r="D131" s="1205"/>
      <c r="E131" s="1205"/>
      <c r="F131" s="1114" t="s">
        <v>1877</v>
      </c>
      <c r="G131" s="1087" t="s">
        <v>7911</v>
      </c>
      <c r="H131" s="1087" t="s">
        <v>7912</v>
      </c>
      <c r="I131" s="1202"/>
      <c r="J131" s="1205"/>
      <c r="K131" s="1205"/>
      <c r="L131" s="1205"/>
      <c r="M131" s="1205"/>
      <c r="N131" s="1205"/>
      <c r="O131" s="1205"/>
      <c r="P131" s="1205"/>
      <c r="Q131" s="1207"/>
      <c r="R131" s="1229"/>
      <c r="S131" s="1205"/>
      <c r="T131" s="1205"/>
      <c r="U131" s="1205" t="s">
        <v>7911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7601</v>
      </c>
      <c r="B132" s="1228"/>
      <c r="C132" s="1197" t="s">
        <v>775</v>
      </c>
      <c r="D132" s="1094" t="s">
        <v>935</v>
      </c>
      <c r="E132" s="1205"/>
      <c r="F132" s="1120" t="s">
        <v>2561</v>
      </c>
      <c r="G132" s="1205"/>
      <c r="H132" s="1087" t="s">
        <v>1294</v>
      </c>
      <c r="I132" s="1199" t="s">
        <v>6746</v>
      </c>
      <c r="J132" s="1127" t="str">
        <f>HYPERLINK("https://youtu.be/6f5dBhAmU1g","42.10")</f>
        <v>42.10</v>
      </c>
      <c r="K132" s="1205" t="s">
        <v>527</v>
      </c>
      <c r="L132" s="1205" t="s">
        <v>2146</v>
      </c>
      <c r="M132" s="1127" t="s">
        <v>928</v>
      </c>
      <c r="N132" s="1127" t="s">
        <v>775</v>
      </c>
      <c r="O132" s="1205" t="s">
        <v>2580</v>
      </c>
      <c r="P132" s="1205"/>
      <c r="Q132" s="1207" t="s">
        <v>1221</v>
      </c>
      <c r="R132" s="1096" t="s">
        <v>6297</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2128</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7616</v>
      </c>
      <c r="B133" s="1242" t="s">
        <v>7599</v>
      </c>
      <c r="C133" s="1197" t="str">
        <f>HYPERLINK("https://youtu.be/sDPkawvhuRo","28.54")</f>
        <v>28.54</v>
      </c>
      <c r="D133" s="1094" t="s">
        <v>1584</v>
      </c>
      <c r="E133" s="1205"/>
      <c r="F133" s="1120" t="s">
        <v>2562</v>
      </c>
      <c r="G133" s="1127" t="s">
        <v>1035</v>
      </c>
      <c r="H133" s="1087" t="s">
        <v>375</v>
      </c>
      <c r="I133" s="1199" t="s">
        <v>7913</v>
      </c>
      <c r="J133" s="1205" t="s">
        <v>1450</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7626</v>
      </c>
      <c r="B134" s="1242" t="s">
        <v>7599</v>
      </c>
      <c r="C134" s="1197" t="s">
        <v>7914</v>
      </c>
      <c r="D134" s="1198"/>
      <c r="E134" s="1198" t="s">
        <v>7914</v>
      </c>
      <c r="F134" s="1239" t="s">
        <v>1545</v>
      </c>
      <c r="G134" s="1198"/>
      <c r="H134" s="1087" t="s">
        <v>7915</v>
      </c>
      <c r="I134" s="1199" t="s">
        <v>7916</v>
      </c>
      <c r="J134" s="1198"/>
      <c r="K134" s="1198"/>
      <c r="L134" s="1198"/>
      <c r="M134" s="1198" t="s">
        <v>3018</v>
      </c>
      <c r="N134" s="1198" t="s">
        <v>7915</v>
      </c>
      <c r="O134" s="1198"/>
      <c r="P134" s="1198"/>
      <c r="Q134" s="1200" t="s">
        <v>7914</v>
      </c>
      <c r="R134" s="1097"/>
      <c r="S134" s="1198" t="s">
        <v>487</v>
      </c>
      <c r="T134" s="1198"/>
      <c r="U134" s="1198"/>
      <c r="V134" s="1198"/>
      <c r="W134" s="1198"/>
      <c r="X134" s="1198"/>
      <c r="Y134" s="1198"/>
      <c r="Z134" s="1198"/>
      <c r="AA134" s="1198" t="s">
        <v>7917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7787</v>
      </c>
      <c r="B135" s="1230" t="s">
        <v>7918</v>
      </c>
      <c r="C135" s="1197" t="s">
        <v>7919</v>
      </c>
      <c r="D135" s="1205"/>
      <c r="E135" s="1205"/>
      <c r="F135" s="1085"/>
      <c r="G135" s="1205"/>
      <c r="H135" s="1087" t="s">
        <v>4821</v>
      </c>
      <c r="I135" s="1202"/>
      <c r="J135" s="1205"/>
      <c r="K135" s="1205"/>
      <c r="L135" s="1205" t="s">
        <v>4448</v>
      </c>
      <c r="M135" s="1205"/>
      <c r="N135" s="1205"/>
      <c r="O135" s="1205"/>
      <c r="P135" s="1205"/>
      <c r="Q135" s="1207"/>
      <c r="R135" s="1243" t="s">
        <v>7920</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7921</v>
      </c>
      <c r="C136" s="1197" t="s">
        <v>1814</v>
      </c>
      <c r="D136" s="1205" t="s">
        <v>2605</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1731</v>
      </c>
      <c r="AA136" s="1205"/>
      <c r="AB136" s="1205" t="s">
        <v>6407</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7922</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6500</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7923</v>
      </c>
      <c r="C138" s="1197" t="s">
        <v>376</v>
      </c>
      <c r="D138" s="1094" t="s">
        <v>776</v>
      </c>
      <c r="E138" s="1087" t="s">
        <v>376</v>
      </c>
      <c r="F138" s="1120" t="s">
        <v>3982</v>
      </c>
      <c r="G138" s="1244" t="s">
        <v>7924</v>
      </c>
      <c r="H138" s="1087" t="s">
        <v>1295</v>
      </c>
      <c r="I138" s="1202"/>
      <c r="J138" s="1087" t="s">
        <v>5514</v>
      </c>
      <c r="K138" s="1106"/>
      <c r="L138" s="1106"/>
      <c r="M138" s="1087" t="s">
        <v>929</v>
      </c>
      <c r="N138" s="1087" t="s">
        <v>6499</v>
      </c>
      <c r="O138" s="1106"/>
      <c r="P138" s="1087" t="s">
        <v>7925</v>
      </c>
      <c r="Q138" s="1200" t="s">
        <v>5133</v>
      </c>
      <c r="R138" s="1097"/>
      <c r="S138" s="1106"/>
      <c r="T138" s="1087" t="s">
        <v>1671</v>
      </c>
      <c r="U138" s="1106"/>
      <c r="V138" s="1106"/>
      <c r="W138" s="1087" t="s">
        <v>1942</v>
      </c>
      <c r="X138" s="1106"/>
      <c r="Y138" s="1106"/>
      <c r="Z138" s="1106"/>
      <c r="AA138" s="1106"/>
      <c r="AB138" s="1087" t="s">
        <v>1517</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7926</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7659</v>
      </c>
      <c r="B139" s="1230" t="s">
        <v>7927</v>
      </c>
      <c r="C139" s="1197" t="s">
        <v>567</v>
      </c>
      <c r="D139" s="1205" t="s">
        <v>4299</v>
      </c>
      <c r="E139" s="1205"/>
      <c r="F139" s="1085"/>
      <c r="G139" s="1205"/>
      <c r="H139" s="1106"/>
      <c r="I139" s="1199" t="s">
        <v>7928</v>
      </c>
      <c r="J139" s="1205"/>
      <c r="K139" s="1087" t="s">
        <v>5707</v>
      </c>
      <c r="L139" s="1205" t="s">
        <v>1654</v>
      </c>
      <c r="M139" s="1205"/>
      <c r="N139" s="1205"/>
      <c r="O139" s="1205" t="str">
        <f>HYPERLINK("https://youtu.be/wzsts4r5VHY","56.24")</f>
        <v>56.24</v>
      </c>
      <c r="P139" s="1087" t="s">
        <v>7929</v>
      </c>
      <c r="Q139" s="1207"/>
      <c r="R139" s="1234" t="s">
        <v>7930</v>
      </c>
      <c r="S139" s="1205"/>
      <c r="T139" s="1205"/>
      <c r="U139" s="1205" t="s">
        <v>567</v>
      </c>
      <c r="V139" s="1205"/>
      <c r="W139" s="1205"/>
      <c r="X139" s="1205"/>
      <c r="Y139" s="1205"/>
      <c r="Z139" s="1205"/>
      <c r="AA139" s="1205"/>
      <c r="AB139" s="1205"/>
      <c r="AC139" s="1205"/>
      <c r="AD139" s="1205"/>
      <c r="AE139" s="1205"/>
      <c r="AF139" s="1205" t="s">
        <v>7931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7932</v>
      </c>
      <c r="C140" s="1197" t="s">
        <v>4566</v>
      </c>
      <c r="D140" s="1245"/>
      <c r="E140" s="1245"/>
      <c r="F140" s="1231"/>
      <c r="G140" s="1245"/>
      <c r="H140" s="1106"/>
      <c r="I140" s="1202"/>
      <c r="J140" s="1245"/>
      <c r="K140" s="1087" t="s">
        <v>7933</v>
      </c>
      <c r="L140" s="1245"/>
      <c r="M140" s="1245"/>
      <c r="N140" s="1245"/>
      <c r="O140" s="1245"/>
      <c r="P140" s="1245"/>
      <c r="Q140" s="1200"/>
      <c r="R140" s="1097"/>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7934</v>
      </c>
      <c r="C141" s="1197" t="s">
        <v>7935</v>
      </c>
      <c r="D141" s="1094" t="s">
        <v>793</v>
      </c>
      <c r="E141" s="1246" t="s">
        <v>777</v>
      </c>
      <c r="F141" s="1132" t="s">
        <v>2564</v>
      </c>
      <c r="G141" s="1198" t="s">
        <v>777</v>
      </c>
      <c r="H141" s="1087" t="s">
        <v>921</v>
      </c>
      <c r="I141" s="1202"/>
      <c r="J141" s="1198" t="s">
        <v>504</v>
      </c>
      <c r="K141" s="1198"/>
      <c r="L141" s="1198"/>
      <c r="M141" s="1198" t="s">
        <v>930</v>
      </c>
      <c r="N141" s="1198" t="s">
        <v>1905</v>
      </c>
      <c r="O141" s="1198"/>
      <c r="P141" s="1198" t="s">
        <v>1370</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1327</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7670</v>
      </c>
      <c r="B142" s="1230" t="s">
        <v>7936</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7937</v>
      </c>
      <c r="C143" s="1197" t="s">
        <v>7938</v>
      </c>
      <c r="E143" s="1205"/>
      <c r="F143" s="1085"/>
      <c r="G143" s="1205"/>
      <c r="H143" s="1087" t="s">
        <v>1297</v>
      </c>
      <c r="I143" s="1202"/>
      <c r="J143" s="1205"/>
      <c r="K143" s="1087" t="s">
        <v>1434</v>
      </c>
      <c r="L143" s="1205"/>
      <c r="M143" s="1205" t="s">
        <v>931</v>
      </c>
      <c r="N143" s="1205"/>
      <c r="O143" s="1205"/>
      <c r="P143" s="1087" t="s">
        <v>5727</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7939</v>
      </c>
      <c r="C144" s="1197"/>
      <c r="E144" s="1205"/>
      <c r="F144" s="1085"/>
      <c r="G144" s="1205"/>
      <c r="H144" s="1106"/>
      <c r="I144" s="1127" t="s">
        <v>7940</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7941</v>
      </c>
      <c r="C145" s="1082" t="s">
        <v>7942</v>
      </c>
      <c r="D145" s="1094" t="s">
        <v>582</v>
      </c>
      <c r="E145" s="1205"/>
      <c r="F145" s="1085"/>
      <c r="G145" s="1205"/>
      <c r="H145" s="1106"/>
      <c r="I145" s="1127" t="s">
        <v>7942</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7682</v>
      </c>
      <c r="B146" s="1230" t="s">
        <v>7943</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7944</v>
      </c>
      <c r="C147" s="1197" t="s">
        <v>1585</v>
      </c>
      <c r="D147" s="1094" t="s">
        <v>1585</v>
      </c>
      <c r="E147" s="1205"/>
      <c r="F147" s="1085"/>
      <c r="G147" s="1205"/>
      <c r="H147" s="1087" t="s">
        <v>1298</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7616</v>
      </c>
      <c r="B148" s="1238" t="s">
        <v>7943</v>
      </c>
      <c r="C148" s="1197" t="s">
        <v>3590</v>
      </c>
      <c r="D148" s="1198" t="s">
        <v>5464</v>
      </c>
      <c r="E148" s="1198" t="s">
        <v>3590</v>
      </c>
      <c r="F148" s="1231"/>
      <c r="G148" s="1198"/>
      <c r="H148" s="1087" t="s">
        <v>2947</v>
      </c>
      <c r="I148" s="1202"/>
      <c r="J148" s="1198"/>
      <c r="K148" s="1198"/>
      <c r="L148" s="1198" t="s">
        <v>475</v>
      </c>
      <c r="M148" s="1198"/>
      <c r="N148" s="1198" t="s">
        <v>2320</v>
      </c>
      <c r="O148" s="1198" t="s">
        <v>1320</v>
      </c>
      <c r="P148" s="1198"/>
      <c r="Q148" s="1200"/>
      <c r="R148" s="1116" t="s">
        <v>3733</v>
      </c>
      <c r="S148" s="1198"/>
      <c r="T148" s="1198"/>
      <c r="U148" s="1198"/>
      <c r="V148" s="1198"/>
      <c r="W148" s="1198"/>
      <c r="X148" s="1198"/>
      <c r="Y148" s="1198"/>
      <c r="Z148" s="1198" t="s">
        <v>7945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2002</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7944</v>
      </c>
      <c r="C149" s="1197" t="s">
        <v>1444</v>
      </c>
      <c r="D149" s="1001" t="s">
        <v>1586</v>
      </c>
      <c r="E149" s="1198" t="s">
        <v>5518</v>
      </c>
      <c r="F149" s="1120" t="s">
        <v>1616</v>
      </c>
      <c r="G149" s="1209" t="s">
        <v>139</v>
      </c>
      <c r="H149" s="1087" t="s">
        <v>3374</v>
      </c>
      <c r="I149" s="1202"/>
      <c r="J149" s="1198" t="str">
        <f>HYPERLINK("https://youtu.be/NPrbRwZDn1I","27.54")</f>
        <v>27.54</v>
      </c>
      <c r="K149" s="1198" t="s">
        <v>505</v>
      </c>
      <c r="L149" s="1198" t="s">
        <v>2572</v>
      </c>
      <c r="M149" s="1198"/>
      <c r="N149" s="1198" t="s">
        <v>5518</v>
      </c>
      <c r="O149" s="1198" t="str">
        <f>HYPERLINK("https://youtu.be/gwRV1gD1ndo","27.79")</f>
        <v>27.79</v>
      </c>
      <c r="P149" s="1198" t="s">
        <v>150</v>
      </c>
      <c r="Q149" s="1200" t="s">
        <v>432</v>
      </c>
      <c r="R149" s="1234"/>
      <c r="S149" s="1198" t="s">
        <v>410</v>
      </c>
      <c r="T149" s="1198"/>
      <c r="U149" s="1087" t="s">
        <v>399</v>
      </c>
      <c r="V149" s="1198"/>
      <c r="W149" s="1198"/>
      <c r="X149" s="1198" t="s">
        <v>7946</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7626</v>
      </c>
      <c r="B150" s="1238" t="s">
        <v>7599</v>
      </c>
      <c r="C150" s="1197" t="s">
        <v>7947</v>
      </c>
      <c r="D150" s="1245"/>
      <c r="E150" s="1245"/>
      <c r="F150" s="1231"/>
      <c r="G150" s="1245"/>
      <c r="H150" s="1087" t="s">
        <v>2819</v>
      </c>
      <c r="I150" s="1199" t="s">
        <v>7948</v>
      </c>
      <c r="J150" s="1245"/>
      <c r="K150" s="1245"/>
      <c r="L150" s="1245"/>
      <c r="M150" s="1245"/>
      <c r="N150" s="1245"/>
      <c r="O150" s="1245"/>
      <c r="P150" s="1127" t="s">
        <v>7947</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7946</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7949</v>
      </c>
      <c r="B151" s="1242" t="s">
        <v>7950</v>
      </c>
      <c r="C151" s="1197" t="s">
        <v>7951</v>
      </c>
      <c r="D151" s="1198" t="s">
        <v>7952</v>
      </c>
      <c r="E151" s="1198" t="s">
        <v>7951</v>
      </c>
      <c r="F151" s="1085"/>
      <c r="G151" s="1198"/>
      <c r="H151" s="1106"/>
      <c r="I151" s="1202"/>
      <c r="J151" s="1198" t="s">
        <v>7953</v>
      </c>
      <c r="K151" s="1198" t="s">
        <v>7954</v>
      </c>
      <c r="L151" s="1198"/>
      <c r="M151" s="1198" t="s">
        <v>934</v>
      </c>
      <c r="N151" s="1198"/>
      <c r="O151" s="1198" t="s">
        <v>7457</v>
      </c>
      <c r="P151" s="1198"/>
      <c r="Q151" s="1200"/>
      <c r="R151" s="1229"/>
      <c r="S151" s="1198"/>
      <c r="T151" s="1198"/>
      <c r="U151" s="1198"/>
      <c r="V151" s="1198" t="s">
        <v>7371</v>
      </c>
      <c r="W151" s="1198"/>
      <c r="X151" s="1198" t="s">
        <v>5143</v>
      </c>
      <c r="Y151" s="1198"/>
      <c r="Z151" s="1198"/>
      <c r="AA151" s="1198"/>
      <c r="AB151" s="1198"/>
      <c r="AC151" s="1198"/>
      <c r="AD151" s="1198"/>
      <c r="AE151" s="1198"/>
      <c r="AF151" s="1198"/>
      <c r="AG151" s="1198"/>
      <c r="AH151" s="1198"/>
      <c r="AI151" s="1198"/>
      <c r="AJ151" s="1198"/>
      <c r="AK151" s="1198" t="s">
        <v>6888</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7955</v>
      </c>
      <c r="BF151" s="1198"/>
      <c r="BG151" s="1198"/>
      <c r="BH151" s="1198"/>
      <c r="BI151" s="1229"/>
      <c r="BJ151" s="1229"/>
      <c r="BK151" s="1229"/>
      <c r="BL151" s="1229"/>
      <c r="BM151" s="1229"/>
      <c r="BN151" s="1229"/>
      <c r="BO151" s="1229"/>
    </row>
    <row r="152" ht="15.75" customHeight="1">
      <c r="A152" s="1232"/>
      <c r="B152" s="1233" t="s">
        <v>7956</v>
      </c>
      <c r="C152" s="1197" t="s">
        <v>7957</v>
      </c>
      <c r="D152" s="1205"/>
      <c r="E152" s="1205"/>
      <c r="F152" s="1231"/>
      <c r="G152" s="1205"/>
      <c r="H152" s="1106"/>
      <c r="I152" s="1202"/>
      <c r="J152" s="1205"/>
      <c r="K152" s="1205"/>
      <c r="L152" s="1205" t="s">
        <v>7958</v>
      </c>
      <c r="M152" s="1205"/>
      <c r="N152" s="1205"/>
      <c r="O152" s="1205"/>
      <c r="P152" s="1205" t="s">
        <v>7957</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7959</v>
      </c>
      <c r="C153" s="1247" t="s">
        <v>2565</v>
      </c>
      <c r="D153" s="1130" t="s">
        <v>1588</v>
      </c>
      <c r="E153" s="1087" t="s">
        <v>381</v>
      </c>
      <c r="F153" s="1120" t="s">
        <v>2565</v>
      </c>
      <c r="G153" s="1087" t="s">
        <v>7960</v>
      </c>
      <c r="H153" s="1106"/>
      <c r="I153" s="1202"/>
      <c r="J153" s="1087" t="s">
        <v>589</v>
      </c>
      <c r="K153" s="1087" t="s">
        <v>3261</v>
      </c>
      <c r="L153" s="1106" t="s">
        <v>3655</v>
      </c>
      <c r="M153" s="1106"/>
      <c r="N153" s="1106"/>
      <c r="O153" s="1106"/>
      <c r="P153" s="1106"/>
      <c r="Q153" s="1200"/>
      <c r="R153" s="1229"/>
      <c r="S153" s="1106"/>
      <c r="T153" s="1106"/>
      <c r="U153" s="1106"/>
      <c r="V153" s="1106"/>
      <c r="W153" s="1087" t="s">
        <v>7212</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7961</v>
      </c>
      <c r="BC153" s="1106"/>
      <c r="BD153" s="1106"/>
      <c r="BE153" s="1106"/>
      <c r="BF153" s="1106"/>
      <c r="BG153" s="1106"/>
      <c r="BH153" s="1106"/>
      <c r="BI153" s="1229"/>
      <c r="BJ153" s="1229"/>
      <c r="BK153" s="1229"/>
      <c r="BL153" s="1229"/>
      <c r="BM153" s="1229"/>
      <c r="BN153" s="1229"/>
      <c r="BO153" s="1229"/>
    </row>
    <row r="154" ht="15.75" customHeight="1">
      <c r="A154" s="1232"/>
      <c r="B154" s="1233" t="s">
        <v>7962</v>
      </c>
      <c r="C154" s="1082" t="s">
        <v>3497</v>
      </c>
      <c r="D154" s="1001" t="s">
        <v>1587</v>
      </c>
      <c r="E154" s="1205"/>
      <c r="F154" s="1231"/>
      <c r="G154" s="1205"/>
      <c r="H154" s="1087" t="s">
        <v>1299</v>
      </c>
      <c r="I154" s="1202"/>
      <c r="J154" s="1205"/>
      <c r="K154" s="1205"/>
      <c r="L154" s="1209" t="s">
        <v>3654</v>
      </c>
      <c r="M154" s="1205"/>
      <c r="N154" s="1205" t="s">
        <v>7963</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7964</v>
      </c>
      <c r="B155" s="1242" t="s">
        <v>7950</v>
      </c>
      <c r="C155" s="1197" t="s">
        <v>777</v>
      </c>
      <c r="D155" s="1249" t="s">
        <v>5052</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7965</v>
      </c>
      <c r="C156" s="1250" t="s">
        <v>1342</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7966</v>
      </c>
      <c r="C157" s="1082" t="s">
        <v>2633</v>
      </c>
      <c r="D157" s="1249" t="s">
        <v>7967</v>
      </c>
      <c r="E157" s="1249"/>
      <c r="F157" s="1132" t="s">
        <v>3856</v>
      </c>
      <c r="G157" s="1087" t="s">
        <v>2633</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7968</v>
      </c>
      <c r="C158" s="1113" t="s">
        <v>5164</v>
      </c>
      <c r="D158" s="1249"/>
      <c r="E158" s="1249"/>
      <c r="F158" s="1114" t="s">
        <v>5164</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7969</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7962</v>
      </c>
      <c r="C160" s="1082" t="s">
        <v>1431</v>
      </c>
      <c r="D160" s="1249"/>
      <c r="E160" s="1249"/>
      <c r="F160" s="1231"/>
      <c r="G160" s="1249" t="s">
        <v>7970</v>
      </c>
      <c r="H160" s="1087" t="s">
        <v>7077</v>
      </c>
      <c r="I160" s="1202"/>
      <c r="J160" s="1249" t="s">
        <v>286</v>
      </c>
      <c r="K160" s="1249"/>
      <c r="L160" s="1249"/>
      <c r="M160" s="1249"/>
      <c r="N160" s="1198" t="s">
        <v>4801</v>
      </c>
      <c r="O160" s="1249"/>
      <c r="P160" s="1249"/>
      <c r="Q160" s="1200"/>
      <c r="R160" s="1097"/>
      <c r="S160" s="1249"/>
      <c r="T160" s="1249"/>
      <c r="U160" s="1087" t="s">
        <v>6566</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7971</v>
      </c>
      <c r="B161" s="1242" t="s">
        <v>7972</v>
      </c>
      <c r="C161" s="1197" t="s">
        <v>7973</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7974</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7975</v>
      </c>
      <c r="B163" s="1242" t="s">
        <v>7976</v>
      </c>
      <c r="C163" s="1082" t="s">
        <v>7977</v>
      </c>
      <c r="D163" s="1249"/>
      <c r="E163" s="1249"/>
      <c r="F163" s="1114" t="s">
        <v>7978</v>
      </c>
      <c r="G163" s="1198" t="s">
        <v>7979</v>
      </c>
      <c r="H163" s="1087" t="s">
        <v>7980</v>
      </c>
      <c r="I163" s="1202"/>
      <c r="J163" s="1249" t="s">
        <v>7981</v>
      </c>
      <c r="K163" s="1249"/>
      <c r="L163" s="1249"/>
      <c r="M163" s="1249"/>
      <c r="N163" s="1198" t="s">
        <v>1324</v>
      </c>
      <c r="O163" s="1249"/>
      <c r="P163" s="1249"/>
      <c r="Q163" s="1200"/>
      <c r="R163" s="1229"/>
      <c r="S163" s="1249"/>
      <c r="T163" s="1249"/>
      <c r="U163" s="1087" t="s">
        <v>7977</v>
      </c>
      <c r="V163" s="1249"/>
      <c r="W163" s="1087" t="s">
        <v>7982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7983</v>
      </c>
      <c r="C164" s="1197" t="s">
        <v>7984</v>
      </c>
      <c r="D164" s="1249"/>
      <c r="E164" s="1249"/>
      <c r="F164" s="1239" t="s">
        <v>7985</v>
      </c>
      <c r="G164" s="1198" t="s">
        <v>7986</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7987</v>
      </c>
      <c r="C165" s="1197" t="s">
        <v>7988</v>
      </c>
      <c r="D165" s="1249"/>
      <c r="E165" s="1249"/>
      <c r="F165" s="1114" t="s">
        <v>7989</v>
      </c>
      <c r="G165" s="1198" t="s">
        <v>7988</v>
      </c>
      <c r="H165" s="1106"/>
      <c r="I165" s="1202"/>
      <c r="J165" s="1249" t="s">
        <v>7550</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7990</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7721</v>
      </c>
      <c r="B167" s="1251" t="s">
        <v>7991</v>
      </c>
      <c r="C167" s="1197" t="s">
        <v>2612</v>
      </c>
      <c r="D167" s="1205" t="s">
        <v>2612</v>
      </c>
      <c r="E167" s="1205"/>
      <c r="F167" s="1239" t="s">
        <v>2977</v>
      </c>
      <c r="G167" s="1198" t="s">
        <v>2612</v>
      </c>
      <c r="H167" s="1087" t="s">
        <v>2857</v>
      </c>
      <c r="I167" s="1199" t="s">
        <v>7992</v>
      </c>
      <c r="J167" s="1205"/>
      <c r="K167" s="1205"/>
      <c r="L167" s="1205" t="s">
        <v>3782</v>
      </c>
      <c r="M167" s="1205"/>
      <c r="N167" s="1205"/>
      <c r="O167" s="1205"/>
      <c r="P167" s="1205" t="s">
        <v>2612</v>
      </c>
      <c r="Q167" s="1207" t="s">
        <v>2977</v>
      </c>
      <c r="R167" s="1096" t="s">
        <v>7993</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5641</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7994</v>
      </c>
      <c r="C168" s="1197" t="s">
        <v>2446</v>
      </c>
      <c r="D168" s="1094" t="s">
        <v>1589</v>
      </c>
      <c r="E168" s="1198" t="s">
        <v>7995</v>
      </c>
      <c r="F168" s="1114" t="s">
        <v>7996</v>
      </c>
      <c r="G168" s="1198" t="s">
        <v>7997</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7724</v>
      </c>
      <c r="B169" s="1251" t="s">
        <v>7998</v>
      </c>
      <c r="C169" s="1197" t="s">
        <v>661</v>
      </c>
      <c r="D169" s="1001" t="s">
        <v>1138</v>
      </c>
      <c r="E169" s="1205"/>
      <c r="F169" s="1231"/>
      <c r="G169" s="1205"/>
      <c r="H169" s="1087" t="s">
        <v>1300</v>
      </c>
      <c r="I169" s="1199" t="s">
        <v>7999</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7626</v>
      </c>
      <c r="B170" s="1242" t="s">
        <v>7599</v>
      </c>
      <c r="C170" s="1197" t="s">
        <v>8000</v>
      </c>
      <c r="D170" s="1205"/>
      <c r="E170" s="1205"/>
      <c r="F170" s="1085"/>
      <c r="G170" s="1205"/>
      <c r="H170" s="1087" t="s">
        <v>690</v>
      </c>
      <c r="I170" s="1199" t="s">
        <v>8001</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8002</v>
      </c>
      <c r="B171" s="1251" t="s">
        <v>8003</v>
      </c>
      <c r="C171" s="1197" t="s">
        <v>8004</v>
      </c>
      <c r="D171" s="1205" t="s">
        <v>6105</v>
      </c>
      <c r="E171" s="1205"/>
      <c r="F171" s="1085"/>
      <c r="G171" s="1205"/>
      <c r="H171" s="1106"/>
      <c r="I171" s="1202"/>
      <c r="J171" s="1205"/>
      <c r="K171" s="1205"/>
      <c r="L171" s="1205" t="s">
        <v>6361</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8005</v>
      </c>
      <c r="C172" s="1197" t="s">
        <v>935</v>
      </c>
      <c r="D172" s="1001" t="s">
        <v>935</v>
      </c>
      <c r="E172" s="1205"/>
      <c r="F172" s="1231"/>
      <c r="G172" s="1205"/>
      <c r="H172" s="1106"/>
      <c r="I172" s="1199" t="s">
        <v>2607</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7730</v>
      </c>
      <c r="B173" s="1242" t="s">
        <v>8003</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8005</v>
      </c>
      <c r="C174" s="1252" t="s">
        <v>7913</v>
      </c>
      <c r="D174" s="1253" t="s">
        <v>7913</v>
      </c>
      <c r="E174" s="1205"/>
      <c r="F174" s="1231"/>
      <c r="G174" s="1205"/>
      <c r="H174" s="1106"/>
      <c r="I174" s="1199" t="s">
        <v>8006</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7733</v>
      </c>
      <c r="B175" s="1251" t="s">
        <v>7599</v>
      </c>
      <c r="C175" s="1197" t="s">
        <v>1521</v>
      </c>
      <c r="D175" s="998" t="s">
        <v>1590</v>
      </c>
      <c r="E175" s="1198" t="s">
        <v>8007</v>
      </c>
      <c r="F175" s="1085"/>
      <c r="G175" s="1198"/>
      <c r="H175" s="1106"/>
      <c r="I175" s="1199" t="s">
        <v>8008</v>
      </c>
      <c r="J175" s="1198"/>
      <c r="K175" s="1198"/>
      <c r="L175" s="1198" t="s">
        <v>1457</v>
      </c>
      <c r="M175" s="1198"/>
      <c r="N175" s="1198"/>
      <c r="O175" s="1198"/>
      <c r="P175" s="1198"/>
      <c r="Q175" s="1200"/>
      <c r="R175" s="1229"/>
      <c r="S175" s="1198"/>
      <c r="T175" s="1198"/>
      <c r="U175" s="1198"/>
      <c r="V175" s="1198"/>
      <c r="W175" s="1087" t="s">
        <v>2744</v>
      </c>
      <c r="X175" s="1198"/>
      <c r="Y175" s="1198"/>
      <c r="Z175" s="1198"/>
      <c r="AA175" s="1198"/>
      <c r="AB175" s="1198" t="s">
        <v>1521</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7730</v>
      </c>
      <c r="B176" s="1238" t="s">
        <v>7599</v>
      </c>
      <c r="C176" s="1152" t="s">
        <v>8009</v>
      </c>
      <c r="D176" s="1139" t="s">
        <v>8009</v>
      </c>
      <c r="E176" s="1198"/>
      <c r="F176" s="1085"/>
      <c r="G176" s="1198"/>
      <c r="H176" s="1106"/>
      <c r="I176" s="1199" t="s">
        <v>8010</v>
      </c>
      <c r="J176" s="1198"/>
      <c r="K176" s="1198"/>
      <c r="L176" s="1198"/>
      <c r="M176" s="1198"/>
      <c r="N176" s="1198"/>
      <c r="O176" s="1198"/>
      <c r="P176" s="1198"/>
      <c r="Q176" s="1200"/>
      <c r="R176" s="1229"/>
      <c r="S176" s="1198"/>
      <c r="T176" s="1198"/>
      <c r="U176" s="1198"/>
      <c r="V176" s="1198"/>
      <c r="W176" s="1087" t="s">
        <v>8011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7599</v>
      </c>
      <c r="C177" s="1197" t="s">
        <v>1458</v>
      </c>
      <c r="D177" s="1001" t="s">
        <v>782</v>
      </c>
      <c r="E177" s="1205"/>
      <c r="F177" s="1231"/>
      <c r="G177" s="1205"/>
      <c r="H177" s="1087" t="s">
        <v>1303</v>
      </c>
      <c r="I177" s="1199" t="s">
        <v>8013</v>
      </c>
      <c r="J177" s="1205" t="s">
        <v>1458</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8014</v>
      </c>
      <c r="B179" s="1261" t="s">
        <v>8015</v>
      </c>
      <c r="C179" s="1197" t="s">
        <v>8016</v>
      </c>
      <c r="D179" s="1089" t="s">
        <v>8017</v>
      </c>
      <c r="E179" s="1094" t="s">
        <v>8018</v>
      </c>
      <c r="F179" s="1114" t="s">
        <v>8019</v>
      </c>
      <c r="G179" s="1089" t="s">
        <v>8018</v>
      </c>
      <c r="H179" s="1087" t="s">
        <v>8020</v>
      </c>
      <c r="I179" s="1153"/>
      <c r="J179" s="1094"/>
      <c r="K179" s="1094" t="s">
        <v>8021</v>
      </c>
      <c r="L179" s="1094" t="s">
        <v>8022</v>
      </c>
      <c r="M179" s="1094" t="s">
        <v>8023</v>
      </c>
      <c r="N179" s="1094" t="s">
        <v>8023</v>
      </c>
      <c r="O179" s="1094"/>
      <c r="P179" s="1094"/>
      <c r="Q179" s="1088" t="s">
        <v>8018</v>
      </c>
      <c r="R179" s="1262"/>
      <c r="S179" s="1094"/>
      <c r="T179" s="1094" t="s">
        <v>2173</v>
      </c>
      <c r="U179" s="1094" t="s">
        <v>8024</v>
      </c>
      <c r="V179" s="1094"/>
      <c r="W179" s="1094"/>
      <c r="X179" s="1094"/>
      <c r="Y179" s="1094"/>
      <c r="Z179" s="1094"/>
      <c r="AA179" s="1094"/>
      <c r="AB179" s="1094"/>
      <c r="AC179" s="1094"/>
      <c r="AD179" s="1094" t="s">
        <v>7979</v>
      </c>
      <c r="AE179" s="1094" t="s">
        <v>8020</v>
      </c>
      <c r="AF179" s="1094"/>
      <c r="AG179" s="1094"/>
      <c r="AH179" s="1094" t="s">
        <v>8016</v>
      </c>
      <c r="AI179" s="1094"/>
      <c r="AJ179" s="1094"/>
      <c r="AK179" s="1094"/>
      <c r="AL179" s="1153"/>
      <c r="AM179" s="1094"/>
      <c r="AN179" s="1094" t="s">
        <v>8022</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8025</v>
      </c>
      <c r="C180" s="1197" t="s">
        <v>8026</v>
      </c>
      <c r="D180" s="1094"/>
      <c r="E180" s="1094" t="s">
        <v>8021</v>
      </c>
      <c r="F180" s="1265"/>
      <c r="G180" s="1094" t="s">
        <v>8026</v>
      </c>
      <c r="H180" s="1106"/>
      <c r="I180" s="1153"/>
      <c r="J180" s="1094"/>
      <c r="K180" s="1094"/>
      <c r="L180" s="1094"/>
      <c r="M180" s="1094"/>
      <c r="N180" s="1094"/>
      <c r="O180" s="1094"/>
      <c r="P180" s="1094"/>
      <c r="Q180" s="1088" t="s">
        <v>8027</v>
      </c>
      <c r="R180" s="1097"/>
      <c r="S180" s="1094"/>
      <c r="T180" s="1094"/>
      <c r="U180" s="1094"/>
      <c r="V180" s="1094" t="s">
        <v>8021</v>
      </c>
      <c r="W180" s="1094"/>
      <c r="X180" s="1094"/>
      <c r="Y180" s="1094"/>
      <c r="Z180" s="1094"/>
      <c r="AA180" s="1094"/>
      <c r="AB180" s="1094" t="s">
        <v>8018</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8028</v>
      </c>
      <c r="B181" s="1261" t="s">
        <v>7599</v>
      </c>
      <c r="C181" s="1197" t="s">
        <v>1925</v>
      </c>
      <c r="D181" s="1089" t="s">
        <v>5491</v>
      </c>
      <c r="E181" s="1094" t="s">
        <v>6261</v>
      </c>
      <c r="F181" s="1114" t="s">
        <v>3001</v>
      </c>
      <c r="G181" s="1094" t="s">
        <v>3001</v>
      </c>
      <c r="H181" s="1087" t="s">
        <v>8029</v>
      </c>
      <c r="I181" s="1153"/>
      <c r="J181" s="1094"/>
      <c r="K181" s="1094"/>
      <c r="L181" s="1094"/>
      <c r="M181" s="1094" t="s">
        <v>4498</v>
      </c>
      <c r="N181" s="1094"/>
      <c r="O181" s="1094"/>
      <c r="P181" s="1094"/>
      <c r="Q181" s="1088"/>
      <c r="R181" s="1262"/>
      <c r="S181" s="1094"/>
      <c r="T181" s="1094"/>
      <c r="U181" s="1094" t="s">
        <v>4187</v>
      </c>
      <c r="V181" s="1094" t="s">
        <v>2941</v>
      </c>
      <c r="W181" s="1094"/>
      <c r="X181" s="1094"/>
      <c r="Y181" s="1094"/>
      <c r="Z181" s="1094"/>
      <c r="AA181" s="1094"/>
      <c r="AB181" s="1094"/>
      <c r="AC181" s="1094"/>
      <c r="AD181" s="1094" t="s">
        <v>1925</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7616</v>
      </c>
      <c r="B182" s="1267" t="s">
        <v>7599</v>
      </c>
      <c r="C182" s="1197" t="s">
        <v>8030</v>
      </c>
      <c r="D182" s="1178"/>
      <c r="E182" s="1178" t="s">
        <v>7555</v>
      </c>
      <c r="F182" s="1268" t="s">
        <v>8031</v>
      </c>
      <c r="G182" s="1094" t="s">
        <v>8030</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7601</v>
      </c>
      <c r="B183" s="1269" t="s">
        <v>8032</v>
      </c>
      <c r="C183" s="1197" t="s">
        <v>5102</v>
      </c>
      <c r="D183" s="1270"/>
      <c r="E183" s="1270"/>
      <c r="F183" s="1085"/>
      <c r="G183" s="1270"/>
      <c r="H183" s="1106"/>
      <c r="I183" s="1153"/>
      <c r="J183" s="1270"/>
      <c r="K183" s="1270" t="s">
        <v>5102</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8033</v>
      </c>
      <c r="C184" s="1197" t="s">
        <v>8034</v>
      </c>
      <c r="D184" s="1094" t="s">
        <v>8035</v>
      </c>
      <c r="E184" s="1094" t="s">
        <v>8034</v>
      </c>
      <c r="F184" s="1120" t="s">
        <v>1261</v>
      </c>
      <c r="G184" s="1094" t="s">
        <v>830</v>
      </c>
      <c r="H184" s="1087" t="s">
        <v>1305</v>
      </c>
      <c r="I184" s="1164" t="s">
        <v>8036</v>
      </c>
      <c r="J184" s="1094"/>
      <c r="K184" s="1094" t="s">
        <v>611</v>
      </c>
      <c r="L184" s="1094" t="s">
        <v>355</v>
      </c>
      <c r="M184" s="1094"/>
      <c r="N184" s="1094"/>
      <c r="O184" s="1094" t="s">
        <v>147</v>
      </c>
      <c r="P184" s="1094" t="s">
        <v>8037</v>
      </c>
      <c r="Q184" s="1088"/>
      <c r="R184" s="1097"/>
      <c r="S184" s="1094"/>
      <c r="T184" s="1094"/>
      <c r="U184" s="1094" t="s">
        <v>2617</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8034</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7616</v>
      </c>
      <c r="B185" s="1271" t="s">
        <v>8038</v>
      </c>
      <c r="C185" s="1197" t="s">
        <v>8039</v>
      </c>
      <c r="D185" s="1130"/>
      <c r="E185" s="1130"/>
      <c r="F185" s="1085"/>
      <c r="G185" s="1130"/>
      <c r="H185" s="1106"/>
      <c r="I185" s="1153"/>
      <c r="J185" s="1130"/>
      <c r="K185" s="1130" t="s">
        <v>4572</v>
      </c>
      <c r="L185" s="1130"/>
      <c r="M185" s="1130"/>
      <c r="N185" s="1130"/>
      <c r="O185" s="1130"/>
      <c r="P185" s="1130"/>
      <c r="Q185" s="1088"/>
      <c r="R185" s="1272" t="s">
        <v>6746</v>
      </c>
      <c r="S185" s="1130"/>
      <c r="T185" s="1130"/>
      <c r="U185" s="1130"/>
      <c r="V185" s="1130"/>
      <c r="W185" s="1130"/>
      <c r="X185" s="1130"/>
      <c r="Y185" s="1130"/>
      <c r="Z185" s="1130" t="s">
        <v>8040</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8041</v>
      </c>
      <c r="C186" s="1197" t="s">
        <v>8042</v>
      </c>
      <c r="D186" s="1094" t="s">
        <v>1593</v>
      </c>
      <c r="E186" s="1094" t="s">
        <v>8042</v>
      </c>
      <c r="F186" s="1120" t="s">
        <v>2486</v>
      </c>
      <c r="G186" s="1094" t="s">
        <v>3086</v>
      </c>
      <c r="H186" s="1087" t="s">
        <v>1306</v>
      </c>
      <c r="I186" s="1164" t="s">
        <v>8043</v>
      </c>
      <c r="J186" s="1094" t="s">
        <v>159</v>
      </c>
      <c r="K186" s="1094" t="s">
        <v>4004</v>
      </c>
      <c r="L186" s="1094" t="s">
        <v>5468</v>
      </c>
      <c r="M186" s="1094" t="s">
        <v>940</v>
      </c>
      <c r="N186" s="1094" t="s">
        <v>2989</v>
      </c>
      <c r="O186" s="1094" t="s">
        <v>1988</v>
      </c>
      <c r="P186" s="1094" t="s">
        <v>4834</v>
      </c>
      <c r="Q186" s="1088" t="s">
        <v>1988</v>
      </c>
      <c r="R186" s="1096" t="s">
        <v>5484</v>
      </c>
      <c r="S186" s="1094"/>
      <c r="T186" s="1094"/>
      <c r="U186" s="1094"/>
      <c r="V186" s="1094"/>
      <c r="W186" s="1094"/>
      <c r="X186" s="1094" t="s">
        <v>8044</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8045</v>
      </c>
      <c r="C187" s="1197" t="s">
        <v>3434</v>
      </c>
      <c r="D187" s="1094"/>
      <c r="E187" s="1094" t="s">
        <v>3434</v>
      </c>
      <c r="F187" s="1085"/>
      <c r="G187" s="1094"/>
      <c r="H187" s="1106"/>
      <c r="I187" s="1153"/>
      <c r="J187" s="1094" t="s">
        <v>5404</v>
      </c>
      <c r="K187" s="1094"/>
      <c r="L187" s="1094"/>
      <c r="M187" s="1094"/>
      <c r="N187" s="1094" t="s">
        <v>1095</v>
      </c>
      <c r="O187" s="1094" t="s">
        <v>4487</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8046</v>
      </c>
      <c r="B188" s="1271" t="s">
        <v>7788</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8047</v>
      </c>
      <c r="C189" s="1276" t="s">
        <v>1570</v>
      </c>
      <c r="D189" s="1277" t="s">
        <v>179</v>
      </c>
      <c r="E189" s="1094" t="s">
        <v>4790</v>
      </c>
      <c r="F189" s="1085"/>
      <c r="G189" s="1094"/>
      <c r="H189" s="1087" t="s">
        <v>179</v>
      </c>
      <c r="I189" s="1164"/>
      <c r="J189" s="1094"/>
      <c r="K189" s="1094"/>
      <c r="L189" s="1086" t="s">
        <v>3300</v>
      </c>
      <c r="M189" s="1094"/>
      <c r="N189" s="1094"/>
      <c r="O189" s="1094"/>
      <c r="P189" s="1094"/>
      <c r="Q189" s="1088"/>
      <c r="R189" s="1262"/>
      <c r="S189" s="1094"/>
      <c r="T189" s="1094"/>
      <c r="U189" s="1094" t="s">
        <v>2069</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1570</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8048</v>
      </c>
      <c r="B190" s="1271" t="s">
        <v>7788</v>
      </c>
      <c r="C190" s="1197" t="s">
        <v>8049</v>
      </c>
      <c r="D190" s="1270"/>
      <c r="E190" s="1270"/>
      <c r="F190" s="1268" t="s">
        <v>8050</v>
      </c>
      <c r="G190" s="1270" t="s">
        <v>8049</v>
      </c>
      <c r="H190" s="1106"/>
      <c r="I190" s="1164" t="s">
        <v>8051</v>
      </c>
      <c r="J190" s="1270"/>
      <c r="K190" s="1270" t="s">
        <v>8052</v>
      </c>
      <c r="L190" s="1270"/>
      <c r="M190" s="1270"/>
      <c r="N190" s="1270"/>
      <c r="O190" s="1270"/>
      <c r="P190" s="1270"/>
      <c r="Q190" s="1119"/>
      <c r="R190" s="1097"/>
      <c r="S190" s="1270"/>
      <c r="T190" s="1270"/>
      <c r="U190" s="1270"/>
      <c r="V190" s="1270"/>
      <c r="W190" s="1270"/>
      <c r="X190" s="1270"/>
      <c r="Y190" s="1270"/>
      <c r="Z190" s="1270" t="s">
        <v>8031</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8047</v>
      </c>
      <c r="C191" s="1197" t="s">
        <v>8053</v>
      </c>
      <c r="D191" s="1089" t="s">
        <v>8054</v>
      </c>
      <c r="E191" s="1086" t="s">
        <v>8053</v>
      </c>
      <c r="F191" s="1085"/>
      <c r="G191" s="1089" t="s">
        <v>8053</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8053</v>
      </c>
      <c r="AB191" s="1089"/>
      <c r="AC191" s="1089"/>
      <c r="AD191" s="1089"/>
      <c r="AE191" s="1089"/>
      <c r="AF191" s="1089"/>
      <c r="AG191" s="1089"/>
      <c r="AH191" s="1089"/>
      <c r="AI191" s="1089" t="s">
        <v>8055</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8056</v>
      </c>
      <c r="C192" s="1086" t="s">
        <v>8057</v>
      </c>
      <c r="D192" s="1089"/>
      <c r="E192" s="1089"/>
      <c r="F192" s="1085"/>
      <c r="G192" s="1086" t="s">
        <v>8057</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7637</v>
      </c>
      <c r="B193" s="1269" t="s">
        <v>8058</v>
      </c>
      <c r="C193" s="1197" t="s">
        <v>2619</v>
      </c>
      <c r="D193" s="1270"/>
      <c r="E193" s="1270"/>
      <c r="F193" s="1265"/>
      <c r="G193" s="1270"/>
      <c r="H193" s="1087" t="s">
        <v>8059</v>
      </c>
      <c r="I193" s="1153"/>
      <c r="J193" s="1270"/>
      <c r="K193" s="1270"/>
      <c r="L193" s="1270"/>
      <c r="M193" s="1270"/>
      <c r="N193" s="1270"/>
      <c r="O193" s="1270" t="s">
        <v>4586</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8060</v>
      </c>
      <c r="C194" s="1197" t="s">
        <v>821</v>
      </c>
      <c r="D194" s="1270" t="s">
        <v>3470</v>
      </c>
      <c r="E194" s="1270"/>
      <c r="F194" s="1114" t="s">
        <v>2232</v>
      </c>
      <c r="G194" s="1270"/>
      <c r="H194" s="1106"/>
      <c r="I194" s="1164" t="s">
        <v>8061</v>
      </c>
      <c r="J194" s="1270" t="s">
        <v>3598</v>
      </c>
      <c r="K194" s="1270"/>
      <c r="L194" s="1270" t="s">
        <v>3367</v>
      </c>
      <c r="M194" s="1270"/>
      <c r="N194" s="1270"/>
      <c r="O194" s="1270" t="s">
        <v>8062</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8063</v>
      </c>
      <c r="C195" s="1197" t="s">
        <v>495</v>
      </c>
      <c r="D195" s="1094" t="s">
        <v>2927</v>
      </c>
      <c r="E195" s="1270"/>
      <c r="F195" s="1120" t="s">
        <v>2315</v>
      </c>
      <c r="G195" s="1270" t="s">
        <v>785</v>
      </c>
      <c r="H195" s="1087" t="s">
        <v>632</v>
      </c>
      <c r="I195" s="1153"/>
      <c r="J195" s="1270"/>
      <c r="K195" s="1270" t="s">
        <v>5664</v>
      </c>
      <c r="L195" s="1270"/>
      <c r="M195" s="1270" t="s">
        <v>941</v>
      </c>
      <c r="N195" s="1270"/>
      <c r="O195" s="1270"/>
      <c r="P195" s="1270" t="s">
        <v>1096</v>
      </c>
      <c r="Q195" s="1119"/>
      <c r="R195" s="1262"/>
      <c r="S195" s="1270" t="s">
        <v>6461</v>
      </c>
      <c r="T195" s="1270"/>
      <c r="U195" s="1270"/>
      <c r="V195" s="1270" t="s">
        <v>495</v>
      </c>
      <c r="W195" s="1086" t="s">
        <v>2748</v>
      </c>
      <c r="X195" s="1270" t="s">
        <v>588</v>
      </c>
      <c r="Y195" s="1270"/>
      <c r="Z195" s="1270"/>
      <c r="AA195" s="1270"/>
      <c r="AB195" s="1270" t="s">
        <v>1523</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7616</v>
      </c>
      <c r="B196" s="1271" t="s">
        <v>8064</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8065</v>
      </c>
      <c r="C197" s="1197" t="s">
        <v>7989</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8066</v>
      </c>
      <c r="C198" s="1197" t="s">
        <v>8067</v>
      </c>
      <c r="D198" s="1270" t="s">
        <v>1545</v>
      </c>
      <c r="E198" s="1270"/>
      <c r="F198" s="1132" t="s">
        <v>8068</v>
      </c>
      <c r="G198" s="1270"/>
      <c r="H198" s="1106"/>
      <c r="I198" s="1164" t="s">
        <v>8069</v>
      </c>
      <c r="J198" s="1270"/>
      <c r="K198" s="1270"/>
      <c r="L198" s="1270"/>
      <c r="M198" s="1270"/>
      <c r="N198" s="1270"/>
      <c r="O198" s="1270"/>
      <c r="P198" s="1270"/>
      <c r="Q198" s="1119"/>
      <c r="R198" s="1097"/>
      <c r="S198" s="1270"/>
      <c r="T198" s="1270"/>
      <c r="U198" s="1270"/>
      <c r="V198" s="1270"/>
      <c r="W198" s="1270"/>
      <c r="X198" s="1270"/>
      <c r="Y198" s="1270"/>
      <c r="Z198" s="1270" t="s">
        <v>1545</v>
      </c>
      <c r="AA198" s="1270"/>
      <c r="AB198" s="1270"/>
      <c r="AC198" s="1270"/>
      <c r="AD198" s="1270"/>
      <c r="AE198" s="1270" t="s">
        <v>2056</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8070</v>
      </c>
      <c r="C199" s="1197" t="s">
        <v>2173</v>
      </c>
      <c r="D199" s="1135" t="s">
        <v>8071</v>
      </c>
      <c r="E199" s="1270"/>
      <c r="F199" s="1275" t="s">
        <v>8072</v>
      </c>
      <c r="G199" s="1270" t="s">
        <v>3077</v>
      </c>
      <c r="H199" s="1106"/>
      <c r="I199" s="1153"/>
      <c r="J199" s="1270"/>
      <c r="K199" s="1270"/>
      <c r="L199" s="1270"/>
      <c r="M199" s="1270"/>
      <c r="N199" s="1270"/>
      <c r="O199" s="1270"/>
      <c r="P199" s="1270"/>
      <c r="Q199" s="1119"/>
      <c r="R199" s="1262"/>
      <c r="S199" s="1270"/>
      <c r="T199" s="1270"/>
      <c r="U199" s="1270"/>
      <c r="V199" s="1270" t="s">
        <v>2173</v>
      </c>
      <c r="W199" s="1270"/>
      <c r="X199" s="1270"/>
      <c r="Y199" s="1270"/>
      <c r="Z199" s="1270"/>
      <c r="AA199" s="1270"/>
      <c r="AB199" s="1270" t="s">
        <v>690</v>
      </c>
      <c r="AC199" s="1270"/>
      <c r="AD199" s="1198" t="s">
        <v>2173</v>
      </c>
      <c r="AE199" s="1270"/>
      <c r="AF199" s="1270" t="s">
        <v>1408</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7796</v>
      </c>
      <c r="B200" s="1283" t="s">
        <v>8073</v>
      </c>
      <c r="C200" s="1197" t="s">
        <v>5492</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8074</v>
      </c>
      <c r="C201" s="1197" t="s">
        <v>5276</v>
      </c>
      <c r="D201" s="1270" t="s">
        <v>3436</v>
      </c>
      <c r="E201" s="1270"/>
      <c r="F201" s="1268" t="s">
        <v>662</v>
      </c>
      <c r="G201" s="1270"/>
      <c r="H201" s="1087" t="s">
        <v>4530</v>
      </c>
      <c r="I201" s="1153"/>
      <c r="J201" s="1270"/>
      <c r="K201" s="1270"/>
      <c r="L201" s="1270" t="s">
        <v>5681</v>
      </c>
      <c r="M201" s="1270" t="s">
        <v>1763</v>
      </c>
      <c r="N201" s="1270"/>
      <c r="O201" s="1270" t="s">
        <v>4670</v>
      </c>
      <c r="P201" s="1270"/>
      <c r="Q201" s="1119"/>
      <c r="R201" s="1284"/>
      <c r="S201" s="1270"/>
      <c r="T201" s="1270"/>
      <c r="U201" s="1270"/>
      <c r="V201" s="1270" t="s">
        <v>3541</v>
      </c>
      <c r="W201" s="1270"/>
      <c r="X201" s="1270" t="s">
        <v>8075</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8076</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8077</v>
      </c>
      <c r="C203" s="1197" t="s">
        <v>365</v>
      </c>
      <c r="D203" s="1089" t="s">
        <v>5884</v>
      </c>
      <c r="E203" s="1086" t="s">
        <v>365</v>
      </c>
      <c r="F203" s="1275" t="s">
        <v>8078</v>
      </c>
      <c r="G203" s="1089"/>
      <c r="H203" s="1106"/>
      <c r="I203" s="1164" t="s">
        <v>8079</v>
      </c>
      <c r="J203" s="1089"/>
      <c r="K203" s="1086" t="s">
        <v>1763</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8080</v>
      </c>
      <c r="C204" s="1197" t="s">
        <v>942</v>
      </c>
      <c r="D204" s="1094" t="s">
        <v>161</v>
      </c>
      <c r="E204" s="1135"/>
      <c r="F204" s="1120" t="s">
        <v>598</v>
      </c>
      <c r="G204" s="1198" t="s">
        <v>8081</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7616</v>
      </c>
      <c r="B205" s="1271" t="s">
        <v>8073</v>
      </c>
      <c r="C205" s="1197" t="s">
        <v>1492</v>
      </c>
      <c r="D205" s="1135"/>
      <c r="E205" s="1135"/>
      <c r="F205" s="1265"/>
      <c r="G205" s="1135"/>
      <c r="H205" s="1106"/>
      <c r="I205" s="1153"/>
      <c r="J205" s="1135"/>
      <c r="K205" s="1135" t="s">
        <v>6876</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8082</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8083</v>
      </c>
      <c r="BH205" s="1135"/>
      <c r="BI205" s="1262"/>
      <c r="BJ205" s="1262"/>
      <c r="BK205" s="1262"/>
      <c r="BL205" s="1262"/>
      <c r="BM205" s="1262"/>
      <c r="BN205" s="1262"/>
      <c r="BO205" s="1262"/>
    </row>
    <row r="206" ht="15.75" customHeight="1">
      <c r="A206" s="1263"/>
      <c r="B206" s="1264" t="s">
        <v>8074</v>
      </c>
      <c r="C206" s="1197" t="s">
        <v>8084</v>
      </c>
      <c r="D206" s="1135" t="s">
        <v>328</v>
      </c>
      <c r="E206" s="1135" t="s">
        <v>3833</v>
      </c>
      <c r="F206" s="1268" t="s">
        <v>4986</v>
      </c>
      <c r="G206" s="1135"/>
      <c r="H206" s="1087" t="s">
        <v>6561</v>
      </c>
      <c r="I206" s="1153"/>
      <c r="J206" s="1135" t="s">
        <v>8085</v>
      </c>
      <c r="K206" s="1135"/>
      <c r="L206" s="1135"/>
      <c r="M206" s="1135" t="s">
        <v>3833</v>
      </c>
      <c r="N206" s="1135"/>
      <c r="O206" s="1135" t="s">
        <v>8086</v>
      </c>
      <c r="P206" s="1135"/>
      <c r="Q206" s="1118" t="s">
        <v>3860</v>
      </c>
      <c r="R206" s="1096" t="s">
        <v>8087</v>
      </c>
      <c r="S206" s="1135"/>
      <c r="T206" s="1130" t="s">
        <v>8088</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8076</v>
      </c>
      <c r="C207" s="1197" t="s">
        <v>4922</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8077</v>
      </c>
      <c r="C208" s="1197" t="s">
        <v>2930</v>
      </c>
      <c r="D208" s="1094" t="s">
        <v>544</v>
      </c>
      <c r="E208" s="1094" t="s">
        <v>2930</v>
      </c>
      <c r="F208" s="1114" t="s">
        <v>8089</v>
      </c>
      <c r="G208" s="1094"/>
      <c r="H208" s="1106"/>
      <c r="I208" s="1164" t="s">
        <v>8090</v>
      </c>
      <c r="J208" s="1094" t="s">
        <v>1461</v>
      </c>
      <c r="K208" s="1094" t="s">
        <v>8091</v>
      </c>
      <c r="L208" s="1094" t="s">
        <v>4258</v>
      </c>
      <c r="M208" s="1094"/>
      <c r="N208" s="1094" t="s">
        <v>8092</v>
      </c>
      <c r="O208" s="1094" t="s">
        <v>4505</v>
      </c>
      <c r="P208" s="1094" t="s">
        <v>4843</v>
      </c>
      <c r="Q208" s="1086" t="s">
        <v>8093</v>
      </c>
      <c r="R208" s="1097"/>
      <c r="S208" s="1094"/>
      <c r="T208" s="1086" t="s">
        <v>5908</v>
      </c>
      <c r="U208" s="1094"/>
      <c r="V208" s="1094"/>
      <c r="W208" s="1094"/>
      <c r="X208" s="1094"/>
      <c r="Y208" s="1094" t="s">
        <v>2534</v>
      </c>
      <c r="Z208" s="1094" t="s">
        <v>8094</v>
      </c>
      <c r="AA208" s="1094"/>
      <c r="AB208" s="1094"/>
      <c r="AC208" s="1094"/>
      <c r="AD208" s="1094"/>
      <c r="AE208" s="1094"/>
      <c r="AF208" s="1094"/>
      <c r="AG208" s="1094"/>
      <c r="AH208" s="1094"/>
      <c r="AI208" s="1094"/>
      <c r="AJ208" s="1094"/>
      <c r="AK208" s="1094"/>
      <c r="AL208" s="1153"/>
      <c r="AM208" s="1094" t="s">
        <v>4843</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8080</v>
      </c>
      <c r="C209" s="1197" t="s">
        <v>2139</v>
      </c>
      <c r="D209" s="1094" t="s">
        <v>1594</v>
      </c>
      <c r="E209" s="1089"/>
      <c r="F209" s="1120" t="s">
        <v>2567</v>
      </c>
      <c r="G209" s="1086" t="s">
        <v>2139</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2139</v>
      </c>
      <c r="AC209" s="1089"/>
      <c r="AD209" s="1089" t="s">
        <v>2139</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7626</v>
      </c>
      <c r="B210" s="1271" t="s">
        <v>7599</v>
      </c>
      <c r="C210" s="1197" t="s">
        <v>894</v>
      </c>
      <c r="D210" s="1089" t="s">
        <v>6041</v>
      </c>
      <c r="E210" s="1086" t="s">
        <v>379</v>
      </c>
      <c r="F210" s="1114" t="s">
        <v>1082</v>
      </c>
      <c r="G210" s="1089" t="s">
        <v>2171</v>
      </c>
      <c r="H210" s="1087" t="s">
        <v>8095</v>
      </c>
      <c r="I210" s="1153"/>
      <c r="J210" s="1089"/>
      <c r="K210" s="1089"/>
      <c r="L210" s="1089"/>
      <c r="M210" s="1089" t="s">
        <v>8096</v>
      </c>
      <c r="N210" s="1089"/>
      <c r="O210" s="1089"/>
      <c r="P210" s="1089"/>
      <c r="Q210" s="1088"/>
      <c r="R210" s="1097"/>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8097</v>
      </c>
      <c r="B211" s="1271" t="s">
        <v>7599</v>
      </c>
      <c r="C211" s="1197" t="s">
        <v>8098</v>
      </c>
      <c r="D211" s="1089"/>
      <c r="E211" s="1086" t="s">
        <v>8098</v>
      </c>
      <c r="F211" s="1275" t="s">
        <v>8099</v>
      </c>
      <c r="G211" s="1089" t="s">
        <v>8100</v>
      </c>
      <c r="H211" s="1106"/>
      <c r="I211" s="1175"/>
      <c r="J211" s="1089"/>
      <c r="K211" s="1089" t="s">
        <v>8101</v>
      </c>
      <c r="L211" s="1089"/>
      <c r="M211" s="1089"/>
      <c r="N211" s="1089"/>
      <c r="O211" s="1089"/>
      <c r="P211" s="1086" t="s">
        <v>8098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7879</v>
      </c>
      <c r="B212" s="1269" t="s">
        <v>8102</v>
      </c>
      <c r="C212" s="1247" t="s">
        <v>2568</v>
      </c>
      <c r="D212" s="1094" t="s">
        <v>1595</v>
      </c>
      <c r="E212" s="1094" t="s">
        <v>8103</v>
      </c>
      <c r="F212" s="1120" t="s">
        <v>2568</v>
      </c>
      <c r="G212" s="1094" t="s">
        <v>1020</v>
      </c>
      <c r="H212" s="1087" t="s">
        <v>1308</v>
      </c>
      <c r="I212" s="1164" t="s">
        <v>8104</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7626</v>
      </c>
      <c r="B213" s="1271" t="s">
        <v>7599</v>
      </c>
      <c r="C213" s="1113" t="s">
        <v>8105</v>
      </c>
      <c r="D213" s="1094" t="s">
        <v>3399</v>
      </c>
      <c r="E213" s="1094" t="s">
        <v>4458</v>
      </c>
      <c r="F213" s="1114" t="s">
        <v>8105</v>
      </c>
      <c r="G213" s="1094" t="s">
        <v>1121</v>
      </c>
      <c r="H213" s="1087" t="s">
        <v>967</v>
      </c>
      <c r="I213" s="1164" t="s">
        <v>8106</v>
      </c>
      <c r="J213" s="1094"/>
      <c r="K213" s="1094"/>
      <c r="L213" s="1094"/>
      <c r="M213" s="1094" t="s">
        <v>313</v>
      </c>
      <c r="N213" s="1094"/>
      <c r="O213" s="1094"/>
      <c r="P213" s="1094"/>
      <c r="Q213" s="1088"/>
      <c r="R213" s="1097"/>
      <c r="S213" s="1094"/>
      <c r="T213" s="1094"/>
      <c r="U213" s="1094" t="s">
        <v>8107</v>
      </c>
      <c r="V213" s="1094"/>
      <c r="W213" s="1094"/>
      <c r="X213" s="1094"/>
      <c r="Y213" s="1094" t="s">
        <v>8108</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7682</v>
      </c>
      <c r="B214" s="1269" t="s">
        <v>8109</v>
      </c>
      <c r="C214" s="1287" t="s">
        <v>6896</v>
      </c>
      <c r="D214" s="1270"/>
      <c r="E214" s="1270"/>
      <c r="F214" s="1275" t="s">
        <v>4800</v>
      </c>
      <c r="G214" s="1105" t="s">
        <v>4164</v>
      </c>
      <c r="H214" s="1106"/>
      <c r="I214" s="1164" t="s">
        <v>8110</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8111</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7721</v>
      </c>
      <c r="B216" s="1269" t="s">
        <v>8112</v>
      </c>
      <c r="C216" s="1197" t="s">
        <v>1941</v>
      </c>
      <c r="D216" s="1270" t="s">
        <v>4167</v>
      </c>
      <c r="E216" s="1270"/>
      <c r="F216" s="1275" t="s">
        <v>889</v>
      </c>
      <c r="G216" s="1270"/>
      <c r="H216" s="1087" t="s">
        <v>3124</v>
      </c>
      <c r="I216" s="1164" t="s">
        <v>8113</v>
      </c>
      <c r="J216" s="1270"/>
      <c r="K216" s="1270"/>
      <c r="L216" s="1270" t="s">
        <v>1050</v>
      </c>
      <c r="M216" s="1270"/>
      <c r="N216" s="1270"/>
      <c r="O216" s="1270" t="s">
        <v>8114</v>
      </c>
      <c r="P216" s="1198" t="s">
        <v>6740</v>
      </c>
      <c r="Q216" s="1119" t="s">
        <v>8115</v>
      </c>
      <c r="R216" s="1272" t="s">
        <v>8116</v>
      </c>
      <c r="S216" s="1270"/>
      <c r="T216" s="1270" t="s">
        <v>889</v>
      </c>
      <c r="U216" s="1270" t="s">
        <v>8115</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8117</v>
      </c>
      <c r="C217" s="1197" t="s">
        <v>394</v>
      </c>
      <c r="D217" s="1094" t="s">
        <v>1523</v>
      </c>
      <c r="E217" s="1270"/>
      <c r="F217" s="1100" t="s">
        <v>2570</v>
      </c>
      <c r="G217" s="1270"/>
      <c r="H217" s="1087" t="s">
        <v>166</v>
      </c>
      <c r="I217" s="1153"/>
      <c r="J217" s="1270"/>
      <c r="K217" s="1270"/>
      <c r="L217" s="1270"/>
      <c r="M217" s="1198" t="s">
        <v>947</v>
      </c>
      <c r="N217" s="1198" t="s">
        <v>790</v>
      </c>
      <c r="O217" s="1270"/>
      <c r="P217" s="1198" t="s">
        <v>1994</v>
      </c>
      <c r="Q217" s="1119" t="s">
        <v>1465</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7724</v>
      </c>
      <c r="B218" s="1269" t="s">
        <v>8118</v>
      </c>
      <c r="C218" s="1197" t="s">
        <v>1466</v>
      </c>
      <c r="D218" s="1139" t="s">
        <v>1598</v>
      </c>
      <c r="E218" s="1270"/>
      <c r="F218" s="1265"/>
      <c r="G218" s="1135" t="s">
        <v>8119</v>
      </c>
      <c r="H218" s="1106"/>
      <c r="I218" s="1164" t="s">
        <v>8120</v>
      </c>
      <c r="J218" s="1270" t="s">
        <v>1466</v>
      </c>
      <c r="K218" s="1270" t="s">
        <v>8121</v>
      </c>
      <c r="L218" s="1270" t="s">
        <v>8122</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8123</v>
      </c>
      <c r="BI218" s="1262"/>
      <c r="BJ218" s="1262"/>
      <c r="BK218" s="1262"/>
      <c r="BL218" s="1262"/>
      <c r="BM218" s="1262"/>
      <c r="BN218" s="1262"/>
      <c r="BO218" s="1262"/>
    </row>
    <row r="219" ht="15.75" customHeight="1">
      <c r="A219" s="1260" t="s">
        <v>8002</v>
      </c>
      <c r="B219" s="1269" t="s">
        <v>7599</v>
      </c>
      <c r="C219" s="1197" t="str">
        <f>HYPERLINK("https://www.youtube.com/watch?v=_HQgQjbTLjM","1:11.32")</f>
        <v>1:11.32</v>
      </c>
      <c r="D219" s="1001" t="s">
        <v>1599</v>
      </c>
      <c r="E219" s="1270"/>
      <c r="F219" s="1265"/>
      <c r="G219" s="1270"/>
      <c r="H219" s="1087" t="s">
        <v>1311</v>
      </c>
      <c r="I219" s="1164" t="s">
        <v>8124</v>
      </c>
      <c r="J219" s="1270" t="s">
        <v>1475</v>
      </c>
      <c r="K219" s="1270" t="s">
        <v>8124</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7730</v>
      </c>
      <c r="B220" s="1271" t="s">
        <v>7599</v>
      </c>
      <c r="C220" s="1188"/>
      <c r="D220" s="1086" t="s">
        <v>8125</v>
      </c>
      <c r="E220" s="1270"/>
      <c r="F220" s="1085"/>
      <c r="G220" s="1270"/>
      <c r="H220" s="1106"/>
      <c r="I220" s="1164" t="s">
        <v>8126</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8127</v>
      </c>
      <c r="B221" s="1271" t="s">
        <v>8128</v>
      </c>
      <c r="C221" s="1197" t="s">
        <v>7541</v>
      </c>
      <c r="D221" s="1270"/>
      <c r="E221" s="1270"/>
      <c r="F221" s="1265"/>
      <c r="G221" s="1270"/>
      <c r="H221" s="1106"/>
      <c r="I221" s="1153"/>
      <c r="J221" s="1270"/>
      <c r="K221" s="1270" t="s">
        <v>7541</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8129</v>
      </c>
      <c r="C222" s="1197" t="s">
        <v>2427</v>
      </c>
      <c r="D222" s="1270"/>
      <c r="E222" s="1270"/>
      <c r="F222" s="1085"/>
      <c r="G222" s="1270"/>
      <c r="H222" s="1106"/>
      <c r="I222" s="1164" t="s">
        <v>8130</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7854</v>
      </c>
      <c r="B223" s="1269" t="s">
        <v>7599</v>
      </c>
      <c r="C223" s="1197" t="s">
        <v>141</v>
      </c>
      <c r="D223" s="1094" t="s">
        <v>141</v>
      </c>
      <c r="E223" s="1094" t="s">
        <v>310</v>
      </c>
      <c r="F223" s="1085"/>
      <c r="G223" s="1135" t="s">
        <v>1189</v>
      </c>
      <c r="H223" s="1106"/>
      <c r="I223" s="1084" t="s">
        <v>582</v>
      </c>
      <c r="J223" s="1094"/>
      <c r="K223" s="1094" t="s">
        <v>586</v>
      </c>
      <c r="L223" s="1094" t="s">
        <v>3665</v>
      </c>
      <c r="M223" s="1094" t="s">
        <v>1446</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7730</v>
      </c>
      <c r="B224" s="1271" t="s">
        <v>7599</v>
      </c>
      <c r="C224" s="1188"/>
      <c r="D224" s="1105" t="s">
        <v>8131</v>
      </c>
      <c r="E224" s="1094"/>
      <c r="F224" s="1085"/>
      <c r="G224" s="1135" t="s">
        <v>1409</v>
      </c>
      <c r="H224" s="1106"/>
      <c r="I224" s="1094" t="s">
        <v>8132</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8133</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8134</v>
      </c>
      <c r="C225" s="1197" t="s">
        <v>163</v>
      </c>
      <c r="D225" s="1001" t="s">
        <v>8135</v>
      </c>
      <c r="E225" s="1270"/>
      <c r="F225" s="1085"/>
      <c r="G225" s="1270"/>
      <c r="H225" s="1087" t="s">
        <v>1312</v>
      </c>
      <c r="I225" s="1289" t="s">
        <v>8136</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7526</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7598</v>
      </c>
      <c r="B227" s="1297" t="s">
        <v>7599</v>
      </c>
      <c r="C227" s="1197" t="s">
        <v>117</v>
      </c>
      <c r="D227" s="1094" t="s">
        <v>1601</v>
      </c>
      <c r="E227" s="1205"/>
      <c r="F227" s="1100" t="s">
        <v>2571</v>
      </c>
      <c r="G227" s="1198" t="s">
        <v>1024</v>
      </c>
      <c r="H227" s="1087" t="s">
        <v>1313</v>
      </c>
      <c r="I227" s="1199" t="s">
        <v>8137</v>
      </c>
      <c r="J227" s="1205" t="s">
        <v>8138</v>
      </c>
      <c r="K227" s="1198" t="s">
        <v>4583</v>
      </c>
      <c r="L227" s="1198" t="s">
        <v>1643</v>
      </c>
      <c r="M227" s="1198" t="s">
        <v>951</v>
      </c>
      <c r="N227" s="1198" t="s">
        <v>257</v>
      </c>
      <c r="O227" s="1205" t="s">
        <v>4432</v>
      </c>
      <c r="P227" s="1198" t="s">
        <v>1175</v>
      </c>
      <c r="Q227" s="1207" t="s">
        <v>355</v>
      </c>
      <c r="R227" s="1298" t="s">
        <v>8139</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7863</v>
      </c>
      <c r="B228" s="1297" t="s">
        <v>8140</v>
      </c>
      <c r="C228" s="1197" t="s">
        <v>1616</v>
      </c>
      <c r="D228" s="1094" t="s">
        <v>1602</v>
      </c>
      <c r="E228" s="1198" t="s">
        <v>1616</v>
      </c>
      <c r="F228" s="1100" t="s">
        <v>2572</v>
      </c>
      <c r="G228" s="1198" t="s">
        <v>2218</v>
      </c>
      <c r="H228" s="1087" t="s">
        <v>2771</v>
      </c>
      <c r="I228" s="1199" t="s">
        <v>8141</v>
      </c>
      <c r="J228" s="1198" t="s">
        <v>1602</v>
      </c>
      <c r="K228" s="1198" t="s">
        <v>7946</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7637</v>
      </c>
      <c r="B229" s="1297" t="s">
        <v>7599</v>
      </c>
      <c r="C229" s="1197" t="str">
        <f>HYPERLINK("https://www.youtube.com/watch?v=aWzlUqH0LaM","41.87")</f>
        <v>41.87</v>
      </c>
      <c r="D229" s="1209"/>
      <c r="E229" s="1205"/>
      <c r="F229" s="1085"/>
      <c r="G229" s="1198" t="s">
        <v>310</v>
      </c>
      <c r="H229" s="1087" t="s">
        <v>8142</v>
      </c>
      <c r="I229" s="1202"/>
      <c r="J229" s="1198" t="s">
        <v>1728</v>
      </c>
      <c r="K229" s="1205"/>
      <c r="L229" s="1198" t="s">
        <v>6615</v>
      </c>
      <c r="M229" s="1198" t="s">
        <v>4510</v>
      </c>
      <c r="N229" s="1198" t="str">
        <f>HYPERLINK("https://www.youtube.com/watch?v=aWzlUqH0LaM","41.87")</f>
        <v>41.87</v>
      </c>
      <c r="O229" s="1205" t="s">
        <v>2199</v>
      </c>
      <c r="P229" s="1198" t="s">
        <v>1534</v>
      </c>
      <c r="Q229" s="1207" t="s">
        <v>3297</v>
      </c>
      <c r="R229" s="1300" t="s">
        <v>662</v>
      </c>
      <c r="S229" s="1205"/>
      <c r="T229" s="1205"/>
      <c r="U229" s="1205"/>
      <c r="V229" s="1205"/>
      <c r="W229" s="1205"/>
      <c r="X229" s="1205" t="s">
        <v>8143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7796</v>
      </c>
      <c r="B230" s="1297" t="s">
        <v>8144</v>
      </c>
      <c r="C230" s="1082" t="s">
        <v>8145</v>
      </c>
      <c r="D230" s="1205" t="s">
        <v>7523</v>
      </c>
      <c r="E230" s="1205"/>
      <c r="F230" s="1301"/>
      <c r="G230" s="1205"/>
      <c r="H230" s="1087" t="s">
        <v>8146</v>
      </c>
      <c r="I230" s="1202"/>
      <c r="J230" s="1205"/>
      <c r="K230" s="1205"/>
      <c r="L230" s="1205"/>
      <c r="M230" s="1205"/>
      <c r="N230" s="1205"/>
      <c r="O230" s="1205"/>
      <c r="P230" s="1205"/>
      <c r="Q230" s="1207"/>
      <c r="R230" s="1116" t="s">
        <v>8147</v>
      </c>
      <c r="S230" s="1205"/>
      <c r="T230" s="1205"/>
      <c r="U230" s="1205"/>
      <c r="V230" s="1205"/>
      <c r="W230" s="1127" t="s">
        <v>8145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8148</v>
      </c>
      <c r="C231" s="1197" t="s">
        <v>507</v>
      </c>
      <c r="D231" s="1094" t="s">
        <v>8149</v>
      </c>
      <c r="E231" s="1205"/>
      <c r="F231" s="1132" t="s">
        <v>8150</v>
      </c>
      <c r="G231" s="1205" t="s">
        <v>7830</v>
      </c>
      <c r="H231" s="1087" t="s">
        <v>1316</v>
      </c>
      <c r="I231" s="1199" t="s">
        <v>8151</v>
      </c>
      <c r="J231" s="1205"/>
      <c r="K231" s="1198" t="s">
        <v>8152</v>
      </c>
      <c r="L231" s="1205"/>
      <c r="M231" s="1205" t="s">
        <v>953</v>
      </c>
      <c r="N231" s="1198" t="s">
        <v>794</v>
      </c>
      <c r="O231" s="1205"/>
      <c r="P231" s="1205"/>
      <c r="Q231" s="1207" t="s">
        <v>4201</v>
      </c>
      <c r="R231" s="1299"/>
      <c r="S231" s="1205"/>
      <c r="T231" s="1205"/>
      <c r="U231" s="1205"/>
      <c r="V231" s="1198" t="s">
        <v>507</v>
      </c>
      <c r="W231" s="1205"/>
      <c r="X231" s="1205" t="s">
        <v>6352</v>
      </c>
      <c r="Y231" s="1205"/>
      <c r="Z231" s="1205"/>
      <c r="AA231" s="1205"/>
      <c r="AB231" s="1205"/>
      <c r="AC231" s="1205"/>
      <c r="AD231" s="1205" t="s">
        <v>8153</v>
      </c>
      <c r="AE231" s="1205" t="s">
        <v>8154</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8155</v>
      </c>
      <c r="C232" s="1197" t="s">
        <v>8156</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8156</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8157</v>
      </c>
      <c r="C233" s="1197" t="s">
        <v>3126</v>
      </c>
      <c r="D233" s="1205"/>
      <c r="E233" s="1205"/>
      <c r="F233" s="1120" t="s">
        <v>2574</v>
      </c>
      <c r="G233" s="1198" t="s">
        <v>6858</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8158</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7616</v>
      </c>
      <c r="B234" s="1308" t="s">
        <v>8144</v>
      </c>
      <c r="C234" s="1197"/>
      <c r="D234" s="1309"/>
      <c r="E234" s="1309"/>
      <c r="F234" s="1301"/>
      <c r="G234" s="1309"/>
      <c r="H234" s="1106"/>
      <c r="I234" s="1202"/>
      <c r="J234" s="1309"/>
      <c r="K234" s="1309"/>
      <c r="L234" s="1309"/>
      <c r="M234" s="1309"/>
      <c r="N234" s="1309"/>
      <c r="O234" s="1309"/>
      <c r="P234" s="1309"/>
      <c r="Q234" s="1310"/>
      <c r="R234" s="1096" t="s">
        <v>8159</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8148</v>
      </c>
      <c r="C235" s="1311" t="s">
        <v>8160</v>
      </c>
      <c r="D235" s="1312" t="s">
        <v>8160</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8155</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8157</v>
      </c>
      <c r="C237" s="1082" t="s">
        <v>766</v>
      </c>
      <c r="D237" s="1309"/>
      <c r="E237" s="1309"/>
      <c r="F237" s="1114" t="s">
        <v>2575</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7626</v>
      </c>
      <c r="B238" s="1308" t="s">
        <v>8161</v>
      </c>
      <c r="C238" s="1197" t="s">
        <v>8162</v>
      </c>
      <c r="D238" s="1313">
        <v>13.23</v>
      </c>
      <c r="E238" s="1309"/>
      <c r="F238" s="1314" t="s">
        <v>8163</v>
      </c>
      <c r="G238" s="1309"/>
      <c r="H238" s="1087" t="s">
        <v>8164</v>
      </c>
      <c r="I238" s="1315" t="s">
        <v>2711</v>
      </c>
      <c r="J238" s="1309"/>
      <c r="K238" s="1316" t="s">
        <v>3592</v>
      </c>
      <c r="L238" s="1309"/>
      <c r="M238" s="1309"/>
      <c r="N238" s="1309"/>
      <c r="O238" s="1309"/>
      <c r="P238" s="1309"/>
      <c r="Q238" s="1310"/>
      <c r="R238" s="1299"/>
      <c r="S238" s="1309"/>
      <c r="T238" s="1316" t="s">
        <v>7980</v>
      </c>
      <c r="U238" s="1309"/>
      <c r="V238" s="1309"/>
      <c r="W238" s="1309"/>
      <c r="X238" s="1309"/>
      <c r="Y238" s="1316" t="s">
        <v>2612</v>
      </c>
      <c r="Z238" s="1309"/>
      <c r="AA238" s="1309"/>
      <c r="AB238" s="1309"/>
      <c r="AC238" s="1309"/>
      <c r="AD238" s="1316" t="s">
        <v>8162</v>
      </c>
      <c r="AE238" s="1309"/>
      <c r="AF238" s="1309"/>
      <c r="AG238" s="1309"/>
      <c r="AH238" s="1309"/>
      <c r="AI238" s="1309"/>
      <c r="AJ238" s="1309"/>
      <c r="AK238" s="1309"/>
      <c r="AL238" s="1202"/>
      <c r="AM238" s="1309"/>
      <c r="AN238" s="1309" t="s">
        <v>7992</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8165</v>
      </c>
      <c r="C239" s="1197" t="s">
        <v>487</v>
      </c>
      <c r="D239" s="1198"/>
      <c r="E239" s="1198" t="s">
        <v>801</v>
      </c>
      <c r="F239" s="1114" t="s">
        <v>1472</v>
      </c>
      <c r="G239" s="1198" t="s">
        <v>487</v>
      </c>
      <c r="H239" s="1087" t="s">
        <v>8166</v>
      </c>
      <c r="I239" s="1202"/>
      <c r="J239" s="1198"/>
      <c r="K239" s="1198"/>
      <c r="L239" s="1198"/>
      <c r="M239" s="1198" t="s">
        <v>8162</v>
      </c>
      <c r="N239" s="1198"/>
      <c r="O239" s="1198"/>
      <c r="P239" s="1198"/>
      <c r="Q239" s="1200"/>
      <c r="R239" s="1097"/>
      <c r="S239" s="1198"/>
      <c r="T239" s="1198"/>
      <c r="U239" s="1198" t="s">
        <v>8167</v>
      </c>
      <c r="V239" s="1198"/>
      <c r="W239" s="1198"/>
      <c r="X239" s="1198"/>
      <c r="Y239" s="1198"/>
      <c r="Z239" s="1198"/>
      <c r="AA239" s="1198" t="s">
        <v>7980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7879</v>
      </c>
      <c r="B240" s="1297" t="s">
        <v>7599</v>
      </c>
      <c r="C240" s="1317" t="s">
        <v>963</v>
      </c>
      <c r="D240" s="1205"/>
      <c r="E240" s="1205"/>
      <c r="F240" s="1314" t="s">
        <v>963</v>
      </c>
      <c r="G240" s="1205"/>
      <c r="H240" s="1106"/>
      <c r="I240" s="1199" t="s">
        <v>8168</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5615</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8169</v>
      </c>
      <c r="B241" s="1319" t="s">
        <v>7599</v>
      </c>
      <c r="C241" s="1113" t="s">
        <v>8170</v>
      </c>
      <c r="D241" s="1087" t="s">
        <v>8171</v>
      </c>
      <c r="E241" s="1205"/>
      <c r="F241" s="1114" t="s">
        <v>8172</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7682</v>
      </c>
      <c r="B242" s="1297" t="s">
        <v>8173</v>
      </c>
      <c r="C242" s="1197" t="s">
        <v>8174</v>
      </c>
      <c r="D242" s="1205" t="s">
        <v>4196</v>
      </c>
      <c r="E242" s="1205"/>
      <c r="F242" s="1301"/>
      <c r="G242" s="1205"/>
      <c r="H242" s="1106"/>
      <c r="I242" s="1202"/>
      <c r="J242" s="1205"/>
      <c r="K242" s="1205"/>
      <c r="L242" s="1198" t="s">
        <v>5504</v>
      </c>
      <c r="M242" s="1205"/>
      <c r="N242" s="1205"/>
      <c r="O242" s="1205"/>
      <c r="P242" s="1205"/>
      <c r="Q242" s="1207"/>
      <c r="R242" s="1097"/>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8175</v>
      </c>
      <c r="C243" s="1247" t="s">
        <v>2215</v>
      </c>
      <c r="D243" s="1094" t="s">
        <v>2001</v>
      </c>
      <c r="E243" s="1205"/>
      <c r="F243" s="1120" t="s">
        <v>2215</v>
      </c>
      <c r="G243" s="1205"/>
      <c r="H243" s="1087" t="s">
        <v>1317</v>
      </c>
      <c r="I243" s="1199" t="s">
        <v>8176</v>
      </c>
      <c r="J243" s="1205" t="s">
        <v>4389</v>
      </c>
      <c r="K243" s="1198" t="s">
        <v>6192</v>
      </c>
      <c r="L243" s="1198" t="s">
        <v>3550</v>
      </c>
      <c r="M243" s="1205"/>
      <c r="N243" s="1205"/>
      <c r="O243" s="1205" t="s">
        <v>4372</v>
      </c>
      <c r="P243" s="1198" t="s">
        <v>1317</v>
      </c>
      <c r="Q243" s="1207" t="s">
        <v>2147</v>
      </c>
      <c r="R243" s="1299"/>
      <c r="S243" s="1205" t="s">
        <v>2001</v>
      </c>
      <c r="T243" s="1087" t="s">
        <v>1763</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8177</v>
      </c>
      <c r="C244" s="1113" t="s">
        <v>2576</v>
      </c>
      <c r="D244" s="1198"/>
      <c r="E244" s="1198" t="s">
        <v>402</v>
      </c>
      <c r="F244" s="1100" t="s">
        <v>2576</v>
      </c>
      <c r="G244" s="1205" t="s">
        <v>7754</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8178</v>
      </c>
      <c r="BC244" s="1198"/>
      <c r="BD244" s="1198"/>
      <c r="BE244" s="1198"/>
      <c r="BF244" s="1198"/>
      <c r="BG244" s="1198"/>
      <c r="BH244" s="1198"/>
      <c r="BI244" s="1097"/>
      <c r="BJ244" s="1097"/>
      <c r="BK244" s="1097"/>
      <c r="BL244" s="1097"/>
      <c r="BM244" s="1097"/>
      <c r="BN244" s="1097"/>
      <c r="BO244" s="1097"/>
    </row>
    <row r="245" ht="15.75" customHeight="1">
      <c r="A245" s="1307" t="s">
        <v>7616</v>
      </c>
      <c r="B245" s="1321" t="s">
        <v>8179</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8180</v>
      </c>
      <c r="C246" s="1108" t="s">
        <v>1695</v>
      </c>
      <c r="D246" s="1198"/>
      <c r="E246" s="1198" t="s">
        <v>4254</v>
      </c>
      <c r="F246" s="1314" t="s">
        <v>2358</v>
      </c>
      <c r="G246" s="1198"/>
      <c r="H246" s="1106"/>
      <c r="I246" s="1202"/>
      <c r="J246" s="1198"/>
      <c r="K246" s="1198"/>
      <c r="L246" s="1198"/>
      <c r="M246" s="1198"/>
      <c r="N246" s="1198"/>
      <c r="O246" s="1198"/>
      <c r="P246" s="1198"/>
      <c r="Q246" s="1200"/>
      <c r="R246" s="1322" t="s">
        <v>8181</v>
      </c>
      <c r="S246" s="1198"/>
      <c r="T246" s="1198" t="s">
        <v>2176</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1695</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8182</v>
      </c>
      <c r="C247" s="1197" t="s">
        <v>5434</v>
      </c>
      <c r="D247" s="1205" t="s">
        <v>1624</v>
      </c>
      <c r="E247" s="1205"/>
      <c r="G247" s="1205"/>
      <c r="I247" s="1199" t="s">
        <v>7631</v>
      </c>
      <c r="J247" s="1205" t="s">
        <v>2417</v>
      </c>
      <c r="K247" s="1205"/>
      <c r="M247" s="1205"/>
      <c r="N247" s="1205"/>
      <c r="O247" s="1205" t="s">
        <v>3235</v>
      </c>
      <c r="P247" s="1205"/>
      <c r="Q247" s="1207" t="s">
        <v>8183</v>
      </c>
      <c r="R247" s="1299"/>
      <c r="S247" s="1205"/>
      <c r="T247" s="1205" t="s">
        <v>5434</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8184</v>
      </c>
      <c r="C248" s="1197" t="s">
        <v>426</v>
      </c>
      <c r="D248" s="1324"/>
      <c r="E248" s="1205"/>
      <c r="F248" s="1114" t="s">
        <v>2327</v>
      </c>
      <c r="G248" s="1198"/>
      <c r="H248" s="1087" t="s">
        <v>1781</v>
      </c>
      <c r="I248" s="1202"/>
      <c r="J248" s="1205"/>
      <c r="K248" s="1198"/>
      <c r="L248" s="1087" t="s">
        <v>1407</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4872</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8185</v>
      </c>
      <c r="C249" s="1197" t="s">
        <v>8186</v>
      </c>
      <c r="D249" s="1094" t="s">
        <v>1607</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8187</v>
      </c>
      <c r="T249" s="1087" t="s">
        <v>2148</v>
      </c>
      <c r="U249" s="1205"/>
      <c r="V249" s="1205"/>
      <c r="W249" s="1205"/>
      <c r="X249" s="1205"/>
      <c r="Y249" s="1205"/>
      <c r="Z249" s="1205"/>
      <c r="AA249" s="1205"/>
      <c r="AB249" s="1205"/>
      <c r="AC249" s="1205"/>
      <c r="AD249" s="1205"/>
      <c r="AE249" s="1205"/>
      <c r="AF249" s="1205"/>
      <c r="AG249" s="1205"/>
      <c r="AH249" s="1205"/>
      <c r="AI249" s="1205"/>
      <c r="AJ249" s="1087" t="s">
        <v>8186</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7626</v>
      </c>
      <c r="B250" s="1321" t="s">
        <v>8188</v>
      </c>
      <c r="C250" s="1197" t="s">
        <v>5029</v>
      </c>
      <c r="D250" s="1325"/>
      <c r="E250" s="1198" t="s">
        <v>5869</v>
      </c>
      <c r="F250" s="1085"/>
      <c r="G250" s="1325"/>
      <c r="H250" s="1106"/>
      <c r="I250" s="1202"/>
      <c r="J250" s="1325"/>
      <c r="K250" s="1325"/>
      <c r="L250" s="1325"/>
      <c r="M250" s="1325"/>
      <c r="N250" s="1325"/>
      <c r="O250" s="1325"/>
      <c r="P250" s="1325"/>
      <c r="Q250" s="1200"/>
      <c r="R250" s="1300" t="s">
        <v>1834</v>
      </c>
      <c r="S250" s="1325"/>
      <c r="T250" s="1325"/>
      <c r="U250" s="1325"/>
      <c r="V250" s="1325"/>
      <c r="W250" s="1325"/>
      <c r="X250" s="1325"/>
      <c r="Y250" s="1325"/>
      <c r="Z250" s="1198" t="s">
        <v>826</v>
      </c>
      <c r="AA250" s="1325"/>
      <c r="AB250" s="1325"/>
      <c r="AC250" s="1325"/>
      <c r="AD250" s="1325"/>
      <c r="AE250" s="1325" t="s">
        <v>8189</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8190</v>
      </c>
      <c r="C251" s="1197" t="s">
        <v>1345</v>
      </c>
      <c r="D251" s="1198" t="s">
        <v>1307</v>
      </c>
      <c r="E251" s="1198" t="s">
        <v>1345</v>
      </c>
      <c r="F251" s="1301"/>
      <c r="G251" s="1087" t="s">
        <v>5542</v>
      </c>
      <c r="H251" s="1087" t="s">
        <v>3250</v>
      </c>
      <c r="I251" s="1199" t="s">
        <v>1850</v>
      </c>
      <c r="J251" s="1198"/>
      <c r="K251" s="1198" t="s">
        <v>1709</v>
      </c>
      <c r="L251" s="1198" t="s">
        <v>737</v>
      </c>
      <c r="M251" s="1198" t="s">
        <v>531</v>
      </c>
      <c r="N251" s="1198"/>
      <c r="O251" s="1198"/>
      <c r="P251" s="1198"/>
      <c r="Q251" s="1200"/>
      <c r="R251" s="1097"/>
      <c r="S251" s="1198"/>
      <c r="T251" s="1087" t="s">
        <v>812</v>
      </c>
      <c r="U251" s="1198" t="s">
        <v>1343</v>
      </c>
      <c r="V251" s="1198"/>
      <c r="W251" s="1198"/>
      <c r="X251" s="1198"/>
      <c r="Y251" s="1198" t="s">
        <v>4458</v>
      </c>
      <c r="Z251" s="1198"/>
      <c r="AA251" s="1198"/>
      <c r="AB251" s="1198"/>
      <c r="AC251" s="1198"/>
      <c r="AD251" s="1198"/>
      <c r="AE251" s="1198"/>
      <c r="AF251" s="1198"/>
      <c r="AG251" s="1198"/>
      <c r="AH251" s="1198" t="s">
        <v>8191</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8192</v>
      </c>
      <c r="C252" s="1113" t="s">
        <v>5479</v>
      </c>
      <c r="D252" s="1326" t="s">
        <v>4619</v>
      </c>
      <c r="E252" s="1198"/>
      <c r="F252" s="1114" t="s">
        <v>5479</v>
      </c>
      <c r="G252" s="1198"/>
      <c r="H252" s="1106"/>
      <c r="I252" s="1202"/>
      <c r="J252" s="1198"/>
      <c r="K252" s="1198"/>
      <c r="L252" s="1198"/>
      <c r="M252" s="1198"/>
      <c r="N252" s="1198"/>
      <c r="O252" s="1198"/>
      <c r="P252" s="1198"/>
      <c r="Q252" s="1200"/>
      <c r="R252" s="1299"/>
      <c r="S252" s="1198"/>
      <c r="T252" s="1198"/>
      <c r="U252" s="1198"/>
      <c r="V252" s="1198"/>
      <c r="W252" s="1087" t="s">
        <v>8193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7721</v>
      </c>
      <c r="B253" s="1297" t="s">
        <v>8112</v>
      </c>
      <c r="C253" s="1197" t="s">
        <v>5534</v>
      </c>
      <c r="D253" s="1198" t="s">
        <v>1413</v>
      </c>
      <c r="E253" s="1198" t="s">
        <v>2603</v>
      </c>
      <c r="F253" s="1132" t="s">
        <v>3611</v>
      </c>
      <c r="G253" s="1198" t="s">
        <v>5534</v>
      </c>
      <c r="H253" s="1106"/>
      <c r="I253" s="1202"/>
      <c r="J253" s="1198"/>
      <c r="K253" s="1198"/>
      <c r="L253" s="1198" t="s">
        <v>5671</v>
      </c>
      <c r="M253" s="1198"/>
      <c r="N253" s="1198"/>
      <c r="O253" s="1198" t="s">
        <v>5342</v>
      </c>
      <c r="P253" s="1198" t="s">
        <v>3611</v>
      </c>
      <c r="Q253" s="1200" t="s">
        <v>5604</v>
      </c>
      <c r="R253" s="1300" t="s">
        <v>8194</v>
      </c>
      <c r="S253" s="1198"/>
      <c r="T253" s="1198" t="s">
        <v>5534</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7847</v>
      </c>
      <c r="C254" s="1197" t="s">
        <v>3072</v>
      </c>
      <c r="D254" s="1198"/>
      <c r="E254" s="1198" t="s">
        <v>4274</v>
      </c>
      <c r="F254" s="1314" t="s">
        <v>8195</v>
      </c>
      <c r="G254" s="1198" t="s">
        <v>3072</v>
      </c>
      <c r="H254" s="1106"/>
      <c r="I254" s="1202"/>
      <c r="J254" s="1198" t="str">
        <f>HYPERLINK("https://youtu.be/yGR2akJEjQQ","19.18")</f>
        <v>19.18</v>
      </c>
      <c r="K254" s="1198"/>
      <c r="L254" s="1198"/>
      <c r="M254" s="1198"/>
      <c r="N254" s="1198"/>
      <c r="O254" s="1198"/>
      <c r="P254" s="1198"/>
      <c r="Q254" s="1200"/>
      <c r="R254" s="1087" t="s">
        <v>8196</v>
      </c>
      <c r="S254" s="1198"/>
      <c r="T254" s="1087" t="s">
        <v>5517</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8197</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8199</v>
      </c>
      <c r="C256" s="1197" t="s">
        <v>1109</v>
      </c>
      <c r="D256" s="1094" t="s">
        <v>1608</v>
      </c>
      <c r="E256" s="1087" t="s">
        <v>404</v>
      </c>
      <c r="F256" s="1100" t="s">
        <v>1925</v>
      </c>
      <c r="G256" s="1087" t="s">
        <v>1109</v>
      </c>
      <c r="H256" s="1087" t="s">
        <v>1249</v>
      </c>
      <c r="I256" s="1202"/>
      <c r="J256" s="1087" t="s">
        <v>404</v>
      </c>
      <c r="K256" s="1106"/>
      <c r="L256" s="1087" t="s">
        <v>2244</v>
      </c>
      <c r="M256" s="1087" t="s">
        <v>511</v>
      </c>
      <c r="N256" s="1106"/>
      <c r="O256" s="1106"/>
      <c r="P256" s="1087" t="s">
        <v>1925</v>
      </c>
      <c r="Q256" s="1200" t="s">
        <v>404</v>
      </c>
      <c r="R256" s="1096" t="s">
        <v>8200</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8201</v>
      </c>
      <c r="C257" s="1082" t="s">
        <v>5066</v>
      </c>
      <c r="D257" s="1205"/>
      <c r="E257" s="1205"/>
      <c r="F257" s="1114" t="s">
        <v>2069</v>
      </c>
      <c r="G257" s="1087" t="s">
        <v>5066</v>
      </c>
      <c r="H257" s="1106"/>
      <c r="I257" s="1202"/>
      <c r="J257" s="1205"/>
      <c r="K257" s="1205"/>
      <c r="L257" s="1205"/>
      <c r="M257" s="1205"/>
      <c r="N257" s="1205"/>
      <c r="O257" s="1205"/>
      <c r="P257" s="1205"/>
      <c r="Q257" s="1207"/>
      <c r="R257" s="1300" t="s">
        <v>8202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8203</v>
      </c>
      <c r="B258" s="1297" t="s">
        <v>7599</v>
      </c>
      <c r="C258" s="1197" t="s">
        <v>8204</v>
      </c>
      <c r="D258" s="1001" t="s">
        <v>1609</v>
      </c>
      <c r="E258" s="1205"/>
      <c r="F258" s="1301"/>
      <c r="G258" s="1205"/>
      <c r="H258" s="1087" t="s">
        <v>1319</v>
      </c>
      <c r="I258" s="1127" t="s">
        <v>8204</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7733</v>
      </c>
      <c r="B259" s="1297" t="s">
        <v>7728</v>
      </c>
      <c r="C259" s="1197" t="s">
        <v>8205</v>
      </c>
      <c r="D259" s="1001" t="s">
        <v>1611</v>
      </c>
      <c r="E259" s="1205"/>
      <c r="F259" s="1301"/>
      <c r="G259" s="1209" t="s">
        <v>5913</v>
      </c>
      <c r="H259" s="1106"/>
      <c r="I259" s="1199" t="s">
        <v>8206</v>
      </c>
      <c r="J259" s="1205" t="s">
        <v>1926</v>
      </c>
      <c r="K259" s="1198" t="s">
        <v>1467</v>
      </c>
      <c r="L259" s="1205" t="s">
        <v>5736</v>
      </c>
      <c r="M259" s="1205" t="s">
        <v>6057</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7730</v>
      </c>
      <c r="B260" s="1327" t="s">
        <v>7728</v>
      </c>
      <c r="C260" s="1152" t="s">
        <v>8207</v>
      </c>
      <c r="D260" s="1139" t="s">
        <v>8207</v>
      </c>
      <c r="E260" s="1205"/>
      <c r="F260" s="1301"/>
      <c r="G260" s="1205"/>
      <c r="H260" s="1106"/>
      <c r="I260" s="1199" t="s">
        <v>8208</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8209</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8210</v>
      </c>
      <c r="C262" s="1197" t="s">
        <v>296</v>
      </c>
      <c r="D262" s="1001" t="s">
        <v>1610</v>
      </c>
      <c r="E262" s="1087" t="s">
        <v>406</v>
      </c>
      <c r="F262" s="1301"/>
      <c r="G262" s="1087" t="s">
        <v>799</v>
      </c>
      <c r="H262" s="1087" t="s">
        <v>1320</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8211</v>
      </c>
      <c r="C263" s="1082" t="s">
        <v>615</v>
      </c>
      <c r="D263" s="1001" t="s">
        <v>1612</v>
      </c>
      <c r="H263" s="1087" t="s">
        <v>1322</v>
      </c>
      <c r="M263" s="1198" t="s">
        <v>957</v>
      </c>
      <c r="V263" s="1087" t="s">
        <v>515</v>
      </c>
      <c r="Y263" s="1087" t="s">
        <v>615</v>
      </c>
      <c r="BL263" s="1097"/>
      <c r="BM263" s="1097"/>
      <c r="BN263" s="1097"/>
      <c r="BO263" s="1097"/>
    </row>
    <row r="264" ht="15.75" customHeight="1">
      <c r="A264" s="1320"/>
      <c r="B264" s="1303" t="s">
        <v>8212</v>
      </c>
      <c r="C264" s="1082" t="s">
        <v>4265</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7527</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7598</v>
      </c>
      <c r="B266" s="1335" t="s">
        <v>8213</v>
      </c>
      <c r="C266" s="1197" t="s">
        <v>1669</v>
      </c>
      <c r="D266" s="1205" t="s">
        <v>3988</v>
      </c>
      <c r="E266" s="1205"/>
      <c r="F266" s="1085"/>
      <c r="G266" s="1205"/>
      <c r="H266" s="1106"/>
      <c r="I266" s="1202"/>
      <c r="J266" s="1205"/>
      <c r="K266" s="1198" t="s">
        <v>3135</v>
      </c>
      <c r="L266" s="1205"/>
      <c r="M266" s="1205"/>
      <c r="N266" s="1205"/>
      <c r="O266" s="1205"/>
      <c r="P266" s="1205"/>
      <c r="Q266" s="1207"/>
      <c r="R266" s="1336" t="s">
        <v>8214</v>
      </c>
      <c r="S266" s="1205"/>
      <c r="T266" s="1205"/>
      <c r="U266" s="1205"/>
      <c r="V266" s="1205"/>
      <c r="W266" s="1205"/>
      <c r="X266" s="1205"/>
      <c r="Y266" s="1205"/>
      <c r="Z266" s="1205" t="s">
        <v>6823</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8215</v>
      </c>
      <c r="C267" s="1197" t="s">
        <v>4562</v>
      </c>
      <c r="D267" s="1205"/>
      <c r="E267" s="1205"/>
      <c r="F267" s="1340" t="s">
        <v>3778</v>
      </c>
      <c r="G267" s="1205"/>
      <c r="H267" s="1106"/>
      <c r="I267" s="1202"/>
      <c r="J267" s="1198" t="str">
        <f>HYPERLINK("https://youtu.be/K8Egs0-qumI","48.41")</f>
        <v>48.41</v>
      </c>
      <c r="K267" s="1205"/>
      <c r="L267" s="1205"/>
      <c r="M267" s="1205"/>
      <c r="N267" s="1205"/>
      <c r="O267" s="1205"/>
      <c r="P267" s="1205"/>
      <c r="Q267" s="1207"/>
      <c r="R267" s="1097"/>
      <c r="S267" s="1205"/>
      <c r="T267" s="1087" t="s">
        <v>8216</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8217</v>
      </c>
      <c r="C268" s="1197" t="s">
        <v>429</v>
      </c>
      <c r="D268" s="1205" t="s">
        <v>4562</v>
      </c>
      <c r="E268" s="1205"/>
      <c r="F268" s="1085"/>
      <c r="G268" s="1205"/>
      <c r="H268" s="1106"/>
      <c r="I268" s="1202"/>
      <c r="J268" s="1205" t="s">
        <v>8218</v>
      </c>
      <c r="K268" s="1198" t="s">
        <v>4865</v>
      </c>
      <c r="L268" s="1205"/>
      <c r="M268" s="1205"/>
      <c r="N268" s="1205"/>
      <c r="O268" s="1205"/>
      <c r="P268" s="1205"/>
      <c r="Q268" s="1207"/>
      <c r="R268" s="1336" t="s">
        <v>8219</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8220</v>
      </c>
      <c r="C269" s="1197" t="s">
        <v>3883</v>
      </c>
      <c r="D269" s="1205"/>
      <c r="E269" s="1205"/>
      <c r="F269" s="1343"/>
      <c r="G269" s="1205"/>
      <c r="H269" s="1087" t="s">
        <v>6501</v>
      </c>
      <c r="I269" s="1202"/>
      <c r="J269" s="1198" t="s">
        <v>8221</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8222</v>
      </c>
      <c r="C270" s="1113" t="s">
        <v>2924</v>
      </c>
      <c r="D270" s="1198"/>
      <c r="E270" s="1198" t="s">
        <v>1534</v>
      </c>
      <c r="F270" s="1114" t="s">
        <v>2924</v>
      </c>
      <c r="G270" s="1198" t="s">
        <v>2071</v>
      </c>
      <c r="H270" s="1106"/>
      <c r="I270" s="1202"/>
      <c r="J270" s="1198"/>
      <c r="K270" s="1198" t="s">
        <v>2206</v>
      </c>
      <c r="L270" s="1198"/>
      <c r="M270" s="1200" t="s">
        <v>8223</v>
      </c>
      <c r="N270" s="1198"/>
      <c r="O270" s="1198"/>
      <c r="P270" s="1198" t="s">
        <v>1397</v>
      </c>
      <c r="Q270" s="1200" t="s">
        <v>8224</v>
      </c>
      <c r="R270" s="1337"/>
      <c r="S270" s="1198"/>
      <c r="T270" s="1198"/>
      <c r="U270" s="1198"/>
      <c r="V270" s="1198" t="s">
        <v>2196</v>
      </c>
      <c r="W270" s="1198"/>
      <c r="X270" s="1198"/>
      <c r="Y270" s="1198"/>
      <c r="Z270" s="1198"/>
      <c r="AA270" s="1198" t="s">
        <v>1919</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8225</v>
      </c>
      <c r="C271" s="1197" t="s">
        <v>2206</v>
      </c>
      <c r="D271" s="1198"/>
      <c r="E271" s="1198" t="s">
        <v>2206</v>
      </c>
      <c r="F271" s="1340" t="s">
        <v>8226</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8227</v>
      </c>
      <c r="C272" s="1344" t="s">
        <v>5727</v>
      </c>
      <c r="D272" s="1198"/>
      <c r="E272" s="1198" t="s">
        <v>802</v>
      </c>
      <c r="F272" s="1114" t="s">
        <v>1397</v>
      </c>
      <c r="G272" s="1200" t="s">
        <v>5622</v>
      </c>
      <c r="H272" s="1106"/>
      <c r="I272" s="1202"/>
      <c r="J272" s="1198"/>
      <c r="K272" s="1198"/>
      <c r="L272" s="1198"/>
      <c r="M272" s="1198"/>
      <c r="N272" s="1198"/>
      <c r="O272" s="1198"/>
      <c r="P272" s="1198" t="s">
        <v>5800</v>
      </c>
      <c r="Q272" s="1200"/>
      <c r="R272" s="1337"/>
      <c r="S272" s="1198"/>
      <c r="T272" s="1198"/>
      <c r="U272" s="1198"/>
      <c r="V272" s="1198"/>
      <c r="W272" s="1198"/>
      <c r="X272" s="1198"/>
      <c r="Y272" s="1200" t="s">
        <v>8228</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5727</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8229</v>
      </c>
      <c r="C273" s="1113" t="s">
        <v>2577</v>
      </c>
      <c r="D273" s="1198" t="s">
        <v>848</v>
      </c>
      <c r="E273" s="1198" t="s">
        <v>8230</v>
      </c>
      <c r="F273" s="1114" t="s">
        <v>2577</v>
      </c>
      <c r="G273" s="1198"/>
      <c r="H273" s="1087" t="s">
        <v>2724</v>
      </c>
      <c r="I273" s="1202"/>
      <c r="J273" s="1198"/>
      <c r="K273" s="1198"/>
      <c r="L273" s="1198"/>
      <c r="M273" s="1198"/>
      <c r="N273" s="1198"/>
      <c r="O273" s="1198"/>
      <c r="P273" s="1198" t="s">
        <v>8231</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7601</v>
      </c>
      <c r="B274" s="1335" t="s">
        <v>7599</v>
      </c>
      <c r="C274" s="1113" t="s">
        <v>8232</v>
      </c>
      <c r="D274" s="1205"/>
      <c r="E274" s="1205"/>
      <c r="F274" s="1114" t="s">
        <v>8232</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7787</v>
      </c>
      <c r="B275" s="1335" t="s">
        <v>8233</v>
      </c>
      <c r="C275" s="1197" t="s">
        <v>1624</v>
      </c>
      <c r="D275" s="1205" t="s">
        <v>1671</v>
      </c>
      <c r="E275" s="1205"/>
      <c r="F275" s="1343"/>
      <c r="G275" s="1205"/>
      <c r="H275" s="1087" t="s">
        <v>4241</v>
      </c>
      <c r="I275" s="1202"/>
      <c r="J275" s="1198" t="str">
        <f>HYPERLINK("https://youtu.be/_GZXmZdCc5s","31.80")</f>
        <v>31.80</v>
      </c>
      <c r="K275" s="1205"/>
      <c r="L275" s="1198" t="s">
        <v>8234</v>
      </c>
      <c r="M275" s="1205"/>
      <c r="N275" s="1198" t="s">
        <v>1624</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8235</v>
      </c>
      <c r="C276" s="1197" t="s">
        <v>459</v>
      </c>
      <c r="D276" s="1205"/>
      <c r="E276" s="1205"/>
      <c r="F276" s="1085"/>
      <c r="G276" s="1205"/>
      <c r="H276" s="1106"/>
      <c r="I276" s="1202"/>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8236</v>
      </c>
      <c r="C277" s="1197" t="s">
        <v>5033</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8237</v>
      </c>
      <c r="C278" s="1197" t="s">
        <v>3650</v>
      </c>
      <c r="D278" s="1198" t="s">
        <v>243</v>
      </c>
      <c r="E278" s="1198" t="s">
        <v>3650</v>
      </c>
      <c r="F278" s="1120" t="s">
        <v>2528</v>
      </c>
      <c r="G278" s="1198" t="s">
        <v>1536</v>
      </c>
      <c r="H278" s="1087" t="s">
        <v>1325</v>
      </c>
      <c r="I278" s="1202"/>
      <c r="J278" s="1198" t="s">
        <v>206</v>
      </c>
      <c r="K278" s="1198" t="s">
        <v>2148</v>
      </c>
      <c r="L278" s="1198" t="s">
        <v>5354</v>
      </c>
      <c r="M278" s="1198" t="s">
        <v>913</v>
      </c>
      <c r="N278" s="1198" t="s">
        <v>278</v>
      </c>
      <c r="O278" s="1198" t="s">
        <v>5887</v>
      </c>
      <c r="P278" s="1198" t="s">
        <v>719</v>
      </c>
      <c r="Q278" s="1200" t="s">
        <v>426</v>
      </c>
      <c r="R278" s="1097"/>
      <c r="S278" s="1198" t="s">
        <v>4095</v>
      </c>
      <c r="T278" s="1198"/>
      <c r="U278" s="1198"/>
      <c r="V278" s="1198"/>
      <c r="W278" s="1346" t="s">
        <v>1567</v>
      </c>
      <c r="X278" s="1198" t="s">
        <v>8238</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7659</v>
      </c>
      <c r="B279" s="1335" t="s">
        <v>8239</v>
      </c>
      <c r="C279" s="1197" t="s">
        <v>8240</v>
      </c>
      <c r="D279" s="1198" t="s">
        <v>7804</v>
      </c>
      <c r="E279" s="1198" t="s">
        <v>4164</v>
      </c>
      <c r="F279" s="1340" t="s">
        <v>2526</v>
      </c>
      <c r="G279" s="1198"/>
      <c r="H279" s="1087" t="s">
        <v>8241</v>
      </c>
      <c r="I279" s="1202"/>
      <c r="J279" s="1198" t="str">
        <f>HYPERLINK("https://youtu.be/fNmQmNF7N9I","46.93")</f>
        <v>46.93</v>
      </c>
      <c r="K279" s="1198" t="s">
        <v>8240</v>
      </c>
      <c r="L279" s="1198" t="s">
        <v>537</v>
      </c>
      <c r="M279" s="1198" t="s">
        <v>8242</v>
      </c>
      <c r="N279" s="1198" t="s">
        <v>1571</v>
      </c>
      <c r="O279" s="1198"/>
      <c r="P279" s="1198"/>
      <c r="Q279" s="1200"/>
      <c r="R279" s="1337"/>
      <c r="S279" s="1198"/>
      <c r="T279" s="1198"/>
      <c r="U279" s="1198" t="s">
        <v>3998</v>
      </c>
      <c r="V279" s="1198" t="s">
        <v>8218</v>
      </c>
      <c r="W279" s="1198"/>
      <c r="X279" s="1198" t="s">
        <v>8243</v>
      </c>
      <c r="Y279" s="1198" t="s">
        <v>4403</v>
      </c>
      <c r="Z279" s="1198" t="s">
        <v>8244</v>
      </c>
      <c r="AA279" s="1198"/>
      <c r="AB279" s="1198"/>
      <c r="AC279" s="1198" t="s">
        <v>8245</v>
      </c>
      <c r="AD279" s="1198" t="s">
        <v>8246</v>
      </c>
      <c r="AE279" s="1198"/>
      <c r="AF279" s="1198"/>
      <c r="AG279" s="1198"/>
      <c r="AH279" s="1198"/>
      <c r="AI279" s="1198"/>
      <c r="AJ279" s="1198"/>
      <c r="AK279" s="1198"/>
      <c r="AL279" s="1202"/>
      <c r="AM279" s="1198"/>
      <c r="AN279" s="1198"/>
      <c r="AO279" s="1198"/>
      <c r="AP279" s="1198"/>
      <c r="AQ279" s="1198"/>
      <c r="AR279" s="1202"/>
      <c r="AS279" s="1198" t="s">
        <v>8247</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8248</v>
      </c>
      <c r="C280" s="1197" t="s">
        <v>3983</v>
      </c>
      <c r="D280" s="1198" t="s">
        <v>5205</v>
      </c>
      <c r="E280" s="1198" t="s">
        <v>3438</v>
      </c>
      <c r="F280" s="1132" t="s">
        <v>8249</v>
      </c>
      <c r="G280" s="1198"/>
      <c r="H280" s="1087" t="s">
        <v>8250</v>
      </c>
      <c r="I280" s="1202"/>
      <c r="J280" s="1198" t="str">
        <f>HYPERLINK(" https://youtu.be/dsDcBzsPA5s","45.74")</f>
        <v>45.74</v>
      </c>
      <c r="K280" s="1198" t="s">
        <v>3983</v>
      </c>
      <c r="L280" s="1198" t="s">
        <v>8251</v>
      </c>
      <c r="M280" s="1198" t="s">
        <v>3910</v>
      </c>
      <c r="N280" s="1198" t="s">
        <v>1786</v>
      </c>
      <c r="O280" s="1198" t="s">
        <v>2072</v>
      </c>
      <c r="P280" s="1198" t="s">
        <v>4047</v>
      </c>
      <c r="Q280" s="1200" t="s">
        <v>3561</v>
      </c>
      <c r="R280" s="1097"/>
      <c r="S280" s="1198" t="s">
        <v>8252</v>
      </c>
      <c r="T280" s="1198"/>
      <c r="U280" s="1198" t="s">
        <v>8253</v>
      </c>
      <c r="V280" s="1198" t="s">
        <v>286</v>
      </c>
      <c r="W280" s="1198"/>
      <c r="X280" s="1198" t="s">
        <v>8228</v>
      </c>
      <c r="Y280" s="1198" t="s">
        <v>707</v>
      </c>
      <c r="Z280" s="1198" t="s">
        <v>8254</v>
      </c>
      <c r="AA280" s="1198"/>
      <c r="AB280" s="1198"/>
      <c r="AC280" s="1198"/>
      <c r="AD280" s="1198" t="s">
        <v>7874</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8255</v>
      </c>
      <c r="C281" s="1197" t="s">
        <v>1113</v>
      </c>
      <c r="D281" s="1198" t="s">
        <v>4649</v>
      </c>
      <c r="E281" s="1198" t="s">
        <v>411</v>
      </c>
      <c r="F281" s="1114" t="s">
        <v>566</v>
      </c>
      <c r="G281" s="1198" t="s">
        <v>1841</v>
      </c>
      <c r="H281" s="1087" t="s">
        <v>1326</v>
      </c>
      <c r="I281" s="1202"/>
      <c r="J281" s="1198" t="str">
        <f>HYPERLINK("https://youtu.be/9O9oqhlyCxY","45.20")</f>
        <v>45.20</v>
      </c>
      <c r="K281" s="1198" t="s">
        <v>8256</v>
      </c>
      <c r="L281" s="1087" t="s">
        <v>3673</v>
      </c>
      <c r="M281" s="1198" t="s">
        <v>321</v>
      </c>
      <c r="N281" s="1198" t="s">
        <v>1398</v>
      </c>
      <c r="O281" s="1198" t="s">
        <v>8221</v>
      </c>
      <c r="P281" s="1198" t="s">
        <v>1113</v>
      </c>
      <c r="Q281" s="1200"/>
      <c r="R281" s="1337"/>
      <c r="S281" s="1198" t="s">
        <v>1929</v>
      </c>
      <c r="T281" s="1198"/>
      <c r="U281" s="1198" t="s">
        <v>429</v>
      </c>
      <c r="V281" s="1198" t="s">
        <v>519</v>
      </c>
      <c r="W281" s="1198"/>
      <c r="X281" s="1198"/>
      <c r="Y281" s="1198" t="s">
        <v>619</v>
      </c>
      <c r="Z281" s="1198"/>
      <c r="AA281" s="1198"/>
      <c r="AB281" s="1198"/>
      <c r="AC281" s="1198" t="s">
        <v>4400</v>
      </c>
      <c r="AD281" s="1198" t="s">
        <v>1398</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7879</v>
      </c>
      <c r="B282" s="1348" t="s">
        <v>8257</v>
      </c>
      <c r="C282" s="1197" t="s">
        <v>883</v>
      </c>
      <c r="D282" s="1001" t="s">
        <v>1615</v>
      </c>
      <c r="E282" s="1349" t="s">
        <v>412</v>
      </c>
      <c r="F282" s="1100" t="s">
        <v>2578</v>
      </c>
      <c r="G282" s="1349" t="s">
        <v>4560</v>
      </c>
      <c r="H282" s="1087" t="s">
        <v>1327</v>
      </c>
      <c r="I282" s="1199" t="s">
        <v>8258</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7616</v>
      </c>
      <c r="B283" s="1352" t="s">
        <v>8257</v>
      </c>
      <c r="C283" s="1197" t="s">
        <v>8259</v>
      </c>
      <c r="D283" s="1349" t="s">
        <v>1616</v>
      </c>
      <c r="E283" s="1349" t="s">
        <v>413</v>
      </c>
      <c r="F283" s="1100" t="s">
        <v>1578</v>
      </c>
      <c r="G283" s="1349" t="s">
        <v>8259</v>
      </c>
      <c r="H283" s="1106"/>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7626</v>
      </c>
      <c r="B284" s="1354" t="s">
        <v>7599</v>
      </c>
      <c r="C284" s="1197" t="s">
        <v>5874</v>
      </c>
      <c r="D284" s="1198" t="s">
        <v>5856</v>
      </c>
      <c r="E284" s="1198" t="s">
        <v>2952</v>
      </c>
      <c r="F284" s="1114" t="s">
        <v>433</v>
      </c>
      <c r="G284" s="1198" t="s">
        <v>5874</v>
      </c>
      <c r="H284" s="1087" t="s">
        <v>5781</v>
      </c>
      <c r="I284" s="1202"/>
      <c r="J284" s="1198"/>
      <c r="K284" s="1198" t="s">
        <v>5342</v>
      </c>
      <c r="L284" s="1198"/>
      <c r="M284" s="1198" t="s">
        <v>8260</v>
      </c>
      <c r="N284" s="1198"/>
      <c r="O284" s="1198"/>
      <c r="P284" s="1198" t="s">
        <v>5874</v>
      </c>
      <c r="Q284" s="1200"/>
      <c r="R284" s="1097"/>
      <c r="S284" s="1198"/>
      <c r="T284" s="1087" t="s">
        <v>8261</v>
      </c>
      <c r="U284" s="1198"/>
      <c r="V284" s="1198" t="s">
        <v>5874</v>
      </c>
      <c r="W284" s="1198"/>
      <c r="X284" s="1198"/>
      <c r="Y284" s="1198" t="s">
        <v>3611</v>
      </c>
      <c r="Z284" s="1198" t="s">
        <v>3598</v>
      </c>
      <c r="AA284" s="1198" t="s">
        <v>8262</v>
      </c>
      <c r="AB284" s="1198" t="s">
        <v>6257</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7826</v>
      </c>
      <c r="B285" s="1355" t="s">
        <v>8263</v>
      </c>
      <c r="C285" s="1197" t="s">
        <v>8264</v>
      </c>
      <c r="D285" s="1094" t="s">
        <v>1479</v>
      </c>
      <c r="E285" s="1198" t="s">
        <v>4430</v>
      </c>
      <c r="F285" s="1100" t="s">
        <v>3082</v>
      </c>
      <c r="G285" s="1198" t="s">
        <v>8264</v>
      </c>
      <c r="H285" s="1087" t="s">
        <v>1329</v>
      </c>
      <c r="I285" s="1202"/>
      <c r="J285" s="1198" t="s">
        <v>1479</v>
      </c>
      <c r="K285" s="1198" t="s">
        <v>3841</v>
      </c>
      <c r="L285" s="1198"/>
      <c r="M285" s="1198" t="s">
        <v>960</v>
      </c>
      <c r="N285" s="1198"/>
      <c r="O285" s="1198"/>
      <c r="P285" s="1198" t="s">
        <v>8265</v>
      </c>
      <c r="Q285" s="1200"/>
      <c r="R285" s="1337"/>
      <c r="S285" s="1198" t="s">
        <v>192</v>
      </c>
      <c r="T285" s="1198"/>
      <c r="U285" s="1198"/>
      <c r="V285" s="1198" t="s">
        <v>522</v>
      </c>
      <c r="W285" s="1198"/>
      <c r="X285" s="1198"/>
      <c r="Y285" s="1198" t="s">
        <v>8266</v>
      </c>
      <c r="Z285" s="1198"/>
      <c r="AA285" s="1198"/>
      <c r="AB285" s="1198"/>
      <c r="AC285" s="1198"/>
      <c r="AD285" s="1198"/>
      <c r="AE285" s="1198"/>
      <c r="AF285" s="1198"/>
      <c r="AG285" s="1198"/>
      <c r="AH285" s="1198" t="s">
        <v>8267</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7837</v>
      </c>
      <c r="B286" s="1354" t="s">
        <v>8263</v>
      </c>
      <c r="C286" s="1082" t="s">
        <v>8268</v>
      </c>
      <c r="D286" s="1198" t="s">
        <v>8269</v>
      </c>
      <c r="E286" s="1198"/>
      <c r="F286" s="1100" t="s">
        <v>8270</v>
      </c>
      <c r="G286" s="1087" t="s">
        <v>7458</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8271</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7721</v>
      </c>
      <c r="B287" s="1335" t="s">
        <v>8272</v>
      </c>
      <c r="C287" s="1197" t="s">
        <v>4221</v>
      </c>
      <c r="D287" s="1106"/>
      <c r="E287" s="1087" t="s">
        <v>4362</v>
      </c>
      <c r="F287" s="1343"/>
      <c r="G287" s="1087" t="s">
        <v>4221</v>
      </c>
      <c r="H287" s="1087" t="s">
        <v>3251</v>
      </c>
      <c r="I287" s="1202"/>
      <c r="J287" s="1106"/>
      <c r="K287" s="1106"/>
      <c r="L287" s="1106"/>
      <c r="M287" s="1106"/>
      <c r="N287" s="1106"/>
      <c r="O287" s="1106" t="s">
        <v>4342</v>
      </c>
      <c r="P287" s="1106"/>
      <c r="Q287" s="1200" t="s">
        <v>8273</v>
      </c>
      <c r="R287" s="1097"/>
      <c r="S287" s="1106"/>
      <c r="T287" s="1106"/>
      <c r="U287" s="1106"/>
      <c r="V287" s="1106"/>
      <c r="W287" s="1087" t="s">
        <v>8195</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8274</v>
      </c>
      <c r="C288" s="1197" t="s">
        <v>4514</v>
      </c>
      <c r="D288" s="1198" t="s">
        <v>1617</v>
      </c>
      <c r="E288" s="1198" t="s">
        <v>2735</v>
      </c>
      <c r="F288" s="1114" t="s">
        <v>4105</v>
      </c>
      <c r="G288" s="1200" t="s">
        <v>1367</v>
      </c>
      <c r="H288" s="1106"/>
      <c r="I288" s="1202"/>
      <c r="J288" s="1198"/>
      <c r="K288" s="1198"/>
      <c r="L288" s="1198"/>
      <c r="M288" s="1198"/>
      <c r="N288" s="1198"/>
      <c r="O288" s="1198"/>
      <c r="P288" s="1198"/>
      <c r="Q288" s="1200" t="s">
        <v>5345</v>
      </c>
      <c r="R288" s="1336" t="s">
        <v>6247</v>
      </c>
      <c r="S288" s="1198" t="s">
        <v>2636</v>
      </c>
      <c r="T288" s="1198" t="s">
        <v>1617</v>
      </c>
      <c r="U288" s="1198"/>
      <c r="V288" s="1198" t="s">
        <v>4514</v>
      </c>
      <c r="W288" s="1198"/>
      <c r="X288" s="1198"/>
      <c r="Y288" s="1198"/>
      <c r="Z288" s="1198"/>
      <c r="AA288" s="1198"/>
      <c r="AB288" s="1198"/>
      <c r="AC288" s="1198" t="s">
        <v>1658</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8275</v>
      </c>
      <c r="C289" s="1197" t="s">
        <v>623</v>
      </c>
      <c r="D289" s="1198"/>
      <c r="E289" s="1198" t="s">
        <v>369</v>
      </c>
      <c r="F289" s="1120" t="s">
        <v>2579</v>
      </c>
      <c r="G289" s="1200" t="s">
        <v>2558</v>
      </c>
      <c r="H289" s="1087" t="s">
        <v>3829</v>
      </c>
      <c r="I289" s="1199" t="s">
        <v>8276</v>
      </c>
      <c r="J289" s="1198"/>
      <c r="K289" s="1198" t="s">
        <v>1617</v>
      </c>
      <c r="L289" s="1198"/>
      <c r="M289" s="1198"/>
      <c r="N289" s="1198" t="s">
        <v>1186</v>
      </c>
      <c r="O289" s="1198"/>
      <c r="P289" s="1198" t="s">
        <v>3829</v>
      </c>
      <c r="Q289" s="1200" t="s">
        <v>1540</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7724</v>
      </c>
      <c r="B290" s="1335" t="s">
        <v>7599</v>
      </c>
      <c r="C290" s="1197" t="s">
        <v>8277</v>
      </c>
      <c r="D290" s="1001" t="s">
        <v>194</v>
      </c>
      <c r="E290" s="1205"/>
      <c r="F290" s="1085"/>
      <c r="G290" s="1205"/>
      <c r="H290" s="1087" t="s">
        <v>1330</v>
      </c>
      <c r="I290" s="1199" t="s">
        <v>8278</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8279</v>
      </c>
      <c r="B291" s="1335" t="s">
        <v>7599</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7730</v>
      </c>
      <c r="B292" s="1354" t="s">
        <v>7599</v>
      </c>
      <c r="C292" s="1082" t="s">
        <v>8280</v>
      </c>
      <c r="D292" s="1087" t="s">
        <v>8280</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6671</v>
      </c>
      <c r="B293" s="1335" t="s">
        <v>7864</v>
      </c>
      <c r="C293" s="1082" t="s">
        <v>8281</v>
      </c>
      <c r="D293" s="998" t="s">
        <v>1618</v>
      </c>
      <c r="E293" s="1205"/>
      <c r="F293" s="1343"/>
      <c r="G293" s="1087" t="s">
        <v>8281</v>
      </c>
      <c r="H293" s="1087" t="s">
        <v>1731</v>
      </c>
      <c r="I293" s="1199" t="s">
        <v>8282</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7868</v>
      </c>
      <c r="C294" s="1197" t="s">
        <v>4841</v>
      </c>
      <c r="D294" s="1205"/>
      <c r="E294" s="1205"/>
      <c r="F294" s="1085"/>
      <c r="G294" s="1205"/>
      <c r="H294" s="1087" t="s">
        <v>1332</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7599</v>
      </c>
      <c r="C295" s="1197" t="s">
        <v>8283</v>
      </c>
      <c r="D295" s="1205" t="s">
        <v>8284</v>
      </c>
      <c r="E295" s="1205"/>
      <c r="F295" s="1343"/>
      <c r="G295" s="1205"/>
      <c r="H295" s="1087" t="s">
        <v>1333</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8285</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8286</v>
      </c>
      <c r="B297" s="1366" t="s">
        <v>8287</v>
      </c>
      <c r="C297" s="1082" t="s">
        <v>8288</v>
      </c>
      <c r="D297" s="1324"/>
      <c r="E297" s="1106"/>
      <c r="F297" s="1367"/>
      <c r="G297" s="1106"/>
      <c r="H297" s="1087" t="s">
        <v>4874</v>
      </c>
      <c r="I297" s="1202"/>
      <c r="J297" s="1106"/>
      <c r="K297" s="1106"/>
      <c r="L297" s="1106"/>
      <c r="M297" s="1106"/>
      <c r="N297" s="1106"/>
      <c r="O297" s="1106"/>
      <c r="P297" s="1106"/>
      <c r="Q297" s="1200"/>
      <c r="R297" s="1097"/>
      <c r="S297" s="1106"/>
      <c r="T297" s="1106"/>
      <c r="U297" s="1106"/>
      <c r="V297" s="1106"/>
      <c r="W297" s="1087" t="s">
        <v>8288</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8289</v>
      </c>
      <c r="C298" s="1197" t="s">
        <v>7194</v>
      </c>
      <c r="D298" s="1198" t="s">
        <v>8290</v>
      </c>
      <c r="E298" s="1198" t="s">
        <v>7194</v>
      </c>
      <c r="F298" s="1085"/>
      <c r="G298" s="1198"/>
      <c r="I298" s="1202"/>
      <c r="J298" s="1198"/>
      <c r="K298" s="1198"/>
      <c r="L298" s="1200" t="s">
        <v>8291</v>
      </c>
      <c r="M298" s="1198"/>
      <c r="N298" s="1198"/>
      <c r="O298" s="1198"/>
      <c r="P298" s="1198"/>
      <c r="Q298" s="1200" t="s">
        <v>8292</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8293</v>
      </c>
      <c r="C299" s="1197" t="s">
        <v>425</v>
      </c>
      <c r="D299" s="1094" t="s">
        <v>1623</v>
      </c>
      <c r="E299" s="1087" t="s">
        <v>425</v>
      </c>
      <c r="F299" s="1114" t="s">
        <v>2581</v>
      </c>
      <c r="G299" s="1087" t="s">
        <v>8294</v>
      </c>
      <c r="H299" s="1087" t="s">
        <v>1340</v>
      </c>
      <c r="I299" s="1202"/>
      <c r="J299" s="1087" t="str">
        <f>HYPERLINK("https://youtu.be/ZpzmhXUsVhA","1:19.38")</f>
        <v>1:19.38</v>
      </c>
      <c r="K299" s="1106"/>
      <c r="L299" s="1087" t="s">
        <v>3679</v>
      </c>
      <c r="M299" s="1106" t="s">
        <v>969</v>
      </c>
      <c r="N299" s="1106" t="s">
        <v>6123</v>
      </c>
      <c r="O299" s="1106" t="s">
        <v>8295</v>
      </c>
      <c r="P299" s="1087" t="s">
        <v>8296</v>
      </c>
      <c r="Q299" s="1200" t="s">
        <v>8297</v>
      </c>
      <c r="R299" s="1097"/>
      <c r="S299" s="1106"/>
      <c r="T299" s="1106"/>
      <c r="U299" s="1106"/>
      <c r="V299" s="1106"/>
      <c r="W299" s="1346" t="s">
        <v>8298</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8299</v>
      </c>
      <c r="B300" s="1370" t="s">
        <v>8287</v>
      </c>
      <c r="C300" s="1082" t="s">
        <v>2175</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8289</v>
      </c>
      <c r="C301" s="1197" t="s">
        <v>5561</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8293</v>
      </c>
      <c r="C302" s="1197" t="s">
        <v>2223</v>
      </c>
      <c r="D302" s="1372" t="s">
        <v>8300</v>
      </c>
      <c r="E302" s="1198" t="s">
        <v>3589</v>
      </c>
      <c r="F302" s="1168" t="s">
        <v>686</v>
      </c>
      <c r="G302" s="1244" t="s">
        <v>2580</v>
      </c>
      <c r="H302" s="1087" t="s">
        <v>2837</v>
      </c>
      <c r="I302" s="1202"/>
      <c r="J302" s="1198"/>
      <c r="K302" s="1198"/>
      <c r="L302" s="1198"/>
      <c r="M302" s="1198"/>
      <c r="N302" s="1198"/>
      <c r="O302" s="1198"/>
      <c r="P302" s="1198" t="s">
        <v>2223</v>
      </c>
      <c r="Q302" s="1200"/>
      <c r="R302" s="1097"/>
      <c r="S302" s="1198"/>
      <c r="T302" s="1198"/>
      <c r="U302" s="1198"/>
      <c r="V302" s="1198"/>
      <c r="W302" s="1087" t="s">
        <v>1649</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8301</v>
      </c>
      <c r="B303" s="1373" t="s">
        <v>8302</v>
      </c>
      <c r="C303" s="1197" t="s">
        <v>4239</v>
      </c>
      <c r="D303" s="1326" t="s">
        <v>1713</v>
      </c>
      <c r="E303" s="1198" t="s">
        <v>4239</v>
      </c>
      <c r="F303" s="1085"/>
      <c r="G303" s="1198"/>
      <c r="H303" s="1106"/>
      <c r="I303" s="1202"/>
      <c r="J303" s="1198"/>
      <c r="K303" s="1198"/>
      <c r="L303" s="1198" t="s">
        <v>2340</v>
      </c>
      <c r="M303" s="1198"/>
      <c r="N303" s="1198"/>
      <c r="O303" s="1198"/>
      <c r="P303" s="1198"/>
      <c r="Q303" s="1200" t="s">
        <v>8303</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8304</v>
      </c>
      <c r="C304" s="1197" t="s">
        <v>8238</v>
      </c>
      <c r="D304" s="1094" t="s">
        <v>1624</v>
      </c>
      <c r="E304" s="1087" t="s">
        <v>426</v>
      </c>
      <c r="F304" s="1120" t="s">
        <v>2582</v>
      </c>
      <c r="G304" s="1087" t="s">
        <v>1871</v>
      </c>
      <c r="H304" s="1087" t="s">
        <v>1341</v>
      </c>
      <c r="I304" s="1202"/>
      <c r="J304" s="1106"/>
      <c r="K304" s="1106"/>
      <c r="L304" s="1106"/>
      <c r="M304" s="1087" t="s">
        <v>970</v>
      </c>
      <c r="N304" s="1106" t="s">
        <v>817</v>
      </c>
      <c r="O304" s="1106"/>
      <c r="P304" s="1087" t="s">
        <v>8238</v>
      </c>
      <c r="Q304" s="1200" t="s">
        <v>1445</v>
      </c>
      <c r="R304" s="1097"/>
      <c r="S304" s="1106"/>
      <c r="T304" s="1106"/>
      <c r="U304" s="1106"/>
      <c r="V304" s="1106" t="s">
        <v>1607</v>
      </c>
      <c r="W304" s="1106"/>
      <c r="X304" s="1106"/>
      <c r="Y304" s="1106"/>
      <c r="Z304" s="1106"/>
      <c r="AA304" s="1106"/>
      <c r="AB304" s="1087" t="s">
        <v>5434</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8305</v>
      </c>
      <c r="B305" s="1366" t="s">
        <v>8306</v>
      </c>
      <c r="C305" s="1197" t="s">
        <v>6330</v>
      </c>
      <c r="D305" s="1198"/>
      <c r="E305" s="1198" t="s">
        <v>6330</v>
      </c>
      <c r="F305" s="1085"/>
      <c r="G305" s="1198"/>
      <c r="H305" s="1106"/>
      <c r="I305" s="1202"/>
      <c r="J305" s="1198" t="s">
        <v>8162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8307</v>
      </c>
      <c r="C306" s="1197" t="s">
        <v>8067</v>
      </c>
      <c r="D306" s="1198"/>
      <c r="E306" s="1198" t="s">
        <v>1408</v>
      </c>
      <c r="F306" s="1158"/>
      <c r="G306" s="1198"/>
      <c r="H306" s="1106"/>
      <c r="I306" s="1202"/>
      <c r="J306" s="1198" t="s">
        <v>8067</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8308</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8309</v>
      </c>
      <c r="C308" s="1197" t="s">
        <v>2612</v>
      </c>
      <c r="D308" s="1249"/>
      <c r="E308" s="1249"/>
      <c r="F308" s="1158"/>
      <c r="G308" s="1249"/>
      <c r="H308" s="1106"/>
      <c r="I308" s="1202"/>
      <c r="J308" s="1249" t="s">
        <v>2612</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8310</v>
      </c>
      <c r="C309" s="1197" t="s">
        <v>1490</v>
      </c>
      <c r="D309" s="1205"/>
      <c r="E309" s="1205"/>
      <c r="F309" s="1085"/>
      <c r="G309" s="1205"/>
      <c r="H309" s="1106"/>
      <c r="I309" s="1202"/>
      <c r="J309" s="1087" t="s">
        <v>1490</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8311</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7616</v>
      </c>
      <c r="B311" s="1373" t="s">
        <v>7728</v>
      </c>
      <c r="C311" s="1082" t="s">
        <v>5965</v>
      </c>
      <c r="D311" s="1198"/>
      <c r="E311" s="1198" t="s">
        <v>3771</v>
      </c>
      <c r="F311" s="1085"/>
      <c r="G311" s="1087" t="s">
        <v>5965</v>
      </c>
      <c r="H311" s="1106"/>
      <c r="I311" s="1202"/>
      <c r="J311" s="1198" t="s">
        <v>6929</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1781</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8312</v>
      </c>
      <c r="B312" s="1375"/>
      <c r="C312" s="1082" t="s">
        <v>8313</v>
      </c>
      <c r="D312" s="1205"/>
      <c r="E312" s="1205"/>
      <c r="F312" s="1158"/>
      <c r="G312" s="1087" t="s">
        <v>8313</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8314</v>
      </c>
      <c r="B313" s="1373" t="s">
        <v>8315</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1779</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8316</v>
      </c>
      <c r="C314" s="1197" t="s">
        <v>3947</v>
      </c>
      <c r="D314" s="1246"/>
      <c r="E314" s="1246" t="s">
        <v>4187</v>
      </c>
      <c r="F314" s="1158"/>
      <c r="G314" s="1087" t="s">
        <v>3947</v>
      </c>
      <c r="H314" s="1106"/>
      <c r="I314" s="1202"/>
      <c r="J314" s="1087" t="s">
        <v>3947</v>
      </c>
      <c r="K314" s="1246"/>
      <c r="L314" s="1246"/>
      <c r="M314" s="1246"/>
      <c r="N314" s="1246" t="s">
        <v>7665</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8317</v>
      </c>
      <c r="B315" s="1374" t="s">
        <v>8318</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8319</v>
      </c>
      <c r="C316" s="1197"/>
      <c r="D316" s="1205"/>
      <c r="E316" s="1205"/>
      <c r="F316" s="1158"/>
      <c r="G316" s="1205"/>
      <c r="H316" s="1106"/>
      <c r="I316" s="1202"/>
      <c r="J316" s="1205"/>
      <c r="K316" s="1205"/>
      <c r="L316" s="1205"/>
      <c r="M316" s="1205"/>
      <c r="N316" s="1205"/>
      <c r="O316" s="1205" t="s">
        <v>5371</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8320</v>
      </c>
      <c r="B317" s="1374" t="s">
        <v>8321</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8322</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8323</v>
      </c>
      <c r="C319" s="1197"/>
      <c r="D319" s="1205"/>
      <c r="E319" s="1205"/>
      <c r="F319" s="1085"/>
      <c r="G319" s="1205"/>
      <c r="H319" s="1106"/>
      <c r="I319" s="1199" t="s">
        <v>8324</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8325</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8325</v>
      </c>
      <c r="C321" s="1197" t="s">
        <v>6554</v>
      </c>
      <c r="D321" s="1205"/>
      <c r="E321" s="1205"/>
      <c r="F321" s="1085"/>
      <c r="G321" s="1205"/>
      <c r="H321" s="1106"/>
      <c r="I321" s="1202"/>
      <c r="J321" s="1087" t="s">
        <v>6554</v>
      </c>
      <c r="K321" s="1205"/>
      <c r="L321" s="1205"/>
      <c r="M321" s="1205"/>
      <c r="N321" s="1205"/>
      <c r="O321" s="1205" t="s">
        <v>5927</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8326</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8327</v>
      </c>
      <c r="B323" s="1377" t="s">
        <v>8328</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8329</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8330</v>
      </c>
      <c r="C325" s="1197" t="s">
        <v>3031</v>
      </c>
      <c r="D325" s="1087" t="s">
        <v>406</v>
      </c>
      <c r="E325" s="1087" t="s">
        <v>5420</v>
      </c>
      <c r="F325" s="1114" t="s">
        <v>3519</v>
      </c>
      <c r="G325" s="1106" t="s">
        <v>1836</v>
      </c>
      <c r="H325" s="1106"/>
      <c r="I325" s="1202"/>
      <c r="J325" s="1106"/>
      <c r="K325" s="1106"/>
      <c r="L325" s="1106"/>
      <c r="M325" s="1106"/>
      <c r="N325" s="1106"/>
      <c r="O325" s="1106"/>
      <c r="P325" s="1106"/>
      <c r="Q325" s="1200"/>
      <c r="R325" s="1097"/>
      <c r="S325" s="1106"/>
      <c r="T325" s="1087" t="s">
        <v>5420</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2148</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8331</v>
      </c>
      <c r="B326" s="1377" t="s">
        <v>7722</v>
      </c>
      <c r="C326" s="1197" t="s">
        <v>5050</v>
      </c>
      <c r="D326" s="1106"/>
      <c r="E326" s="1087" t="s">
        <v>5050</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7723</v>
      </c>
      <c r="C327" s="1197" t="s">
        <v>4731</v>
      </c>
      <c r="D327" s="1106" t="s">
        <v>5133</v>
      </c>
      <c r="E327" s="1087" t="s">
        <v>4484</v>
      </c>
      <c r="F327" s="1114" t="s">
        <v>7039</v>
      </c>
      <c r="G327" s="1087" t="s">
        <v>4731</v>
      </c>
      <c r="H327" s="1106"/>
      <c r="I327" s="1202"/>
      <c r="J327" s="1106"/>
      <c r="K327" s="1106"/>
      <c r="L327" s="1106"/>
      <c r="M327" s="1106"/>
      <c r="N327" s="1106"/>
      <c r="O327" s="1106"/>
      <c r="P327" s="1106"/>
      <c r="Q327" s="1200"/>
      <c r="R327" s="1097"/>
      <c r="S327" s="1106"/>
      <c r="T327" s="1087" t="s">
        <v>7925</v>
      </c>
      <c r="U327" s="1106"/>
      <c r="V327" s="1106"/>
      <c r="W327" s="1106"/>
      <c r="X327" s="1106"/>
      <c r="Y327" s="1087" t="s">
        <v>6115</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7925</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8332</v>
      </c>
      <c r="B328" s="1377" t="s">
        <v>7599</v>
      </c>
      <c r="C328" s="1172" t="s">
        <v>3566</v>
      </c>
      <c r="D328" s="1126"/>
      <c r="E328" s="1125" t="s">
        <v>1699</v>
      </c>
      <c r="F328" s="1168" t="s">
        <v>3566</v>
      </c>
      <c r="G328" s="1125" t="s">
        <v>2390</v>
      </c>
      <c r="H328" s="1106"/>
      <c r="I328" s="1124"/>
      <c r="J328" s="1126"/>
      <c r="K328" s="1125" t="s">
        <v>1699</v>
      </c>
      <c r="L328" s="1126"/>
      <c r="M328" s="1125" t="s">
        <v>8333</v>
      </c>
      <c r="N328" s="1125" t="s">
        <v>8334</v>
      </c>
      <c r="O328" s="1126"/>
      <c r="P328" s="1126"/>
      <c r="Q328" s="1124"/>
      <c r="R328" s="1368"/>
      <c r="S328" s="1126"/>
      <c r="T328" s="1126"/>
      <c r="U328" s="1126"/>
      <c r="V328" s="1126"/>
      <c r="W328" s="1126"/>
      <c r="X328" s="1126"/>
      <c r="Y328" s="1125" t="s">
        <v>2837</v>
      </c>
      <c r="Z328" s="1126"/>
      <c r="AA328" s="1125" t="s">
        <v>1434</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8335</v>
      </c>
      <c r="B329" s="1377" t="s">
        <v>8336</v>
      </c>
      <c r="C329" s="1197" t="s">
        <v>8337</v>
      </c>
      <c r="D329" s="1106"/>
      <c r="E329" s="1087" t="s">
        <v>8337</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8338</v>
      </c>
      <c r="C330" s="1172" t="s">
        <v>8339</v>
      </c>
      <c r="D330" s="1106"/>
      <c r="E330" s="1087" t="s">
        <v>8340</v>
      </c>
      <c r="F330" s="1168" t="s">
        <v>8339</v>
      </c>
      <c r="G330" s="1106" t="s">
        <v>1424</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8341</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8342</v>
      </c>
      <c r="B331" s="1366" t="s">
        <v>8343</v>
      </c>
      <c r="C331" s="1197" t="s">
        <v>4337</v>
      </c>
      <c r="D331" s="1106"/>
      <c r="E331" s="1087" t="s">
        <v>4337</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8344</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8345</v>
      </c>
      <c r="C333" s="1197" t="s">
        <v>8346</v>
      </c>
      <c r="D333" s="1106"/>
      <c r="E333" s="1087" t="s">
        <v>8346</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8347</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8348</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8349</v>
      </c>
      <c r="C336" s="1197" t="s">
        <v>8350</v>
      </c>
      <c r="D336" s="1106"/>
      <c r="E336" s="1087" t="s">
        <v>3926</v>
      </c>
      <c r="F336" s="1168" t="s">
        <v>1028</v>
      </c>
      <c r="G336" s="1087" t="s">
        <v>8350</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8351</v>
      </c>
      <c r="C337" s="1197" t="s">
        <v>8352</v>
      </c>
      <c r="D337" s="1205" t="s">
        <v>8353</v>
      </c>
      <c r="E337" s="1205"/>
      <c r="F337" s="1114" t="s">
        <v>8354</v>
      </c>
      <c r="G337" s="1087" t="s">
        <v>8355</v>
      </c>
      <c r="H337" s="1106"/>
      <c r="I337" s="1202"/>
      <c r="J337" s="1205"/>
      <c r="K337" s="1205"/>
      <c r="L337" s="1205"/>
      <c r="M337" s="1205"/>
      <c r="N337" s="1205"/>
      <c r="O337" s="1205"/>
      <c r="P337" s="1205"/>
      <c r="Q337" s="1207"/>
      <c r="R337" s="1097"/>
      <c r="S337" s="1205"/>
      <c r="T337" s="1087" t="s">
        <v>8356</v>
      </c>
      <c r="U337" s="1205"/>
      <c r="V337" s="1087" t="s">
        <v>8357</v>
      </c>
      <c r="W337" s="1205"/>
      <c r="X337" s="1205"/>
      <c r="Y337" s="1205"/>
      <c r="Z337" s="1205"/>
      <c r="AA337" s="1087" t="s">
        <v>8352</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8358</v>
      </c>
      <c r="B338" s="1366" t="s">
        <v>8359</v>
      </c>
      <c r="C338" s="1197"/>
      <c r="D338" s="1209"/>
      <c r="E338" s="1205"/>
      <c r="F338" s="1379"/>
      <c r="G338" s="1106" t="s">
        <v>8360</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8361</v>
      </c>
      <c r="C339" s="1197"/>
      <c r="D339" s="1209"/>
      <c r="E339" s="1205"/>
      <c r="F339" s="1379"/>
      <c r="G339" s="1106" t="s">
        <v>8362</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8363</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8364</v>
      </c>
      <c r="B341" s="1366" t="s">
        <v>7599</v>
      </c>
      <c r="C341" s="1082" t="s">
        <v>5856</v>
      </c>
      <c r="D341" s="1209" t="s">
        <v>5558</v>
      </c>
      <c r="E341" s="1205"/>
      <c r="F341" s="1168" t="s">
        <v>5856</v>
      </c>
      <c r="G341" s="1087" t="s">
        <v>4902</v>
      </c>
      <c r="H341" s="1106"/>
      <c r="I341" s="1202"/>
      <c r="J341" s="1205"/>
      <c r="K341" s="1087" t="s">
        <v>3963</v>
      </c>
      <c r="L341" s="1205"/>
      <c r="M341" s="1205"/>
      <c r="N341" s="1205"/>
      <c r="O341" s="1205"/>
      <c r="P341" s="1205"/>
      <c r="Q341" s="1207"/>
      <c r="R341" s="1368"/>
      <c r="S341" s="1205"/>
      <c r="T341" s="1205" t="s">
        <v>7183</v>
      </c>
      <c r="U341" s="1205"/>
      <c r="V341" s="1205"/>
      <c r="W341" s="1205"/>
      <c r="X341" s="1205"/>
      <c r="Y341" s="1205" t="s">
        <v>6461</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8365</v>
      </c>
      <c r="B342" s="1366" t="s">
        <v>8366</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8367</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8363</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8368</v>
      </c>
      <c r="B345" s="1366" t="s">
        <v>8369</v>
      </c>
      <c r="C345" s="1197" t="s">
        <v>4753</v>
      </c>
      <c r="D345" s="1106"/>
      <c r="E345" s="1087" t="s">
        <v>4753</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8370</v>
      </c>
      <c r="C346" s="1082" t="s">
        <v>8371</v>
      </c>
      <c r="D346" s="1106" t="s">
        <v>1079</v>
      </c>
      <c r="E346" s="1087" t="s">
        <v>8372</v>
      </c>
      <c r="F346" s="1174" t="s">
        <v>8373</v>
      </c>
      <c r="G346" s="1106"/>
      <c r="H346" s="1106"/>
      <c r="I346" s="1202"/>
      <c r="J346" s="1106"/>
      <c r="K346" s="1087" t="s">
        <v>8374</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8375</v>
      </c>
      <c r="C347" s="1082" t="s">
        <v>8376</v>
      </c>
      <c r="D347" s="1106"/>
      <c r="E347" s="1106"/>
      <c r="F347" s="1167"/>
      <c r="G347" s="1106" t="s">
        <v>8377</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8376</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8378</v>
      </c>
      <c r="B348" s="1374" t="s">
        <v>8379</v>
      </c>
      <c r="C348" s="1197" t="s">
        <v>5856</v>
      </c>
      <c r="D348" s="1380"/>
      <c r="E348" s="1380"/>
      <c r="F348" s="1168" t="s">
        <v>8261</v>
      </c>
      <c r="G348" s="1244" t="s">
        <v>8380</v>
      </c>
      <c r="H348" s="1106"/>
      <c r="I348" s="1202"/>
      <c r="J348" s="1380"/>
      <c r="K348" s="1087" t="s">
        <v>5856</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8381</v>
      </c>
      <c r="C349" s="1197" t="s">
        <v>4619</v>
      </c>
      <c r="D349" s="1106"/>
      <c r="E349" s="1087" t="s">
        <v>5823</v>
      </c>
      <c r="F349" s="1132" t="s">
        <v>967</v>
      </c>
      <c r="G349" s="1106"/>
      <c r="H349" s="1106"/>
      <c r="I349" s="1202"/>
      <c r="J349" s="1106"/>
      <c r="K349" s="1106"/>
      <c r="L349" s="1106"/>
      <c r="M349" s="1106"/>
      <c r="N349" s="1106"/>
      <c r="O349" s="1106"/>
      <c r="P349" s="1106"/>
      <c r="Q349" s="1200"/>
      <c r="R349" s="1097"/>
      <c r="S349" s="1106"/>
      <c r="T349" s="1087" t="s">
        <v>1795</v>
      </c>
      <c r="U349" s="1106"/>
      <c r="V349" s="1106"/>
      <c r="W349" s="1106"/>
      <c r="X349" s="1106"/>
      <c r="Y349" s="1106"/>
      <c r="Z349" s="1106"/>
      <c r="AA349" s="1087" t="s">
        <v>4619</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8382</v>
      </c>
      <c r="B350" s="1366" t="s">
        <v>8359</v>
      </c>
      <c r="C350" s="1087" t="s">
        <v>8383</v>
      </c>
      <c r="D350" s="1245"/>
      <c r="E350" s="1245"/>
      <c r="F350" s="1158"/>
      <c r="G350" s="1087" t="s">
        <v>8383</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8384</v>
      </c>
      <c r="C351" s="1197"/>
      <c r="D351" s="1245"/>
      <c r="E351" s="1245"/>
      <c r="F351" s="1158"/>
      <c r="G351" s="1106" t="s">
        <v>8383</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8385</v>
      </c>
      <c r="B352" s="1366" t="s">
        <v>7599</v>
      </c>
      <c r="C352" s="1197" t="s">
        <v>8386</v>
      </c>
      <c r="D352" s="1245"/>
      <c r="E352" s="1245"/>
      <c r="F352" s="1158"/>
      <c r="G352" s="1087" t="s">
        <v>8386</v>
      </c>
      <c r="H352" s="1106"/>
      <c r="I352" s="1202"/>
      <c r="J352" s="1245"/>
      <c r="K352" s="1245"/>
      <c r="L352" s="1245"/>
      <c r="M352" s="1245"/>
      <c r="N352" s="1087" t="s">
        <v>8387</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8388</v>
      </c>
      <c r="B353" s="1366" t="s">
        <v>8389</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8390</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6161</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8391</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K76"/>
    <hyperlink r:id="rId395" ref="L76"/>
    <hyperlink r:id="rId396" ref="M76"/>
    <hyperlink r:id="rId397" ref="N76"/>
    <hyperlink r:id="rId398" ref="P76"/>
    <hyperlink r:id="rId399" ref="U76"/>
    <hyperlink r:id="rId400" ref="C77"/>
    <hyperlink r:id="rId401" ref="AR77"/>
    <hyperlink r:id="rId402" ref="C78"/>
    <hyperlink r:id="rId403" ref="W78"/>
    <hyperlink r:id="rId404" ref="BA78"/>
    <hyperlink r:id="rId405" ref="C79"/>
    <hyperlink r:id="rId406" ref="D79"/>
    <hyperlink r:id="rId407" ref="E79"/>
    <hyperlink r:id="rId408" ref="F79"/>
    <hyperlink r:id="rId409" ref="G79"/>
    <hyperlink r:id="rId410" ref="H79"/>
    <hyperlink r:id="rId411" ref="K79"/>
    <hyperlink r:id="rId412" ref="L79"/>
    <hyperlink r:id="rId413" ref="N79"/>
    <hyperlink r:id="rId414" ref="P79"/>
    <hyperlink r:id="rId415" ref="W79"/>
    <hyperlink r:id="rId416" ref="AM79"/>
    <hyperlink r:id="rId417" ref="AX79"/>
    <hyperlink r:id="rId418" ref="C80"/>
    <hyperlink r:id="rId419" ref="E80"/>
    <hyperlink r:id="rId420" ref="H80"/>
    <hyperlink r:id="rId421" ref="R80"/>
    <hyperlink r:id="rId422" ref="C81"/>
    <hyperlink r:id="rId423" ref="E81"/>
    <hyperlink r:id="rId424" ref="F81"/>
    <hyperlink r:id="rId425" ref="H81"/>
    <hyperlink r:id="rId426" ref="R81"/>
    <hyperlink r:id="rId427" ref="U81"/>
    <hyperlink r:id="rId428" ref="AA81"/>
    <hyperlink r:id="rId429" ref="C82"/>
    <hyperlink r:id="rId430" ref="F82"/>
    <hyperlink r:id="rId431" ref="P82"/>
    <hyperlink r:id="rId432" ref="AB82"/>
    <hyperlink r:id="rId433" ref="C83"/>
    <hyperlink r:id="rId434" ref="E83"/>
    <hyperlink r:id="rId435" ref="H83"/>
    <hyperlink r:id="rId436" ref="C84"/>
    <hyperlink r:id="rId437" ref="E84"/>
    <hyperlink r:id="rId438" ref="L84"/>
    <hyperlink r:id="rId439" ref="W84"/>
    <hyperlink r:id="rId440" ref="C85"/>
    <hyperlink r:id="rId441" ref="D85"/>
    <hyperlink r:id="rId442" ref="E85"/>
    <hyperlink r:id="rId443" ref="F85"/>
    <hyperlink r:id="rId444" ref="G85"/>
    <hyperlink r:id="rId445" ref="H85"/>
    <hyperlink r:id="rId446" ref="K85"/>
    <hyperlink r:id="rId447" ref="P85"/>
    <hyperlink r:id="rId448" ref="V85"/>
    <hyperlink r:id="rId449" ref="C86"/>
    <hyperlink r:id="rId450" ref="E86"/>
    <hyperlink r:id="rId451" ref="H86"/>
    <hyperlink r:id="rId452" ref="AD86"/>
    <hyperlink r:id="rId453" ref="C87"/>
    <hyperlink r:id="rId454" ref="D87"/>
    <hyperlink r:id="rId455" ref="F87"/>
    <hyperlink r:id="rId456" ref="T87"/>
    <hyperlink r:id="rId457" ref="Y87"/>
    <hyperlink r:id="rId458" ref="AF87"/>
    <hyperlink r:id="rId459" ref="AV87"/>
    <hyperlink r:id="rId460" ref="C88"/>
    <hyperlink r:id="rId461" ref="E88"/>
    <hyperlink r:id="rId462" ref="H88"/>
    <hyperlink r:id="rId463" ref="J88"/>
    <hyperlink r:id="rId464" ref="K88"/>
    <hyperlink r:id="rId465" ref="P88"/>
    <hyperlink r:id="rId466" ref="Q88"/>
    <hyperlink r:id="rId467" ref="AW88"/>
    <hyperlink r:id="rId468" ref="C89"/>
    <hyperlink r:id="rId469" ref="D89"/>
    <hyperlink r:id="rId470" ref="F89"/>
    <hyperlink r:id="rId471" ref="G89"/>
    <hyperlink r:id="rId472" ref="C90"/>
    <hyperlink r:id="rId473" ref="D90"/>
    <hyperlink r:id="rId474" ref="F90"/>
    <hyperlink r:id="rId475" ref="G90"/>
    <hyperlink r:id="rId476" ref="W90"/>
    <hyperlink r:id="rId477" ref="C91"/>
    <hyperlink r:id="rId478" ref="E91"/>
    <hyperlink r:id="rId479" ref="G91"/>
    <hyperlink r:id="rId480" ref="T91"/>
    <hyperlink r:id="rId481" ref="AO91"/>
    <hyperlink r:id="rId482" ref="C92"/>
    <hyperlink r:id="rId483" ref="E92"/>
    <hyperlink r:id="rId484" ref="G92"/>
    <hyperlink r:id="rId485" ref="N92"/>
    <hyperlink r:id="rId486" ref="T92"/>
    <hyperlink r:id="rId487" ref="C93"/>
    <hyperlink r:id="rId488" ref="E93"/>
    <hyperlink r:id="rId489" ref="G93"/>
    <hyperlink r:id="rId490" ref="AK93"/>
    <hyperlink r:id="rId491" ref="C94"/>
    <hyperlink r:id="rId492" ref="D94"/>
    <hyperlink r:id="rId493" ref="E94"/>
    <hyperlink r:id="rId494" ref="G94"/>
    <hyperlink r:id="rId495" ref="H94"/>
    <hyperlink r:id="rId496" ref="K94"/>
    <hyperlink r:id="rId497" ref="N94"/>
    <hyperlink r:id="rId498" ref="P94"/>
    <hyperlink r:id="rId499" ref="AF94"/>
    <hyperlink r:id="rId500" ref="C95"/>
    <hyperlink r:id="rId501" ref="D95"/>
    <hyperlink r:id="rId502" ref="F95"/>
    <hyperlink r:id="rId503" ref="C96"/>
    <hyperlink r:id="rId504" ref="D96"/>
    <hyperlink r:id="rId505" ref="E96"/>
    <hyperlink r:id="rId506" ref="H96"/>
    <hyperlink r:id="rId507" ref="K96"/>
    <hyperlink r:id="rId508" ref="C97"/>
    <hyperlink r:id="rId509" ref="D97"/>
    <hyperlink r:id="rId510" ref="E97"/>
    <hyperlink r:id="rId511" ref="O97"/>
    <hyperlink r:id="rId512" ref="W97"/>
    <hyperlink r:id="rId513" ref="W98"/>
    <hyperlink r:id="rId514" ref="C99"/>
    <hyperlink r:id="rId515" ref="D99"/>
    <hyperlink r:id="rId516" ref="E99"/>
    <hyperlink r:id="rId517" ref="H99"/>
    <hyperlink r:id="rId518" ref="M99"/>
    <hyperlink r:id="rId519" ref="C101"/>
    <hyperlink r:id="rId520" ref="D101"/>
    <hyperlink r:id="rId521" ref="E101"/>
    <hyperlink r:id="rId522" ref="H101"/>
    <hyperlink r:id="rId523" ref="K101"/>
    <hyperlink r:id="rId524" ref="M101"/>
    <hyperlink r:id="rId525" ref="C102"/>
    <hyperlink r:id="rId526" ref="D102"/>
    <hyperlink r:id="rId527" ref="H102"/>
    <hyperlink r:id="rId528" ref="J102"/>
    <hyperlink r:id="rId529" ref="K102"/>
    <hyperlink r:id="rId530" ref="N102"/>
    <hyperlink r:id="rId531" ref="P102"/>
    <hyperlink r:id="rId532" ref="C103"/>
    <hyperlink r:id="rId533" ref="H103"/>
    <hyperlink r:id="rId534" ref="K103"/>
    <hyperlink r:id="rId535" ref="C104"/>
    <hyperlink r:id="rId536" ref="H104"/>
    <hyperlink r:id="rId537" ref="K104"/>
    <hyperlink r:id="rId538" ref="M104"/>
    <hyperlink r:id="rId539" ref="AB104"/>
    <hyperlink r:id="rId540" ref="C105"/>
    <hyperlink r:id="rId541" ref="D105"/>
    <hyperlink r:id="rId542" ref="K105"/>
    <hyperlink r:id="rId543" ref="C106"/>
    <hyperlink r:id="rId544" ref="H106"/>
    <hyperlink r:id="rId545" ref="K106"/>
    <hyperlink r:id="rId546" ref="L106"/>
    <hyperlink r:id="rId547" ref="C107"/>
    <hyperlink r:id="rId548" ref="H107"/>
    <hyperlink r:id="rId549" ref="K107"/>
    <hyperlink r:id="rId550" ref="C108"/>
    <hyperlink r:id="rId551" ref="D108"/>
    <hyperlink r:id="rId552" ref="E108"/>
    <hyperlink r:id="rId553" ref="H108"/>
    <hyperlink r:id="rId554" ref="V108"/>
    <hyperlink r:id="rId555" ref="AR108"/>
    <hyperlink r:id="rId556" ref="C109"/>
    <hyperlink r:id="rId557" ref="H109"/>
    <hyperlink r:id="rId558" ref="C112"/>
    <hyperlink r:id="rId559" ref="D112"/>
    <hyperlink r:id="rId560" ref="H112"/>
    <hyperlink r:id="rId561" ref="K112"/>
    <hyperlink r:id="rId562" ref="M112"/>
    <hyperlink r:id="rId563" ref="C113"/>
    <hyperlink r:id="rId564" ref="F113"/>
    <hyperlink r:id="rId565" ref="K113"/>
    <hyperlink r:id="rId566" ref="L113"/>
    <hyperlink r:id="rId567" ref="R113"/>
    <hyperlink r:id="rId568" ref="T113"/>
    <hyperlink r:id="rId569" ref="E114"/>
    <hyperlink r:id="rId570" ref="F114"/>
    <hyperlink r:id="rId571" ref="G114"/>
    <hyperlink r:id="rId572" ref="C115"/>
    <hyperlink r:id="rId573" ref="D115"/>
    <hyperlink r:id="rId574" ref="E115"/>
    <hyperlink r:id="rId575" ref="F115"/>
    <hyperlink r:id="rId576" ref="G115"/>
    <hyperlink r:id="rId577" ref="H115"/>
    <hyperlink r:id="rId578" ref="K115"/>
    <hyperlink r:id="rId579" ref="L115"/>
    <hyperlink r:id="rId580" ref="M115"/>
    <hyperlink r:id="rId581" ref="N115"/>
    <hyperlink r:id="rId582" ref="P115"/>
    <hyperlink r:id="rId583" ref="AJ115"/>
    <hyperlink r:id="rId584" ref="C116"/>
    <hyperlink r:id="rId585" ref="H116"/>
    <hyperlink r:id="rId586" ref="L116"/>
    <hyperlink r:id="rId587" ref="R116"/>
    <hyperlink r:id="rId588" ref="AL116"/>
    <hyperlink r:id="rId589" ref="AQ116"/>
    <hyperlink r:id="rId590" ref="C117"/>
    <hyperlink r:id="rId591" ref="H117"/>
    <hyperlink r:id="rId592" ref="K117"/>
    <hyperlink r:id="rId593" ref="T117"/>
    <hyperlink r:id="rId594" ref="W117"/>
    <hyperlink r:id="rId595" ref="C118"/>
    <hyperlink r:id="rId596" ref="D118"/>
    <hyperlink r:id="rId597" ref="E118"/>
    <hyperlink r:id="rId598" ref="F118"/>
    <hyperlink r:id="rId599" ref="K118"/>
    <hyperlink r:id="rId600" ref="L118"/>
    <hyperlink r:id="rId601" ref="N118"/>
    <hyperlink r:id="rId602" ref="P118"/>
    <hyperlink r:id="rId603" ref="T118"/>
    <hyperlink r:id="rId604" ref="V118"/>
    <hyperlink r:id="rId605" ref="C119"/>
    <hyperlink r:id="rId606" ref="F119"/>
    <hyperlink r:id="rId607" ref="U119"/>
    <hyperlink r:id="rId608" ref="C120"/>
    <hyperlink r:id="rId609" ref="D120"/>
    <hyperlink r:id="rId610" ref="M120"/>
    <hyperlink r:id="rId611" ref="AJ120"/>
    <hyperlink r:id="rId612" ref="AN120"/>
    <hyperlink r:id="rId613" ref="C122"/>
    <hyperlink r:id="rId614" ref="D122"/>
    <hyperlink r:id="rId615" ref="H122"/>
    <hyperlink r:id="rId616" ref="N122"/>
    <hyperlink r:id="rId617" ref="P122"/>
    <hyperlink r:id="rId618" ref="C123"/>
    <hyperlink r:id="rId619" ref="D123"/>
    <hyperlink r:id="rId620" ref="J123"/>
    <hyperlink r:id="rId621" ref="C125"/>
    <hyperlink r:id="rId622" ref="E125"/>
    <hyperlink r:id="rId623" ref="F125"/>
    <hyperlink r:id="rId624" ref="G125"/>
    <hyperlink r:id="rId625" ref="M125"/>
    <hyperlink r:id="rId626" ref="C127"/>
    <hyperlink r:id="rId627" ref="H127"/>
    <hyperlink r:id="rId628" ref="AC127"/>
    <hyperlink r:id="rId629" ref="C128"/>
    <hyperlink r:id="rId630" ref="D128"/>
    <hyperlink r:id="rId631" ref="F128"/>
    <hyperlink r:id="rId632" ref="H128"/>
    <hyperlink r:id="rId633" ref="K128"/>
    <hyperlink r:id="rId634" ref="L128"/>
    <hyperlink r:id="rId635" ref="C129"/>
    <hyperlink r:id="rId636" ref="F129"/>
    <hyperlink r:id="rId637" ref="G129"/>
    <hyperlink r:id="rId638" ref="H129"/>
    <hyperlink r:id="rId639" ref="P129"/>
    <hyperlink r:id="rId640" ref="U129"/>
    <hyperlink r:id="rId641" ref="AG129"/>
    <hyperlink r:id="rId642" ref="C130"/>
    <hyperlink r:id="rId643" ref="F130"/>
    <hyperlink r:id="rId644" ref="G130"/>
    <hyperlink r:id="rId645" ref="C131"/>
    <hyperlink r:id="rId646" ref="F131"/>
    <hyperlink r:id="rId647" ref="G131"/>
    <hyperlink r:id="rId648" ref="H131"/>
    <hyperlink r:id="rId649" ref="U131"/>
    <hyperlink r:id="rId650" ref="C132"/>
    <hyperlink r:id="rId651" ref="D132"/>
    <hyperlink r:id="rId652" ref="F132"/>
    <hyperlink r:id="rId653" ref="H132"/>
    <hyperlink r:id="rId654" ref="K132"/>
    <hyperlink r:id="rId655" ref="M132"/>
    <hyperlink r:id="rId656" ref="N132"/>
    <hyperlink r:id="rId657" ref="R132"/>
    <hyperlink r:id="rId658" ref="D133"/>
    <hyperlink r:id="rId659" ref="F133"/>
    <hyperlink r:id="rId660" ref="G133"/>
    <hyperlink r:id="rId661" ref="H133"/>
    <hyperlink r:id="rId662" ref="K133"/>
    <hyperlink r:id="rId663" ref="M133"/>
    <hyperlink r:id="rId664" ref="N133"/>
    <hyperlink r:id="rId665" ref="P133"/>
    <hyperlink r:id="rId666" ref="U133"/>
    <hyperlink r:id="rId667" ref="C134"/>
    <hyperlink r:id="rId668" ref="E134"/>
    <hyperlink r:id="rId669" ref="F134"/>
    <hyperlink r:id="rId670" ref="H134"/>
    <hyperlink r:id="rId671" ref="N134"/>
    <hyperlink r:id="rId672" ref="AA134"/>
    <hyperlink r:id="rId673" ref="C135"/>
    <hyperlink r:id="rId674" ref="H135"/>
    <hyperlink r:id="rId675" ref="L135"/>
    <hyperlink r:id="rId676" ref="R135"/>
    <hyperlink r:id="rId677" ref="C136"/>
    <hyperlink r:id="rId678" ref="T136"/>
    <hyperlink r:id="rId679" ref="Z136"/>
    <hyperlink r:id="rId680" ref="AB136"/>
    <hyperlink r:id="rId681" ref="C137"/>
    <hyperlink r:id="rId682" ref="AH137"/>
    <hyperlink r:id="rId683" ref="C138"/>
    <hyperlink r:id="rId684" ref="D138"/>
    <hyperlink r:id="rId685" ref="E138"/>
    <hyperlink r:id="rId686" ref="F138"/>
    <hyperlink r:id="rId687" ref="H138"/>
    <hyperlink r:id="rId688" ref="J138"/>
    <hyperlink r:id="rId689" ref="M138"/>
    <hyperlink r:id="rId690" ref="N138"/>
    <hyperlink r:id="rId691" ref="P138"/>
    <hyperlink r:id="rId692" ref="T138"/>
    <hyperlink r:id="rId693" ref="W138"/>
    <hyperlink r:id="rId694" ref="AB138"/>
    <hyperlink r:id="rId695" ref="C139"/>
    <hyperlink r:id="rId696" ref="K139"/>
    <hyperlink r:id="rId697" ref="L139"/>
    <hyperlink r:id="rId698" ref="P139"/>
    <hyperlink r:id="rId699" ref="U139"/>
    <hyperlink r:id="rId700" ref="C140"/>
    <hyperlink r:id="rId701" ref="K140"/>
    <hyperlink r:id="rId702" ref="T140"/>
    <hyperlink r:id="rId703" ref="C141"/>
    <hyperlink r:id="rId704" ref="D141"/>
    <hyperlink r:id="rId705" ref="F141"/>
    <hyperlink r:id="rId706" ref="G141"/>
    <hyperlink r:id="rId707" ref="H141"/>
    <hyperlink r:id="rId708" ref="M141"/>
    <hyperlink r:id="rId709" ref="N141"/>
    <hyperlink r:id="rId710" ref="P141"/>
    <hyperlink r:id="rId711" ref="AV141"/>
    <hyperlink r:id="rId712" ref="C142"/>
    <hyperlink r:id="rId713" ref="C143"/>
    <hyperlink r:id="rId714" ref="H143"/>
    <hyperlink r:id="rId715" ref="K143"/>
    <hyperlink r:id="rId716" ref="P143"/>
    <hyperlink r:id="rId717" ref="I144"/>
    <hyperlink r:id="rId718" ref="C145"/>
    <hyperlink r:id="rId719" ref="D145"/>
    <hyperlink r:id="rId720" ref="I145"/>
    <hyperlink r:id="rId721" ref="C147"/>
    <hyperlink r:id="rId722" ref="D147"/>
    <hyperlink r:id="rId723" ref="H147"/>
    <hyperlink r:id="rId724" ref="C148"/>
    <hyperlink r:id="rId725" ref="E148"/>
    <hyperlink r:id="rId726" ref="H148"/>
    <hyperlink r:id="rId727" ref="L148"/>
    <hyperlink r:id="rId728" ref="N148"/>
    <hyperlink r:id="rId729" ref="AG148"/>
    <hyperlink r:id="rId730" ref="C149"/>
    <hyperlink r:id="rId731" ref="D149"/>
    <hyperlink r:id="rId732" ref="E149"/>
    <hyperlink r:id="rId733" ref="F149"/>
    <hyperlink r:id="rId734" ref="H149"/>
    <hyperlink r:id="rId735" ref="K149"/>
    <hyperlink r:id="rId736" ref="L149"/>
    <hyperlink r:id="rId737" ref="N149"/>
    <hyperlink r:id="rId738" ref="P149"/>
    <hyperlink r:id="rId739" ref="U149"/>
    <hyperlink r:id="rId740" ref="C150"/>
    <hyperlink r:id="rId741" ref="H150"/>
    <hyperlink r:id="rId742" ref="P150"/>
    <hyperlink r:id="rId743" ref="C151"/>
    <hyperlink r:id="rId744" ref="E151"/>
    <hyperlink r:id="rId745" ref="K151"/>
    <hyperlink r:id="rId746" ref="M151"/>
    <hyperlink r:id="rId747" ref="AK151"/>
    <hyperlink r:id="rId748" ref="C152"/>
    <hyperlink r:id="rId749" ref="P152"/>
    <hyperlink r:id="rId750" ref="C153"/>
    <hyperlink r:id="rId751" ref="E153"/>
    <hyperlink r:id="rId752" ref="F153"/>
    <hyperlink r:id="rId753" ref="G153"/>
    <hyperlink r:id="rId754" ref="J153"/>
    <hyperlink r:id="rId755" ref="K153"/>
    <hyperlink r:id="rId756" ref="W153"/>
    <hyperlink r:id="rId757" ref="BB153"/>
    <hyperlink r:id="rId758" ref="C154"/>
    <hyperlink r:id="rId759" ref="D154"/>
    <hyperlink r:id="rId760" ref="H154"/>
    <hyperlink r:id="rId761" ref="N154"/>
    <hyperlink r:id="rId762" ref="P154"/>
    <hyperlink r:id="rId763" ref="U154"/>
    <hyperlink r:id="rId764" ref="C155"/>
    <hyperlink r:id="rId765" ref="J155"/>
    <hyperlink r:id="rId766" ref="W156"/>
    <hyperlink r:id="rId767" ref="C157"/>
    <hyperlink r:id="rId768" ref="F157"/>
    <hyperlink r:id="rId769" ref="G157"/>
    <hyperlink r:id="rId770" ref="Y157"/>
    <hyperlink r:id="rId771" ref="C158"/>
    <hyperlink r:id="rId772" ref="F158"/>
    <hyperlink r:id="rId773" ref="C160"/>
    <hyperlink r:id="rId774" ref="H160"/>
    <hyperlink r:id="rId775" ref="J160"/>
    <hyperlink r:id="rId776" ref="N160"/>
    <hyperlink r:id="rId777" ref="U160"/>
    <hyperlink r:id="rId778" ref="C161"/>
    <hyperlink r:id="rId779" ref="C163"/>
    <hyperlink r:id="rId780" ref="F163"/>
    <hyperlink r:id="rId781" ref="G163"/>
    <hyperlink r:id="rId782" ref="H163"/>
    <hyperlink r:id="rId783" ref="J163"/>
    <hyperlink r:id="rId784" ref="N163"/>
    <hyperlink r:id="rId785" ref="U163"/>
    <hyperlink r:id="rId786" ref="W163"/>
    <hyperlink r:id="rId787" ref="C164"/>
    <hyperlink r:id="rId788" ref="F164"/>
    <hyperlink r:id="rId789" ref="G164"/>
    <hyperlink r:id="rId790" ref="C165"/>
    <hyperlink r:id="rId791" ref="F165"/>
    <hyperlink r:id="rId792" ref="G165"/>
    <hyperlink r:id="rId793" ref="J165"/>
    <hyperlink r:id="rId794" ref="AA165"/>
    <hyperlink r:id="rId795" ref="C166"/>
    <hyperlink r:id="rId796" ref="F166"/>
    <hyperlink r:id="rId797" ref="G166"/>
    <hyperlink r:id="rId798" ref="N166"/>
    <hyperlink r:id="rId799" ref="Y166"/>
    <hyperlink r:id="rId800" ref="C167"/>
    <hyperlink r:id="rId801" ref="F167"/>
    <hyperlink r:id="rId802" ref="G167"/>
    <hyperlink r:id="rId803" ref="H167"/>
    <hyperlink r:id="rId804" ref="L167"/>
    <hyperlink r:id="rId805" ref="P167"/>
    <hyperlink r:id="rId806" ref="R167"/>
    <hyperlink r:id="rId807" ref="T167"/>
    <hyperlink r:id="rId808" ref="U167"/>
    <hyperlink r:id="rId809" ref="AC167"/>
    <hyperlink r:id="rId810" ref="AG167"/>
    <hyperlink r:id="rId811" ref="AO167"/>
    <hyperlink r:id="rId812" ref="C168"/>
    <hyperlink r:id="rId813" ref="D168"/>
    <hyperlink r:id="rId814" ref="E168"/>
    <hyperlink r:id="rId815" ref="F168"/>
    <hyperlink r:id="rId816" ref="K168"/>
    <hyperlink r:id="rId817" ref="L168"/>
    <hyperlink r:id="rId818" ref="P168"/>
    <hyperlink r:id="rId819" ref="W168"/>
    <hyperlink r:id="rId820" ref="C169"/>
    <hyperlink r:id="rId821" ref="D169"/>
    <hyperlink r:id="rId822" ref="H169"/>
    <hyperlink r:id="rId823" ref="K169"/>
    <hyperlink r:id="rId824" ref="C170"/>
    <hyperlink r:id="rId825" ref="H170"/>
    <hyperlink r:id="rId826" ref="C171"/>
    <hyperlink r:id="rId827" ref="C172"/>
    <hyperlink r:id="rId828" ref="D172"/>
    <hyperlink r:id="rId829" ref="M172"/>
    <hyperlink r:id="rId830" ref="C175"/>
    <hyperlink r:id="rId831" ref="E175"/>
    <hyperlink r:id="rId832" ref="L175"/>
    <hyperlink r:id="rId833" ref="W175"/>
    <hyperlink r:id="rId834" ref="AB175"/>
    <hyperlink r:id="rId835" ref="C176"/>
    <hyperlink r:id="rId836" ref="D176"/>
    <hyperlink r:id="rId837" ref="W176"/>
    <hyperlink r:id="rId838" ref="AT176"/>
    <hyperlink r:id="rId839" ref="C177"/>
    <hyperlink r:id="rId840" ref="D177"/>
    <hyperlink r:id="rId841" ref="H177"/>
    <hyperlink r:id="rId842" ref="J177"/>
    <hyperlink r:id="rId843" ref="M177"/>
    <hyperlink r:id="rId844" ref="C179"/>
    <hyperlink r:id="rId845" ref="E179"/>
    <hyperlink r:id="rId846" ref="F179"/>
    <hyperlink r:id="rId847" ref="H179"/>
    <hyperlink r:id="rId848" ref="K179"/>
    <hyperlink r:id="rId849" ref="L179"/>
    <hyperlink r:id="rId850" ref="N179"/>
    <hyperlink r:id="rId851" ref="T179"/>
    <hyperlink r:id="rId852" ref="U179"/>
    <hyperlink r:id="rId853" ref="AD179"/>
    <hyperlink r:id="rId854" ref="AH179"/>
    <hyperlink r:id="rId855" ref="C180"/>
    <hyperlink r:id="rId856" ref="E180"/>
    <hyperlink r:id="rId857" ref="G180"/>
    <hyperlink r:id="rId858" ref="AB180"/>
    <hyperlink r:id="rId859" ref="C181"/>
    <hyperlink r:id="rId860" ref="E181"/>
    <hyperlink r:id="rId861" ref="F181"/>
    <hyperlink r:id="rId862" ref="H181"/>
    <hyperlink r:id="rId863" ref="U181"/>
    <hyperlink r:id="rId864" ref="AD181"/>
    <hyperlink r:id="rId865" ref="C182"/>
    <hyperlink r:id="rId866" ref="F182"/>
    <hyperlink r:id="rId867" ref="G182"/>
    <hyperlink r:id="rId868" ref="C183"/>
    <hyperlink r:id="rId869" ref="K183"/>
    <hyperlink r:id="rId870" ref="C184"/>
    <hyperlink r:id="rId871" ref="D184"/>
    <hyperlink r:id="rId872" ref="E184"/>
    <hyperlink r:id="rId873" ref="F184"/>
    <hyperlink r:id="rId874" ref="H184"/>
    <hyperlink r:id="rId875" ref="K184"/>
    <hyperlink r:id="rId876" ref="L184"/>
    <hyperlink r:id="rId877" ref="P184"/>
    <hyperlink r:id="rId878" ref="U184"/>
    <hyperlink r:id="rId879" ref="AU184"/>
    <hyperlink r:id="rId880" ref="C185"/>
    <hyperlink r:id="rId881" ref="K185"/>
    <hyperlink r:id="rId882" ref="R185"/>
    <hyperlink r:id="rId883" ref="C186"/>
    <hyperlink r:id="rId884" ref="D186"/>
    <hyperlink r:id="rId885" ref="E186"/>
    <hyperlink r:id="rId886" ref="F186"/>
    <hyperlink r:id="rId887" ref="G186"/>
    <hyperlink r:id="rId888" ref="H186"/>
    <hyperlink r:id="rId889" ref="K186"/>
    <hyperlink r:id="rId890" ref="L186"/>
    <hyperlink r:id="rId891" ref="M186"/>
    <hyperlink r:id="rId892" ref="N186"/>
    <hyperlink r:id="rId893" ref="P186"/>
    <hyperlink r:id="rId894" ref="R186"/>
    <hyperlink r:id="rId895" ref="C187"/>
    <hyperlink r:id="rId896" ref="E187"/>
    <hyperlink r:id="rId897" ref="N187"/>
    <hyperlink r:id="rId898" ref="P187"/>
    <hyperlink r:id="rId899" ref="C188"/>
    <hyperlink r:id="rId900" ref="F188"/>
    <hyperlink r:id="rId901" ref="C189"/>
    <hyperlink r:id="rId902" ref="E189"/>
    <hyperlink r:id="rId903" ref="H189"/>
    <hyperlink r:id="rId904" ref="L189"/>
    <hyperlink r:id="rId905" ref="U189"/>
    <hyperlink r:id="rId906" ref="AA189"/>
    <hyperlink r:id="rId907" ref="AU189"/>
    <hyperlink r:id="rId908" ref="C190"/>
    <hyperlink r:id="rId909" ref="F190"/>
    <hyperlink r:id="rId910" ref="G190"/>
    <hyperlink r:id="rId911" ref="K190"/>
    <hyperlink r:id="rId912" ref="C191"/>
    <hyperlink r:id="rId913" ref="E191"/>
    <hyperlink r:id="rId914" ref="AA191"/>
    <hyperlink r:id="rId915" ref="C192"/>
    <hyperlink r:id="rId916" ref="G192"/>
    <hyperlink r:id="rId917" ref="C193"/>
    <hyperlink r:id="rId918" ref="H193"/>
    <hyperlink r:id="rId919" ref="W193"/>
    <hyperlink r:id="rId920" ref="C194"/>
    <hyperlink r:id="rId921" ref="F194"/>
    <hyperlink r:id="rId922" ref="J194"/>
    <hyperlink r:id="rId923" ref="L194"/>
    <hyperlink r:id="rId924" ref="C195"/>
    <hyperlink r:id="rId925" ref="D195"/>
    <hyperlink r:id="rId926" ref="F195"/>
    <hyperlink r:id="rId927" ref="G195"/>
    <hyperlink r:id="rId928" ref="H195"/>
    <hyperlink r:id="rId929" ref="K195"/>
    <hyperlink r:id="rId930" ref="M195"/>
    <hyperlink r:id="rId931" ref="P195"/>
    <hyperlink r:id="rId932" ref="V195"/>
    <hyperlink r:id="rId933" ref="W195"/>
    <hyperlink r:id="rId934" ref="AB195"/>
    <hyperlink r:id="rId935" ref="C197"/>
    <hyperlink r:id="rId936" ref="C198"/>
    <hyperlink r:id="rId937" ref="F198"/>
    <hyperlink r:id="rId938" ref="C199"/>
    <hyperlink r:id="rId939" ref="F199"/>
    <hyperlink r:id="rId940" ref="V199"/>
    <hyperlink r:id="rId941" ref="AD199"/>
    <hyperlink r:id="rId942" ref="C200"/>
    <hyperlink r:id="rId943" ref="H200"/>
    <hyperlink r:id="rId944" ref="C201"/>
    <hyperlink r:id="rId945" ref="F201"/>
    <hyperlink r:id="rId946" ref="H201"/>
    <hyperlink r:id="rId947" ref="L201"/>
    <hyperlink r:id="rId948" ref="C202"/>
    <hyperlink r:id="rId949" ref="J202"/>
    <hyperlink r:id="rId950" ref="C203"/>
    <hyperlink r:id="rId951" ref="E203"/>
    <hyperlink r:id="rId952" ref="F203"/>
    <hyperlink r:id="rId953" ref="K203"/>
    <hyperlink r:id="rId954" ref="C204"/>
    <hyperlink r:id="rId955" ref="D204"/>
    <hyperlink r:id="rId956" ref="F204"/>
    <hyperlink r:id="rId957" ref="G204"/>
    <hyperlink r:id="rId958" ref="H204"/>
    <hyperlink r:id="rId959" ref="M204"/>
    <hyperlink r:id="rId960" ref="N204"/>
    <hyperlink r:id="rId961" ref="C205"/>
    <hyperlink r:id="rId962" ref="K205"/>
    <hyperlink r:id="rId963" ref="Z205"/>
    <hyperlink r:id="rId964" ref="AE205"/>
    <hyperlink r:id="rId965" ref="C206"/>
    <hyperlink r:id="rId966" ref="F206"/>
    <hyperlink r:id="rId967" ref="H206"/>
    <hyperlink r:id="rId968" ref="R206"/>
    <hyperlink r:id="rId969" ref="C207"/>
    <hyperlink r:id="rId970" ref="C208"/>
    <hyperlink r:id="rId971" ref="E208"/>
    <hyperlink r:id="rId972" ref="F208"/>
    <hyperlink r:id="rId973" ref="K208"/>
    <hyperlink r:id="rId974" ref="L208"/>
    <hyperlink r:id="rId975" ref="N208"/>
    <hyperlink r:id="rId976" ref="P208"/>
    <hyperlink r:id="rId977" ref="Q208"/>
    <hyperlink r:id="rId978" ref="T208"/>
    <hyperlink r:id="rId979" ref="AM208"/>
    <hyperlink r:id="rId980" ref="C209"/>
    <hyperlink r:id="rId981" ref="D209"/>
    <hyperlink r:id="rId982" ref="F209"/>
    <hyperlink r:id="rId983" ref="G209"/>
    <hyperlink r:id="rId984" ref="V209"/>
    <hyperlink r:id="rId985" ref="AB209"/>
    <hyperlink r:id="rId986" ref="C210"/>
    <hyperlink r:id="rId987" ref="E210"/>
    <hyperlink r:id="rId988" ref="F210"/>
    <hyperlink r:id="rId989" ref="H210"/>
    <hyperlink r:id="rId990" ref="AB210"/>
    <hyperlink r:id="rId991" ref="AD210"/>
    <hyperlink r:id="rId992" ref="C211"/>
    <hyperlink r:id="rId993" ref="E211"/>
    <hyperlink r:id="rId994" ref="F211"/>
    <hyperlink r:id="rId995" ref="P211"/>
    <hyperlink r:id="rId996" ref="C212"/>
    <hyperlink r:id="rId997" ref="D212"/>
    <hyperlink r:id="rId998" ref="E212"/>
    <hyperlink r:id="rId999" ref="F212"/>
    <hyperlink r:id="rId1000" ref="H212"/>
    <hyperlink r:id="rId1001" ref="C213"/>
    <hyperlink r:id="rId1002" ref="E213"/>
    <hyperlink r:id="rId1003" ref="F213"/>
    <hyperlink r:id="rId1004" ref="H213"/>
    <hyperlink r:id="rId1005" ref="U213"/>
    <hyperlink r:id="rId1006" ref="Y213"/>
    <hyperlink r:id="rId1007" ref="AG213"/>
    <hyperlink r:id="rId1008" ref="C214"/>
    <hyperlink r:id="rId1009" ref="F214"/>
    <hyperlink r:id="rId1010" ref="C216"/>
    <hyperlink r:id="rId1011" ref="F216"/>
    <hyperlink r:id="rId1012" ref="H216"/>
    <hyperlink r:id="rId1013" ref="P216"/>
    <hyperlink r:id="rId1014" ref="R216"/>
    <hyperlink r:id="rId1015" ref="T216"/>
    <hyperlink r:id="rId1016" ref="U216"/>
    <hyperlink r:id="rId1017" ref="C217"/>
    <hyperlink r:id="rId1018" ref="D217"/>
    <hyperlink r:id="rId1019" ref="F217"/>
    <hyperlink r:id="rId1020" ref="H217"/>
    <hyperlink r:id="rId1021" ref="M217"/>
    <hyperlink r:id="rId1022" ref="N217"/>
    <hyperlink r:id="rId1023" ref="P217"/>
    <hyperlink r:id="rId1024" ref="T217"/>
    <hyperlink r:id="rId1025" ref="C218"/>
    <hyperlink r:id="rId1026" ref="D218"/>
    <hyperlink r:id="rId1027" ref="J218"/>
    <hyperlink r:id="rId1028" ref="K218"/>
    <hyperlink r:id="rId1029" ref="D219"/>
    <hyperlink r:id="rId1030" ref="H219"/>
    <hyperlink r:id="rId1031" ref="K219"/>
    <hyperlink r:id="rId1032" ref="L219"/>
    <hyperlink r:id="rId1033" ref="N219"/>
    <hyperlink r:id="rId1034" ref="D220"/>
    <hyperlink r:id="rId1035" ref="K220"/>
    <hyperlink r:id="rId1036" ref="C221"/>
    <hyperlink r:id="rId1037" ref="K221"/>
    <hyperlink r:id="rId1038" ref="C222"/>
    <hyperlink r:id="rId1039" ref="K222"/>
    <hyperlink r:id="rId1040" ref="C223"/>
    <hyperlink r:id="rId1041" ref="D223"/>
    <hyperlink r:id="rId1042" ref="E223"/>
    <hyperlink r:id="rId1043" ref="I223"/>
    <hyperlink r:id="rId1044" ref="K223"/>
    <hyperlink r:id="rId1045" ref="AN223"/>
    <hyperlink r:id="rId1046" ref="AT223"/>
    <hyperlink r:id="rId1047" ref="AT224"/>
    <hyperlink r:id="rId1048" ref="C225"/>
    <hyperlink r:id="rId1049" ref="D225"/>
    <hyperlink r:id="rId1050" ref="H225"/>
    <hyperlink r:id="rId1051" ref="J225"/>
    <hyperlink r:id="rId1052" ref="M225"/>
    <hyperlink r:id="rId1053" ref="C227"/>
    <hyperlink r:id="rId1054" ref="D227"/>
    <hyperlink r:id="rId1055" ref="F227"/>
    <hyperlink r:id="rId1056" ref="G227"/>
    <hyperlink r:id="rId1057" ref="H227"/>
    <hyperlink r:id="rId1058" ref="K227"/>
    <hyperlink r:id="rId1059" ref="L227"/>
    <hyperlink r:id="rId1060" ref="M227"/>
    <hyperlink r:id="rId1061" ref="N227"/>
    <hyperlink r:id="rId1062" ref="P227"/>
    <hyperlink r:id="rId1063" ref="AB227"/>
    <hyperlink r:id="rId1064" ref="C228"/>
    <hyperlink r:id="rId1065" ref="D228"/>
    <hyperlink r:id="rId1066" ref="E228"/>
    <hyperlink r:id="rId1067" ref="F228"/>
    <hyperlink r:id="rId1068" ref="G228"/>
    <hyperlink r:id="rId1069" ref="H228"/>
    <hyperlink r:id="rId1070" ref="J228"/>
    <hyperlink r:id="rId1071" ref="L228"/>
    <hyperlink r:id="rId1072" ref="M228"/>
    <hyperlink r:id="rId1073" ref="N228"/>
    <hyperlink r:id="rId1074" ref="P228"/>
    <hyperlink r:id="rId1075" ref="R228"/>
    <hyperlink r:id="rId1076" ref="G229"/>
    <hyperlink r:id="rId1077" ref="H229"/>
    <hyperlink r:id="rId1078" ref="J229"/>
    <hyperlink r:id="rId1079" ref="L229"/>
    <hyperlink r:id="rId1080" ref="M229"/>
    <hyperlink r:id="rId1081" ref="P229"/>
    <hyperlink r:id="rId1082" ref="R229"/>
    <hyperlink r:id="rId1083" ref="C230"/>
    <hyperlink r:id="rId1084" ref="D230"/>
    <hyperlink r:id="rId1085" ref="H230"/>
    <hyperlink r:id="rId1086" ref="W230"/>
    <hyperlink r:id="rId1087" ref="C231"/>
    <hyperlink r:id="rId1088" ref="D231"/>
    <hyperlink r:id="rId1089" ref="F231"/>
    <hyperlink r:id="rId1090" ref="H231"/>
    <hyperlink r:id="rId1091" ref="K231"/>
    <hyperlink r:id="rId1092" ref="N231"/>
    <hyperlink r:id="rId1093" ref="V231"/>
    <hyperlink r:id="rId1094" ref="C232"/>
    <hyperlink r:id="rId1095" ref="AD232"/>
    <hyperlink r:id="rId1096" ref="AP232"/>
    <hyperlink r:id="rId1097" ref="C233"/>
    <hyperlink r:id="rId1098" ref="F233"/>
    <hyperlink r:id="rId1099" ref="G233"/>
    <hyperlink r:id="rId1100" ref="AD233"/>
    <hyperlink r:id="rId1101" ref="R234"/>
    <hyperlink r:id="rId1102" ref="C235"/>
    <hyperlink r:id="rId1103" ref="D235"/>
    <hyperlink r:id="rId1104" ref="C237"/>
    <hyperlink r:id="rId1105" ref="F237"/>
    <hyperlink r:id="rId1106" ref="G237"/>
    <hyperlink r:id="rId1107" ref="C238"/>
    <hyperlink r:id="rId1108" ref="F238"/>
    <hyperlink r:id="rId1109" ref="H238"/>
    <hyperlink r:id="rId1110" ref="K238"/>
    <hyperlink r:id="rId1111" ref="T238"/>
    <hyperlink r:id="rId1112" ref="Y238"/>
    <hyperlink r:id="rId1113" ref="AD238"/>
    <hyperlink r:id="rId1114" ref="C239"/>
    <hyperlink r:id="rId1115" ref="E239"/>
    <hyperlink r:id="rId1116" ref="F239"/>
    <hyperlink r:id="rId1117" ref="H239"/>
    <hyperlink r:id="rId1118" ref="U239"/>
    <hyperlink r:id="rId1119" ref="AA239"/>
    <hyperlink r:id="rId1120" ref="AD239"/>
    <hyperlink r:id="rId1121" ref="C240"/>
    <hyperlink r:id="rId1122" ref="F240"/>
    <hyperlink r:id="rId1123" ref="AU240"/>
    <hyperlink r:id="rId1124" ref="C241"/>
    <hyperlink r:id="rId1125" ref="D241"/>
    <hyperlink r:id="rId1126" ref="F241"/>
    <hyperlink r:id="rId1127" ref="C242"/>
    <hyperlink r:id="rId1128" ref="L242"/>
    <hyperlink r:id="rId1129" ref="U242"/>
    <hyperlink r:id="rId1130" ref="C243"/>
    <hyperlink r:id="rId1131" ref="D243"/>
    <hyperlink r:id="rId1132" ref="F243"/>
    <hyperlink r:id="rId1133" ref="H243"/>
    <hyperlink r:id="rId1134" ref="K243"/>
    <hyperlink r:id="rId1135" ref="L243"/>
    <hyperlink r:id="rId1136" ref="P243"/>
    <hyperlink r:id="rId1137" ref="T243"/>
    <hyperlink r:id="rId1138" ref="U243"/>
    <hyperlink r:id="rId1139" ref="V243"/>
    <hyperlink r:id="rId1140" ref="C244"/>
    <hyperlink r:id="rId1141" ref="E244"/>
    <hyperlink r:id="rId1142" ref="F244"/>
    <hyperlink r:id="rId1143" ref="BB244"/>
    <hyperlink r:id="rId1144" ref="C245"/>
    <hyperlink r:id="rId1145" ref="L245"/>
    <hyperlink r:id="rId1146" ref="C246"/>
    <hyperlink r:id="rId1147" ref="E246"/>
    <hyperlink r:id="rId1148" ref="F246"/>
    <hyperlink r:id="rId1149" ref="T246"/>
    <hyperlink r:id="rId1150" ref="BA246"/>
    <hyperlink r:id="rId1151" ref="C247"/>
    <hyperlink r:id="rId1152" ref="T247"/>
    <hyperlink r:id="rId1153" ref="W247"/>
    <hyperlink r:id="rId1154" ref="F248"/>
    <hyperlink r:id="rId1155" ref="H248"/>
    <hyperlink r:id="rId1156" ref="L248"/>
    <hyperlink r:id="rId1157" ref="AG248"/>
    <hyperlink r:id="rId1158" ref="AH248"/>
    <hyperlink r:id="rId1159" ref="AN248"/>
    <hyperlink r:id="rId1160" ref="C249"/>
    <hyperlink r:id="rId1161" ref="D249"/>
    <hyperlink r:id="rId1162" ref="F249"/>
    <hyperlink r:id="rId1163" ref="G249"/>
    <hyperlink r:id="rId1164" ref="K249"/>
    <hyperlink r:id="rId1165" ref="M249"/>
    <hyperlink r:id="rId1166" ref="N249"/>
    <hyperlink r:id="rId1167" ref="P249"/>
    <hyperlink r:id="rId1168" ref="T249"/>
    <hyperlink r:id="rId1169" ref="AJ249"/>
    <hyperlink r:id="rId1170" ref="C250"/>
    <hyperlink r:id="rId1171" ref="E250"/>
    <hyperlink r:id="rId1172" ref="R250"/>
    <hyperlink r:id="rId1173" ref="Z250"/>
    <hyperlink r:id="rId1174" ref="C251"/>
    <hyperlink r:id="rId1175" ref="E251"/>
    <hyperlink r:id="rId1176" ref="G251"/>
    <hyperlink r:id="rId1177" ref="H251"/>
    <hyperlink r:id="rId1178" ref="K251"/>
    <hyperlink r:id="rId1179" ref="L251"/>
    <hyperlink r:id="rId1180" ref="T251"/>
    <hyperlink r:id="rId1181" ref="U251"/>
    <hyperlink r:id="rId1182" ref="Y251"/>
    <hyperlink r:id="rId1183" ref="AH251"/>
    <hyperlink r:id="rId1184" ref="C252"/>
    <hyperlink r:id="rId1185" ref="F252"/>
    <hyperlink r:id="rId1186" ref="W252"/>
    <hyperlink r:id="rId1187" ref="C253"/>
    <hyperlink r:id="rId1188" ref="D253"/>
    <hyperlink r:id="rId1189" ref="E253"/>
    <hyperlink r:id="rId1190" ref="F253"/>
    <hyperlink r:id="rId1191" ref="L253"/>
    <hyperlink r:id="rId1192" ref="P253"/>
    <hyperlink r:id="rId1193" ref="R253"/>
    <hyperlink r:id="rId1194" ref="T253"/>
    <hyperlink r:id="rId1195" ref="AO253"/>
    <hyperlink r:id="rId1196" ref="C254"/>
    <hyperlink r:id="rId1197" ref="E254"/>
    <hyperlink r:id="rId1198" ref="F254"/>
    <hyperlink r:id="rId1199" ref="G254"/>
    <hyperlink r:id="rId1200" ref="R254"/>
    <hyperlink r:id="rId1201" ref="T254"/>
    <hyperlink r:id="rId1202" ref="V254"/>
    <hyperlink r:id="rId1203" ref="C255"/>
    <hyperlink r:id="rId1204" ref="E255"/>
    <hyperlink r:id="rId1205" ref="G255"/>
    <hyperlink r:id="rId1206" ref="R255"/>
    <hyperlink r:id="rId1207" ref="V255"/>
    <hyperlink r:id="rId1208" ref="C256"/>
    <hyperlink r:id="rId1209" ref="D256"/>
    <hyperlink r:id="rId1210" ref="E256"/>
    <hyperlink r:id="rId1211" ref="F256"/>
    <hyperlink r:id="rId1212" ref="G256"/>
    <hyperlink r:id="rId1213" ref="H256"/>
    <hyperlink r:id="rId1214" ref="J256"/>
    <hyperlink r:id="rId1215" ref="L256"/>
    <hyperlink r:id="rId1216" ref="M256"/>
    <hyperlink r:id="rId1217" ref="P256"/>
    <hyperlink r:id="rId1218" ref="R256"/>
    <hyperlink r:id="rId1219" ref="C257"/>
    <hyperlink r:id="rId1220" ref="F257"/>
    <hyperlink r:id="rId1221" ref="G257"/>
    <hyperlink r:id="rId1222" ref="R257"/>
    <hyperlink r:id="rId1223" ref="C258"/>
    <hyperlink r:id="rId1224" ref="D258"/>
    <hyperlink r:id="rId1225" ref="H258"/>
    <hyperlink r:id="rId1226" ref="I258"/>
    <hyperlink r:id="rId1227" ref="M258"/>
    <hyperlink r:id="rId1228" ref="N258"/>
    <hyperlink r:id="rId1229" ref="C259"/>
    <hyperlink r:id="rId1230" ref="D259"/>
    <hyperlink r:id="rId1231" ref="K259"/>
    <hyperlink r:id="rId1232" ref="C260"/>
    <hyperlink r:id="rId1233" ref="D260"/>
    <hyperlink r:id="rId1234" ref="C261"/>
    <hyperlink r:id="rId1235" ref="E261"/>
    <hyperlink r:id="rId1236" ref="C262"/>
    <hyperlink r:id="rId1237" ref="D262"/>
    <hyperlink r:id="rId1238" ref="E262"/>
    <hyperlink r:id="rId1239" ref="G262"/>
    <hyperlink r:id="rId1240" ref="H262"/>
    <hyperlink r:id="rId1241" ref="K262"/>
    <hyperlink r:id="rId1242" ref="N262"/>
    <hyperlink r:id="rId1243" ref="P262"/>
    <hyperlink r:id="rId1244" ref="C263"/>
    <hyperlink r:id="rId1245" ref="D263"/>
    <hyperlink r:id="rId1246" ref="H263"/>
    <hyperlink r:id="rId1247" ref="M263"/>
    <hyperlink r:id="rId1248" ref="V263"/>
    <hyperlink r:id="rId1249" ref="Y263"/>
    <hyperlink r:id="rId1250" ref="C264"/>
    <hyperlink r:id="rId1251" ref="AT264"/>
    <hyperlink r:id="rId1252" ref="C266"/>
    <hyperlink r:id="rId1253" ref="K266"/>
    <hyperlink r:id="rId1254" ref="R266"/>
    <hyperlink r:id="rId1255" ref="C267"/>
    <hyperlink r:id="rId1256" ref="F267"/>
    <hyperlink r:id="rId1257" ref="T267"/>
    <hyperlink r:id="rId1258" ref="V267"/>
    <hyperlink r:id="rId1259" ref="C268"/>
    <hyperlink r:id="rId1260" ref="K268"/>
    <hyperlink r:id="rId1261" ref="R268"/>
    <hyperlink r:id="rId1262" ref="C269"/>
    <hyperlink r:id="rId1263" ref="H269"/>
    <hyperlink r:id="rId1264" ref="J269"/>
    <hyperlink r:id="rId1265" ref="C270"/>
    <hyperlink r:id="rId1266" ref="E270"/>
    <hyperlink r:id="rId1267" ref="F270"/>
    <hyperlink r:id="rId1268" ref="G270"/>
    <hyperlink r:id="rId1269" ref="K270"/>
    <hyperlink r:id="rId1270" ref="P270"/>
    <hyperlink r:id="rId1271" ref="AA270"/>
    <hyperlink r:id="rId1272" ref="C271"/>
    <hyperlink r:id="rId1273" ref="E271"/>
    <hyperlink r:id="rId1274" ref="F271"/>
    <hyperlink r:id="rId1275" ref="S271"/>
    <hyperlink r:id="rId1276" ref="C272"/>
    <hyperlink r:id="rId1277" ref="E272"/>
    <hyperlink r:id="rId1278" ref="F272"/>
    <hyperlink r:id="rId1279" ref="P272"/>
    <hyperlink r:id="rId1280" ref="AU272"/>
    <hyperlink r:id="rId1281" ref="C273"/>
    <hyperlink r:id="rId1282" ref="D273"/>
    <hyperlink r:id="rId1283" ref="E273"/>
    <hyperlink r:id="rId1284" ref="F273"/>
    <hyperlink r:id="rId1285" ref="H273"/>
    <hyperlink r:id="rId1286" ref="P273"/>
    <hyperlink r:id="rId1287" ref="W273"/>
    <hyperlink r:id="rId1288" ref="C274"/>
    <hyperlink r:id="rId1289" ref="F274"/>
    <hyperlink r:id="rId1290" ref="C275"/>
    <hyperlink r:id="rId1291" ref="H275"/>
    <hyperlink r:id="rId1292" ref="L275"/>
    <hyperlink r:id="rId1293" ref="N275"/>
    <hyperlink r:id="rId1294" ref="T275"/>
    <hyperlink r:id="rId1295" ref="C276"/>
    <hyperlink r:id="rId1296" ref="L276"/>
    <hyperlink r:id="rId1297" ref="V276"/>
    <hyperlink r:id="rId1298" ref="C277"/>
    <hyperlink r:id="rId1299" ref="L277"/>
    <hyperlink r:id="rId1300" ref="C278"/>
    <hyperlink r:id="rId1301" ref="D278"/>
    <hyperlink r:id="rId1302" ref="E278"/>
    <hyperlink r:id="rId1303" ref="F278"/>
    <hyperlink r:id="rId1304" ref="G278"/>
    <hyperlink r:id="rId1305" ref="H278"/>
    <hyperlink r:id="rId1306" ref="K278"/>
    <hyperlink r:id="rId1307" ref="L278"/>
    <hyperlink r:id="rId1308" ref="N278"/>
    <hyperlink r:id="rId1309" ref="P278"/>
    <hyperlink r:id="rId1310" ref="W278"/>
    <hyperlink r:id="rId1311" ref="C279"/>
    <hyperlink r:id="rId1312" ref="E279"/>
    <hyperlink r:id="rId1313" ref="F279"/>
    <hyperlink r:id="rId1314" ref="H279"/>
    <hyperlink r:id="rId1315" ref="K279"/>
    <hyperlink r:id="rId1316" ref="L279"/>
    <hyperlink r:id="rId1317" ref="AS279"/>
    <hyperlink r:id="rId1318" ref="C280"/>
    <hyperlink r:id="rId1319" ref="E280"/>
    <hyperlink r:id="rId1320" ref="F280"/>
    <hyperlink r:id="rId1321" ref="H280"/>
    <hyperlink r:id="rId1322" ref="K280"/>
    <hyperlink r:id="rId1323" ref="L280"/>
    <hyperlink r:id="rId1324" ref="P280"/>
    <hyperlink r:id="rId1325" ref="AS280"/>
    <hyperlink r:id="rId1326" ref="C281"/>
    <hyperlink r:id="rId1327" ref="D281"/>
    <hyperlink r:id="rId1328" ref="E281"/>
    <hyperlink r:id="rId1329" ref="F281"/>
    <hyperlink r:id="rId1330" ref="H281"/>
    <hyperlink r:id="rId1331" ref="K281"/>
    <hyperlink r:id="rId1332" ref="L281"/>
    <hyperlink r:id="rId1333" ref="P281"/>
    <hyperlink r:id="rId1334" ref="Y281"/>
    <hyperlink r:id="rId1335" ref="AC281"/>
    <hyperlink r:id="rId1336" ref="C282"/>
    <hyperlink r:id="rId1337" ref="D282"/>
    <hyperlink r:id="rId1338" ref="E282"/>
    <hyperlink r:id="rId1339" ref="F282"/>
    <hyperlink r:id="rId1340" ref="G282"/>
    <hyperlink r:id="rId1341" ref="H282"/>
    <hyperlink r:id="rId1342" ref="P282"/>
    <hyperlink r:id="rId1343" ref="C283"/>
    <hyperlink r:id="rId1344" ref="D283"/>
    <hyperlink r:id="rId1345" ref="E283"/>
    <hyperlink r:id="rId1346" ref="F283"/>
    <hyperlink r:id="rId1347" ref="G283"/>
    <hyperlink r:id="rId1348" ref="M283"/>
    <hyperlink r:id="rId1349" ref="N283"/>
    <hyperlink r:id="rId1350" ref="P283"/>
    <hyperlink r:id="rId1351" ref="C284"/>
    <hyperlink r:id="rId1352" ref="E284"/>
    <hyperlink r:id="rId1353" ref="F284"/>
    <hyperlink r:id="rId1354" ref="H284"/>
    <hyperlink r:id="rId1355" ref="K284"/>
    <hyperlink r:id="rId1356" ref="P284"/>
    <hyperlink r:id="rId1357" ref="T284"/>
    <hyperlink r:id="rId1358" ref="V284"/>
    <hyperlink r:id="rId1359" ref="Y284"/>
    <hyperlink r:id="rId1360" ref="AA284"/>
    <hyperlink r:id="rId1361" ref="AG284"/>
    <hyperlink r:id="rId1362" ref="C285"/>
    <hyperlink r:id="rId1363" ref="D285"/>
    <hyperlink r:id="rId1364" ref="E285"/>
    <hyperlink r:id="rId1365" ref="F285"/>
    <hyperlink r:id="rId1366" ref="G285"/>
    <hyperlink r:id="rId1367" ref="H285"/>
    <hyperlink r:id="rId1368" ref="J285"/>
    <hyperlink r:id="rId1369" ref="K285"/>
    <hyperlink r:id="rId1370" ref="P285"/>
    <hyperlink r:id="rId1371" ref="V285"/>
    <hyperlink r:id="rId1372" ref="Y285"/>
    <hyperlink r:id="rId1373" ref="AH285"/>
    <hyperlink r:id="rId1374" ref="C286"/>
    <hyperlink r:id="rId1375" ref="F286"/>
    <hyperlink r:id="rId1376" ref="G286"/>
    <hyperlink r:id="rId1377" ref="C287"/>
    <hyperlink r:id="rId1378" ref="E287"/>
    <hyperlink r:id="rId1379" ref="G287"/>
    <hyperlink r:id="rId1380" ref="H287"/>
    <hyperlink r:id="rId1381" ref="W287"/>
    <hyperlink r:id="rId1382" ref="C288"/>
    <hyperlink r:id="rId1383" ref="D288"/>
    <hyperlink r:id="rId1384" ref="E288"/>
    <hyperlink r:id="rId1385" ref="F288"/>
    <hyperlink r:id="rId1386" ref="R288"/>
    <hyperlink r:id="rId1387" ref="T288"/>
    <hyperlink r:id="rId1388" ref="V288"/>
    <hyperlink r:id="rId1389" ref="AC288"/>
    <hyperlink r:id="rId1390" ref="C289"/>
    <hyperlink r:id="rId1391" ref="E289"/>
    <hyperlink r:id="rId1392" ref="F289"/>
    <hyperlink r:id="rId1393" ref="H289"/>
    <hyperlink r:id="rId1394" ref="K289"/>
    <hyperlink r:id="rId1395" ref="N289"/>
    <hyperlink r:id="rId1396" ref="P289"/>
    <hyperlink r:id="rId1397" ref="V289"/>
    <hyperlink r:id="rId1398" ref="Y289"/>
    <hyperlink r:id="rId1399" ref="C290"/>
    <hyperlink r:id="rId1400" ref="D290"/>
    <hyperlink r:id="rId1401" ref="H290"/>
    <hyperlink r:id="rId1402" ref="C292"/>
    <hyperlink r:id="rId1403" ref="D292"/>
    <hyperlink r:id="rId1404" ref="C293"/>
    <hyperlink r:id="rId1405" ref="G293"/>
    <hyperlink r:id="rId1406" ref="H293"/>
    <hyperlink r:id="rId1407" ref="J293"/>
    <hyperlink r:id="rId1408" ref="C294"/>
    <hyperlink r:id="rId1409" ref="H294"/>
    <hyperlink r:id="rId1410" ref="U294"/>
    <hyperlink r:id="rId1411" ref="C295"/>
    <hyperlink r:id="rId1412" ref="D295"/>
    <hyperlink r:id="rId1413" ref="H295"/>
    <hyperlink r:id="rId1414" ref="M295"/>
    <hyperlink r:id="rId1415" ref="C297"/>
    <hyperlink r:id="rId1416" ref="H297"/>
    <hyperlink r:id="rId1417" ref="W297"/>
    <hyperlink r:id="rId1418" ref="C298"/>
    <hyperlink r:id="rId1419" ref="E298"/>
    <hyperlink r:id="rId1420" ref="C299"/>
    <hyperlink r:id="rId1421" ref="D299"/>
    <hyperlink r:id="rId1422" ref="E299"/>
    <hyperlink r:id="rId1423" ref="F299"/>
    <hyperlink r:id="rId1424" ref="G299"/>
    <hyperlink r:id="rId1425" ref="H299"/>
    <hyperlink r:id="rId1426" ref="L299"/>
    <hyperlink r:id="rId1427" ref="P299"/>
    <hyperlink r:id="rId1428" ref="W299"/>
    <hyperlink r:id="rId1429" ref="C300"/>
    <hyperlink r:id="rId1430" ref="W300"/>
    <hyperlink r:id="rId1431" ref="C301"/>
    <hyperlink r:id="rId1432" ref="E301"/>
    <hyperlink r:id="rId1433" ref="C302"/>
    <hyperlink r:id="rId1434" ref="E302"/>
    <hyperlink r:id="rId1435" ref="F302"/>
    <hyperlink r:id="rId1436" ref="H302"/>
    <hyperlink r:id="rId1437" ref="P302"/>
    <hyperlink r:id="rId1438" ref="W302"/>
    <hyperlink r:id="rId1439" ref="C303"/>
    <hyperlink r:id="rId1440" ref="E303"/>
    <hyperlink r:id="rId1441" ref="L303"/>
    <hyperlink r:id="rId1442" ref="C304"/>
    <hyperlink r:id="rId1443" ref="D304"/>
    <hyperlink r:id="rId1444" ref="E304"/>
    <hyperlink r:id="rId1445" ref="F304"/>
    <hyperlink r:id="rId1446" ref="G304"/>
    <hyperlink r:id="rId1447" ref="H304"/>
    <hyperlink r:id="rId1448" ref="M304"/>
    <hyperlink r:id="rId1449" ref="P304"/>
    <hyperlink r:id="rId1450" ref="AB304"/>
    <hyperlink r:id="rId1451" ref="C305"/>
    <hyperlink r:id="rId1452" ref="E305"/>
    <hyperlink r:id="rId1453" ref="J305"/>
    <hyperlink r:id="rId1454" ref="C306"/>
    <hyperlink r:id="rId1455" ref="E306"/>
    <hyperlink r:id="rId1456" ref="J306"/>
    <hyperlink r:id="rId1457" ref="C309"/>
    <hyperlink r:id="rId1458" ref="J309"/>
    <hyperlink r:id="rId1459" ref="AH309"/>
    <hyperlink r:id="rId1460" ref="C311"/>
    <hyperlink r:id="rId1461" ref="E311"/>
    <hyperlink r:id="rId1462" ref="G311"/>
    <hyperlink r:id="rId1463" ref="AT311"/>
    <hyperlink r:id="rId1464" ref="C312"/>
    <hyperlink r:id="rId1465" ref="G312"/>
    <hyperlink r:id="rId1466" ref="C313"/>
    <hyperlink r:id="rId1467" ref="D313"/>
    <hyperlink r:id="rId1468" ref="G313"/>
    <hyperlink r:id="rId1469" ref="J313"/>
    <hyperlink r:id="rId1470" ref="C314"/>
    <hyperlink r:id="rId1471" ref="G314"/>
    <hyperlink r:id="rId1472" ref="J314"/>
    <hyperlink r:id="rId1473" ref="C321"/>
    <hyperlink r:id="rId1474" ref="J321"/>
    <hyperlink r:id="rId1475" ref="C323"/>
    <hyperlink r:id="rId1476" ref="C324"/>
    <hyperlink r:id="rId1477" ref="E324"/>
    <hyperlink r:id="rId1478" ref="C325"/>
    <hyperlink r:id="rId1479" ref="D325"/>
    <hyperlink r:id="rId1480" ref="E325"/>
    <hyperlink r:id="rId1481" ref="F325"/>
    <hyperlink r:id="rId1482" ref="T325"/>
    <hyperlink r:id="rId1483" ref="V325"/>
    <hyperlink r:id="rId1484" ref="AA325"/>
    <hyperlink r:id="rId1485" ref="AS325"/>
    <hyperlink r:id="rId1486" ref="C326"/>
    <hyperlink r:id="rId1487" ref="E326"/>
    <hyperlink r:id="rId1488" ref="C327"/>
    <hyperlink r:id="rId1489" ref="E327"/>
    <hyperlink r:id="rId1490" ref="F327"/>
    <hyperlink r:id="rId1491" ref="G327"/>
    <hyperlink r:id="rId1492" ref="T327"/>
    <hyperlink r:id="rId1493" ref="Y327"/>
    <hyperlink r:id="rId1494" ref="AA327"/>
    <hyperlink r:id="rId1495" ref="AS327"/>
    <hyperlink r:id="rId1496" ref="C328"/>
    <hyperlink r:id="rId1497" ref="E328"/>
    <hyperlink r:id="rId1498" ref="F328"/>
    <hyperlink r:id="rId1499" ref="G328"/>
    <hyperlink r:id="rId1500" ref="K328"/>
    <hyperlink r:id="rId1501" ref="M328"/>
    <hyperlink r:id="rId1502" ref="N328"/>
    <hyperlink r:id="rId1503" ref="Y328"/>
    <hyperlink r:id="rId1504" ref="AA328"/>
    <hyperlink r:id="rId1505" ref="C329"/>
    <hyperlink r:id="rId1506" ref="E329"/>
    <hyperlink r:id="rId1507" ref="C330"/>
    <hyperlink r:id="rId1508" ref="E330"/>
    <hyperlink r:id="rId1509" ref="F330"/>
    <hyperlink r:id="rId1510" ref="AA330"/>
    <hyperlink r:id="rId1511" ref="C331"/>
    <hyperlink r:id="rId1512" ref="E331"/>
    <hyperlink r:id="rId1513" ref="C332"/>
    <hyperlink r:id="rId1514" ref="E332"/>
    <hyperlink r:id="rId1515" ref="C333"/>
    <hyperlink r:id="rId1516" ref="E333"/>
    <hyperlink r:id="rId1517" ref="C334"/>
    <hyperlink r:id="rId1518" ref="E334"/>
    <hyperlink r:id="rId1519" ref="C335"/>
    <hyperlink r:id="rId1520" ref="E335"/>
    <hyperlink r:id="rId1521" ref="C336"/>
    <hyperlink r:id="rId1522" ref="E336"/>
    <hyperlink r:id="rId1523" ref="F336"/>
    <hyperlink r:id="rId1524" ref="G336"/>
    <hyperlink r:id="rId1525" ref="C337"/>
    <hyperlink r:id="rId1526" ref="F337"/>
    <hyperlink r:id="rId1527" ref="G337"/>
    <hyperlink r:id="rId1528" ref="T337"/>
    <hyperlink r:id="rId1529" ref="V337"/>
    <hyperlink r:id="rId1530" ref="AA337"/>
    <hyperlink r:id="rId1531" ref="C341"/>
    <hyperlink r:id="rId1532" ref="F341"/>
    <hyperlink r:id="rId1533" ref="G341"/>
    <hyperlink r:id="rId1534" ref="K341"/>
    <hyperlink r:id="rId1535" ref="AE341"/>
    <hyperlink r:id="rId1536" ref="AK341"/>
    <hyperlink r:id="rId1537" ref="C345"/>
    <hyperlink r:id="rId1538" ref="E345"/>
    <hyperlink r:id="rId1539" ref="C346"/>
    <hyperlink r:id="rId1540" ref="E346"/>
    <hyperlink r:id="rId1541" ref="F346"/>
    <hyperlink r:id="rId1542" ref="K346"/>
    <hyperlink r:id="rId1543" ref="C347"/>
    <hyperlink r:id="rId1544" ref="AR347"/>
    <hyperlink r:id="rId1545" ref="C348"/>
    <hyperlink r:id="rId1546" ref="F348"/>
    <hyperlink r:id="rId1547" ref="K348"/>
    <hyperlink r:id="rId1548" ref="AA348"/>
    <hyperlink r:id="rId1549" ref="C349"/>
    <hyperlink r:id="rId1550" ref="E349"/>
    <hyperlink r:id="rId1551" ref="F349"/>
    <hyperlink r:id="rId1552" ref="T349"/>
    <hyperlink r:id="rId1553" ref="AA349"/>
    <hyperlink r:id="rId1554" ref="C350"/>
    <hyperlink r:id="rId1555" ref="G350"/>
    <hyperlink r:id="rId1556" ref="C352"/>
    <hyperlink r:id="rId1557" ref="G352"/>
    <hyperlink r:id="rId1558" ref="N352"/>
    <hyperlink r:id="rId1559" ref="C353"/>
    <hyperlink r:id="rId1560" ref="AE353"/>
    <hyperlink r:id="rId1561" ref="C354"/>
    <hyperlink r:id="rId1562" ref="F354"/>
    <hyperlink r:id="rId1563" ref="G354"/>
    <hyperlink r:id="rId1564" ref="P354"/>
    <hyperlink r:id="rId1565" ref="AA354"/>
    <hyperlink r:id="rId1566" ref="C355"/>
    <hyperlink r:id="rId1567" ref="E355"/>
  </hyperlinks>
  <drawing r:id="rId1568"/>
  <legacyDrawing r:id="rId1569"/>
  <tableParts count="10">
    <tablePart r:id="rId1580"/>
    <tablePart r:id="rId1581"/>
    <tablePart r:id="rId1582"/>
    <tablePart r:id="rId1583"/>
    <tablePart r:id="rId1584"/>
    <tablePart r:id="rId1585"/>
    <tablePart r:id="rId1586"/>
    <tablePart r:id="rId1587"/>
    <tablePart r:id="rId1588"/>
    <tablePart r:id="rId158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8392</v>
      </c>
      <c r="C1" s="23" t="s">
        <v>10</v>
      </c>
      <c r="F1" s="23" t="s">
        <v>34</v>
      </c>
      <c r="H1" s="1382" t="s">
        <v>8393</v>
      </c>
      <c r="W1" s="1383" t="s">
        <v>8394</v>
      </c>
      <c r="AM1" s="1384" t="s">
        <v>8395</v>
      </c>
      <c r="BG1" s="1385" t="s">
        <v>8396</v>
      </c>
      <c r="BQ1" s="1386" t="s">
        <v>8397</v>
      </c>
      <c r="BV1" s="1387" t="s">
        <v>8398</v>
      </c>
      <c r="CE1" s="1382" t="s">
        <v>8399</v>
      </c>
      <c r="CM1" s="1388" t="s">
        <v>8400</v>
      </c>
      <c r="CP1" s="1389" t="s">
        <v>8401</v>
      </c>
      <c r="CT1" s="1390" t="s">
        <v>8402</v>
      </c>
      <c r="CU1" s="1391" t="s">
        <v>8403</v>
      </c>
    </row>
    <row r="2">
      <c r="A2" s="1392" t="s">
        <v>43</v>
      </c>
      <c r="B2" s="36" t="s">
        <v>44</v>
      </c>
      <c r="C2" s="36" t="s">
        <v>45</v>
      </c>
      <c r="F2" s="36" t="s">
        <v>8404</v>
      </c>
      <c r="H2" s="1393" t="s">
        <v>8405</v>
      </c>
      <c r="I2" s="1393" t="s">
        <v>8406</v>
      </c>
      <c r="J2" s="1393" t="s">
        <v>8407</v>
      </c>
      <c r="K2" s="1393" t="s">
        <v>8408</v>
      </c>
      <c r="L2" s="1393" t="s">
        <v>8409</v>
      </c>
      <c r="M2" s="1393" t="s">
        <v>8410</v>
      </c>
      <c r="N2" s="1393" t="s">
        <v>8411</v>
      </c>
      <c r="O2" s="1393" t="s">
        <v>8412</v>
      </c>
      <c r="P2" s="1393" t="s">
        <v>8413</v>
      </c>
      <c r="Q2" s="1393" t="s">
        <v>8414</v>
      </c>
      <c r="R2" s="1393" t="s">
        <v>8415</v>
      </c>
      <c r="S2" s="1393" t="s">
        <v>8416</v>
      </c>
      <c r="T2" s="1393" t="s">
        <v>8417</v>
      </c>
      <c r="U2" s="1393" t="s">
        <v>8418</v>
      </c>
      <c r="V2" s="1393" t="s">
        <v>8419</v>
      </c>
      <c r="W2" s="1394" t="s">
        <v>8420</v>
      </c>
      <c r="X2" s="1394" t="s">
        <v>8421</v>
      </c>
      <c r="Y2" s="1394" t="s">
        <v>8422</v>
      </c>
      <c r="Z2" s="1394" t="s">
        <v>8423</v>
      </c>
      <c r="AA2" s="1394" t="s">
        <v>8424</v>
      </c>
      <c r="AB2" s="1394" t="s">
        <v>8425</v>
      </c>
      <c r="AC2" s="1394" t="s">
        <v>8426</v>
      </c>
      <c r="AD2" s="1394" t="s">
        <v>8427</v>
      </c>
      <c r="AE2" s="1394" t="s">
        <v>8428</v>
      </c>
      <c r="AF2" s="1394" t="s">
        <v>8429</v>
      </c>
      <c r="AG2" s="1394" t="s">
        <v>8430</v>
      </c>
      <c r="AH2" s="1394" t="s">
        <v>8431</v>
      </c>
      <c r="AI2" s="1394" t="s">
        <v>8432</v>
      </c>
      <c r="AJ2" s="1394" t="s">
        <v>8433</v>
      </c>
      <c r="AK2" s="1394" t="s">
        <v>8434</v>
      </c>
      <c r="AL2" s="1394" t="s">
        <v>8435</v>
      </c>
      <c r="AM2" s="1395" t="s">
        <v>8436</v>
      </c>
      <c r="AN2" s="1395" t="s">
        <v>8437</v>
      </c>
      <c r="AO2" s="1395" t="s">
        <v>8438</v>
      </c>
      <c r="AP2" s="1395" t="s">
        <v>8439</v>
      </c>
      <c r="AQ2" s="1395" t="s">
        <v>8440</v>
      </c>
      <c r="AR2" s="1395" t="s">
        <v>8441</v>
      </c>
      <c r="AS2" s="1395" t="s">
        <v>8442</v>
      </c>
      <c r="AT2" s="1395" t="s">
        <v>8443</v>
      </c>
      <c r="AU2" s="1395" t="s">
        <v>8444</v>
      </c>
      <c r="AV2" s="1395" t="s">
        <v>8445</v>
      </c>
      <c r="AW2" s="1395" t="s">
        <v>8446</v>
      </c>
      <c r="AX2" s="1395" t="s">
        <v>8447</v>
      </c>
      <c r="AY2" s="1395" t="s">
        <v>8448</v>
      </c>
      <c r="AZ2" s="1395" t="s">
        <v>8449</v>
      </c>
      <c r="BA2" s="1395" t="s">
        <v>8450</v>
      </c>
      <c r="BB2" s="1395" t="s">
        <v>8451</v>
      </c>
      <c r="BC2" s="1395" t="s">
        <v>8452</v>
      </c>
      <c r="BD2" s="1395" t="s">
        <v>8453</v>
      </c>
      <c r="BE2" s="1395" t="s">
        <v>8454</v>
      </c>
      <c r="BF2" s="1395" t="s">
        <v>8455</v>
      </c>
      <c r="BG2" s="1396" t="s">
        <v>8456</v>
      </c>
      <c r="BH2" s="1396" t="s">
        <v>8457</v>
      </c>
      <c r="BI2" s="1396" t="s">
        <v>8458</v>
      </c>
      <c r="BJ2" s="1396" t="s">
        <v>8459</v>
      </c>
      <c r="BK2" s="1396" t="s">
        <v>8460</v>
      </c>
      <c r="BL2" s="1396" t="s">
        <v>8461</v>
      </c>
      <c r="BM2" s="1396" t="s">
        <v>8462</v>
      </c>
      <c r="BN2" s="1396" t="s">
        <v>8463</v>
      </c>
      <c r="BO2" s="1396" t="s">
        <v>8464</v>
      </c>
      <c r="BP2" s="1396" t="s">
        <v>8465</v>
      </c>
      <c r="BQ2" s="1397" t="s">
        <v>8466</v>
      </c>
      <c r="BR2" s="1397" t="s">
        <v>8467</v>
      </c>
      <c r="BS2" s="1397" t="s">
        <v>8468</v>
      </c>
      <c r="BT2" s="1397" t="s">
        <v>8469</v>
      </c>
      <c r="BU2" s="1397" t="s">
        <v>8470</v>
      </c>
      <c r="BV2" s="1398" t="s">
        <v>8471</v>
      </c>
      <c r="BW2" s="1398" t="s">
        <v>8472</v>
      </c>
      <c r="BX2" s="1398" t="s">
        <v>8473</v>
      </c>
      <c r="BY2" s="1398" t="s">
        <v>8474</v>
      </c>
      <c r="BZ2" s="1398" t="s">
        <v>8475</v>
      </c>
      <c r="CA2" s="1398" t="s">
        <v>8476</v>
      </c>
      <c r="CB2" s="1398" t="s">
        <v>8477</v>
      </c>
      <c r="CC2" s="1398" t="s">
        <v>8478</v>
      </c>
      <c r="CD2" s="1398" t="s">
        <v>8479</v>
      </c>
      <c r="CE2" s="1399" t="s">
        <v>8405</v>
      </c>
      <c r="CF2" s="1399" t="s">
        <v>8408</v>
      </c>
      <c r="CG2" s="1399" t="s">
        <v>8412</v>
      </c>
      <c r="CH2" s="1399" t="s">
        <v>8414</v>
      </c>
      <c r="CI2" s="1399" t="s">
        <v>8415</v>
      </c>
      <c r="CJ2" s="1399" t="s">
        <v>8418</v>
      </c>
      <c r="CK2" s="1399" t="s">
        <v>8480</v>
      </c>
      <c r="CL2" s="1399" t="s">
        <v>8481</v>
      </c>
      <c r="CM2" s="1400" t="s">
        <v>8482</v>
      </c>
      <c r="CN2" s="1400" t="s">
        <v>8483</v>
      </c>
      <c r="CO2" s="1400" t="s">
        <v>8484</v>
      </c>
      <c r="CP2" s="1020" t="s">
        <v>8485</v>
      </c>
      <c r="CQ2" s="1020" t="s">
        <v>8486</v>
      </c>
      <c r="CR2" s="1020" t="s">
        <v>8487</v>
      </c>
      <c r="CS2" s="1020" t="s">
        <v>8488</v>
      </c>
      <c r="CT2" s="1401" t="s">
        <v>8489</v>
      </c>
      <c r="CU2" s="1402" t="s">
        <v>8490</v>
      </c>
    </row>
    <row r="3">
      <c r="A3" s="1403" t="s">
        <v>2461</v>
      </c>
      <c r="B3" s="809" t="s">
        <v>8491</v>
      </c>
      <c r="C3" s="805" t="s">
        <v>7482</v>
      </c>
      <c r="D3" s="806" t="s">
        <v>7027</v>
      </c>
      <c r="E3" s="807" t="s">
        <v>2683</v>
      </c>
      <c r="F3" s="808" t="s">
        <v>1350</v>
      </c>
      <c r="G3" s="809" t="s">
        <v>1350</v>
      </c>
      <c r="H3" s="1001" t="s">
        <v>8492</v>
      </c>
      <c r="I3" s="1001" t="s">
        <v>8493</v>
      </c>
      <c r="J3" s="1042" t="s">
        <v>8494</v>
      </c>
      <c r="K3" s="1001" t="s">
        <v>8495</v>
      </c>
      <c r="L3" s="1047" t="s">
        <v>8496</v>
      </c>
      <c r="M3" s="1034" t="s">
        <v>8497</v>
      </c>
      <c r="N3" s="1034" t="s">
        <v>8498</v>
      </c>
      <c r="O3" s="1033" t="s">
        <v>8499</v>
      </c>
      <c r="P3" s="1033" t="s">
        <v>8500</v>
      </c>
      <c r="Q3" s="1001" t="s">
        <v>8501</v>
      </c>
      <c r="R3" s="1001" t="s">
        <v>8502</v>
      </c>
      <c r="S3" s="1001" t="s">
        <v>8503</v>
      </c>
      <c r="T3" s="1001" t="s">
        <v>8504</v>
      </c>
      <c r="U3" s="1001" t="s">
        <v>8505</v>
      </c>
      <c r="V3" s="1001" t="s">
        <v>8506</v>
      </c>
      <c r="W3" s="1033" t="s">
        <v>2133</v>
      </c>
      <c r="X3" s="1001" t="s">
        <v>1889</v>
      </c>
      <c r="Y3" s="1001" t="s">
        <v>2740</v>
      </c>
      <c r="Z3" s="1035" t="s">
        <v>8507</v>
      </c>
      <c r="AA3" s="1034" t="s">
        <v>8508</v>
      </c>
      <c r="AB3" s="1035" t="s">
        <v>8509</v>
      </c>
      <c r="AC3" s="1001" t="s">
        <v>8510</v>
      </c>
      <c r="AD3" s="1001" t="s">
        <v>4484</v>
      </c>
      <c r="AE3" s="1033" t="s">
        <v>8511</v>
      </c>
      <c r="AF3" s="1001" t="s">
        <v>8512</v>
      </c>
      <c r="AG3" s="1033" t="s">
        <v>8513</v>
      </c>
      <c r="AH3" s="1034" t="s">
        <v>8514</v>
      </c>
      <c r="AI3" s="1001" t="s">
        <v>8010</v>
      </c>
      <c r="AJ3" s="1034" t="s">
        <v>8515</v>
      </c>
      <c r="AK3" s="1001" t="s">
        <v>8516</v>
      </c>
      <c r="AL3" s="1035" t="s">
        <v>5253</v>
      </c>
      <c r="AM3" s="1034" t="s">
        <v>8517</v>
      </c>
      <c r="AN3" s="1035" t="s">
        <v>8518</v>
      </c>
      <c r="AO3" s="1035" t="s">
        <v>8519</v>
      </c>
      <c r="AP3" s="1034" t="s">
        <v>8520</v>
      </c>
      <c r="AQ3" s="1034" t="s">
        <v>8521</v>
      </c>
      <c r="AR3" s="1033" t="s">
        <v>8522</v>
      </c>
      <c r="AS3" s="1034" t="s">
        <v>8523</v>
      </c>
      <c r="AT3" s="1034" t="s">
        <v>8524</v>
      </c>
      <c r="AU3" s="1001" t="s">
        <v>8525</v>
      </c>
      <c r="AV3" s="1404" t="s">
        <v>8526</v>
      </c>
      <c r="AW3" s="1033" t="s">
        <v>8527</v>
      </c>
      <c r="AX3" s="1034" t="s">
        <v>8528</v>
      </c>
      <c r="AY3" s="1034" t="s">
        <v>8529</v>
      </c>
      <c r="AZ3" s="1034" t="s">
        <v>8530</v>
      </c>
      <c r="BA3" s="1034" t="s">
        <v>8531</v>
      </c>
      <c r="BB3" s="1033" t="s">
        <v>8532</v>
      </c>
      <c r="BC3" s="1001" t="s">
        <v>8533</v>
      </c>
      <c r="BD3" s="1001" t="s">
        <v>8534</v>
      </c>
      <c r="BE3" s="1033" t="s">
        <v>8535</v>
      </c>
      <c r="BF3" s="1034" t="s">
        <v>8536</v>
      </c>
      <c r="BG3" s="1001" t="s">
        <v>8537</v>
      </c>
      <c r="BH3" s="1035" t="s">
        <v>8538</v>
      </c>
      <c r="BI3" s="1035" t="s">
        <v>8539</v>
      </c>
      <c r="BJ3" s="1034" t="s">
        <v>8540</v>
      </c>
      <c r="BK3" s="1034" t="s">
        <v>8541</v>
      </c>
      <c r="BL3" s="1034" t="s">
        <v>8542</v>
      </c>
      <c r="BM3" s="1033" t="s">
        <v>8543</v>
      </c>
      <c r="BN3" s="1034" t="s">
        <v>8544</v>
      </c>
      <c r="BO3" s="1034" t="s">
        <v>8545</v>
      </c>
      <c r="BP3" s="1035" t="s">
        <v>8546</v>
      </c>
      <c r="BQ3" s="1035" t="s">
        <v>8547</v>
      </c>
      <c r="BR3" s="1035" t="s">
        <v>8548</v>
      </c>
      <c r="BS3" s="1035" t="s">
        <v>8549</v>
      </c>
      <c r="BT3" s="1035" t="s">
        <v>8550</v>
      </c>
      <c r="BU3" s="1035" t="s">
        <v>8551</v>
      </c>
      <c r="BV3" s="1405" t="s">
        <v>2469</v>
      </c>
      <c r="BW3" s="1034" t="s">
        <v>2479</v>
      </c>
      <c r="BX3" s="1033" t="s">
        <v>2491</v>
      </c>
      <c r="BY3" s="1035" t="s">
        <v>8552</v>
      </c>
      <c r="BZ3" s="1034" t="s">
        <v>8553</v>
      </c>
      <c r="CA3" s="1035" t="s">
        <v>1281</v>
      </c>
      <c r="CB3" s="1035" t="s">
        <v>8554</v>
      </c>
      <c r="CC3" s="1035" t="s">
        <v>3651</v>
      </c>
      <c r="CD3" s="1406" t="s">
        <v>2521</v>
      </c>
      <c r="CE3" s="1033" t="s">
        <v>8555</v>
      </c>
      <c r="CF3" s="1034" t="s">
        <v>8556</v>
      </c>
      <c r="CG3" s="1034" t="s">
        <v>8557</v>
      </c>
      <c r="CH3" s="1035" t="s">
        <v>8558</v>
      </c>
      <c r="CI3" s="1034" t="s">
        <v>8559</v>
      </c>
      <c r="CJ3" s="1033" t="s">
        <v>8560</v>
      </c>
      <c r="CK3" s="1035" t="s">
        <v>8561</v>
      </c>
      <c r="CL3" s="1001" t="s">
        <v>7380</v>
      </c>
      <c r="CM3" s="1035" t="s">
        <v>8562</v>
      </c>
      <c r="CN3" s="1035" t="s">
        <v>8563</v>
      </c>
      <c r="CO3" s="1034" t="s">
        <v>8564</v>
      </c>
      <c r="CP3" s="1033" t="s">
        <v>8565</v>
      </c>
      <c r="CQ3" s="1035" t="s">
        <v>8566</v>
      </c>
      <c r="CR3" s="1035" t="s">
        <v>8567</v>
      </c>
      <c r="CS3" s="1034" t="s">
        <v>8568</v>
      </c>
      <c r="CT3" s="1035" t="s">
        <v>8569</v>
      </c>
      <c r="CU3" s="1035" t="s">
        <v>8570</v>
      </c>
    </row>
    <row r="4">
      <c r="A4" s="1407" t="s">
        <v>7592</v>
      </c>
      <c r="B4" s="809" t="s">
        <v>8571</v>
      </c>
      <c r="C4" s="805" t="s">
        <v>3574</v>
      </c>
      <c r="D4" s="806" t="s">
        <v>439</v>
      </c>
      <c r="E4" s="807" t="s">
        <v>332</v>
      </c>
      <c r="F4" s="808" t="s">
        <v>4786</v>
      </c>
      <c r="G4" s="809" t="s">
        <v>3847</v>
      </c>
      <c r="H4" s="1033" t="s">
        <v>8572</v>
      </c>
      <c r="I4" s="1035" t="s">
        <v>4269</v>
      </c>
      <c r="J4" s="1035" t="s">
        <v>8573</v>
      </c>
      <c r="K4" s="1001" t="s">
        <v>8574</v>
      </c>
      <c r="L4" s="1035" t="s">
        <v>8575</v>
      </c>
      <c r="M4" s="999"/>
      <c r="N4" s="999"/>
      <c r="O4" s="1001" t="s">
        <v>8576</v>
      </c>
      <c r="P4" s="999"/>
      <c r="Q4" s="998" t="s">
        <v>8577</v>
      </c>
      <c r="R4" s="1033" t="s">
        <v>8578</v>
      </c>
      <c r="S4" s="999"/>
      <c r="T4" s="1035" t="s">
        <v>8579</v>
      </c>
      <c r="U4" s="1035" t="s">
        <v>8580</v>
      </c>
      <c r="V4" s="998" t="s">
        <v>8581</v>
      </c>
      <c r="W4" s="999"/>
      <c r="X4" s="1033" t="s">
        <v>6277</v>
      </c>
      <c r="Y4" s="1034" t="s">
        <v>2543</v>
      </c>
      <c r="Z4" s="999"/>
      <c r="AA4" s="1035" t="s">
        <v>8582</v>
      </c>
      <c r="AB4" s="999"/>
      <c r="AC4" s="999"/>
      <c r="AD4" s="998" t="s">
        <v>8583</v>
      </c>
      <c r="AE4" s="1038"/>
      <c r="AF4" s="1001" t="s">
        <v>465</v>
      </c>
      <c r="AG4" s="1038"/>
      <c r="AH4" s="1035" t="s">
        <v>8584</v>
      </c>
      <c r="AI4" s="999"/>
      <c r="AJ4" s="1035" t="s">
        <v>6760</v>
      </c>
      <c r="AK4" s="1034" t="s">
        <v>6252</v>
      </c>
      <c r="AL4" s="1408" t="s">
        <v>8585</v>
      </c>
      <c r="AM4" s="1035" t="s">
        <v>8586</v>
      </c>
      <c r="AN4" s="999"/>
      <c r="AO4" s="999"/>
      <c r="AP4" s="1035" t="s">
        <v>8587</v>
      </c>
      <c r="AQ4" s="1035" t="s">
        <v>8588</v>
      </c>
      <c r="AR4" s="1035" t="s">
        <v>8589</v>
      </c>
      <c r="AS4" s="1035" t="s">
        <v>8590</v>
      </c>
      <c r="AT4" s="1035" t="s">
        <v>8591</v>
      </c>
      <c r="AU4" s="1035" t="s">
        <v>8592</v>
      </c>
      <c r="AV4" s="1035" t="s">
        <v>8593</v>
      </c>
      <c r="AW4" s="1035" t="s">
        <v>8594</v>
      </c>
      <c r="AX4" s="1035" t="s">
        <v>8589</v>
      </c>
      <c r="AY4" s="999"/>
      <c r="AZ4" s="1035" t="s">
        <v>8595</v>
      </c>
      <c r="BA4" s="1035" t="s">
        <v>8596</v>
      </c>
      <c r="BB4" s="1035" t="s">
        <v>8597</v>
      </c>
      <c r="BC4" s="1035" t="s">
        <v>8598</v>
      </c>
      <c r="BD4" s="1035" t="s">
        <v>8599</v>
      </c>
      <c r="BE4" s="1035" t="s">
        <v>8600</v>
      </c>
      <c r="BF4" s="1035" t="s">
        <v>8601</v>
      </c>
      <c r="BG4" s="913" t="s">
        <v>8602</v>
      </c>
      <c r="BH4" s="926"/>
      <c r="BI4" s="926"/>
      <c r="BJ4" s="926"/>
      <c r="BK4" s="1409" t="s">
        <v>8603</v>
      </c>
      <c r="BL4" s="926"/>
      <c r="BM4" s="872" t="s">
        <v>8604</v>
      </c>
      <c r="BN4" s="913" t="s">
        <v>8605</v>
      </c>
      <c r="BO4" s="926"/>
      <c r="BP4" s="926"/>
      <c r="BQ4" s="1410"/>
      <c r="BR4" s="999"/>
      <c r="BS4" s="1034" t="s">
        <v>8606</v>
      </c>
      <c r="BT4" s="999"/>
      <c r="BU4" s="999"/>
      <c r="BV4" s="999"/>
      <c r="BW4" s="999"/>
      <c r="BX4" s="999"/>
      <c r="BY4" s="999"/>
      <c r="BZ4" s="999"/>
      <c r="CA4" s="999"/>
      <c r="CB4" s="999"/>
      <c r="CC4" s="1034" t="s">
        <v>451</v>
      </c>
      <c r="CD4" s="1038"/>
      <c r="CE4" s="1411" t="s">
        <v>8607</v>
      </c>
      <c r="CF4" s="1411" t="s">
        <v>8608</v>
      </c>
      <c r="CG4" s="1411" t="s">
        <v>8609</v>
      </c>
      <c r="CH4" s="1412"/>
      <c r="CI4" s="1411" t="s">
        <v>8610</v>
      </c>
      <c r="CJ4" s="1411" t="s">
        <v>8570</v>
      </c>
      <c r="CK4" s="1412"/>
      <c r="CL4" s="1411" t="s">
        <v>8611</v>
      </c>
      <c r="CM4" s="1413" t="s">
        <v>2156</v>
      </c>
      <c r="CN4" s="1414" t="s">
        <v>3383</v>
      </c>
      <c r="CO4" s="1415"/>
      <c r="CP4" s="1411" t="s">
        <v>8612</v>
      </c>
      <c r="CQ4" s="1415"/>
      <c r="CR4" s="1415"/>
      <c r="CS4" s="1411" t="s">
        <v>8613</v>
      </c>
      <c r="CT4" s="999"/>
      <c r="CU4" s="999"/>
    </row>
    <row r="5">
      <c r="A5" s="1416" t="s">
        <v>7594</v>
      </c>
      <c r="B5" s="809" t="s">
        <v>8614</v>
      </c>
      <c r="C5" s="805" t="s">
        <v>439</v>
      </c>
      <c r="D5" s="806" t="s">
        <v>333</v>
      </c>
      <c r="E5" s="807" t="s">
        <v>1055</v>
      </c>
      <c r="F5" s="808" t="s">
        <v>1499</v>
      </c>
      <c r="G5" s="809" t="s">
        <v>4410</v>
      </c>
      <c r="H5" s="998" t="s">
        <v>8615</v>
      </c>
      <c r="I5" s="1001" t="s">
        <v>8616</v>
      </c>
      <c r="J5" s="998" t="s">
        <v>6474</v>
      </c>
      <c r="K5" s="1035" t="s">
        <v>8617</v>
      </c>
      <c r="L5" s="1033" t="s">
        <v>8618</v>
      </c>
      <c r="M5" s="1033" t="s">
        <v>3759</v>
      </c>
      <c r="N5" s="998" t="s">
        <v>8619</v>
      </c>
      <c r="O5" s="1001" t="s">
        <v>8620</v>
      </c>
      <c r="P5" s="1035" t="s">
        <v>8621</v>
      </c>
      <c r="Q5" s="1034" t="s">
        <v>8622</v>
      </c>
      <c r="R5" s="1034" t="s">
        <v>8623</v>
      </c>
      <c r="S5" s="1034" t="s">
        <v>8624</v>
      </c>
      <c r="T5" s="1033" t="s">
        <v>8625</v>
      </c>
      <c r="U5" s="1034" t="s">
        <v>8626</v>
      </c>
      <c r="V5" s="1033" t="s">
        <v>8627</v>
      </c>
      <c r="W5" s="998" t="s">
        <v>2359</v>
      </c>
      <c r="X5" s="1045" t="s">
        <v>1692</v>
      </c>
      <c r="Y5" s="1001" t="s">
        <v>8628</v>
      </c>
      <c r="Z5" s="1045" t="s">
        <v>8629</v>
      </c>
      <c r="AA5" s="1001" t="s">
        <v>8630</v>
      </c>
      <c r="AB5" s="998"/>
      <c r="AC5" s="998" t="s">
        <v>3456</v>
      </c>
      <c r="AD5" s="998" t="s">
        <v>3885</v>
      </c>
      <c r="AE5" s="998" t="s">
        <v>8631</v>
      </c>
      <c r="AF5" s="1045" t="s">
        <v>8632</v>
      </c>
      <c r="AG5" s="1001" t="s">
        <v>8633</v>
      </c>
      <c r="AH5" s="1001" t="s">
        <v>8634</v>
      </c>
      <c r="AI5" s="1045" t="s">
        <v>8635</v>
      </c>
      <c r="AJ5" s="999"/>
      <c r="AK5" s="998"/>
      <c r="AL5" s="998"/>
      <c r="AM5" s="1001" t="s">
        <v>8636</v>
      </c>
      <c r="AN5" s="1001" t="s">
        <v>8637</v>
      </c>
      <c r="AO5" s="1033" t="s">
        <v>8638</v>
      </c>
      <c r="AP5" s="1033" t="s">
        <v>8639</v>
      </c>
      <c r="AQ5" s="1033" t="s">
        <v>8640</v>
      </c>
      <c r="AR5" s="1034" t="s">
        <v>8641</v>
      </c>
      <c r="AS5" s="1033" t="s">
        <v>8642</v>
      </c>
      <c r="AT5" s="1033" t="s">
        <v>8643</v>
      </c>
      <c r="AU5" s="1034" t="s">
        <v>8644</v>
      </c>
      <c r="AV5" s="1033" t="s">
        <v>8645</v>
      </c>
      <c r="AW5" s="1001" t="s">
        <v>8646</v>
      </c>
      <c r="AX5" s="1033" t="s">
        <v>8647</v>
      </c>
      <c r="AY5" s="1033" t="s">
        <v>8648</v>
      </c>
      <c r="AZ5" s="1045" t="s">
        <v>5171</v>
      </c>
      <c r="BA5" s="1033" t="s">
        <v>8649</v>
      </c>
      <c r="BB5" s="1001" t="s">
        <v>8650</v>
      </c>
      <c r="BC5" s="1033" t="s">
        <v>8651</v>
      </c>
      <c r="BD5" s="1034" t="s">
        <v>4679</v>
      </c>
      <c r="BE5" s="998"/>
      <c r="BF5" s="1033" t="s">
        <v>8652</v>
      </c>
      <c r="BG5" s="1034" t="s">
        <v>8653</v>
      </c>
      <c r="BH5" s="1033" t="s">
        <v>8654</v>
      </c>
      <c r="BI5" s="1034" t="s">
        <v>8655</v>
      </c>
      <c r="BJ5" s="1035" t="s">
        <v>8545</v>
      </c>
      <c r="BK5" s="998"/>
      <c r="BL5" s="1035" t="s">
        <v>8656</v>
      </c>
      <c r="BM5" s="1045" t="s">
        <v>8657</v>
      </c>
      <c r="BN5" s="998"/>
      <c r="BO5" s="1035" t="s">
        <v>8658</v>
      </c>
      <c r="BP5" s="998"/>
      <c r="BQ5" s="998" t="s">
        <v>8659</v>
      </c>
      <c r="BR5" s="999"/>
      <c r="BS5" s="998" t="s">
        <v>8660</v>
      </c>
      <c r="BT5" s="999"/>
      <c r="BU5" s="998" t="s">
        <v>8661</v>
      </c>
      <c r="BV5" s="999"/>
      <c r="BW5" s="1032"/>
      <c r="BX5" s="1045" t="s">
        <v>3968</v>
      </c>
      <c r="BY5" s="999"/>
      <c r="BZ5" s="999"/>
      <c r="CA5" s="1045" t="s">
        <v>3490</v>
      </c>
      <c r="CB5" s="1034" t="s">
        <v>257</v>
      </c>
      <c r="CC5" s="1001" t="s">
        <v>1607</v>
      </c>
      <c r="CD5" s="1045"/>
      <c r="CE5" s="998" t="s">
        <v>8662</v>
      </c>
      <c r="CF5" s="998" t="s">
        <v>8663</v>
      </c>
      <c r="CG5" s="998"/>
      <c r="CH5" s="998"/>
      <c r="CI5" s="998"/>
      <c r="CJ5" s="998"/>
      <c r="CK5" s="998"/>
      <c r="CL5" s="998"/>
      <c r="CM5" s="998"/>
      <c r="CN5" s="1034" t="s">
        <v>8664</v>
      </c>
      <c r="CO5" s="1035" t="s">
        <v>7780</v>
      </c>
      <c r="CP5" s="1034" t="s">
        <v>8665</v>
      </c>
      <c r="CQ5" s="998" t="s">
        <v>8666</v>
      </c>
      <c r="CR5" s="998"/>
      <c r="CS5" s="998"/>
      <c r="CT5" s="1045" t="s">
        <v>8667</v>
      </c>
      <c r="CU5" s="998"/>
    </row>
    <row r="6">
      <c r="A6" s="1417" t="s">
        <v>7044</v>
      </c>
      <c r="B6" s="809" t="s">
        <v>8668</v>
      </c>
      <c r="C6" s="805" t="s">
        <v>438</v>
      </c>
      <c r="D6" s="806" t="s">
        <v>438</v>
      </c>
      <c r="E6" s="807" t="s">
        <v>438</v>
      </c>
      <c r="F6" s="808" t="s">
        <v>6286</v>
      </c>
      <c r="G6" s="809" t="s">
        <v>3574</v>
      </c>
      <c r="H6" s="1418" t="s">
        <v>8669</v>
      </c>
      <c r="I6" s="1418" t="s">
        <v>8670</v>
      </c>
      <c r="J6" s="999"/>
      <c r="K6" s="998" t="s">
        <v>8671</v>
      </c>
      <c r="L6" s="999"/>
      <c r="M6" s="1001" t="s">
        <v>8672</v>
      </c>
      <c r="N6" s="999"/>
      <c r="O6" s="1001" t="s">
        <v>8673</v>
      </c>
      <c r="P6" s="1001" t="s">
        <v>8674</v>
      </c>
      <c r="Q6" s="999"/>
      <c r="R6" s="1001" t="s">
        <v>8675</v>
      </c>
      <c r="S6" s="999"/>
      <c r="T6" s="998" t="s">
        <v>8676</v>
      </c>
      <c r="U6" s="1001" t="s">
        <v>7076</v>
      </c>
      <c r="V6" s="1035" t="s">
        <v>8677</v>
      </c>
      <c r="W6" s="1001" t="s">
        <v>1296</v>
      </c>
      <c r="X6" s="1001" t="s">
        <v>1636</v>
      </c>
      <c r="Y6" s="1001" t="s">
        <v>1581</v>
      </c>
      <c r="Z6" s="1034" t="s">
        <v>5436</v>
      </c>
      <c r="AA6" s="1038"/>
      <c r="AB6" s="1419" t="s">
        <v>8678</v>
      </c>
      <c r="AC6" s="1001" t="s">
        <v>3415</v>
      </c>
      <c r="AD6" s="1001" t="s">
        <v>4731</v>
      </c>
      <c r="AE6" s="1038"/>
      <c r="AF6" s="1033" t="s">
        <v>7429</v>
      </c>
      <c r="AG6" s="999"/>
      <c r="AH6" s="1001" t="s">
        <v>8679</v>
      </c>
      <c r="AI6" s="1034" t="s">
        <v>5082</v>
      </c>
      <c r="AJ6" s="999"/>
      <c r="AK6" s="1001" t="s">
        <v>8680</v>
      </c>
      <c r="AL6" s="999"/>
      <c r="AM6" s="1001" t="s">
        <v>8681</v>
      </c>
      <c r="AN6" s="998" t="s">
        <v>8682</v>
      </c>
      <c r="AO6" s="998" t="s">
        <v>8683</v>
      </c>
      <c r="AP6" s="1001" t="s">
        <v>8684</v>
      </c>
      <c r="AQ6" s="999"/>
      <c r="AR6" s="998" t="s">
        <v>8685</v>
      </c>
      <c r="AS6" s="999"/>
      <c r="AT6" s="1001" t="s">
        <v>8686</v>
      </c>
      <c r="AU6" s="1001" t="s">
        <v>8687</v>
      </c>
      <c r="AV6" s="999"/>
      <c r="AW6" s="1001" t="s">
        <v>8688</v>
      </c>
      <c r="AX6" s="999"/>
      <c r="AY6" s="999"/>
      <c r="AZ6" s="1001" t="s">
        <v>1574</v>
      </c>
      <c r="BA6" s="1001" t="s">
        <v>5379</v>
      </c>
      <c r="BB6" s="1001" t="s">
        <v>8689</v>
      </c>
      <c r="BC6" s="1001" t="s">
        <v>8690</v>
      </c>
      <c r="BD6" s="1001" t="s">
        <v>8691</v>
      </c>
      <c r="BE6" s="999"/>
      <c r="BF6" s="999"/>
      <c r="BG6" s="999"/>
      <c r="BH6" s="999"/>
      <c r="BI6" s="999"/>
      <c r="BJ6" s="999"/>
      <c r="BK6" s="999"/>
      <c r="BL6" s="999"/>
      <c r="BM6" s="999"/>
      <c r="BN6" s="999"/>
      <c r="BO6" s="999"/>
      <c r="BP6" s="999"/>
      <c r="BQ6" s="999"/>
      <c r="BR6" s="999"/>
      <c r="BS6" s="999"/>
      <c r="BT6" s="999"/>
      <c r="BU6" s="999"/>
      <c r="BV6" s="999"/>
      <c r="BW6" s="1035" t="s">
        <v>5458</v>
      </c>
      <c r="BX6" s="1001" t="s">
        <v>1733</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7159</v>
      </c>
      <c r="B7" s="809" t="s">
        <v>8692</v>
      </c>
      <c r="C7" s="805" t="s">
        <v>547</v>
      </c>
      <c r="D7" s="806" t="s">
        <v>332</v>
      </c>
      <c r="E7" s="807" t="s">
        <v>650</v>
      </c>
      <c r="F7" s="808" t="s">
        <v>333</v>
      </c>
      <c r="G7" s="809" t="s">
        <v>5881</v>
      </c>
      <c r="H7" s="998" t="s">
        <v>8693</v>
      </c>
      <c r="I7" s="998" t="s">
        <v>7315</v>
      </c>
      <c r="J7" s="998"/>
      <c r="K7" s="1033" t="s">
        <v>8694</v>
      </c>
      <c r="L7" s="1034" t="s">
        <v>8695</v>
      </c>
      <c r="M7" s="998"/>
      <c r="N7" s="998"/>
      <c r="O7" s="1001" t="s">
        <v>8696</v>
      </c>
      <c r="P7" s="998" t="s">
        <v>8697</v>
      </c>
      <c r="Q7" s="998" t="s">
        <v>8698</v>
      </c>
      <c r="R7" s="1035" t="s">
        <v>8699</v>
      </c>
      <c r="S7" s="998"/>
      <c r="T7" s="1001" t="s">
        <v>8700</v>
      </c>
      <c r="U7" s="1033" t="s">
        <v>8701</v>
      </c>
      <c r="V7" s="998"/>
      <c r="W7" s="998" t="s">
        <v>7622</v>
      </c>
      <c r="X7" s="998"/>
      <c r="Y7" s="998" t="s">
        <v>8702</v>
      </c>
      <c r="Z7" s="1033" t="s">
        <v>122</v>
      </c>
      <c r="AA7" s="1038"/>
      <c r="AB7" s="1038"/>
      <c r="AC7" s="998" t="s">
        <v>8703</v>
      </c>
      <c r="AD7" s="999"/>
      <c r="AE7" s="1034" t="s">
        <v>8704</v>
      </c>
      <c r="AF7" s="998" t="s">
        <v>8705</v>
      </c>
      <c r="AG7" s="998"/>
      <c r="AH7" s="998" t="s">
        <v>2556</v>
      </c>
      <c r="AI7" s="998" t="s">
        <v>1825</v>
      </c>
      <c r="AJ7" s="999"/>
      <c r="AK7" s="998"/>
      <c r="AL7" s="998"/>
      <c r="AM7" s="998" t="s">
        <v>8706</v>
      </c>
      <c r="AN7" s="999"/>
      <c r="AO7" s="999"/>
      <c r="AP7" s="998" t="s">
        <v>8707</v>
      </c>
      <c r="AQ7" s="1001" t="s">
        <v>8708</v>
      </c>
      <c r="AR7" s="998" t="s">
        <v>8709</v>
      </c>
      <c r="AS7" s="998"/>
      <c r="AT7" s="998" t="s">
        <v>8710</v>
      </c>
      <c r="AU7" s="1001" t="s">
        <v>8711</v>
      </c>
      <c r="AV7" s="998"/>
      <c r="AW7" s="1404" t="s">
        <v>8712</v>
      </c>
      <c r="AX7" s="113"/>
      <c r="AY7" s="113" t="s">
        <v>8713</v>
      </c>
      <c r="AZ7" s="998" t="s">
        <v>3099</v>
      </c>
      <c r="BA7" s="998"/>
      <c r="BB7" s="998" t="s">
        <v>8691</v>
      </c>
      <c r="BC7" s="1034" t="s">
        <v>8714</v>
      </c>
      <c r="BD7" s="998" t="s">
        <v>8715</v>
      </c>
      <c r="BE7" s="998"/>
      <c r="BF7" s="998"/>
      <c r="BG7" s="998" t="s">
        <v>8716</v>
      </c>
      <c r="BH7" s="998"/>
      <c r="BI7" s="998"/>
      <c r="BJ7" s="998"/>
      <c r="BK7" s="998" t="s">
        <v>8717</v>
      </c>
      <c r="BL7" s="998"/>
      <c r="BM7" s="998"/>
      <c r="BN7" s="998"/>
      <c r="BO7" s="998"/>
      <c r="BP7" s="998" t="s">
        <v>8718</v>
      </c>
      <c r="BQ7" s="999"/>
      <c r="BR7" s="999"/>
      <c r="BS7" s="999"/>
      <c r="BT7" s="999"/>
      <c r="BU7" s="999"/>
      <c r="BV7" s="998"/>
      <c r="BW7" s="998" t="s">
        <v>7931</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8719</v>
      </c>
      <c r="C8" s="805" t="s">
        <v>547</v>
      </c>
      <c r="D8" s="806" t="s">
        <v>332</v>
      </c>
      <c r="E8" s="807" t="s">
        <v>334</v>
      </c>
      <c r="F8" s="808" t="s">
        <v>4117</v>
      </c>
      <c r="G8" s="809" t="s">
        <v>1880</v>
      </c>
      <c r="H8" s="1422"/>
      <c r="I8" s="1418" t="s">
        <v>8720</v>
      </c>
      <c r="J8" s="999"/>
      <c r="K8" s="1001" t="s">
        <v>8721</v>
      </c>
      <c r="L8" s="998" t="s">
        <v>8722</v>
      </c>
      <c r="M8" s="1083" t="s">
        <v>8723</v>
      </c>
      <c r="N8" s="999"/>
      <c r="O8" s="1001" t="s">
        <v>8724</v>
      </c>
      <c r="P8" s="1001" t="s">
        <v>8725</v>
      </c>
      <c r="Q8" s="999"/>
      <c r="R8" s="1001" t="s">
        <v>8726</v>
      </c>
      <c r="S8" s="1001" t="s">
        <v>8727</v>
      </c>
      <c r="T8" s="999"/>
      <c r="U8" s="1001" t="s">
        <v>8728</v>
      </c>
      <c r="V8" s="1038"/>
      <c r="W8" s="998" t="s">
        <v>5159</v>
      </c>
      <c r="X8" s="1001" t="s">
        <v>8729</v>
      </c>
      <c r="Y8" s="1001" t="s">
        <v>3038</v>
      </c>
      <c r="Z8" s="999"/>
      <c r="AA8" s="999"/>
      <c r="AB8" s="999"/>
      <c r="AC8" s="1001" t="s">
        <v>4159</v>
      </c>
      <c r="AD8" s="1083" t="s">
        <v>4283</v>
      </c>
      <c r="AE8" s="999"/>
      <c r="AF8" s="999"/>
      <c r="AG8" s="1035" t="s">
        <v>8730</v>
      </c>
      <c r="AH8" s="1045" t="s">
        <v>5487</v>
      </c>
      <c r="AI8" s="1033" t="s">
        <v>1298</v>
      </c>
      <c r="AJ8" s="999"/>
      <c r="AK8" s="1045" t="s">
        <v>4839</v>
      </c>
      <c r="AL8" s="998"/>
      <c r="AM8" s="1001" t="s">
        <v>8731</v>
      </c>
      <c r="AN8" s="999"/>
      <c r="AO8" s="999"/>
      <c r="AP8" s="1001" t="s">
        <v>8732</v>
      </c>
      <c r="AQ8" s="1001" t="s">
        <v>8707</v>
      </c>
      <c r="AR8" s="1001" t="s">
        <v>8733</v>
      </c>
      <c r="AS8" s="998" t="s">
        <v>8734</v>
      </c>
      <c r="AT8" s="1001" t="s">
        <v>8735</v>
      </c>
      <c r="AU8" s="1001" t="s">
        <v>8736</v>
      </c>
      <c r="AV8" s="999"/>
      <c r="AW8" s="998" t="s">
        <v>8731</v>
      </c>
      <c r="AX8" s="999"/>
      <c r="AY8" s="999"/>
      <c r="AZ8" s="1033" t="s">
        <v>8737</v>
      </c>
      <c r="BA8" s="1038"/>
      <c r="BB8" s="1001" t="s">
        <v>8738</v>
      </c>
      <c r="BC8" s="1001" t="s">
        <v>8739</v>
      </c>
      <c r="BD8" s="1033" t="s">
        <v>8740</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8741</v>
      </c>
      <c r="CF8" s="1414" t="s">
        <v>8742</v>
      </c>
      <c r="CG8" s="1414" t="s">
        <v>8743</v>
      </c>
      <c r="CH8" s="1412"/>
      <c r="CI8" s="1412"/>
      <c r="CJ8" s="1413" t="s">
        <v>8744</v>
      </c>
      <c r="CK8" s="1412"/>
      <c r="CL8" s="1413" t="s">
        <v>4117</v>
      </c>
      <c r="CM8" s="1412"/>
      <c r="CN8" s="1423" t="s">
        <v>6255</v>
      </c>
      <c r="CO8" s="1412"/>
      <c r="CP8" s="1412"/>
      <c r="CQ8" s="1412"/>
      <c r="CR8" s="1413" t="s">
        <v>7027</v>
      </c>
      <c r="CS8" s="1412"/>
      <c r="CT8" s="999"/>
      <c r="CU8" s="999"/>
    </row>
    <row r="9">
      <c r="A9" s="1424" t="s">
        <v>8745</v>
      </c>
      <c r="B9" s="809" t="s">
        <v>8746</v>
      </c>
      <c r="C9" s="805" t="s">
        <v>1260</v>
      </c>
      <c r="D9" s="806" t="s">
        <v>438</v>
      </c>
      <c r="E9" s="807" t="s">
        <v>439</v>
      </c>
      <c r="F9" s="808" t="s">
        <v>222</v>
      </c>
      <c r="G9" s="809" t="s">
        <v>7027</v>
      </c>
      <c r="H9" s="1001" t="s">
        <v>8747</v>
      </c>
      <c r="I9" s="1001" t="s">
        <v>8748</v>
      </c>
      <c r="J9" s="1038"/>
      <c r="K9" s="999"/>
      <c r="L9" s="999"/>
      <c r="M9" s="999"/>
      <c r="N9" s="999"/>
      <c r="O9" s="999"/>
      <c r="P9" s="998" t="s">
        <v>8749</v>
      </c>
      <c r="Q9" s="999"/>
      <c r="R9" s="1001" t="s">
        <v>8750</v>
      </c>
      <c r="S9" s="999"/>
      <c r="T9" s="999"/>
      <c r="U9" s="1425" t="s">
        <v>8751</v>
      </c>
      <c r="V9" s="1038"/>
      <c r="W9" s="1426" t="s">
        <v>784</v>
      </c>
      <c r="X9" s="1055" t="s">
        <v>3778</v>
      </c>
      <c r="Y9" s="1137" t="s">
        <v>5079</v>
      </c>
      <c r="Z9" s="1038"/>
      <c r="AA9" s="1038" t="s">
        <v>8752</v>
      </c>
      <c r="AB9" s="1038"/>
      <c r="AC9" s="1033" t="s">
        <v>8753</v>
      </c>
      <c r="AD9" s="1001" t="s">
        <v>819</v>
      </c>
      <c r="AE9" s="1038"/>
      <c r="AF9" s="1038"/>
      <c r="AG9" s="1038"/>
      <c r="AH9" s="999"/>
      <c r="AI9" s="999"/>
      <c r="AJ9" s="999"/>
      <c r="AK9" s="1045" t="s">
        <v>325</v>
      </c>
      <c r="AL9" s="998"/>
      <c r="AM9" s="1033" t="s">
        <v>8754</v>
      </c>
      <c r="AN9" s="1045" t="s">
        <v>8731</v>
      </c>
      <c r="AO9" s="999"/>
      <c r="AP9" s="1001" t="s">
        <v>8755</v>
      </c>
      <c r="AQ9" s="1038"/>
      <c r="AR9" s="999"/>
      <c r="AS9" s="999"/>
      <c r="AT9" s="1001" t="s">
        <v>8756</v>
      </c>
      <c r="AU9" s="998"/>
      <c r="AV9" s="998"/>
      <c r="AW9" s="1001" t="s">
        <v>8757</v>
      </c>
      <c r="AX9" s="999"/>
      <c r="AY9" s="999"/>
      <c r="AZ9" s="999"/>
      <c r="BA9" s="999"/>
      <c r="BB9" s="1001" t="s">
        <v>8758</v>
      </c>
      <c r="BC9" s="1045" t="s">
        <v>8759</v>
      </c>
      <c r="BD9" s="999"/>
      <c r="BE9" s="999"/>
      <c r="BF9" s="999"/>
      <c r="BG9" s="926"/>
      <c r="BH9" s="900" t="s">
        <v>8760</v>
      </c>
      <c r="BI9" s="926"/>
      <c r="BJ9" s="926"/>
      <c r="BK9" s="926"/>
      <c r="BL9" s="926"/>
      <c r="BM9" s="926"/>
      <c r="BN9" s="926"/>
      <c r="BO9" s="926"/>
      <c r="BP9" s="926"/>
      <c r="BQ9" s="999"/>
      <c r="BR9" s="999"/>
      <c r="BS9" s="1033" t="s">
        <v>8761</v>
      </c>
      <c r="BT9" s="999"/>
      <c r="BU9" s="999"/>
      <c r="BV9" s="1427" t="s">
        <v>1137</v>
      </c>
      <c r="BW9" s="1033" t="s">
        <v>3640</v>
      </c>
      <c r="BX9" s="1034" t="s">
        <v>2318</v>
      </c>
      <c r="BY9" s="1425" t="s">
        <v>3278</v>
      </c>
      <c r="BZ9" s="1038"/>
      <c r="CA9" s="1034" t="s">
        <v>2044</v>
      </c>
      <c r="CB9" s="1425" t="s">
        <v>2855</v>
      </c>
      <c r="CC9" s="1419" t="s">
        <v>3547</v>
      </c>
      <c r="CD9" s="1048"/>
      <c r="CE9" s="1412"/>
      <c r="CF9" s="1412"/>
      <c r="CG9" s="1412"/>
      <c r="CH9" s="1412"/>
      <c r="CI9" s="1412"/>
      <c r="CJ9" s="1412"/>
      <c r="CK9" s="1412"/>
      <c r="CL9" s="1412"/>
      <c r="CM9" s="1414" t="s">
        <v>2157</v>
      </c>
      <c r="CN9" s="1412"/>
      <c r="CO9" s="1412"/>
      <c r="CP9" s="1412"/>
      <c r="CQ9" s="1428" t="s">
        <v>8762</v>
      </c>
      <c r="CR9" s="1412"/>
      <c r="CS9" s="1412"/>
      <c r="CT9" s="1038"/>
      <c r="CU9" s="1038"/>
    </row>
    <row r="10">
      <c r="A10" s="1429" t="s">
        <v>8763</v>
      </c>
      <c r="B10" s="809" t="s">
        <v>8764</v>
      </c>
      <c r="C10" s="805" t="s">
        <v>1260</v>
      </c>
      <c r="D10" s="806" t="s">
        <v>438</v>
      </c>
      <c r="E10" s="807" t="s">
        <v>650</v>
      </c>
      <c r="F10" s="808" t="s">
        <v>4117</v>
      </c>
      <c r="G10" s="809" t="s">
        <v>2994</v>
      </c>
      <c r="H10" s="1418" t="s">
        <v>8765</v>
      </c>
      <c r="I10" s="1418" t="s">
        <v>8766</v>
      </c>
      <c r="J10" s="999"/>
      <c r="K10" s="1001" t="s">
        <v>8767</v>
      </c>
      <c r="L10" s="1001" t="s">
        <v>8768</v>
      </c>
      <c r="M10" s="999"/>
      <c r="N10" s="999"/>
      <c r="O10" s="1001" t="s">
        <v>8769</v>
      </c>
      <c r="P10" s="1001" t="s">
        <v>8770</v>
      </c>
      <c r="Q10" s="1033" t="s">
        <v>5145</v>
      </c>
      <c r="R10" s="1001" t="s">
        <v>8771</v>
      </c>
      <c r="S10" s="1001" t="s">
        <v>8772</v>
      </c>
      <c r="T10" s="1001" t="s">
        <v>8773</v>
      </c>
      <c r="U10" s="1001" t="s">
        <v>6061</v>
      </c>
      <c r="V10" s="999"/>
      <c r="W10" s="999"/>
      <c r="X10" s="1001" t="s">
        <v>147</v>
      </c>
      <c r="Y10" s="1083" t="s">
        <v>2260</v>
      </c>
      <c r="Z10" s="999"/>
      <c r="AA10" s="1001" t="s">
        <v>6154</v>
      </c>
      <c r="AB10" s="999"/>
      <c r="AC10" s="1001" t="s">
        <v>2258</v>
      </c>
      <c r="AD10" s="1001" t="s">
        <v>2300</v>
      </c>
      <c r="AE10" s="1001" t="s">
        <v>1275</v>
      </c>
      <c r="AF10" s="999"/>
      <c r="AG10" s="999"/>
      <c r="AH10" s="999"/>
      <c r="AI10" s="999"/>
      <c r="AJ10" s="999"/>
      <c r="AK10" s="999"/>
      <c r="AL10" s="999"/>
      <c r="AM10" s="998" t="s">
        <v>8774</v>
      </c>
      <c r="AN10" s="1034" t="s">
        <v>8775</v>
      </c>
      <c r="AO10" s="999"/>
      <c r="AP10" s="1253" t="s">
        <v>8774</v>
      </c>
      <c r="AQ10" s="1001" t="s">
        <v>8776</v>
      </c>
      <c r="AR10" s="1001" t="s">
        <v>8777</v>
      </c>
      <c r="AS10" s="999"/>
      <c r="AT10" s="1001" t="s">
        <v>8778</v>
      </c>
      <c r="AU10" s="1001" t="s">
        <v>8779</v>
      </c>
      <c r="AV10" s="1001" t="s">
        <v>8780</v>
      </c>
      <c r="AW10" s="1001" t="s">
        <v>8781</v>
      </c>
      <c r="AX10" s="1001" t="s">
        <v>8782</v>
      </c>
      <c r="AY10" s="999"/>
      <c r="AZ10" s="999"/>
      <c r="BA10" s="999"/>
      <c r="BB10" s="1001" t="s">
        <v>8779</v>
      </c>
      <c r="BC10" s="999"/>
      <c r="BD10" s="1001" t="s">
        <v>8783</v>
      </c>
      <c r="BE10" s="1034" t="s">
        <v>8784</v>
      </c>
      <c r="BF10" s="999"/>
      <c r="BG10" s="1430" t="s">
        <v>8785</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8786</v>
      </c>
      <c r="CU10" s="999"/>
    </row>
    <row r="11">
      <c r="A11" s="1432" t="s">
        <v>2992</v>
      </c>
      <c r="B11" s="809" t="s">
        <v>8787</v>
      </c>
      <c r="C11" s="805" t="s">
        <v>547</v>
      </c>
      <c r="D11" s="806" t="s">
        <v>438</v>
      </c>
      <c r="E11" s="807" t="s">
        <v>547</v>
      </c>
      <c r="F11" s="808" t="s">
        <v>3061</v>
      </c>
      <c r="G11" s="809" t="s">
        <v>1880</v>
      </c>
      <c r="H11" s="1422"/>
      <c r="I11" s="1422" t="s">
        <v>8788</v>
      </c>
      <c r="J11" s="999"/>
      <c r="K11" s="998" t="s">
        <v>8789</v>
      </c>
      <c r="L11" s="1001" t="s">
        <v>8790</v>
      </c>
      <c r="M11" s="998" t="s">
        <v>8721</v>
      </c>
      <c r="N11" s="999"/>
      <c r="O11" s="998" t="s">
        <v>8791</v>
      </c>
      <c r="P11" s="998" t="s">
        <v>8792</v>
      </c>
      <c r="Q11" s="998" t="s">
        <v>8793</v>
      </c>
      <c r="R11" s="998" t="s">
        <v>8794</v>
      </c>
      <c r="S11" s="1001" t="s">
        <v>3029</v>
      </c>
      <c r="T11" s="999"/>
      <c r="U11" s="998" t="s">
        <v>4008</v>
      </c>
      <c r="V11" s="999"/>
      <c r="W11" s="998" t="s">
        <v>5014</v>
      </c>
      <c r="X11" s="1001" t="s">
        <v>3671</v>
      </c>
      <c r="Y11" s="1001" t="s">
        <v>8795</v>
      </c>
      <c r="Z11" s="999"/>
      <c r="AA11" s="1001" t="s">
        <v>5783</v>
      </c>
      <c r="AB11" s="999"/>
      <c r="AC11" s="998" t="s">
        <v>5915</v>
      </c>
      <c r="AD11" s="998" t="s">
        <v>2059</v>
      </c>
      <c r="AE11" s="998"/>
      <c r="AF11" s="998" t="s">
        <v>5724</v>
      </c>
      <c r="AG11" s="999"/>
      <c r="AH11" s="999"/>
      <c r="AI11" s="999"/>
      <c r="AJ11" s="999"/>
      <c r="AK11" s="999"/>
      <c r="AL11" s="999"/>
      <c r="AM11" s="1001" t="s">
        <v>8796</v>
      </c>
      <c r="AN11" s="1034" t="s">
        <v>8775</v>
      </c>
      <c r="AO11" s="1034" t="s">
        <v>8797</v>
      </c>
      <c r="AP11" s="998" t="s">
        <v>8781</v>
      </c>
      <c r="AQ11" s="998" t="s">
        <v>8781</v>
      </c>
      <c r="AR11" s="1001" t="s">
        <v>8798</v>
      </c>
      <c r="AS11" s="998" t="s">
        <v>8539</v>
      </c>
      <c r="AT11" s="998"/>
      <c r="AU11" s="1033" t="s">
        <v>8799</v>
      </c>
      <c r="AV11" s="998" t="s">
        <v>8756</v>
      </c>
      <c r="AW11" s="998" t="s">
        <v>8800</v>
      </c>
      <c r="AX11" s="999"/>
      <c r="AY11" s="1035" t="s">
        <v>8801</v>
      </c>
      <c r="AZ11" s="998" t="s">
        <v>5171</v>
      </c>
      <c r="BA11" s="998"/>
      <c r="BB11" s="998" t="s">
        <v>8534</v>
      </c>
      <c r="BC11" s="1045" t="s">
        <v>8802</v>
      </c>
      <c r="BD11" s="1045" t="s">
        <v>8803</v>
      </c>
      <c r="BE11" s="998"/>
      <c r="BF11" s="998"/>
      <c r="BG11" s="926"/>
      <c r="BH11" s="926"/>
      <c r="BI11" s="926"/>
      <c r="BJ11" s="926"/>
      <c r="BK11" s="926"/>
      <c r="BL11" s="926"/>
      <c r="BM11" s="926"/>
      <c r="BN11" s="926"/>
      <c r="BO11" s="926"/>
      <c r="BP11" s="926"/>
      <c r="BQ11" s="999"/>
      <c r="BR11" s="999"/>
      <c r="BS11" s="999"/>
      <c r="BT11" s="999"/>
      <c r="BU11" s="999"/>
      <c r="BV11" s="1433" t="s">
        <v>1306</v>
      </c>
      <c r="BW11" s="1032"/>
      <c r="BX11" s="998" t="s">
        <v>1522</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8804</v>
      </c>
      <c r="CT11" s="999"/>
      <c r="CU11" s="999"/>
    </row>
    <row r="12">
      <c r="A12" s="1434" t="s">
        <v>3195</v>
      </c>
      <c r="B12" s="809" t="s">
        <v>8805</v>
      </c>
      <c r="C12" s="805" t="s">
        <v>1260</v>
      </c>
      <c r="D12" s="806" t="s">
        <v>1260</v>
      </c>
      <c r="E12" s="807" t="s">
        <v>547</v>
      </c>
      <c r="F12" s="808" t="s">
        <v>7482</v>
      </c>
      <c r="G12" s="809" t="s">
        <v>6286</v>
      </c>
      <c r="H12" s="1422"/>
      <c r="I12" s="1418" t="s">
        <v>8806</v>
      </c>
      <c r="J12" s="999"/>
      <c r="K12" s="1001" t="s">
        <v>8807</v>
      </c>
      <c r="L12" s="1001" t="s">
        <v>8808</v>
      </c>
      <c r="M12" s="1001" t="s">
        <v>8809</v>
      </c>
      <c r="N12" s="999"/>
      <c r="O12" s="1083" t="s">
        <v>8810</v>
      </c>
      <c r="P12" s="1001" t="s">
        <v>8811</v>
      </c>
      <c r="Q12" s="999"/>
      <c r="R12" s="1001" t="s">
        <v>8812</v>
      </c>
      <c r="S12" s="1001" t="s">
        <v>8813</v>
      </c>
      <c r="T12" s="998" t="s">
        <v>8814</v>
      </c>
      <c r="U12" s="1001" t="s">
        <v>8815</v>
      </c>
      <c r="V12" s="999"/>
      <c r="W12" s="999"/>
      <c r="X12" s="1083" t="s">
        <v>8816</v>
      </c>
      <c r="Y12" s="1001" t="s">
        <v>8817</v>
      </c>
      <c r="Z12" s="999"/>
      <c r="AA12" s="1083" t="s">
        <v>8818</v>
      </c>
      <c r="AB12" s="998" t="s">
        <v>8819</v>
      </c>
      <c r="AC12" s="1001" t="s">
        <v>8820</v>
      </c>
      <c r="AD12" s="1001" t="s">
        <v>8821</v>
      </c>
      <c r="AE12" s="1001" t="s">
        <v>4546</v>
      </c>
      <c r="AF12" s="1001" t="s">
        <v>8822</v>
      </c>
      <c r="AG12" s="999"/>
      <c r="AH12" s="999"/>
      <c r="AI12" s="999"/>
      <c r="AJ12" s="999"/>
      <c r="AK12" s="999"/>
      <c r="AL12" s="999"/>
      <c r="AM12" s="1001" t="s">
        <v>8823</v>
      </c>
      <c r="AN12" s="1001" t="s">
        <v>8824</v>
      </c>
      <c r="AO12" s="1001" t="s">
        <v>8825</v>
      </c>
      <c r="AP12" s="999"/>
      <c r="AQ12" s="998" t="s">
        <v>8731</v>
      </c>
      <c r="AR12" s="1001" t="s">
        <v>8826</v>
      </c>
      <c r="AS12" s="999"/>
      <c r="AT12" s="1001" t="s">
        <v>8827</v>
      </c>
      <c r="AU12" s="1001" t="s">
        <v>8828</v>
      </c>
      <c r="AV12" s="999"/>
      <c r="AW12" s="1001" t="s">
        <v>8829</v>
      </c>
      <c r="AX12" s="999"/>
      <c r="AY12" s="999"/>
      <c r="AZ12" s="999"/>
      <c r="BA12" s="999"/>
      <c r="BB12" s="1001" t="s">
        <v>8830</v>
      </c>
      <c r="BC12" s="1001" t="s">
        <v>8831</v>
      </c>
      <c r="BD12" s="999"/>
      <c r="BE12" s="999"/>
      <c r="BF12" s="999"/>
      <c r="BG12" s="1431"/>
      <c r="BH12" s="1431"/>
      <c r="BI12" s="1431"/>
      <c r="BJ12" s="1431"/>
      <c r="BK12" s="1431"/>
      <c r="BL12" s="1430" t="s">
        <v>8832</v>
      </c>
      <c r="BM12" s="1431"/>
      <c r="BN12" s="1431"/>
      <c r="BO12" s="1431"/>
      <c r="BP12" s="1431"/>
      <c r="BQ12" s="999"/>
      <c r="BR12" s="999"/>
      <c r="BS12" s="999"/>
      <c r="BT12" s="999"/>
      <c r="BU12" s="999"/>
      <c r="BV12" s="1001" t="s">
        <v>3203</v>
      </c>
      <c r="BW12" s="1032"/>
      <c r="BX12" s="999"/>
      <c r="BY12" s="999"/>
      <c r="BZ12" s="999"/>
      <c r="CA12" s="1032"/>
      <c r="CB12" s="999"/>
      <c r="CC12" s="999"/>
      <c r="CD12" s="1032"/>
      <c r="CE12" s="1001" t="s">
        <v>8833</v>
      </c>
      <c r="CF12" s="999"/>
      <c r="CG12" s="999"/>
      <c r="CH12" s="999"/>
      <c r="CI12" s="999"/>
      <c r="CJ12" s="999"/>
      <c r="CK12" s="999"/>
      <c r="CL12" s="999"/>
      <c r="CM12" s="999"/>
      <c r="CN12" s="999"/>
      <c r="CO12" s="999"/>
      <c r="CP12" s="999"/>
      <c r="CQ12" s="999"/>
      <c r="CR12" s="999"/>
      <c r="CS12" s="999"/>
      <c r="CT12" s="999"/>
      <c r="CU12" s="999"/>
    </row>
    <row r="13">
      <c r="A13" s="1420" t="s">
        <v>3906</v>
      </c>
      <c r="B13" s="809" t="s">
        <v>8834</v>
      </c>
      <c r="C13" s="805" t="s">
        <v>1260</v>
      </c>
      <c r="D13" s="806" t="s">
        <v>1260</v>
      </c>
      <c r="E13" s="807" t="s">
        <v>1260</v>
      </c>
      <c r="F13" s="808" t="s">
        <v>547</v>
      </c>
      <c r="G13" s="809" t="s">
        <v>1810</v>
      </c>
      <c r="H13" s="1422"/>
      <c r="I13" s="1422" t="s">
        <v>3915</v>
      </c>
      <c r="J13" s="998" t="s">
        <v>8835</v>
      </c>
      <c r="K13" s="998" t="s">
        <v>8836</v>
      </c>
      <c r="L13" s="998" t="s">
        <v>8837</v>
      </c>
      <c r="M13" s="998" t="s">
        <v>8838</v>
      </c>
      <c r="N13" s="998" t="s">
        <v>8839</v>
      </c>
      <c r="O13" s="998" t="s">
        <v>8840</v>
      </c>
      <c r="P13" s="998" t="s">
        <v>8841</v>
      </c>
      <c r="Q13" s="999"/>
      <c r="R13" s="1045" t="s">
        <v>8842</v>
      </c>
      <c r="S13" s="998" t="s">
        <v>8843</v>
      </c>
      <c r="T13" s="998" t="s">
        <v>8844</v>
      </c>
      <c r="U13" s="998" t="s">
        <v>8845</v>
      </c>
      <c r="V13" s="998" t="s">
        <v>4090</v>
      </c>
      <c r="W13" s="998" t="s">
        <v>5022</v>
      </c>
      <c r="X13" s="998" t="s">
        <v>8846</v>
      </c>
      <c r="Y13" s="998" t="s">
        <v>376</v>
      </c>
      <c r="Z13" s="1045" t="s">
        <v>3227</v>
      </c>
      <c r="AA13" s="998" t="s">
        <v>8847</v>
      </c>
      <c r="AB13" s="998"/>
      <c r="AC13" s="1045" t="s">
        <v>8848</v>
      </c>
      <c r="AD13" s="1045" t="s">
        <v>8849</v>
      </c>
      <c r="AE13" s="998" t="s">
        <v>5212</v>
      </c>
      <c r="AF13" s="998" t="s">
        <v>4097</v>
      </c>
      <c r="AG13" s="1045" t="s">
        <v>8850</v>
      </c>
      <c r="AH13" s="999"/>
      <c r="AI13" s="999"/>
      <c r="AJ13" s="999"/>
      <c r="AK13" s="999"/>
      <c r="AL13" s="998" t="s">
        <v>5633</v>
      </c>
      <c r="AM13" s="1045" t="s">
        <v>8851</v>
      </c>
      <c r="AN13" s="1045" t="s">
        <v>8852</v>
      </c>
      <c r="AO13" s="999"/>
      <c r="AP13" s="998" t="s">
        <v>8853</v>
      </c>
      <c r="AQ13" s="998" t="s">
        <v>8774</v>
      </c>
      <c r="AR13" s="1045" t="s">
        <v>8854</v>
      </c>
      <c r="AS13" s="998" t="s">
        <v>8855</v>
      </c>
      <c r="AT13" s="998" t="s">
        <v>8856</v>
      </c>
      <c r="AU13" s="998" t="s">
        <v>8857</v>
      </c>
      <c r="AV13" s="113" t="s">
        <v>8858</v>
      </c>
      <c r="AW13" s="998" t="s">
        <v>8859</v>
      </c>
      <c r="AX13" s="998" t="s">
        <v>8860</v>
      </c>
      <c r="AY13" s="999"/>
      <c r="AZ13" s="1045" t="s">
        <v>4848</v>
      </c>
      <c r="BA13" s="998"/>
      <c r="BB13" s="1045" t="s">
        <v>8861</v>
      </c>
      <c r="BC13" s="1045" t="s">
        <v>8862</v>
      </c>
      <c r="BD13" s="998" t="s">
        <v>8863</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1754</v>
      </c>
      <c r="CC13" s="999"/>
      <c r="CD13" s="1032"/>
      <c r="CE13" s="1412"/>
      <c r="CF13" s="998" t="s">
        <v>8802</v>
      </c>
      <c r="CG13" s="999"/>
      <c r="CH13" s="1412"/>
      <c r="CI13" s="1428" t="s">
        <v>8666</v>
      </c>
      <c r="CJ13" s="1415" t="s">
        <v>8742</v>
      </c>
      <c r="CK13" s="1415"/>
      <c r="CL13" s="1423" t="s">
        <v>6286</v>
      </c>
      <c r="CM13" s="1415" t="s">
        <v>8864</v>
      </c>
      <c r="CN13" s="1415" t="s">
        <v>6255</v>
      </c>
      <c r="CO13" s="1415" t="s">
        <v>5881</v>
      </c>
      <c r="CP13" s="1415" t="s">
        <v>8865</v>
      </c>
      <c r="CQ13" s="1415" t="s">
        <v>8866</v>
      </c>
      <c r="CR13" s="1412"/>
      <c r="CS13" s="1412"/>
      <c r="CT13" s="999"/>
      <c r="CU13" s="999"/>
    </row>
    <row r="14">
      <c r="A14" s="1435" t="s">
        <v>2191</v>
      </c>
      <c r="B14" s="809" t="s">
        <v>8867</v>
      </c>
      <c r="C14" s="805" t="s">
        <v>1260</v>
      </c>
      <c r="D14" s="806" t="s">
        <v>1260</v>
      </c>
      <c r="E14" s="807" t="s">
        <v>1260</v>
      </c>
      <c r="F14" s="808" t="s">
        <v>332</v>
      </c>
      <c r="G14" s="809" t="s">
        <v>4640</v>
      </c>
      <c r="H14" s="1422" t="s">
        <v>8868</v>
      </c>
      <c r="I14" s="1418" t="s">
        <v>2203</v>
      </c>
      <c r="J14" s="998" t="s">
        <v>8869</v>
      </c>
      <c r="K14" s="998" t="s">
        <v>8870</v>
      </c>
      <c r="L14" s="998" t="s">
        <v>8871</v>
      </c>
      <c r="M14" s="998" t="s">
        <v>8872</v>
      </c>
      <c r="N14" s="998" t="s">
        <v>8873</v>
      </c>
      <c r="O14" s="998" t="s">
        <v>8874</v>
      </c>
      <c r="P14" s="998" t="s">
        <v>8875</v>
      </c>
      <c r="Q14" s="998" t="s">
        <v>8876</v>
      </c>
      <c r="R14" s="998" t="s">
        <v>8877</v>
      </c>
      <c r="S14" s="1001" t="s">
        <v>8878</v>
      </c>
      <c r="T14" s="998" t="s">
        <v>8879</v>
      </c>
      <c r="U14" s="998" t="s">
        <v>8880</v>
      </c>
      <c r="V14" s="1001" t="s">
        <v>8881</v>
      </c>
      <c r="W14" s="998" t="s">
        <v>2759</v>
      </c>
      <c r="X14" s="998" t="s">
        <v>8882</v>
      </c>
      <c r="Y14" s="1045" t="s">
        <v>2059</v>
      </c>
      <c r="Z14" s="999"/>
      <c r="AA14" s="999"/>
      <c r="AB14" s="999"/>
      <c r="AC14" s="1045" t="s">
        <v>8883</v>
      </c>
      <c r="AD14" s="1045" t="s">
        <v>5295</v>
      </c>
      <c r="AE14" s="1001" t="s">
        <v>2531</v>
      </c>
      <c r="AF14" s="1045" t="s">
        <v>8884</v>
      </c>
      <c r="AG14" s="998" t="s">
        <v>8885</v>
      </c>
      <c r="AH14" s="999"/>
      <c r="AI14" s="999"/>
      <c r="AJ14" s="999"/>
      <c r="AK14" s="998" t="s">
        <v>8886</v>
      </c>
      <c r="AL14" s="998" t="s">
        <v>2925</v>
      </c>
      <c r="AM14" s="999"/>
      <c r="AN14" s="999"/>
      <c r="AO14" s="999"/>
      <c r="AP14" s="999"/>
      <c r="AQ14" s="999"/>
      <c r="AR14" s="999"/>
      <c r="AS14" s="999"/>
      <c r="AT14" s="998" t="s">
        <v>8887</v>
      </c>
      <c r="AU14" s="998" t="s">
        <v>8534</v>
      </c>
      <c r="AV14" s="999"/>
      <c r="AW14" s="998" t="s">
        <v>8888</v>
      </c>
      <c r="AX14" s="998" t="s">
        <v>8889</v>
      </c>
      <c r="AY14" s="999"/>
      <c r="AZ14" s="998"/>
      <c r="BA14" s="998"/>
      <c r="BB14" s="1038"/>
      <c r="BC14" s="998" t="s">
        <v>8802</v>
      </c>
      <c r="BD14" s="998" t="s">
        <v>8777</v>
      </c>
      <c r="BE14" s="998"/>
      <c r="BF14" s="998" t="s">
        <v>8890</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6105</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8891</v>
      </c>
      <c r="CU14" s="998"/>
    </row>
    <row r="15">
      <c r="A15" s="1420" t="s">
        <v>1878</v>
      </c>
      <c r="B15" s="809" t="s">
        <v>8892</v>
      </c>
      <c r="C15" s="805" t="s">
        <v>650</v>
      </c>
      <c r="D15" s="806" t="s">
        <v>438</v>
      </c>
      <c r="E15" s="807" t="s">
        <v>547</v>
      </c>
      <c r="F15" s="808" t="s">
        <v>649</v>
      </c>
      <c r="G15" s="809" t="s">
        <v>2683</v>
      </c>
      <c r="H15" s="1422"/>
      <c r="I15" s="1436" t="s">
        <v>8893</v>
      </c>
      <c r="J15" s="999"/>
      <c r="K15" s="998" t="s">
        <v>8894</v>
      </c>
      <c r="L15" s="999"/>
      <c r="M15" s="1035" t="s">
        <v>8895</v>
      </c>
      <c r="N15" s="999"/>
      <c r="O15" s="999"/>
      <c r="P15" s="999"/>
      <c r="Q15" s="1035" t="s">
        <v>8896</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8755</v>
      </c>
      <c r="AQ15" s="998"/>
      <c r="AR15" s="1045" t="s">
        <v>8897</v>
      </c>
      <c r="AS15" s="998"/>
      <c r="AT15" s="999"/>
      <c r="AU15" s="1045" t="s">
        <v>8779</v>
      </c>
      <c r="AV15" s="998"/>
      <c r="AW15" s="1045" t="s">
        <v>8898</v>
      </c>
      <c r="AX15" s="999"/>
      <c r="AY15" s="999"/>
      <c r="AZ15" s="999"/>
      <c r="BA15" s="999"/>
      <c r="BB15" s="1034" t="s">
        <v>8899</v>
      </c>
      <c r="BC15" s="1001" t="s">
        <v>8662</v>
      </c>
      <c r="BD15" s="999"/>
      <c r="BE15" s="999"/>
      <c r="BF15" s="999"/>
      <c r="BG15" s="999"/>
      <c r="BH15" s="999"/>
      <c r="BI15" s="999"/>
      <c r="BJ15" s="999"/>
      <c r="BK15" s="999"/>
      <c r="BL15" s="999"/>
      <c r="BM15" s="1035" t="s">
        <v>8900</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7485</v>
      </c>
      <c r="B16" s="809" t="s">
        <v>8901</v>
      </c>
      <c r="C16" s="805" t="s">
        <v>1260</v>
      </c>
      <c r="D16" s="806" t="s">
        <v>334</v>
      </c>
      <c r="E16" s="807" t="s">
        <v>547</v>
      </c>
      <c r="F16" s="808" t="s">
        <v>222</v>
      </c>
      <c r="G16" s="809" t="s">
        <v>983</v>
      </c>
      <c r="H16" s="1438" t="str">
        <f>HYPERLINK("https://www.twitch.tv/videos/990301696","3:46.19")</f>
        <v>3:46.19</v>
      </c>
      <c r="I16" s="1422" t="s">
        <v>8902</v>
      </c>
      <c r="J16" s="998"/>
      <c r="K16" s="998" t="s">
        <v>8903</v>
      </c>
      <c r="L16" s="999"/>
      <c r="M16" s="1439" t="str">
        <f>HYPERLINK("https://youtu.be/muKa7MrNAp8","2:59.41")</f>
        <v>2:59.41</v>
      </c>
      <c r="N16" s="1426"/>
      <c r="O16" s="113" t="s">
        <v>8904</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8905</v>
      </c>
      <c r="X16" s="998"/>
      <c r="Y16" s="998" t="s">
        <v>8906</v>
      </c>
      <c r="Z16" s="999"/>
      <c r="AA16" s="999"/>
      <c r="AB16" s="999"/>
      <c r="AC16" s="999"/>
      <c r="AD16" s="998" t="s">
        <v>4283</v>
      </c>
      <c r="AE16" s="999"/>
      <c r="AF16" s="999"/>
      <c r="AG16" s="999"/>
      <c r="AH16" s="998" t="s">
        <v>5234</v>
      </c>
      <c r="AI16" s="998"/>
      <c r="AJ16" s="998"/>
      <c r="AK16" s="1033" t="s">
        <v>8907</v>
      </c>
      <c r="AL16" s="1038"/>
      <c r="AM16" s="1045" t="s">
        <v>8781</v>
      </c>
      <c r="AN16" s="999"/>
      <c r="AO16" s="999"/>
      <c r="AP16" s="999"/>
      <c r="AQ16" s="999"/>
      <c r="AR16" s="999"/>
      <c r="AS16" s="999"/>
      <c r="AT16" s="998" t="s">
        <v>8860</v>
      </c>
      <c r="AU16" s="998" t="s">
        <v>8908</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6487</v>
      </c>
      <c r="C17" s="805" t="s">
        <v>1260</v>
      </c>
      <c r="D17" s="806" t="s">
        <v>547</v>
      </c>
      <c r="E17" s="807" t="s">
        <v>650</v>
      </c>
      <c r="F17" s="808" t="s">
        <v>3873</v>
      </c>
      <c r="G17" s="809" t="s">
        <v>2937</v>
      </c>
      <c r="H17" s="1449" t="s">
        <v>8909</v>
      </c>
      <c r="I17" s="1422" t="s">
        <v>8910</v>
      </c>
      <c r="J17" s="998" t="s">
        <v>8911</v>
      </c>
      <c r="K17" s="1422" t="s">
        <v>8912</v>
      </c>
      <c r="L17" s="998" t="s">
        <v>4569</v>
      </c>
      <c r="M17" s="998" t="s">
        <v>8492</v>
      </c>
      <c r="N17" s="998" t="s">
        <v>8913</v>
      </c>
      <c r="O17" s="998" t="s">
        <v>8914</v>
      </c>
      <c r="P17" s="998" t="s">
        <v>8915</v>
      </c>
      <c r="Q17" s="998" t="s">
        <v>7169</v>
      </c>
      <c r="R17" s="998" t="s">
        <v>8916</v>
      </c>
      <c r="S17" s="1042" t="s">
        <v>8917</v>
      </c>
      <c r="T17" s="1033" t="s">
        <v>8625</v>
      </c>
      <c r="U17" s="1450" t="s">
        <v>8918</v>
      </c>
      <c r="V17" s="998" t="s">
        <v>8919</v>
      </c>
      <c r="W17" s="1045" t="s">
        <v>8920</v>
      </c>
      <c r="X17" s="998" t="s">
        <v>8921</v>
      </c>
      <c r="Y17" s="998" t="s">
        <v>248</v>
      </c>
      <c r="Z17" s="999"/>
      <c r="AA17" s="1033" t="s">
        <v>8922</v>
      </c>
      <c r="AB17" s="999"/>
      <c r="AC17" s="1045" t="s">
        <v>8923</v>
      </c>
      <c r="AD17" s="998" t="s">
        <v>6181</v>
      </c>
      <c r="AE17" s="1001" t="s">
        <v>893</v>
      </c>
      <c r="AF17" s="999"/>
      <c r="AG17" s="999"/>
      <c r="AH17" s="999"/>
      <c r="AI17" s="999"/>
      <c r="AJ17" s="999"/>
      <c r="AK17" s="999"/>
      <c r="AL17" s="999"/>
      <c r="AM17" s="998"/>
      <c r="AN17" s="999"/>
      <c r="AO17" s="999"/>
      <c r="AP17" s="998" t="s">
        <v>8924</v>
      </c>
      <c r="AQ17" s="998" t="s">
        <v>8775</v>
      </c>
      <c r="AR17" s="999"/>
      <c r="AS17" s="1001" t="s">
        <v>8925</v>
      </c>
      <c r="AT17" s="1001" t="s">
        <v>8926</v>
      </c>
      <c r="AU17" s="999"/>
      <c r="AV17" s="999"/>
      <c r="AW17" s="999"/>
      <c r="AX17" s="999"/>
      <c r="AY17" s="998" t="s">
        <v>8862</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8927</v>
      </c>
      <c r="C18" s="805" t="s">
        <v>650</v>
      </c>
      <c r="D18" s="806" t="s">
        <v>334</v>
      </c>
      <c r="E18" s="807" t="s">
        <v>1260</v>
      </c>
      <c r="F18" s="808" t="s">
        <v>649</v>
      </c>
      <c r="G18" s="809" t="s">
        <v>221</v>
      </c>
      <c r="H18" s="1452" t="s">
        <v>8928</v>
      </c>
      <c r="I18" s="1449" t="s">
        <v>8929</v>
      </c>
      <c r="J18" s="1034" t="s">
        <v>8930</v>
      </c>
      <c r="K18" s="1034" t="s">
        <v>8931</v>
      </c>
      <c r="L18" s="998" t="s">
        <v>8932</v>
      </c>
      <c r="M18" s="999"/>
      <c r="N18" s="1035" t="s">
        <v>3703</v>
      </c>
      <c r="O18" s="1034" t="s">
        <v>8933</v>
      </c>
      <c r="P18" s="999"/>
      <c r="Q18" s="998" t="s">
        <v>8934</v>
      </c>
      <c r="R18" s="998" t="s">
        <v>8935</v>
      </c>
      <c r="S18" s="1035" t="s">
        <v>8936</v>
      </c>
      <c r="T18" s="1034" t="s">
        <v>8937</v>
      </c>
      <c r="U18" s="998" t="s">
        <v>8938</v>
      </c>
      <c r="V18" s="998" t="s">
        <v>8939</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7559</v>
      </c>
      <c r="B19" s="809" t="s">
        <v>6512</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8940</v>
      </c>
      <c r="X19" s="1034" t="s">
        <v>1653</v>
      </c>
      <c r="Y19" s="999"/>
      <c r="Z19" s="999"/>
      <c r="AA19" s="999"/>
      <c r="AB19" s="1034" t="s">
        <v>8941</v>
      </c>
      <c r="AC19" s="1034" t="s">
        <v>2463</v>
      </c>
      <c r="AD19" s="1001" t="s">
        <v>2721</v>
      </c>
      <c r="AE19" s="1038"/>
      <c r="AF19" s="1035" t="s">
        <v>8942</v>
      </c>
      <c r="AG19" s="999"/>
      <c r="AH19" s="1033" t="s">
        <v>1786</v>
      </c>
      <c r="AI19" s="1035" t="s">
        <v>3150</v>
      </c>
      <c r="AJ19" s="999"/>
      <c r="AK19" s="998" t="s">
        <v>4285</v>
      </c>
      <c r="AL19" s="999"/>
      <c r="AM19" s="999"/>
      <c r="AN19" s="999"/>
      <c r="AO19" s="999"/>
      <c r="AP19" s="1001" t="s">
        <v>8943</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8944</v>
      </c>
      <c r="C20" s="805" t="s">
        <v>1260</v>
      </c>
      <c r="D20" s="806" t="s">
        <v>547</v>
      </c>
      <c r="E20" s="807" t="s">
        <v>1260</v>
      </c>
      <c r="F20" s="808" t="s">
        <v>438</v>
      </c>
      <c r="G20" s="809" t="s">
        <v>3099</v>
      </c>
      <c r="H20" s="1422"/>
      <c r="I20" s="1422" t="s">
        <v>8945</v>
      </c>
      <c r="J20" s="998"/>
      <c r="K20" s="1045" t="s">
        <v>8946</v>
      </c>
      <c r="L20" s="998"/>
      <c r="M20" s="1045" t="s">
        <v>8947</v>
      </c>
      <c r="N20" s="999"/>
      <c r="O20" s="1045" t="s">
        <v>8948</v>
      </c>
      <c r="P20" s="999"/>
      <c r="Q20" s="999"/>
      <c r="R20" s="998" t="s">
        <v>8949</v>
      </c>
      <c r="S20" s="1426" t="s">
        <v>8950</v>
      </c>
      <c r="T20" s="1045" t="s">
        <v>8951</v>
      </c>
      <c r="U20" s="998" t="s">
        <v>3789</v>
      </c>
      <c r="V20" s="998"/>
      <c r="W20" s="1045" t="s">
        <v>4451</v>
      </c>
      <c r="X20" s="998" t="s">
        <v>3822</v>
      </c>
      <c r="Y20" s="1045" t="s">
        <v>2832</v>
      </c>
      <c r="Z20" s="999"/>
      <c r="AA20" s="999"/>
      <c r="AB20" s="999"/>
      <c r="AC20" s="1045" t="s">
        <v>8952</v>
      </c>
      <c r="AD20" s="998" t="s">
        <v>5494</v>
      </c>
      <c r="AE20" s="998"/>
      <c r="AF20" s="1045" t="s">
        <v>8953</v>
      </c>
      <c r="AG20" s="1034" t="s">
        <v>8954</v>
      </c>
      <c r="AH20" s="1001" t="s">
        <v>1269</v>
      </c>
      <c r="AI20" s="999"/>
      <c r="AJ20" s="999"/>
      <c r="AK20" s="1045" t="s">
        <v>710</v>
      </c>
      <c r="AL20" s="999"/>
      <c r="AM20" s="1045" t="s">
        <v>8783</v>
      </c>
      <c r="AN20" s="999"/>
      <c r="AO20" s="999"/>
      <c r="AP20" s="998" t="s">
        <v>8682</v>
      </c>
      <c r="AQ20" s="998"/>
      <c r="AR20" s="998" t="s">
        <v>8710</v>
      </c>
      <c r="AS20" s="998" t="s">
        <v>8955</v>
      </c>
      <c r="AT20" s="998" t="s">
        <v>8956</v>
      </c>
      <c r="AU20" s="998" t="s">
        <v>8957</v>
      </c>
      <c r="AV20" s="998"/>
      <c r="AW20" s="999"/>
      <c r="AX20" s="999"/>
      <c r="AY20" s="999"/>
      <c r="AZ20" s="1045" t="s">
        <v>1634</v>
      </c>
      <c r="BA20" s="998"/>
      <c r="BB20" s="1045" t="s">
        <v>8779</v>
      </c>
      <c r="BC20" s="1045" t="s">
        <v>8958</v>
      </c>
      <c r="BD20" s="1045" t="s">
        <v>8603</v>
      </c>
      <c r="BE20" s="998"/>
      <c r="BF20" s="998"/>
      <c r="BG20" s="999"/>
      <c r="BH20" s="999"/>
      <c r="BI20" s="999"/>
      <c r="BJ20" s="999"/>
      <c r="BK20" s="999"/>
      <c r="BL20" s="999"/>
      <c r="BM20" s="999"/>
      <c r="BN20" s="1045" t="s">
        <v>8959</v>
      </c>
      <c r="BO20" s="1045" t="s">
        <v>8960</v>
      </c>
      <c r="BP20" s="998"/>
      <c r="BQ20" s="999"/>
      <c r="BR20" s="999"/>
      <c r="BS20" s="999"/>
      <c r="BT20" s="999"/>
      <c r="BU20" s="999"/>
      <c r="BV20" s="1433" t="s">
        <v>4704</v>
      </c>
      <c r="BW20" s="1032"/>
      <c r="BX20" s="999"/>
      <c r="BY20" s="998" t="s">
        <v>2231</v>
      </c>
      <c r="BZ20" s="999"/>
      <c r="CA20" s="1032"/>
      <c r="CB20" s="998" t="s">
        <v>4546</v>
      </c>
      <c r="CC20" s="1045" t="s">
        <v>8961</v>
      </c>
      <c r="CD20" s="1045"/>
      <c r="CE20" s="999"/>
      <c r="CF20" s="999"/>
      <c r="CG20" s="999"/>
      <c r="CH20" s="999"/>
      <c r="CI20" s="999"/>
      <c r="CJ20" s="999"/>
      <c r="CK20" s="999"/>
      <c r="CL20" s="999"/>
      <c r="CM20" s="1045" t="s">
        <v>8962</v>
      </c>
      <c r="CN20" s="1045" t="s">
        <v>1949</v>
      </c>
      <c r="CO20" s="1045" t="s">
        <v>1880</v>
      </c>
      <c r="CP20" s="1045" t="s">
        <v>8963</v>
      </c>
      <c r="CQ20" s="998" t="s">
        <v>8964</v>
      </c>
      <c r="CR20" s="1045" t="s">
        <v>3347</v>
      </c>
      <c r="CS20" s="998" t="s">
        <v>8965</v>
      </c>
      <c r="CT20" s="999"/>
      <c r="CU20" s="999"/>
    </row>
    <row r="21">
      <c r="A21" s="1455" t="s">
        <v>4804</v>
      </c>
      <c r="B21" s="809" t="s">
        <v>8966</v>
      </c>
      <c r="C21" s="805" t="s">
        <v>1260</v>
      </c>
      <c r="D21" s="806" t="s">
        <v>1260</v>
      </c>
      <c r="E21" s="807" t="s">
        <v>1260</v>
      </c>
      <c r="F21" s="808" t="s">
        <v>547</v>
      </c>
      <c r="G21" s="809" t="s">
        <v>3383</v>
      </c>
      <c r="H21" s="1422"/>
      <c r="I21" s="1422" t="s">
        <v>8967</v>
      </c>
      <c r="J21" s="998"/>
      <c r="K21" s="998" t="s">
        <v>8968</v>
      </c>
      <c r="L21" s="998"/>
      <c r="M21" s="999"/>
      <c r="N21" s="999"/>
      <c r="O21" s="999"/>
      <c r="P21" s="999"/>
      <c r="Q21" s="999"/>
      <c r="R21" s="1045" t="s">
        <v>8969</v>
      </c>
      <c r="S21" s="999"/>
      <c r="T21" s="1045" t="s">
        <v>8970</v>
      </c>
      <c r="U21" s="1045" t="s">
        <v>8971</v>
      </c>
      <c r="V21" s="1045" t="s">
        <v>8972</v>
      </c>
      <c r="W21" s="1045" t="s">
        <v>3502</v>
      </c>
      <c r="X21" s="998" t="s">
        <v>2625</v>
      </c>
      <c r="Y21" s="1045" t="s">
        <v>8973</v>
      </c>
      <c r="Z21" s="999"/>
      <c r="AA21" s="999"/>
      <c r="AB21" s="999"/>
      <c r="AC21" s="1001" t="s">
        <v>344</v>
      </c>
      <c r="AD21" s="1045" t="s">
        <v>3883</v>
      </c>
      <c r="AE21" s="998"/>
      <c r="AF21" s="1045" t="s">
        <v>8974</v>
      </c>
      <c r="AG21" s="998"/>
      <c r="AH21" s="1045" t="s">
        <v>8975</v>
      </c>
      <c r="AI21" s="999"/>
      <c r="AJ21" s="999"/>
      <c r="AK21" s="999"/>
      <c r="AL21" s="999"/>
      <c r="AM21" s="999"/>
      <c r="AN21" s="999"/>
      <c r="AO21" s="999"/>
      <c r="AP21" s="998" t="s">
        <v>8682</v>
      </c>
      <c r="AQ21" s="999"/>
      <c r="AR21" s="998" t="s">
        <v>8976</v>
      </c>
      <c r="AS21" s="999"/>
      <c r="AT21" s="999"/>
      <c r="AU21" s="998" t="s">
        <v>8977</v>
      </c>
      <c r="AV21" s="998"/>
      <c r="AW21" s="998" t="s">
        <v>8715</v>
      </c>
      <c r="AX21" s="999"/>
      <c r="AY21" s="999"/>
      <c r="AZ21" s="1045" t="s">
        <v>2156</v>
      </c>
      <c r="BA21" s="998"/>
      <c r="BB21" s="999"/>
      <c r="BC21" s="1045" t="s">
        <v>8978</v>
      </c>
      <c r="BD21" s="998" t="s">
        <v>8537</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6642</v>
      </c>
      <c r="B22" s="809" t="s">
        <v>8979</v>
      </c>
      <c r="C22" s="805" t="s">
        <v>1260</v>
      </c>
      <c r="D22" s="806" t="s">
        <v>1260</v>
      </c>
      <c r="E22" s="807" t="s">
        <v>1260</v>
      </c>
      <c r="F22" s="808" t="s">
        <v>1260</v>
      </c>
      <c r="G22" s="809" t="s">
        <v>222</v>
      </c>
      <c r="H22" s="1422"/>
      <c r="I22" s="1422" t="s">
        <v>8980</v>
      </c>
      <c r="J22" s="998"/>
      <c r="K22" s="1045" t="s">
        <v>8981</v>
      </c>
      <c r="L22" s="998"/>
      <c r="M22" s="998"/>
      <c r="N22" s="998"/>
      <c r="O22" s="1045" t="s">
        <v>8982</v>
      </c>
      <c r="P22" s="998"/>
      <c r="Q22" s="999"/>
      <c r="R22" s="999"/>
      <c r="S22" s="999"/>
      <c r="T22" s="998"/>
      <c r="U22" s="1045" t="s">
        <v>8983</v>
      </c>
      <c r="V22" s="998"/>
      <c r="W22" s="1045" t="s">
        <v>2308</v>
      </c>
      <c r="X22" s="998"/>
      <c r="Y22" s="1045" t="s">
        <v>3242</v>
      </c>
      <c r="Z22" s="998"/>
      <c r="AA22" s="998"/>
      <c r="AB22" s="998"/>
      <c r="AC22" s="1045" t="s">
        <v>8984</v>
      </c>
      <c r="AD22" s="1045" t="s">
        <v>4917</v>
      </c>
      <c r="AE22" s="998"/>
      <c r="AF22" s="998"/>
      <c r="AG22" s="998"/>
      <c r="AH22" s="999"/>
      <c r="AI22" s="999"/>
      <c r="AJ22" s="999"/>
      <c r="AK22" s="999"/>
      <c r="AL22" s="999"/>
      <c r="AM22" s="1045" t="s">
        <v>8985</v>
      </c>
      <c r="AN22" s="999"/>
      <c r="AO22" s="999"/>
      <c r="AP22" s="1045" t="s">
        <v>8986</v>
      </c>
      <c r="AQ22" s="998"/>
      <c r="AR22" s="1045" t="s">
        <v>8987</v>
      </c>
      <c r="AS22" s="998"/>
      <c r="AT22" s="1045" t="s">
        <v>8988</v>
      </c>
      <c r="AU22" s="1045" t="s">
        <v>8989</v>
      </c>
      <c r="AV22" s="998"/>
      <c r="AW22" s="998"/>
      <c r="AX22" s="999"/>
      <c r="AY22" s="999"/>
      <c r="AZ22" s="1045" t="s">
        <v>5171</v>
      </c>
      <c r="BA22" s="998"/>
      <c r="BB22" s="1045" t="s">
        <v>8716</v>
      </c>
      <c r="BC22" s="1045" t="s">
        <v>8776</v>
      </c>
      <c r="BD22" s="1045" t="s">
        <v>8863</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7515</v>
      </c>
      <c r="B23" s="809" t="s">
        <v>8990</v>
      </c>
      <c r="C23" s="805" t="s">
        <v>1260</v>
      </c>
      <c r="D23" s="806" t="s">
        <v>1260</v>
      </c>
      <c r="E23" s="807" t="s">
        <v>1260</v>
      </c>
      <c r="F23" s="808" t="s">
        <v>438</v>
      </c>
      <c r="G23" s="809" t="s">
        <v>222</v>
      </c>
      <c r="H23" s="1422" t="s">
        <v>8991</v>
      </c>
      <c r="I23" s="1422"/>
      <c r="J23" s="999"/>
      <c r="K23" s="1045" t="s">
        <v>8992</v>
      </c>
      <c r="L23" s="998"/>
      <c r="M23" s="999"/>
      <c r="N23" s="999"/>
      <c r="O23" s="999"/>
      <c r="P23" s="999"/>
      <c r="Q23" s="1045" t="s">
        <v>8993</v>
      </c>
      <c r="R23" s="1045" t="s">
        <v>8994</v>
      </c>
      <c r="S23" s="999"/>
      <c r="T23" s="1045" t="s">
        <v>8995</v>
      </c>
      <c r="U23" s="1457" t="s">
        <v>8996</v>
      </c>
      <c r="V23" s="1458"/>
      <c r="W23" s="1045" t="s">
        <v>368</v>
      </c>
      <c r="X23" s="998"/>
      <c r="Y23" s="1045" t="s">
        <v>5199</v>
      </c>
      <c r="Z23" s="999"/>
      <c r="AA23" s="999"/>
      <c r="AB23" s="999"/>
      <c r="AC23" s="1045" t="s">
        <v>8997</v>
      </c>
      <c r="AD23" s="1045" t="s">
        <v>4119</v>
      </c>
      <c r="AE23" s="1038"/>
      <c r="AF23" s="1001" t="s">
        <v>725</v>
      </c>
      <c r="AG23" s="1038"/>
      <c r="AH23" s="1045" t="s">
        <v>7734</v>
      </c>
      <c r="AI23" s="1045" t="s">
        <v>5637</v>
      </c>
      <c r="AJ23" s="999"/>
      <c r="AK23" s="999"/>
      <c r="AL23" s="999"/>
      <c r="AM23" s="999"/>
      <c r="AN23" s="999"/>
      <c r="AO23" s="999"/>
      <c r="AP23" s="999"/>
      <c r="AQ23" s="999"/>
      <c r="AR23" s="999"/>
      <c r="AS23" s="999"/>
      <c r="AT23" s="999"/>
      <c r="AU23" s="999"/>
      <c r="AV23" s="999"/>
      <c r="AW23" s="999"/>
      <c r="AX23" s="998"/>
      <c r="AY23" s="1045" t="s">
        <v>8862</v>
      </c>
      <c r="AZ23" s="999"/>
      <c r="BA23" s="999"/>
      <c r="BB23" s="1045" t="s">
        <v>8784</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8998</v>
      </c>
      <c r="CU23" s="1038"/>
    </row>
    <row r="24">
      <c r="A24" s="1460" t="s">
        <v>5377</v>
      </c>
      <c r="B24" s="809" t="s">
        <v>8999</v>
      </c>
      <c r="C24" s="805" t="s">
        <v>1260</v>
      </c>
      <c r="D24" s="806" t="s">
        <v>1260</v>
      </c>
      <c r="E24" s="807" t="s">
        <v>547</v>
      </c>
      <c r="F24" s="808" t="s">
        <v>439</v>
      </c>
      <c r="G24" s="809" t="s">
        <v>5171</v>
      </c>
      <c r="H24" s="1438" t="s">
        <v>9000</v>
      </c>
      <c r="I24" s="1438" t="s">
        <v>5383</v>
      </c>
      <c r="J24" s="1038"/>
      <c r="K24" s="1045" t="s">
        <v>9001</v>
      </c>
      <c r="L24" s="998"/>
      <c r="M24" s="998"/>
      <c r="N24" s="1045" t="s">
        <v>9002</v>
      </c>
      <c r="O24" s="1045" t="s">
        <v>9003</v>
      </c>
      <c r="P24" s="1045" t="s">
        <v>9004</v>
      </c>
      <c r="Q24" s="1045" t="s">
        <v>9005</v>
      </c>
      <c r="R24" s="1045" t="s">
        <v>9006</v>
      </c>
      <c r="S24" s="1045" t="s">
        <v>5401</v>
      </c>
      <c r="T24" s="1045" t="s">
        <v>9007</v>
      </c>
      <c r="U24" s="1045" t="s">
        <v>9008</v>
      </c>
      <c r="V24" s="998"/>
      <c r="W24" s="1045" t="s">
        <v>6114</v>
      </c>
      <c r="X24" s="998"/>
      <c r="Y24" s="999"/>
      <c r="Z24" s="999"/>
      <c r="AA24" s="999"/>
      <c r="AB24" s="999"/>
      <c r="AC24" s="1045" t="s">
        <v>9009</v>
      </c>
      <c r="AD24" s="1045" t="s">
        <v>5922</v>
      </c>
      <c r="AE24" s="998"/>
      <c r="AF24" s="1045" t="s">
        <v>7005</v>
      </c>
      <c r="AG24" s="998"/>
      <c r="AH24" s="1045" t="s">
        <v>3333</v>
      </c>
      <c r="AI24" s="998"/>
      <c r="AJ24" s="998"/>
      <c r="AK24" s="999"/>
      <c r="AL24" s="999"/>
      <c r="AM24" s="1045" t="s">
        <v>8736</v>
      </c>
      <c r="AN24" s="1045" t="s">
        <v>8908</v>
      </c>
      <c r="AO24" s="1045" t="s">
        <v>8756</v>
      </c>
      <c r="AP24" s="1045" t="s">
        <v>8851</v>
      </c>
      <c r="AQ24" s="998"/>
      <c r="AR24" s="1045" t="s">
        <v>8955</v>
      </c>
      <c r="AS24" s="998"/>
      <c r="AT24" s="1045" t="s">
        <v>9010</v>
      </c>
      <c r="AU24" s="1045" t="s">
        <v>9011</v>
      </c>
      <c r="AV24" s="998"/>
      <c r="AW24" s="1045" t="s">
        <v>8783</v>
      </c>
      <c r="AX24" s="998"/>
      <c r="AY24" s="1045" t="s">
        <v>8943</v>
      </c>
      <c r="AZ24" s="999"/>
      <c r="BA24" s="999"/>
      <c r="BB24" s="1045" t="s">
        <v>8852</v>
      </c>
      <c r="BC24" s="998" t="s">
        <v>8943</v>
      </c>
      <c r="BD24" s="1045" t="s">
        <v>8957</v>
      </c>
      <c r="BE24" s="998"/>
      <c r="BF24" s="998"/>
      <c r="BG24" s="1461" t="s">
        <v>9012</v>
      </c>
      <c r="BH24" s="1461" t="s">
        <v>9013</v>
      </c>
      <c r="BI24" s="926"/>
      <c r="BJ24" s="926"/>
      <c r="BK24" s="926"/>
      <c r="BL24" s="942" t="s">
        <v>9014</v>
      </c>
      <c r="BM24" s="942" t="s">
        <v>9015</v>
      </c>
      <c r="BN24" s="926"/>
      <c r="BO24" s="926"/>
      <c r="BP24" s="926"/>
      <c r="BQ24" s="999"/>
      <c r="BR24" s="998" t="s">
        <v>9016</v>
      </c>
      <c r="BS24" s="999"/>
      <c r="BT24" s="999"/>
      <c r="BU24" s="999"/>
      <c r="BV24" s="1462" t="s">
        <v>162</v>
      </c>
      <c r="BW24" s="1045" t="s">
        <v>1695</v>
      </c>
      <c r="BX24" s="1045" t="s">
        <v>1629</v>
      </c>
      <c r="BY24" s="1033" t="s">
        <v>4974</v>
      </c>
      <c r="BZ24" s="1045" t="s">
        <v>2255</v>
      </c>
      <c r="CA24" s="1045" t="s">
        <v>5537</v>
      </c>
      <c r="CB24" s="1045" t="s">
        <v>2134</v>
      </c>
      <c r="CC24" s="1045" t="s">
        <v>9017</v>
      </c>
      <c r="CD24" s="1045"/>
      <c r="CE24" s="1428" t="s">
        <v>8978</v>
      </c>
      <c r="CF24" s="1428" t="s">
        <v>9018</v>
      </c>
      <c r="CG24" s="1428" t="s">
        <v>9019</v>
      </c>
      <c r="CH24" s="1415"/>
      <c r="CI24" s="1412"/>
      <c r="CJ24" s="1412"/>
      <c r="CK24" s="1412"/>
      <c r="CL24" s="1412"/>
      <c r="CM24" s="1412"/>
      <c r="CN24" s="1412"/>
      <c r="CO24" s="1412"/>
      <c r="CP24" s="1412"/>
      <c r="CQ24" s="1412"/>
      <c r="CR24" s="1412"/>
      <c r="CS24" s="1412"/>
      <c r="CT24" s="1001" t="s">
        <v>4913</v>
      </c>
      <c r="CU24" s="1038"/>
    </row>
    <row r="25">
      <c r="A25" s="1463" t="s">
        <v>7500</v>
      </c>
      <c r="B25" s="809" t="s">
        <v>9020</v>
      </c>
      <c r="C25" s="805" t="s">
        <v>1260</v>
      </c>
      <c r="D25" s="806" t="s">
        <v>1260</v>
      </c>
      <c r="E25" s="807" t="s">
        <v>1260</v>
      </c>
      <c r="F25" s="808" t="s">
        <v>1260</v>
      </c>
      <c r="G25" s="809" t="s">
        <v>2872</v>
      </c>
      <c r="H25" s="1422"/>
      <c r="I25" s="1422" t="s">
        <v>9021</v>
      </c>
      <c r="J25" s="998"/>
      <c r="K25" s="998" t="s">
        <v>9022</v>
      </c>
      <c r="L25" s="998"/>
      <c r="M25" s="999"/>
      <c r="N25" s="1032" t="s">
        <v>9023</v>
      </c>
      <c r="O25" s="999"/>
      <c r="P25" s="999"/>
      <c r="Q25" s="999"/>
      <c r="R25" s="1045" t="s">
        <v>9024</v>
      </c>
      <c r="S25" s="999"/>
      <c r="T25" s="1045" t="s">
        <v>9025</v>
      </c>
      <c r="U25" s="1045" t="s">
        <v>9026</v>
      </c>
      <c r="V25" s="998"/>
      <c r="W25" s="1045" t="s">
        <v>2753</v>
      </c>
      <c r="X25" s="998"/>
      <c r="Y25" s="1045" t="s">
        <v>1084</v>
      </c>
      <c r="Z25" s="1032" t="s">
        <v>9027</v>
      </c>
      <c r="AA25" s="999"/>
      <c r="AB25" s="999"/>
      <c r="AC25" s="998"/>
      <c r="AD25" s="1045" t="s">
        <v>1979</v>
      </c>
      <c r="AE25" s="998"/>
      <c r="AF25" s="998"/>
      <c r="AG25" s="998"/>
      <c r="AH25" s="998"/>
      <c r="AI25" s="1032" t="s">
        <v>9028</v>
      </c>
      <c r="AJ25" s="999"/>
      <c r="AK25" s="999"/>
      <c r="AL25" s="999"/>
      <c r="AM25" s="1032" t="s">
        <v>9029</v>
      </c>
      <c r="AN25" s="999"/>
      <c r="AO25" s="999"/>
      <c r="AP25" s="998" t="s">
        <v>9030</v>
      </c>
      <c r="AQ25" s="999"/>
      <c r="AR25" s="1032" t="s">
        <v>9031</v>
      </c>
      <c r="AS25" s="999"/>
      <c r="AT25" s="1032" t="s">
        <v>9032</v>
      </c>
      <c r="AU25" s="998" t="s">
        <v>9033</v>
      </c>
      <c r="AV25" s="998"/>
      <c r="AW25" s="998" t="s">
        <v>8985</v>
      </c>
      <c r="AX25" s="999"/>
      <c r="AY25" s="1032" t="s">
        <v>9034</v>
      </c>
      <c r="AZ25" s="998"/>
      <c r="BA25" s="998"/>
      <c r="BB25" s="1032" t="s">
        <v>9035</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9036</v>
      </c>
      <c r="B26" s="809" t="s">
        <v>9037</v>
      </c>
      <c r="C26" s="805" t="s">
        <v>1260</v>
      </c>
      <c r="D26" s="806" t="s">
        <v>1260</v>
      </c>
      <c r="E26" s="807" t="s">
        <v>1260</v>
      </c>
      <c r="F26" s="808" t="s">
        <v>332</v>
      </c>
      <c r="G26" s="809" t="s">
        <v>3383</v>
      </c>
      <c r="H26" s="1422"/>
      <c r="I26" s="1422" t="s">
        <v>9038</v>
      </c>
      <c r="J26" s="998"/>
      <c r="K26" s="998" t="s">
        <v>9039</v>
      </c>
      <c r="L26" s="1001" t="s">
        <v>3767</v>
      </c>
      <c r="M26" s="999"/>
      <c r="N26" s="999"/>
      <c r="O26" s="999"/>
      <c r="P26" s="998" t="s">
        <v>5794</v>
      </c>
      <c r="Q26" s="999"/>
      <c r="R26" s="1001" t="s">
        <v>9040</v>
      </c>
      <c r="S26" s="999"/>
      <c r="T26" s="999"/>
      <c r="U26" s="998" t="s">
        <v>753</v>
      </c>
      <c r="V26" s="998"/>
      <c r="W26" s="1045" t="s">
        <v>4335</v>
      </c>
      <c r="X26" s="998" t="s">
        <v>3506</v>
      </c>
      <c r="Y26" s="1001" t="s">
        <v>5831</v>
      </c>
      <c r="Z26" s="999"/>
      <c r="AA26" s="999"/>
      <c r="AB26" s="999"/>
      <c r="AC26" s="1045" t="s">
        <v>9041</v>
      </c>
      <c r="AD26" s="1045" t="s">
        <v>5750</v>
      </c>
      <c r="AE26" s="998"/>
      <c r="AF26" s="1045" t="s">
        <v>9042</v>
      </c>
      <c r="AG26" s="998"/>
      <c r="AH26" s="1045" t="s">
        <v>9043</v>
      </c>
      <c r="AI26" s="999"/>
      <c r="AJ26" s="999"/>
      <c r="AK26" s="1051" t="s">
        <v>3812</v>
      </c>
      <c r="AL26" s="1465"/>
      <c r="AM26" s="999"/>
      <c r="AN26" s="999"/>
      <c r="AO26" s="999"/>
      <c r="AP26" s="999"/>
      <c r="AQ26" s="999"/>
      <c r="AR26" s="1045" t="s">
        <v>9044</v>
      </c>
      <c r="AS26" s="998"/>
      <c r="AT26" s="999"/>
      <c r="AU26" s="999"/>
      <c r="AV26" s="999"/>
      <c r="AW26" s="1045" t="s">
        <v>8691</v>
      </c>
      <c r="AX26" s="999"/>
      <c r="AY26" s="999"/>
      <c r="AZ26" s="999"/>
      <c r="BA26" s="999"/>
      <c r="BB26" s="1045" t="s">
        <v>8534</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7518</v>
      </c>
      <c r="B27" s="809" t="s">
        <v>1724</v>
      </c>
      <c r="C27" s="805" t="s">
        <v>1260</v>
      </c>
      <c r="D27" s="806" t="s">
        <v>1260</v>
      </c>
      <c r="E27" s="807" t="s">
        <v>1260</v>
      </c>
      <c r="F27" s="808" t="s">
        <v>332</v>
      </c>
      <c r="G27" s="809" t="s">
        <v>2774</v>
      </c>
      <c r="H27" s="1422"/>
      <c r="I27" s="1422" t="s">
        <v>9045</v>
      </c>
      <c r="J27" s="999"/>
      <c r="K27" s="998" t="s">
        <v>9046</v>
      </c>
      <c r="L27" s="999"/>
      <c r="M27" s="999"/>
      <c r="N27" s="999"/>
      <c r="O27" s="999"/>
      <c r="P27" s="998" t="s">
        <v>9047</v>
      </c>
      <c r="Q27" s="999"/>
      <c r="R27" s="998" t="s">
        <v>9048</v>
      </c>
      <c r="S27" s="999"/>
      <c r="T27" s="998" t="s">
        <v>9049</v>
      </c>
      <c r="U27" s="1001" t="s">
        <v>5478</v>
      </c>
      <c r="V27" s="999"/>
      <c r="W27" s="999"/>
      <c r="X27" s="998" t="s">
        <v>7823</v>
      </c>
      <c r="Y27" s="1001" t="s">
        <v>7925</v>
      </c>
      <c r="Z27" s="999"/>
      <c r="AA27" s="998" t="s">
        <v>9050</v>
      </c>
      <c r="AB27" s="999"/>
      <c r="AC27" s="998" t="s">
        <v>9051</v>
      </c>
      <c r="AD27" s="1001" t="s">
        <v>1501</v>
      </c>
      <c r="AE27" s="1001" t="s">
        <v>5149</v>
      </c>
      <c r="AF27" s="998" t="s">
        <v>1271</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1260</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8907</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1752</v>
      </c>
      <c r="BY28" s="999"/>
      <c r="BZ28" s="1035" t="s">
        <v>9052</v>
      </c>
      <c r="CA28" s="1032"/>
      <c r="CB28" s="999"/>
      <c r="CC28" s="999"/>
      <c r="CD28" s="1467" t="s">
        <v>2070</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9053</v>
      </c>
      <c r="C29" s="805" t="s">
        <v>1260</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1260</v>
      </c>
      <c r="D30" s="806" t="s">
        <v>1260</v>
      </c>
      <c r="E30" s="807" t="s">
        <v>1260</v>
      </c>
      <c r="F30" s="808" t="s">
        <v>438</v>
      </c>
      <c r="G30" s="809" t="s">
        <v>650</v>
      </c>
      <c r="H30" s="1422"/>
      <c r="I30" s="1422"/>
      <c r="J30" s="92"/>
      <c r="K30" s="92"/>
      <c r="L30" s="92"/>
      <c r="M30" s="92"/>
      <c r="N30" s="92"/>
      <c r="O30" s="92"/>
      <c r="P30" s="92"/>
      <c r="Q30" s="92"/>
      <c r="R30" s="113" t="s">
        <v>9054</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9055</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2156</v>
      </c>
      <c r="C31" s="805" t="s">
        <v>1260</v>
      </c>
      <c r="D31" s="806" t="s">
        <v>1260</v>
      </c>
      <c r="E31" s="807" t="s">
        <v>1260</v>
      </c>
      <c r="F31" s="808" t="s">
        <v>1260</v>
      </c>
      <c r="G31" s="809" t="s">
        <v>221</v>
      </c>
      <c r="H31" s="1422"/>
      <c r="I31" s="1422" t="s">
        <v>7665</v>
      </c>
      <c r="J31" s="999"/>
      <c r="K31" s="998" t="s">
        <v>9056</v>
      </c>
      <c r="L31" s="999"/>
      <c r="M31" s="999"/>
      <c r="N31" s="999"/>
      <c r="O31" s="999"/>
      <c r="P31" s="998" t="s">
        <v>9057</v>
      </c>
      <c r="Q31" s="999"/>
      <c r="R31" s="999"/>
      <c r="S31" s="999"/>
      <c r="T31" s="998" t="s">
        <v>9058</v>
      </c>
      <c r="U31" s="998" t="s">
        <v>9059</v>
      </c>
      <c r="V31" s="999"/>
      <c r="W31" s="998" t="s">
        <v>249</v>
      </c>
      <c r="X31" s="998" t="s">
        <v>9060</v>
      </c>
      <c r="Y31" s="998" t="s">
        <v>365</v>
      </c>
      <c r="Z31" s="999"/>
      <c r="AA31" s="999"/>
      <c r="AB31" s="999"/>
      <c r="AC31" s="999"/>
      <c r="AD31" s="999"/>
      <c r="AE31" s="999"/>
      <c r="AF31" s="999"/>
      <c r="AG31" s="999"/>
      <c r="AH31" s="999"/>
      <c r="AI31" s="999"/>
      <c r="AJ31" s="999"/>
      <c r="AK31" s="999"/>
      <c r="AL31" s="999"/>
      <c r="AM31" s="999"/>
      <c r="AN31" s="999"/>
      <c r="AO31" s="999"/>
      <c r="AP31" s="1083" t="s">
        <v>8800</v>
      </c>
      <c r="AQ31" s="1083"/>
      <c r="AR31" s="999"/>
      <c r="AS31" s="998" t="s">
        <v>8956</v>
      </c>
      <c r="AT31" s="999"/>
      <c r="AU31" s="998" t="s">
        <v>9044</v>
      </c>
      <c r="AV31" s="999"/>
      <c r="AW31" s="999"/>
      <c r="AX31" s="999"/>
      <c r="AY31" s="999"/>
      <c r="AZ31" s="998" t="s">
        <v>2378</v>
      </c>
      <c r="BA31" s="999"/>
      <c r="BB31" s="1083" t="s">
        <v>9061</v>
      </c>
      <c r="BC31" s="998" t="s">
        <v>8681</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1260</v>
      </c>
      <c r="D32" s="806" t="s">
        <v>1260</v>
      </c>
      <c r="E32" s="807" t="s">
        <v>1260</v>
      </c>
      <c r="F32" s="808" t="s">
        <v>1260</v>
      </c>
      <c r="G32" s="809" t="s">
        <v>1054</v>
      </c>
      <c r="H32" s="1422"/>
      <c r="I32" s="1422"/>
      <c r="J32" s="999"/>
      <c r="K32" s="999"/>
      <c r="L32" s="999"/>
      <c r="M32" s="999"/>
      <c r="N32" s="999"/>
      <c r="O32" s="999"/>
      <c r="P32" s="999"/>
      <c r="Q32" s="999"/>
      <c r="R32" s="999"/>
      <c r="S32" s="999"/>
      <c r="T32" s="999"/>
      <c r="U32" s="999"/>
      <c r="V32" s="999"/>
      <c r="W32" s="1045" t="s">
        <v>672</v>
      </c>
      <c r="X32" s="998"/>
      <c r="Y32" s="1045" t="s">
        <v>6096</v>
      </c>
      <c r="Z32" s="999"/>
      <c r="AA32" s="999"/>
      <c r="AB32" s="999"/>
      <c r="AC32" s="1045" t="s">
        <v>9062</v>
      </c>
      <c r="AD32" s="998" t="s">
        <v>2128</v>
      </c>
      <c r="AE32" s="998"/>
      <c r="AF32" s="1045" t="s">
        <v>7270</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8908</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6214</v>
      </c>
      <c r="B33" s="809" t="s">
        <v>1499</v>
      </c>
      <c r="C33" s="805" t="s">
        <v>1260</v>
      </c>
      <c r="D33" s="806" t="s">
        <v>1260</v>
      </c>
      <c r="E33" s="807" t="s">
        <v>1260</v>
      </c>
      <c r="F33" s="808" t="s">
        <v>650</v>
      </c>
      <c r="G33" s="809" t="s">
        <v>333</v>
      </c>
      <c r="H33" s="1422" t="s">
        <v>9063</v>
      </c>
      <c r="I33" s="1422"/>
      <c r="J33" s="999"/>
      <c r="K33" s="999"/>
      <c r="L33" s="999"/>
      <c r="M33" s="999"/>
      <c r="N33" s="999"/>
      <c r="O33" s="999"/>
      <c r="P33" s="999"/>
      <c r="Q33" s="999"/>
      <c r="R33" s="999"/>
      <c r="S33" s="999"/>
      <c r="T33" s="1001" t="s">
        <v>9064</v>
      </c>
      <c r="U33" s="998" t="s">
        <v>9065</v>
      </c>
      <c r="V33" s="998" t="s">
        <v>9066</v>
      </c>
      <c r="W33" s="999"/>
      <c r="X33" s="998" t="s">
        <v>9067</v>
      </c>
      <c r="Y33" s="998" t="s">
        <v>9068</v>
      </c>
      <c r="Z33" s="999"/>
      <c r="AA33" s="999"/>
      <c r="AB33" s="999"/>
      <c r="AC33" s="1001" t="s">
        <v>1741</v>
      </c>
      <c r="AD33" s="998" t="s">
        <v>5557</v>
      </c>
      <c r="AE33" s="999"/>
      <c r="AF33" s="999"/>
      <c r="AG33" s="999"/>
      <c r="AH33" s="999"/>
      <c r="AI33" s="999"/>
      <c r="AJ33" s="999"/>
      <c r="AK33" s="999"/>
      <c r="AL33" s="999"/>
      <c r="AM33" s="998" t="s">
        <v>9069</v>
      </c>
      <c r="AN33" s="999"/>
      <c r="AO33" s="999"/>
      <c r="AP33" s="998" t="s">
        <v>8857</v>
      </c>
      <c r="AQ33" s="999"/>
      <c r="AR33" s="999"/>
      <c r="AS33" s="999"/>
      <c r="AT33" s="999"/>
      <c r="AU33" s="998" t="s">
        <v>8539</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9070</v>
      </c>
      <c r="CF33" s="999"/>
      <c r="CG33" s="999"/>
      <c r="CH33" s="999"/>
      <c r="CI33" s="999"/>
      <c r="CJ33" s="999"/>
      <c r="CK33" s="999"/>
      <c r="CL33" s="999"/>
      <c r="CM33" s="999"/>
      <c r="CN33" s="999"/>
      <c r="CO33" s="999"/>
      <c r="CP33" s="999"/>
      <c r="CQ33" s="999"/>
      <c r="CR33" s="999"/>
      <c r="CS33" s="999"/>
      <c r="CT33" s="999"/>
      <c r="CU33" s="999"/>
    </row>
    <row r="34">
      <c r="A34" s="1453" t="s">
        <v>7590</v>
      </c>
      <c r="B34" s="809" t="s">
        <v>3574</v>
      </c>
      <c r="C34" s="805" t="s">
        <v>547</v>
      </c>
      <c r="D34" s="806" t="s">
        <v>547</v>
      </c>
      <c r="E34" s="807" t="s">
        <v>1260</v>
      </c>
      <c r="F34" s="808" t="s">
        <v>438</v>
      </c>
      <c r="G34" s="809" t="s">
        <v>438</v>
      </c>
      <c r="H34" s="1422"/>
      <c r="I34" s="1422"/>
      <c r="J34" s="999"/>
      <c r="K34" s="999"/>
      <c r="L34" s="999"/>
      <c r="M34" s="999"/>
      <c r="N34" s="999"/>
      <c r="O34" s="1035" t="s">
        <v>9071</v>
      </c>
      <c r="P34" s="1034" t="s">
        <v>9072</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9073</v>
      </c>
      <c r="B35" s="809" t="s">
        <v>5698</v>
      </c>
      <c r="C35" s="805" t="s">
        <v>1260</v>
      </c>
      <c r="D35" s="806" t="s">
        <v>1260</v>
      </c>
      <c r="E35" s="807" t="s">
        <v>1260</v>
      </c>
      <c r="F35" s="808" t="s">
        <v>1260</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9074</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1260</v>
      </c>
      <c r="E36" s="807" t="s">
        <v>1260</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1396</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7027</v>
      </c>
      <c r="C37" s="805" t="s">
        <v>1260</v>
      </c>
      <c r="D37" s="806" t="s">
        <v>1260</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6550</v>
      </c>
      <c r="B38" s="809" t="s">
        <v>4056</v>
      </c>
      <c r="C38" s="805" t="s">
        <v>1260</v>
      </c>
      <c r="D38" s="806" t="s">
        <v>1260</v>
      </c>
      <c r="E38" s="807" t="s">
        <v>1260</v>
      </c>
      <c r="F38" s="808" t="s">
        <v>1260</v>
      </c>
      <c r="G38" s="809" t="s">
        <v>333</v>
      </c>
      <c r="H38" s="1422"/>
      <c r="I38" s="1422"/>
      <c r="J38" s="999"/>
      <c r="K38" s="999"/>
      <c r="L38" s="999"/>
      <c r="M38" s="999"/>
      <c r="N38" s="999"/>
      <c r="O38" s="999"/>
      <c r="P38" s="999"/>
      <c r="Q38" s="999"/>
      <c r="R38" s="999"/>
      <c r="S38" s="998" t="s">
        <v>9075</v>
      </c>
      <c r="T38" s="999"/>
      <c r="U38" s="998" t="s">
        <v>9076</v>
      </c>
      <c r="V38" s="999"/>
      <c r="W38" s="999"/>
      <c r="X38" s="998" t="s">
        <v>6445</v>
      </c>
      <c r="Y38" s="998" t="s">
        <v>2006</v>
      </c>
      <c r="Z38" s="999"/>
      <c r="AA38" s="998" t="s">
        <v>3147</v>
      </c>
      <c r="AB38" s="999"/>
      <c r="AC38" s="998" t="s">
        <v>9077</v>
      </c>
      <c r="AD38" s="998" t="s">
        <v>2127</v>
      </c>
      <c r="AE38" s="998" t="s">
        <v>6529</v>
      </c>
      <c r="AF38" s="998" t="s">
        <v>9078</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9079</v>
      </c>
      <c r="CF38" s="999"/>
      <c r="CG38" s="999"/>
      <c r="CH38" s="999"/>
      <c r="CI38" s="999"/>
      <c r="CJ38" s="998" t="s">
        <v>9080</v>
      </c>
      <c r="CK38" s="999"/>
      <c r="CL38" s="999"/>
      <c r="CM38" s="999"/>
      <c r="CN38" s="999"/>
      <c r="CO38" s="999"/>
      <c r="CP38" s="999"/>
      <c r="CQ38" s="999"/>
      <c r="CR38" s="999"/>
      <c r="CS38" s="999"/>
      <c r="CT38" s="999"/>
      <c r="CU38" s="999"/>
    </row>
    <row r="39">
      <c r="A39" s="1456" t="s">
        <v>1415</v>
      </c>
      <c r="B39" s="809" t="s">
        <v>4056</v>
      </c>
      <c r="C39" s="805" t="s">
        <v>1260</v>
      </c>
      <c r="D39" s="806" t="s">
        <v>547</v>
      </c>
      <c r="E39" s="807" t="s">
        <v>1260</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5787</v>
      </c>
      <c r="B40" s="809" t="s">
        <v>7482</v>
      </c>
      <c r="C40" s="805" t="s">
        <v>1260</v>
      </c>
      <c r="D40" s="806" t="s">
        <v>1260</v>
      </c>
      <c r="E40" s="807" t="s">
        <v>1260</v>
      </c>
      <c r="F40" s="808" t="s">
        <v>1260</v>
      </c>
      <c r="G40" s="809" t="s">
        <v>1200</v>
      </c>
      <c r="H40" s="1422"/>
      <c r="I40" s="1422"/>
      <c r="J40" s="999"/>
      <c r="K40" s="999"/>
      <c r="L40" s="999"/>
      <c r="M40" s="999"/>
      <c r="N40" s="999"/>
      <c r="O40" s="999"/>
      <c r="P40" s="998" t="s">
        <v>9081</v>
      </c>
      <c r="Q40" s="999"/>
      <c r="R40" s="998" t="s">
        <v>9082</v>
      </c>
      <c r="S40" s="999"/>
      <c r="T40" s="999"/>
      <c r="U40" s="999"/>
      <c r="V40" s="999"/>
      <c r="W40" s="999"/>
      <c r="X40" s="998" t="s">
        <v>8953</v>
      </c>
      <c r="Y40" s="999"/>
      <c r="Z40" s="999"/>
      <c r="AA40" s="998" t="s">
        <v>9083</v>
      </c>
      <c r="AB40" s="999"/>
      <c r="AC40" s="999"/>
      <c r="AD40" s="999"/>
      <c r="AE40" s="998" t="s">
        <v>3927</v>
      </c>
      <c r="AF40" s="998" t="s">
        <v>9084</v>
      </c>
      <c r="AG40" s="998" t="s">
        <v>569</v>
      </c>
      <c r="AH40" s="1045" t="s">
        <v>9085</v>
      </c>
      <c r="AI40" s="999"/>
      <c r="AJ40" s="999"/>
      <c r="AK40" s="999"/>
      <c r="AL40" s="999"/>
      <c r="AM40" s="999"/>
      <c r="AN40" s="999"/>
      <c r="AO40" s="999"/>
      <c r="AP40" s="998" t="s">
        <v>8779</v>
      </c>
      <c r="AQ40" s="999"/>
      <c r="AR40" s="999"/>
      <c r="AS40" s="999"/>
      <c r="AT40" s="999"/>
      <c r="AU40" s="999"/>
      <c r="AV40" s="999"/>
      <c r="AW40" s="999"/>
      <c r="AX40" s="999"/>
      <c r="AY40" s="999"/>
      <c r="AZ40" s="999"/>
      <c r="BA40" s="999"/>
      <c r="BB40" s="998" t="s">
        <v>9033</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1260</v>
      </c>
      <c r="D41" s="806" t="s">
        <v>1260</v>
      </c>
      <c r="E41" s="807" t="s">
        <v>1260</v>
      </c>
      <c r="F41" s="808" t="s">
        <v>1260</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7232</v>
      </c>
      <c r="B42" s="809" t="s">
        <v>6255</v>
      </c>
      <c r="C42" s="805" t="s">
        <v>1260</v>
      </c>
      <c r="D42" s="806" t="s">
        <v>1260</v>
      </c>
      <c r="E42" s="807" t="s">
        <v>1260</v>
      </c>
      <c r="F42" s="808" t="s">
        <v>1260</v>
      </c>
      <c r="G42" s="809" t="s">
        <v>438</v>
      </c>
      <c r="H42" s="1466"/>
      <c r="I42" s="1466"/>
      <c r="J42" s="999"/>
      <c r="K42" s="999"/>
      <c r="L42" s="999"/>
      <c r="M42" s="999"/>
      <c r="N42" s="999"/>
      <c r="O42" s="999"/>
      <c r="P42" s="999"/>
      <c r="Q42" s="999"/>
      <c r="R42" s="998" t="s">
        <v>9086</v>
      </c>
      <c r="S42" s="999"/>
      <c r="T42" s="999"/>
      <c r="U42" s="998" t="s">
        <v>9087</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9088</v>
      </c>
      <c r="B43" s="809" t="s">
        <v>3383</v>
      </c>
      <c r="C43" s="805" t="s">
        <v>1260</v>
      </c>
      <c r="D43" s="806" t="s">
        <v>1260</v>
      </c>
      <c r="E43" s="807" t="s">
        <v>1260</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8707</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1260</v>
      </c>
      <c r="D44" s="806" t="s">
        <v>1260</v>
      </c>
      <c r="E44" s="807" t="s">
        <v>1260</v>
      </c>
      <c r="F44" s="808" t="s">
        <v>547</v>
      </c>
      <c r="G44" s="809" t="s">
        <v>547</v>
      </c>
      <c r="H44" s="1422"/>
      <c r="I44" s="1422"/>
      <c r="J44" s="999"/>
      <c r="K44" s="999"/>
      <c r="L44" s="999"/>
      <c r="M44" s="999"/>
      <c r="N44" s="999"/>
      <c r="O44" s="999"/>
      <c r="P44" s="999"/>
      <c r="Q44" s="999"/>
      <c r="R44" s="1001" t="s">
        <v>9089</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6275</v>
      </c>
      <c r="B45" s="809" t="s">
        <v>222</v>
      </c>
      <c r="C45" s="805" t="s">
        <v>1260</v>
      </c>
      <c r="D45" s="806" t="s">
        <v>1260</v>
      </c>
      <c r="E45" s="807" t="s">
        <v>1260</v>
      </c>
      <c r="F45" s="808" t="s">
        <v>1260</v>
      </c>
      <c r="G45" s="809" t="s">
        <v>334</v>
      </c>
      <c r="H45" s="1422"/>
      <c r="I45" s="1422"/>
      <c r="J45" s="999"/>
      <c r="K45" s="998" t="s">
        <v>9090</v>
      </c>
      <c r="L45" s="999"/>
      <c r="M45" s="999"/>
      <c r="N45" s="999"/>
      <c r="O45" s="999"/>
      <c r="P45" s="999"/>
      <c r="Q45" s="999"/>
      <c r="R45" s="999"/>
      <c r="S45" s="999"/>
      <c r="T45" s="999"/>
      <c r="U45" s="999"/>
      <c r="V45" s="999"/>
      <c r="W45" s="1045" t="s">
        <v>6535</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8710</v>
      </c>
      <c r="AV45" s="998"/>
      <c r="AW45" s="999"/>
      <c r="AX45" s="999"/>
      <c r="AY45" s="999"/>
      <c r="AZ45" s="999"/>
      <c r="BA45" s="999"/>
      <c r="BB45" s="999"/>
      <c r="BC45" s="998" t="s">
        <v>8781</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6661</v>
      </c>
      <c r="B46" s="809" t="s">
        <v>222</v>
      </c>
      <c r="C46" s="805" t="s">
        <v>1260</v>
      </c>
      <c r="D46" s="806" t="s">
        <v>1260</v>
      </c>
      <c r="E46" s="807" t="s">
        <v>1260</v>
      </c>
      <c r="F46" s="808" t="s">
        <v>1260</v>
      </c>
      <c r="G46" s="809" t="s">
        <v>1054</v>
      </c>
      <c r="H46" s="1422"/>
      <c r="I46" s="1422" t="s">
        <v>9091</v>
      </c>
      <c r="J46" s="999"/>
      <c r="K46" s="999"/>
      <c r="L46" s="999"/>
      <c r="M46" s="999"/>
      <c r="N46" s="999"/>
      <c r="O46" s="999"/>
      <c r="P46" s="999"/>
      <c r="Q46" s="999"/>
      <c r="R46" s="999"/>
      <c r="S46" s="999"/>
      <c r="T46" s="999"/>
      <c r="U46" s="998" t="s">
        <v>9092</v>
      </c>
      <c r="V46" s="999"/>
      <c r="W46" s="999"/>
      <c r="X46" s="999"/>
      <c r="Y46" s="999"/>
      <c r="Z46" s="999"/>
      <c r="AA46" s="999"/>
      <c r="AB46" s="999"/>
      <c r="AC46" s="998" t="s">
        <v>9093</v>
      </c>
      <c r="AD46" s="999"/>
      <c r="AE46" s="999"/>
      <c r="AF46" s="999"/>
      <c r="AG46" s="999"/>
      <c r="AH46" s="999"/>
      <c r="AI46" s="999"/>
      <c r="AJ46" s="999"/>
      <c r="AK46" s="999"/>
      <c r="AL46" s="999"/>
      <c r="AM46" s="999"/>
      <c r="AN46" s="999"/>
      <c r="AO46" s="999"/>
      <c r="AP46" s="998" t="s">
        <v>9094</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9095</v>
      </c>
      <c r="CF46" s="999"/>
      <c r="CG46" s="999"/>
      <c r="CH46" s="999"/>
      <c r="CI46" s="999"/>
      <c r="CJ46" s="1478" t="s">
        <v>9096</v>
      </c>
      <c r="CK46" s="999"/>
      <c r="CL46" s="1045" t="s">
        <v>5140</v>
      </c>
      <c r="CM46" s="998" t="s">
        <v>8985</v>
      </c>
      <c r="CN46" s="998" t="s">
        <v>4117</v>
      </c>
      <c r="CO46" s="999"/>
      <c r="CP46" s="999"/>
      <c r="CQ46" s="999"/>
      <c r="CR46" s="999"/>
      <c r="CS46" s="999"/>
      <c r="CT46" s="999"/>
      <c r="CU46" s="999"/>
    </row>
    <row r="47">
      <c r="A47" s="1455" t="s">
        <v>3625</v>
      </c>
      <c r="B47" s="809" t="s">
        <v>2683</v>
      </c>
      <c r="C47" s="805" t="s">
        <v>1260</v>
      </c>
      <c r="D47" s="806" t="s">
        <v>1260</v>
      </c>
      <c r="E47" s="807" t="s">
        <v>1260</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1332</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6481</v>
      </c>
      <c r="B48" s="809" t="s">
        <v>2774</v>
      </c>
      <c r="C48" s="805" t="s">
        <v>1260</v>
      </c>
      <c r="D48" s="806" t="s">
        <v>1260</v>
      </c>
      <c r="E48" s="807" t="s">
        <v>1260</v>
      </c>
      <c r="F48" s="808" t="s">
        <v>1260</v>
      </c>
      <c r="G48" s="809" t="s">
        <v>650</v>
      </c>
      <c r="H48" s="1422"/>
      <c r="I48" s="1422"/>
      <c r="J48" s="999"/>
      <c r="K48" s="999"/>
      <c r="L48" s="999"/>
      <c r="M48" s="999"/>
      <c r="N48" s="999"/>
      <c r="O48" s="999"/>
      <c r="P48" s="999"/>
      <c r="Q48" s="999"/>
      <c r="R48" s="999"/>
      <c r="S48" s="999"/>
      <c r="T48" s="999"/>
      <c r="U48" s="998" t="s">
        <v>9097</v>
      </c>
      <c r="V48" s="999"/>
      <c r="W48" s="999"/>
      <c r="X48" s="998" t="s">
        <v>3309</v>
      </c>
      <c r="Y48" s="999"/>
      <c r="Z48" s="999"/>
      <c r="AA48" s="999"/>
      <c r="AB48" s="999"/>
      <c r="AC48" s="999"/>
      <c r="AD48" s="998" t="s">
        <v>8253</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1260</v>
      </c>
      <c r="D49" s="806" t="s">
        <v>1260</v>
      </c>
      <c r="E49" s="807" t="s">
        <v>1260</v>
      </c>
      <c r="F49" s="808" t="s">
        <v>1260</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7582</v>
      </c>
      <c r="B50" s="809" t="s">
        <v>333</v>
      </c>
      <c r="C50" s="805" t="s">
        <v>547</v>
      </c>
      <c r="D50" s="806" t="s">
        <v>1260</v>
      </c>
      <c r="E50" s="807" t="s">
        <v>1260</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9098</v>
      </c>
      <c r="C51" s="805" t="s">
        <v>1260</v>
      </c>
      <c r="D51" s="806" t="s">
        <v>1260</v>
      </c>
      <c r="E51" s="807" t="s">
        <v>1260</v>
      </c>
      <c r="F51" s="808" t="s">
        <v>547</v>
      </c>
      <c r="G51" s="809" t="s">
        <v>1054</v>
      </c>
      <c r="H51" s="1422"/>
      <c r="I51" s="1422"/>
      <c r="J51" s="999"/>
      <c r="K51" s="999"/>
      <c r="L51" s="999"/>
      <c r="M51" s="999"/>
      <c r="N51" s="999"/>
      <c r="O51" s="999"/>
      <c r="P51" s="999"/>
      <c r="Q51" s="999"/>
      <c r="R51" s="998" t="s">
        <v>9099</v>
      </c>
      <c r="S51" s="999"/>
      <c r="T51" s="999"/>
      <c r="U51" s="999"/>
      <c r="V51" s="999"/>
      <c r="W51" s="998" t="s">
        <v>9100</v>
      </c>
      <c r="X51" s="998" t="s">
        <v>9100</v>
      </c>
      <c r="Y51" s="998" t="s">
        <v>9101</v>
      </c>
      <c r="Z51" s="999"/>
      <c r="AA51" s="998" t="s">
        <v>9102</v>
      </c>
      <c r="AB51" s="999"/>
      <c r="AC51" s="998" t="s">
        <v>8269</v>
      </c>
      <c r="AD51" s="998" t="s">
        <v>9103</v>
      </c>
      <c r="AE51" s="998" t="s">
        <v>9104</v>
      </c>
      <c r="AF51" s="999"/>
      <c r="AG51" s="999"/>
      <c r="AH51" s="1001" t="s">
        <v>9105</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9106</v>
      </c>
      <c r="B52" s="809" t="s">
        <v>3061</v>
      </c>
      <c r="C52" s="805" t="s">
        <v>1260</v>
      </c>
      <c r="D52" s="806" t="s">
        <v>1260</v>
      </c>
      <c r="E52" s="807" t="s">
        <v>1260</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9107</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9108</v>
      </c>
      <c r="B53" s="809" t="s">
        <v>221</v>
      </c>
      <c r="C53" s="805" t="s">
        <v>547</v>
      </c>
      <c r="D53" s="806" t="s">
        <v>1260</v>
      </c>
      <c r="E53" s="807" t="s">
        <v>1260</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9109</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1260</v>
      </c>
      <c r="D54" s="806" t="s">
        <v>1260</v>
      </c>
      <c r="E54" s="807" t="s">
        <v>1260</v>
      </c>
      <c r="F54" s="808" t="s">
        <v>1260</v>
      </c>
      <c r="G54" s="809" t="s">
        <v>438</v>
      </c>
      <c r="H54" s="1422"/>
      <c r="I54" s="1422"/>
      <c r="J54" s="999"/>
      <c r="K54" s="999"/>
      <c r="L54" s="999"/>
      <c r="M54" s="999"/>
      <c r="N54" s="999"/>
      <c r="O54" s="999"/>
      <c r="P54" s="999"/>
      <c r="Q54" s="999"/>
      <c r="R54" s="998" t="s">
        <v>9110</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9111</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1260</v>
      </c>
      <c r="D55" s="806" t="s">
        <v>1260</v>
      </c>
      <c r="E55" s="807" t="s">
        <v>1260</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9112</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5956</v>
      </c>
      <c r="B56" s="809" t="s">
        <v>649</v>
      </c>
      <c r="C56" s="805" t="s">
        <v>1260</v>
      </c>
      <c r="D56" s="806" t="s">
        <v>1260</v>
      </c>
      <c r="E56" s="807" t="s">
        <v>1260</v>
      </c>
      <c r="F56" s="808" t="s">
        <v>1260</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6636</v>
      </c>
      <c r="B57" s="809" t="s">
        <v>649</v>
      </c>
      <c r="C57" s="805" t="s">
        <v>1260</v>
      </c>
      <c r="D57" s="806" t="s">
        <v>1260</v>
      </c>
      <c r="E57" s="807" t="s">
        <v>1260</v>
      </c>
      <c r="F57" s="808" t="s">
        <v>332</v>
      </c>
      <c r="G57" s="809" t="s">
        <v>3873</v>
      </c>
      <c r="H57" s="1422"/>
      <c r="I57" s="1422"/>
      <c r="J57" s="999"/>
      <c r="K57" s="999"/>
      <c r="L57" s="999"/>
      <c r="M57" s="999"/>
      <c r="N57" s="999"/>
      <c r="O57" s="999"/>
      <c r="P57" s="999"/>
      <c r="Q57" s="999"/>
      <c r="R57" s="1001" t="s">
        <v>9113</v>
      </c>
      <c r="S57" s="999"/>
      <c r="T57" s="999"/>
      <c r="U57" s="1001" t="s">
        <v>9114</v>
      </c>
      <c r="V57" s="999"/>
      <c r="W57" s="998" t="s">
        <v>9115</v>
      </c>
      <c r="X57" s="998" t="s">
        <v>9115</v>
      </c>
      <c r="Y57" s="999"/>
      <c r="Z57" s="999"/>
      <c r="AA57" s="999"/>
      <c r="AB57" s="999"/>
      <c r="AC57" s="999"/>
      <c r="AD57" s="999"/>
      <c r="AE57" s="999"/>
      <c r="AF57" s="999"/>
      <c r="AG57" s="999"/>
      <c r="AH57" s="999"/>
      <c r="AI57" s="999"/>
      <c r="AJ57" s="999"/>
      <c r="AK57" s="999"/>
      <c r="AL57" s="999"/>
      <c r="AM57" s="999"/>
      <c r="AN57" s="999"/>
      <c r="AO57" s="999"/>
      <c r="AP57" s="998" t="s">
        <v>9116</v>
      </c>
      <c r="AQ57" s="1001" t="s">
        <v>9117</v>
      </c>
      <c r="AR57" s="1001" t="s">
        <v>9118</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9119</v>
      </c>
      <c r="B58" s="809" t="s">
        <v>3873</v>
      </c>
      <c r="C58" s="805" t="s">
        <v>1260</v>
      </c>
      <c r="D58" s="806" t="s">
        <v>547</v>
      </c>
      <c r="E58" s="807" t="s">
        <v>1260</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9120</v>
      </c>
      <c r="B59" s="809" t="s">
        <v>3873</v>
      </c>
      <c r="C59" s="805" t="s">
        <v>1260</v>
      </c>
      <c r="D59" s="806" t="s">
        <v>1260</v>
      </c>
      <c r="E59" s="807" t="s">
        <v>1260</v>
      </c>
      <c r="F59" s="808" t="s">
        <v>1260</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1260</v>
      </c>
      <c r="D60" s="806" t="s">
        <v>1260</v>
      </c>
      <c r="E60" s="807" t="s">
        <v>1260</v>
      </c>
      <c r="F60" s="808" t="s">
        <v>1260</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8684</v>
      </c>
      <c r="BD60" s="1045" t="s">
        <v>9044</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1260</v>
      </c>
      <c r="D61" s="806" t="s">
        <v>1260</v>
      </c>
      <c r="E61" s="807" t="s">
        <v>1260</v>
      </c>
      <c r="F61" s="808" t="s">
        <v>1260</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9121</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9122</v>
      </c>
      <c r="B62" s="809" t="s">
        <v>438</v>
      </c>
      <c r="C62" s="805" t="s">
        <v>1260</v>
      </c>
      <c r="D62" s="806" t="s">
        <v>1260</v>
      </c>
      <c r="E62" s="807" t="s">
        <v>1260</v>
      </c>
      <c r="F62" s="808" t="s">
        <v>1260</v>
      </c>
      <c r="G62" s="809" t="s">
        <v>547</v>
      </c>
      <c r="H62" s="1422"/>
      <c r="I62" s="1422"/>
      <c r="J62" s="999"/>
      <c r="K62" s="999"/>
      <c r="L62" s="999"/>
      <c r="M62" s="999"/>
      <c r="N62" s="999"/>
      <c r="O62" s="999"/>
      <c r="P62" s="999"/>
      <c r="Q62" s="999"/>
      <c r="R62" s="999"/>
      <c r="S62" s="999"/>
      <c r="T62" s="999"/>
      <c r="U62" s="999"/>
      <c r="V62" s="1045" t="s">
        <v>8721</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9123</v>
      </c>
      <c r="B63" s="809" t="s">
        <v>547</v>
      </c>
      <c r="C63" s="805" t="s">
        <v>1260</v>
      </c>
      <c r="D63" s="806" t="s">
        <v>1260</v>
      </c>
      <c r="E63" s="807" t="s">
        <v>1260</v>
      </c>
      <c r="F63" s="808" t="s">
        <v>1260</v>
      </c>
      <c r="G63" s="809" t="s">
        <v>547</v>
      </c>
      <c r="H63" s="1466"/>
      <c r="I63" s="1466"/>
      <c r="J63" s="999"/>
      <c r="K63" s="999"/>
      <c r="L63" s="999"/>
      <c r="M63" s="999"/>
      <c r="N63" s="999"/>
      <c r="O63" s="999"/>
      <c r="P63" s="999"/>
      <c r="Q63" s="999"/>
      <c r="R63" s="999"/>
      <c r="S63" s="999"/>
      <c r="T63" s="999"/>
      <c r="U63" s="999"/>
      <c r="V63" s="999"/>
      <c r="W63" s="999"/>
      <c r="X63" s="999"/>
      <c r="Y63" s="999"/>
      <c r="Z63" s="999"/>
      <c r="AA63" s="998" t="s">
        <v>9124</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5994</v>
      </c>
      <c r="B64" s="809" t="s">
        <v>1260</v>
      </c>
      <c r="C64" s="805" t="s">
        <v>1260</v>
      </c>
      <c r="D64" s="806" t="s">
        <v>1260</v>
      </c>
      <c r="E64" s="807" t="s">
        <v>1260</v>
      </c>
      <c r="F64" s="808" t="s">
        <v>1260</v>
      </c>
      <c r="G64" s="809" t="s">
        <v>1260</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9125</v>
      </c>
      <c r="B65" s="809" t="s">
        <v>1260</v>
      </c>
      <c r="C65" s="805" t="s">
        <v>1260</v>
      </c>
      <c r="D65" s="806" t="s">
        <v>1260</v>
      </c>
      <c r="E65" s="807" t="s">
        <v>1260</v>
      </c>
      <c r="F65" s="808" t="s">
        <v>1260</v>
      </c>
      <c r="G65" s="809" t="s">
        <v>1260</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1260</v>
      </c>
      <c r="C66" s="805" t="s">
        <v>1260</v>
      </c>
      <c r="D66" s="806" t="s">
        <v>1260</v>
      </c>
      <c r="E66" s="807" t="s">
        <v>1260</v>
      </c>
      <c r="F66" s="808" t="s">
        <v>1260</v>
      </c>
      <c r="G66" s="809" t="s">
        <v>1260</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1260</v>
      </c>
      <c r="C67" s="805" t="s">
        <v>1260</v>
      </c>
      <c r="D67" s="806" t="s">
        <v>1260</v>
      </c>
      <c r="E67" s="807" t="s">
        <v>1260</v>
      </c>
      <c r="F67" s="808" t="s">
        <v>1260</v>
      </c>
      <c r="G67" s="809" t="s">
        <v>1260</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1260</v>
      </c>
      <c r="C68" s="805" t="s">
        <v>1260</v>
      </c>
      <c r="D68" s="806" t="s">
        <v>1260</v>
      </c>
      <c r="E68" s="807" t="s">
        <v>1260</v>
      </c>
      <c r="F68" s="808" t="s">
        <v>1260</v>
      </c>
      <c r="G68" s="809" t="s">
        <v>1260</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1260</v>
      </c>
      <c r="C69" s="805" t="s">
        <v>1260</v>
      </c>
      <c r="D69" s="806" t="s">
        <v>1260</v>
      </c>
      <c r="E69" s="807" t="s">
        <v>1260</v>
      </c>
      <c r="F69" s="808" t="s">
        <v>1260</v>
      </c>
      <c r="G69" s="809" t="s">
        <v>1260</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1260</v>
      </c>
      <c r="C70" s="805" t="s">
        <v>1260</v>
      </c>
      <c r="D70" s="806" t="s">
        <v>1260</v>
      </c>
      <c r="E70" s="807" t="s">
        <v>1260</v>
      </c>
      <c r="F70" s="808" t="s">
        <v>1260</v>
      </c>
      <c r="G70" s="809" t="s">
        <v>1260</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1260</v>
      </c>
      <c r="C71" s="805" t="s">
        <v>1260</v>
      </c>
      <c r="D71" s="806" t="s">
        <v>1260</v>
      </c>
      <c r="E71" s="807" t="s">
        <v>1260</v>
      </c>
      <c r="F71" s="808" t="s">
        <v>1260</v>
      </c>
      <c r="G71" s="809" t="s">
        <v>1260</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1260</v>
      </c>
      <c r="C72" s="805" t="s">
        <v>1260</v>
      </c>
      <c r="D72" s="806" t="s">
        <v>1260</v>
      </c>
      <c r="E72" s="807" t="s">
        <v>1260</v>
      </c>
      <c r="F72" s="808" t="s">
        <v>1260</v>
      </c>
      <c r="G72" s="809" t="s">
        <v>1260</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1260</v>
      </c>
      <c r="C73" s="805" t="s">
        <v>1260</v>
      </c>
      <c r="D73" s="806" t="s">
        <v>1260</v>
      </c>
      <c r="E73" s="807" t="s">
        <v>1260</v>
      </c>
      <c r="F73" s="808" t="s">
        <v>1260</v>
      </c>
      <c r="G73" s="809" t="s">
        <v>1260</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1260</v>
      </c>
      <c r="C74" s="805" t="s">
        <v>1260</v>
      </c>
      <c r="D74" s="806" t="s">
        <v>1260</v>
      </c>
      <c r="E74" s="807" t="s">
        <v>1260</v>
      </c>
      <c r="F74" s="808" t="s">
        <v>1260</v>
      </c>
      <c r="G74" s="809" t="s">
        <v>1260</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1260</v>
      </c>
      <c r="C75" s="805" t="s">
        <v>1260</v>
      </c>
      <c r="D75" s="806" t="s">
        <v>1260</v>
      </c>
      <c r="E75" s="807" t="s">
        <v>1260</v>
      </c>
      <c r="F75" s="808" t="s">
        <v>1260</v>
      </c>
      <c r="G75" s="809" t="s">
        <v>1260</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1260</v>
      </c>
      <c r="C76" s="805" t="s">
        <v>1260</v>
      </c>
      <c r="D76" s="806" t="s">
        <v>1260</v>
      </c>
      <c r="E76" s="807" t="s">
        <v>1260</v>
      </c>
      <c r="F76" s="808" t="s">
        <v>1260</v>
      </c>
      <c r="G76" s="809" t="s">
        <v>1260</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1260</v>
      </c>
      <c r="C77" s="805" t="s">
        <v>1260</v>
      </c>
      <c r="D77" s="806" t="s">
        <v>1260</v>
      </c>
      <c r="E77" s="807" t="s">
        <v>1260</v>
      </c>
      <c r="F77" s="808" t="s">
        <v>1260</v>
      </c>
      <c r="G77" s="809" t="s">
        <v>1260</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1260</v>
      </c>
      <c r="C78" s="805" t="s">
        <v>1260</v>
      </c>
      <c r="D78" s="806" t="s">
        <v>1260</v>
      </c>
      <c r="E78" s="807" t="s">
        <v>1260</v>
      </c>
      <c r="F78" s="808" t="s">
        <v>1260</v>
      </c>
      <c r="G78" s="809" t="s">
        <v>1260</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1260</v>
      </c>
      <c r="C79" s="805" t="s">
        <v>1260</v>
      </c>
      <c r="D79" s="806" t="s">
        <v>1260</v>
      </c>
      <c r="E79" s="807" t="s">
        <v>1260</v>
      </c>
      <c r="F79" s="808" t="s">
        <v>1260</v>
      </c>
      <c r="G79" s="809" t="s">
        <v>1260</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1260</v>
      </c>
      <c r="C80" s="805" t="s">
        <v>1260</v>
      </c>
      <c r="D80" s="806" t="s">
        <v>1260</v>
      </c>
      <c r="E80" s="807" t="s">
        <v>1260</v>
      </c>
      <c r="F80" s="808" t="s">
        <v>1260</v>
      </c>
      <c r="G80" s="809" t="s">
        <v>1260</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1260</v>
      </c>
      <c r="C81" s="805" t="s">
        <v>1260</v>
      </c>
      <c r="D81" s="806" t="s">
        <v>1260</v>
      </c>
      <c r="E81" s="807" t="s">
        <v>1260</v>
      </c>
      <c r="F81" s="808" t="s">
        <v>1260</v>
      </c>
      <c r="G81" s="809" t="s">
        <v>1260</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1260</v>
      </c>
      <c r="C82" s="805" t="s">
        <v>1260</v>
      </c>
      <c r="D82" s="806" t="s">
        <v>1260</v>
      </c>
      <c r="E82" s="807" t="s">
        <v>1260</v>
      </c>
      <c r="F82" s="808" t="s">
        <v>1260</v>
      </c>
      <c r="G82" s="809" t="s">
        <v>1260</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1260</v>
      </c>
      <c r="C83" s="805" t="s">
        <v>1260</v>
      </c>
      <c r="D83" s="806" t="s">
        <v>1260</v>
      </c>
      <c r="E83" s="807" t="s">
        <v>1260</v>
      </c>
      <c r="F83" s="808" t="s">
        <v>1260</v>
      </c>
      <c r="G83" s="809" t="s">
        <v>1260</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1260</v>
      </c>
      <c r="C84" s="805" t="s">
        <v>1260</v>
      </c>
      <c r="D84" s="806" t="s">
        <v>1260</v>
      </c>
      <c r="E84" s="807" t="s">
        <v>1260</v>
      </c>
      <c r="F84" s="808" t="s">
        <v>1260</v>
      </c>
      <c r="G84" s="809" t="s">
        <v>1260</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1260</v>
      </c>
      <c r="C85" s="805" t="s">
        <v>1260</v>
      </c>
      <c r="D85" s="806" t="s">
        <v>1260</v>
      </c>
      <c r="E85" s="807" t="s">
        <v>1260</v>
      </c>
      <c r="F85" s="808" t="s">
        <v>1260</v>
      </c>
      <c r="G85" s="809" t="s">
        <v>1260</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1260</v>
      </c>
      <c r="C86" s="805" t="s">
        <v>1260</v>
      </c>
      <c r="D86" s="806" t="s">
        <v>1260</v>
      </c>
      <c r="E86" s="807" t="s">
        <v>1260</v>
      </c>
      <c r="F86" s="808" t="s">
        <v>1260</v>
      </c>
      <c r="G86" s="809" t="s">
        <v>1260</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1260</v>
      </c>
      <c r="C87" s="805" t="s">
        <v>1260</v>
      </c>
      <c r="D87" s="806" t="s">
        <v>1260</v>
      </c>
      <c r="E87" s="807" t="s">
        <v>1260</v>
      </c>
      <c r="F87" s="808" t="s">
        <v>1260</v>
      </c>
      <c r="G87" s="809" t="s">
        <v>1260</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1260</v>
      </c>
      <c r="C88" s="805" t="s">
        <v>1260</v>
      </c>
      <c r="D88" s="806" t="s">
        <v>1260</v>
      </c>
      <c r="E88" s="807" t="s">
        <v>1260</v>
      </c>
      <c r="F88" s="808" t="s">
        <v>1260</v>
      </c>
      <c r="G88" s="809" t="s">
        <v>1260</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1260</v>
      </c>
      <c r="C89" s="805" t="s">
        <v>1260</v>
      </c>
      <c r="D89" s="806" t="s">
        <v>1260</v>
      </c>
      <c r="E89" s="807" t="s">
        <v>1260</v>
      </c>
      <c r="F89" s="808" t="s">
        <v>1260</v>
      </c>
      <c r="G89" s="809" t="s">
        <v>1260</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1260</v>
      </c>
      <c r="C90" s="805" t="s">
        <v>1260</v>
      </c>
      <c r="D90" s="806" t="s">
        <v>1260</v>
      </c>
      <c r="E90" s="807" t="s">
        <v>1260</v>
      </c>
      <c r="F90" s="808" t="s">
        <v>1260</v>
      </c>
      <c r="G90" s="809" t="s">
        <v>1260</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1260</v>
      </c>
      <c r="C91" s="805" t="s">
        <v>1260</v>
      </c>
      <c r="D91" s="806" t="s">
        <v>1260</v>
      </c>
      <c r="E91" s="807" t="s">
        <v>1260</v>
      </c>
      <c r="F91" s="808" t="s">
        <v>1260</v>
      </c>
      <c r="G91" s="809" t="s">
        <v>1260</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1260</v>
      </c>
      <c r="C92" s="805" t="s">
        <v>1260</v>
      </c>
      <c r="D92" s="806" t="s">
        <v>1260</v>
      </c>
      <c r="E92" s="807" t="s">
        <v>1260</v>
      </c>
      <c r="F92" s="808" t="s">
        <v>1260</v>
      </c>
      <c r="G92" s="809" t="s">
        <v>1260</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1260</v>
      </c>
      <c r="C93" s="805" t="s">
        <v>1260</v>
      </c>
      <c r="D93" s="806" t="s">
        <v>1260</v>
      </c>
      <c r="E93" s="807" t="s">
        <v>1260</v>
      </c>
      <c r="F93" s="808" t="s">
        <v>1260</v>
      </c>
      <c r="G93" s="809" t="s">
        <v>1260</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1260</v>
      </c>
      <c r="C94" s="805" t="s">
        <v>1260</v>
      </c>
      <c r="D94" s="806" t="s">
        <v>1260</v>
      </c>
      <c r="E94" s="807" t="s">
        <v>1260</v>
      </c>
      <c r="F94" s="808" t="s">
        <v>1260</v>
      </c>
      <c r="G94" s="809" t="s">
        <v>1260</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1260</v>
      </c>
      <c r="C95" s="805" t="s">
        <v>1260</v>
      </c>
      <c r="D95" s="806" t="s">
        <v>1260</v>
      </c>
      <c r="E95" s="807" t="s">
        <v>1260</v>
      </c>
      <c r="F95" s="808" t="s">
        <v>1260</v>
      </c>
      <c r="G95" s="809" t="s">
        <v>1260</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1260</v>
      </c>
      <c r="C96" s="805" t="s">
        <v>1260</v>
      </c>
      <c r="D96" s="806" t="s">
        <v>1260</v>
      </c>
      <c r="E96" s="807" t="s">
        <v>1260</v>
      </c>
      <c r="F96" s="808" t="s">
        <v>1260</v>
      </c>
      <c r="G96" s="809" t="s">
        <v>1260</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1260</v>
      </c>
      <c r="C97" s="805" t="s">
        <v>1260</v>
      </c>
      <c r="D97" s="806" t="s">
        <v>1260</v>
      </c>
      <c r="E97" s="807" t="s">
        <v>1260</v>
      </c>
      <c r="F97" s="808" t="s">
        <v>1260</v>
      </c>
      <c r="G97" s="809" t="s">
        <v>1260</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1260</v>
      </c>
      <c r="C98" s="805" t="s">
        <v>1260</v>
      </c>
      <c r="D98" s="806" t="s">
        <v>1260</v>
      </c>
      <c r="E98" s="807" t="s">
        <v>1260</v>
      </c>
      <c r="F98" s="808" t="s">
        <v>1260</v>
      </c>
      <c r="G98" s="809" t="s">
        <v>1260</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1260</v>
      </c>
      <c r="C99" s="805" t="s">
        <v>1260</v>
      </c>
      <c r="D99" s="806" t="s">
        <v>1260</v>
      </c>
      <c r="E99" s="807" t="s">
        <v>1260</v>
      </c>
      <c r="F99" s="808" t="s">
        <v>1260</v>
      </c>
      <c r="G99" s="809" t="s">
        <v>1260</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1260</v>
      </c>
      <c r="C100" s="805" t="s">
        <v>1260</v>
      </c>
      <c r="D100" s="806" t="s">
        <v>1260</v>
      </c>
      <c r="E100" s="807" t="s">
        <v>1260</v>
      </c>
      <c r="F100" s="808" t="s">
        <v>1260</v>
      </c>
      <c r="G100" s="809" t="s">
        <v>1260</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1260</v>
      </c>
      <c r="C101" s="805" t="s">
        <v>1260</v>
      </c>
      <c r="D101" s="806" t="s">
        <v>1260</v>
      </c>
      <c r="E101" s="807" t="s">
        <v>1260</v>
      </c>
      <c r="F101" s="808" t="s">
        <v>1260</v>
      </c>
      <c r="G101" s="809" t="s">
        <v>1260</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1260</v>
      </c>
      <c r="C102" s="805" t="s">
        <v>1260</v>
      </c>
      <c r="D102" s="806" t="s">
        <v>1260</v>
      </c>
      <c r="E102" s="807" t="s">
        <v>1260</v>
      </c>
      <c r="F102" s="808" t="s">
        <v>1260</v>
      </c>
      <c r="G102" s="809" t="s">
        <v>1260</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1260</v>
      </c>
      <c r="C103" s="805" t="s">
        <v>1260</v>
      </c>
      <c r="D103" s="806" t="s">
        <v>1260</v>
      </c>
      <c r="E103" s="807" t="s">
        <v>1260</v>
      </c>
      <c r="F103" s="808" t="s">
        <v>1260</v>
      </c>
      <c r="G103" s="809" t="s">
        <v>1260</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1260</v>
      </c>
      <c r="C104" s="805" t="s">
        <v>1260</v>
      </c>
      <c r="D104" s="806" t="s">
        <v>1260</v>
      </c>
      <c r="E104" s="807" t="s">
        <v>1260</v>
      </c>
      <c r="F104" s="808" t="s">
        <v>1260</v>
      </c>
      <c r="G104" s="809" t="s">
        <v>1260</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1260</v>
      </c>
      <c r="C105" s="805" t="s">
        <v>1260</v>
      </c>
      <c r="D105" s="806" t="s">
        <v>1260</v>
      </c>
      <c r="E105" s="807" t="s">
        <v>1260</v>
      </c>
      <c r="F105" s="808" t="s">
        <v>1260</v>
      </c>
      <c r="G105" s="809" t="s">
        <v>1260</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1260</v>
      </c>
      <c r="C106" s="805" t="s">
        <v>1260</v>
      </c>
      <c r="D106" s="806" t="s">
        <v>1260</v>
      </c>
      <c r="E106" s="807" t="s">
        <v>1260</v>
      </c>
      <c r="F106" s="808" t="s">
        <v>1260</v>
      </c>
      <c r="G106" s="809" t="s">
        <v>1260</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1260</v>
      </c>
      <c r="C107" s="805" t="s">
        <v>1260</v>
      </c>
      <c r="D107" s="806" t="s">
        <v>1260</v>
      </c>
      <c r="E107" s="807" t="s">
        <v>1260</v>
      </c>
      <c r="F107" s="808" t="s">
        <v>1260</v>
      </c>
      <c r="G107" s="809" t="s">
        <v>1260</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1260</v>
      </c>
      <c r="C108" s="805" t="s">
        <v>1260</v>
      </c>
      <c r="D108" s="806" t="s">
        <v>1260</v>
      </c>
      <c r="E108" s="807" t="s">
        <v>1260</v>
      </c>
      <c r="F108" s="808" t="s">
        <v>1260</v>
      </c>
      <c r="G108" s="809" t="s">
        <v>1260</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1260</v>
      </c>
      <c r="C109" s="805" t="s">
        <v>1260</v>
      </c>
      <c r="D109" s="806" t="s">
        <v>1260</v>
      </c>
      <c r="E109" s="807" t="s">
        <v>1260</v>
      </c>
      <c r="F109" s="808" t="s">
        <v>1260</v>
      </c>
      <c r="G109" s="809" t="s">
        <v>1260</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1260</v>
      </c>
      <c r="C110" s="805" t="s">
        <v>1260</v>
      </c>
      <c r="D110" s="806" t="s">
        <v>1260</v>
      </c>
      <c r="E110" s="807" t="s">
        <v>1260</v>
      </c>
      <c r="F110" s="808" t="s">
        <v>1260</v>
      </c>
      <c r="G110" s="809" t="s">
        <v>1260</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1260</v>
      </c>
      <c r="C111" s="805" t="s">
        <v>1260</v>
      </c>
      <c r="D111" s="806" t="s">
        <v>1260</v>
      </c>
      <c r="E111" s="807" t="s">
        <v>1260</v>
      </c>
      <c r="F111" s="808" t="s">
        <v>1260</v>
      </c>
      <c r="G111" s="809" t="s">
        <v>1260</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1260</v>
      </c>
      <c r="C112" s="805" t="s">
        <v>1260</v>
      </c>
      <c r="D112" s="806" t="s">
        <v>1260</v>
      </c>
      <c r="E112" s="807" t="s">
        <v>1260</v>
      </c>
      <c r="F112" s="808" t="s">
        <v>1260</v>
      </c>
      <c r="G112" s="809" t="s">
        <v>1260</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1260</v>
      </c>
      <c r="C113" s="805" t="s">
        <v>1260</v>
      </c>
      <c r="D113" s="806" t="s">
        <v>1260</v>
      </c>
      <c r="E113" s="807" t="s">
        <v>1260</v>
      </c>
      <c r="F113" s="808" t="s">
        <v>1260</v>
      </c>
      <c r="G113" s="809" t="s">
        <v>1260</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1260</v>
      </c>
      <c r="C114" s="805" t="s">
        <v>1260</v>
      </c>
      <c r="D114" s="806" t="s">
        <v>1260</v>
      </c>
      <c r="E114" s="807" t="s">
        <v>1260</v>
      </c>
      <c r="F114" s="808" t="s">
        <v>1260</v>
      </c>
      <c r="G114" s="809" t="s">
        <v>1260</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1260</v>
      </c>
      <c r="C115" s="805" t="s">
        <v>1260</v>
      </c>
      <c r="D115" s="806" t="s">
        <v>1260</v>
      </c>
      <c r="E115" s="807" t="s">
        <v>1260</v>
      </c>
      <c r="F115" s="808" t="s">
        <v>1260</v>
      </c>
      <c r="G115" s="809" t="s">
        <v>1260</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1260</v>
      </c>
      <c r="C116" s="805" t="s">
        <v>1260</v>
      </c>
      <c r="D116" s="806" t="s">
        <v>1260</v>
      </c>
      <c r="E116" s="807" t="s">
        <v>1260</v>
      </c>
      <c r="F116" s="808" t="s">
        <v>1260</v>
      </c>
      <c r="G116" s="809" t="s">
        <v>1260</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1260</v>
      </c>
      <c r="C117" s="805" t="s">
        <v>1260</v>
      </c>
      <c r="D117" s="806" t="s">
        <v>1260</v>
      </c>
      <c r="E117" s="807" t="s">
        <v>1260</v>
      </c>
      <c r="F117" s="808" t="s">
        <v>1260</v>
      </c>
      <c r="G117" s="809" t="s">
        <v>1260</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1260</v>
      </c>
      <c r="C118" s="805" t="s">
        <v>1260</v>
      </c>
      <c r="D118" s="806" t="s">
        <v>1260</v>
      </c>
      <c r="E118" s="807" t="s">
        <v>1260</v>
      </c>
      <c r="F118" s="808" t="s">
        <v>1260</v>
      </c>
      <c r="G118" s="809" t="s">
        <v>1260</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1260</v>
      </c>
      <c r="C119" s="805" t="s">
        <v>1260</v>
      </c>
      <c r="D119" s="806" t="s">
        <v>1260</v>
      </c>
      <c r="E119" s="807" t="s">
        <v>1260</v>
      </c>
      <c r="F119" s="808" t="s">
        <v>1260</v>
      </c>
      <c r="G119" s="809" t="s">
        <v>1260</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1260</v>
      </c>
      <c r="C120" s="805" t="s">
        <v>1260</v>
      </c>
      <c r="D120" s="806" t="s">
        <v>1260</v>
      </c>
      <c r="E120" s="807" t="s">
        <v>1260</v>
      </c>
      <c r="F120" s="808" t="s">
        <v>1260</v>
      </c>
      <c r="G120" s="809" t="s">
        <v>1260</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1260</v>
      </c>
      <c r="C121" s="805" t="s">
        <v>1260</v>
      </c>
      <c r="D121" s="806" t="s">
        <v>1260</v>
      </c>
      <c r="E121" s="807" t="s">
        <v>1260</v>
      </c>
      <c r="F121" s="808" t="s">
        <v>1260</v>
      </c>
      <c r="G121" s="809" t="s">
        <v>1260</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1260</v>
      </c>
      <c r="C122" s="805" t="s">
        <v>1260</v>
      </c>
      <c r="D122" s="806" t="s">
        <v>1260</v>
      </c>
      <c r="E122" s="807" t="s">
        <v>1260</v>
      </c>
      <c r="F122" s="808" t="s">
        <v>1260</v>
      </c>
      <c r="G122" s="809" t="s">
        <v>1260</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1260</v>
      </c>
      <c r="C123" s="805" t="s">
        <v>1260</v>
      </c>
      <c r="D123" s="806" t="s">
        <v>1260</v>
      </c>
      <c r="E123" s="807" t="s">
        <v>1260</v>
      </c>
      <c r="F123" s="808" t="s">
        <v>1260</v>
      </c>
      <c r="G123" s="809" t="s">
        <v>1260</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1260</v>
      </c>
      <c r="C124" s="805" t="s">
        <v>1260</v>
      </c>
      <c r="D124" s="806" t="s">
        <v>1260</v>
      </c>
      <c r="E124" s="807" t="s">
        <v>1260</v>
      </c>
      <c r="F124" s="808" t="s">
        <v>1260</v>
      </c>
      <c r="G124" s="809" t="s">
        <v>1260</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1260</v>
      </c>
      <c r="C125" s="805" t="s">
        <v>1260</v>
      </c>
      <c r="D125" s="806" t="s">
        <v>1260</v>
      </c>
      <c r="E125" s="807" t="s">
        <v>1260</v>
      </c>
      <c r="F125" s="808" t="s">
        <v>1260</v>
      </c>
      <c r="G125" s="809" t="s">
        <v>1260</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1260</v>
      </c>
      <c r="C126" s="805" t="s">
        <v>1260</v>
      </c>
      <c r="D126" s="806" t="s">
        <v>1260</v>
      </c>
      <c r="E126" s="807" t="s">
        <v>1260</v>
      </c>
      <c r="F126" s="808" t="s">
        <v>1260</v>
      </c>
      <c r="G126" s="809" t="s">
        <v>1260</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1260</v>
      </c>
      <c r="C127" s="805" t="s">
        <v>1260</v>
      </c>
      <c r="D127" s="806" t="s">
        <v>1260</v>
      </c>
      <c r="E127" s="807" t="s">
        <v>1260</v>
      </c>
      <c r="F127" s="808" t="s">
        <v>1260</v>
      </c>
      <c r="G127" s="809" t="s">
        <v>1260</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1260</v>
      </c>
      <c r="C128" s="805" t="s">
        <v>1260</v>
      </c>
      <c r="D128" s="806" t="s">
        <v>1260</v>
      </c>
      <c r="E128" s="807" t="s">
        <v>1260</v>
      </c>
      <c r="F128" s="808" t="s">
        <v>1260</v>
      </c>
      <c r="G128" s="809" t="s">
        <v>1260</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1260</v>
      </c>
      <c r="C129" s="805" t="s">
        <v>1260</v>
      </c>
      <c r="D129" s="806" t="s">
        <v>1260</v>
      </c>
      <c r="E129" s="807" t="s">
        <v>1260</v>
      </c>
      <c r="F129" s="808" t="s">
        <v>1260</v>
      </c>
      <c r="G129" s="809" t="s">
        <v>1260</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1260</v>
      </c>
      <c r="C130" s="805" t="s">
        <v>1260</v>
      </c>
      <c r="D130" s="806" t="s">
        <v>1260</v>
      </c>
      <c r="E130" s="807" t="s">
        <v>1260</v>
      </c>
      <c r="F130" s="808" t="s">
        <v>1260</v>
      </c>
      <c r="G130" s="809" t="s">
        <v>1260</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1260</v>
      </c>
      <c r="C131" s="805" t="s">
        <v>1260</v>
      </c>
      <c r="D131" s="806" t="s">
        <v>1260</v>
      </c>
      <c r="E131" s="807" t="s">
        <v>1260</v>
      </c>
      <c r="F131" s="808" t="s">
        <v>1260</v>
      </c>
      <c r="G131" s="809" t="s">
        <v>1260</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1260</v>
      </c>
      <c r="C132" s="805" t="s">
        <v>1260</v>
      </c>
      <c r="D132" s="806" t="s">
        <v>1260</v>
      </c>
      <c r="E132" s="807" t="s">
        <v>1260</v>
      </c>
      <c r="F132" s="808" t="s">
        <v>1260</v>
      </c>
      <c r="G132" s="809" t="s">
        <v>1260</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1260</v>
      </c>
      <c r="C133" s="805" t="s">
        <v>1260</v>
      </c>
      <c r="D133" s="806" t="s">
        <v>1260</v>
      </c>
      <c r="E133" s="807" t="s">
        <v>1260</v>
      </c>
      <c r="F133" s="808" t="s">
        <v>1260</v>
      </c>
      <c r="G133" s="809" t="s">
        <v>1260</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1260</v>
      </c>
      <c r="C134" s="805" t="s">
        <v>1260</v>
      </c>
      <c r="D134" s="806" t="s">
        <v>1260</v>
      </c>
      <c r="E134" s="807" t="s">
        <v>1260</v>
      </c>
      <c r="F134" s="808" t="s">
        <v>1260</v>
      </c>
      <c r="G134" s="809" t="s">
        <v>1260</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1260</v>
      </c>
      <c r="C135" s="805" t="s">
        <v>1260</v>
      </c>
      <c r="D135" s="806" t="s">
        <v>1260</v>
      </c>
      <c r="E135" s="807" t="s">
        <v>1260</v>
      </c>
      <c r="F135" s="808" t="s">
        <v>1260</v>
      </c>
      <c r="G135" s="809" t="s">
        <v>1260</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1260</v>
      </c>
      <c r="C136" s="805" t="s">
        <v>1260</v>
      </c>
      <c r="D136" s="806" t="s">
        <v>1260</v>
      </c>
      <c r="E136" s="807" t="s">
        <v>1260</v>
      </c>
      <c r="F136" s="808" t="s">
        <v>1260</v>
      </c>
      <c r="G136" s="809" t="s">
        <v>1260</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1260</v>
      </c>
      <c r="C137" s="805" t="s">
        <v>1260</v>
      </c>
      <c r="D137" s="806" t="s">
        <v>1260</v>
      </c>
      <c r="E137" s="807" t="s">
        <v>1260</v>
      </c>
      <c r="F137" s="808" t="s">
        <v>1260</v>
      </c>
      <c r="G137" s="809" t="s">
        <v>1260</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1260</v>
      </c>
      <c r="C138" s="805" t="s">
        <v>1260</v>
      </c>
      <c r="D138" s="806" t="s">
        <v>1260</v>
      </c>
      <c r="E138" s="807" t="s">
        <v>1260</v>
      </c>
      <c r="F138" s="808" t="s">
        <v>1260</v>
      </c>
      <c r="G138" s="809" t="s">
        <v>1260</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1260</v>
      </c>
      <c r="C139" s="805" t="s">
        <v>1260</v>
      </c>
      <c r="D139" s="806" t="s">
        <v>1260</v>
      </c>
      <c r="E139" s="807" t="s">
        <v>1260</v>
      </c>
      <c r="F139" s="808" t="s">
        <v>1260</v>
      </c>
      <c r="G139" s="809" t="s">
        <v>1260</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1260</v>
      </c>
      <c r="C140" s="805" t="s">
        <v>1260</v>
      </c>
      <c r="D140" s="806" t="s">
        <v>1260</v>
      </c>
      <c r="E140" s="807" t="s">
        <v>1260</v>
      </c>
      <c r="F140" s="808" t="s">
        <v>1260</v>
      </c>
      <c r="G140" s="809" t="s">
        <v>1260</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1260</v>
      </c>
      <c r="C141" s="805" t="s">
        <v>1260</v>
      </c>
      <c r="D141" s="806" t="s">
        <v>1260</v>
      </c>
      <c r="E141" s="807" t="s">
        <v>1260</v>
      </c>
      <c r="F141" s="808" t="s">
        <v>1260</v>
      </c>
      <c r="G141" s="809" t="s">
        <v>1260</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1260</v>
      </c>
      <c r="C142" s="805" t="s">
        <v>1260</v>
      </c>
      <c r="D142" s="806" t="s">
        <v>1260</v>
      </c>
      <c r="E142" s="807" t="s">
        <v>1260</v>
      </c>
      <c r="F142" s="808" t="s">
        <v>1260</v>
      </c>
      <c r="G142" s="809" t="s">
        <v>1260</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1260</v>
      </c>
      <c r="C143" s="805" t="s">
        <v>1260</v>
      </c>
      <c r="D143" s="806" t="s">
        <v>1260</v>
      </c>
      <c r="E143" s="807" t="s">
        <v>1260</v>
      </c>
      <c r="F143" s="808" t="s">
        <v>1260</v>
      </c>
      <c r="G143" s="809" t="s">
        <v>1260</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1260</v>
      </c>
      <c r="C144" s="805" t="s">
        <v>1260</v>
      </c>
      <c r="D144" s="806" t="s">
        <v>1260</v>
      </c>
      <c r="E144" s="807" t="s">
        <v>1260</v>
      </c>
      <c r="F144" s="808" t="s">
        <v>1260</v>
      </c>
      <c r="G144" s="809" t="s">
        <v>1260</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1260</v>
      </c>
      <c r="C145" s="805" t="s">
        <v>1260</v>
      </c>
      <c r="D145" s="806" t="s">
        <v>1260</v>
      </c>
      <c r="E145" s="807" t="s">
        <v>1260</v>
      </c>
      <c r="F145" s="808" t="s">
        <v>1260</v>
      </c>
      <c r="G145" s="809" t="s">
        <v>1260</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1260</v>
      </c>
      <c r="C146" s="805" t="s">
        <v>1260</v>
      </c>
      <c r="D146" s="806" t="s">
        <v>1260</v>
      </c>
      <c r="E146" s="807" t="s">
        <v>1260</v>
      </c>
      <c r="F146" s="808" t="s">
        <v>1260</v>
      </c>
      <c r="G146" s="809" t="s">
        <v>1260</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1260</v>
      </c>
      <c r="C147" s="805" t="s">
        <v>1260</v>
      </c>
      <c r="D147" s="806" t="s">
        <v>1260</v>
      </c>
      <c r="E147" s="807" t="s">
        <v>1260</v>
      </c>
      <c r="F147" s="808" t="s">
        <v>1260</v>
      </c>
      <c r="G147" s="809" t="s">
        <v>1260</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1260</v>
      </c>
      <c r="C148" s="805" t="s">
        <v>1260</v>
      </c>
      <c r="D148" s="806" t="s">
        <v>1260</v>
      </c>
      <c r="E148" s="807" t="s">
        <v>1260</v>
      </c>
      <c r="F148" s="808" t="s">
        <v>1260</v>
      </c>
      <c r="G148" s="809" t="s">
        <v>1260</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1260</v>
      </c>
      <c r="C149" s="805" t="s">
        <v>1260</v>
      </c>
      <c r="D149" s="806" t="s">
        <v>1260</v>
      </c>
      <c r="E149" s="807" t="s">
        <v>1260</v>
      </c>
      <c r="F149" s="808" t="s">
        <v>1260</v>
      </c>
      <c r="G149" s="809" t="s">
        <v>1260</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1260</v>
      </c>
      <c r="C150" s="805" t="s">
        <v>1260</v>
      </c>
      <c r="D150" s="806" t="s">
        <v>1260</v>
      </c>
      <c r="E150" s="807" t="s">
        <v>1260</v>
      </c>
      <c r="F150" s="808" t="s">
        <v>1260</v>
      </c>
      <c r="G150" s="809" t="s">
        <v>1260</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1260</v>
      </c>
      <c r="C151" s="805" t="s">
        <v>1260</v>
      </c>
      <c r="D151" s="806" t="s">
        <v>1260</v>
      </c>
      <c r="E151" s="807" t="s">
        <v>1260</v>
      </c>
      <c r="F151" s="808" t="s">
        <v>1260</v>
      </c>
      <c r="G151" s="809" t="s">
        <v>1260</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1260</v>
      </c>
      <c r="C152" s="805" t="s">
        <v>1260</v>
      </c>
      <c r="D152" s="806" t="s">
        <v>1260</v>
      </c>
      <c r="E152" s="807" t="s">
        <v>1260</v>
      </c>
      <c r="F152" s="808" t="s">
        <v>1260</v>
      </c>
      <c r="G152" s="809" t="s">
        <v>1260</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1260</v>
      </c>
      <c r="C153" s="805" t="s">
        <v>1260</v>
      </c>
      <c r="D153" s="806" t="s">
        <v>1260</v>
      </c>
      <c r="E153" s="807" t="s">
        <v>1260</v>
      </c>
      <c r="F153" s="808" t="s">
        <v>1260</v>
      </c>
      <c r="G153" s="809" t="s">
        <v>1260</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1260</v>
      </c>
      <c r="C154" s="805" t="s">
        <v>1260</v>
      </c>
      <c r="D154" s="806" t="s">
        <v>1260</v>
      </c>
      <c r="E154" s="807" t="s">
        <v>1260</v>
      </c>
      <c r="F154" s="808" t="s">
        <v>1260</v>
      </c>
      <c r="G154" s="809" t="s">
        <v>1260</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1260</v>
      </c>
      <c r="C155" s="805" t="s">
        <v>1260</v>
      </c>
      <c r="D155" s="806" t="s">
        <v>1260</v>
      </c>
      <c r="E155" s="807" t="s">
        <v>1260</v>
      </c>
      <c r="F155" s="808" t="s">
        <v>1260</v>
      </c>
      <c r="G155" s="809" t="s">
        <v>1260</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1260</v>
      </c>
      <c r="C156" s="805" t="s">
        <v>1260</v>
      </c>
      <c r="D156" s="806" t="s">
        <v>1260</v>
      </c>
      <c r="E156" s="807" t="s">
        <v>1260</v>
      </c>
      <c r="F156" s="808" t="s">
        <v>1260</v>
      </c>
      <c r="G156" s="809" t="s">
        <v>1260</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1260</v>
      </c>
      <c r="C157" s="805" t="s">
        <v>1260</v>
      </c>
      <c r="D157" s="806" t="s">
        <v>1260</v>
      </c>
      <c r="E157" s="807" t="s">
        <v>1260</v>
      </c>
      <c r="F157" s="808" t="s">
        <v>1260</v>
      </c>
      <c r="G157" s="809" t="s">
        <v>1260</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1260</v>
      </c>
      <c r="C158" s="805" t="s">
        <v>1260</v>
      </c>
      <c r="D158" s="806" t="s">
        <v>1260</v>
      </c>
      <c r="E158" s="807" t="s">
        <v>1260</v>
      </c>
      <c r="F158" s="808" t="s">
        <v>1260</v>
      </c>
      <c r="G158" s="809" t="s">
        <v>1260</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1260</v>
      </c>
      <c r="C159" s="805" t="s">
        <v>1260</v>
      </c>
      <c r="D159" s="806" t="s">
        <v>1260</v>
      </c>
      <c r="E159" s="807" t="s">
        <v>1260</v>
      </c>
      <c r="F159" s="808" t="s">
        <v>1260</v>
      </c>
      <c r="G159" s="809" t="s">
        <v>1260</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1260</v>
      </c>
      <c r="C160" s="805" t="s">
        <v>1260</v>
      </c>
      <c r="D160" s="806" t="s">
        <v>1260</v>
      </c>
      <c r="E160" s="807" t="s">
        <v>1260</v>
      </c>
      <c r="F160" s="808" t="s">
        <v>1260</v>
      </c>
      <c r="G160" s="809" t="s">
        <v>1260</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1260</v>
      </c>
      <c r="C161" s="805" t="s">
        <v>1260</v>
      </c>
      <c r="D161" s="806" t="s">
        <v>1260</v>
      </c>
      <c r="E161" s="807" t="s">
        <v>1260</v>
      </c>
      <c r="F161" s="808" t="s">
        <v>1260</v>
      </c>
      <c r="G161" s="809" t="s">
        <v>1260</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1260</v>
      </c>
      <c r="C162" s="805" t="s">
        <v>1260</v>
      </c>
      <c r="D162" s="806" t="s">
        <v>1260</v>
      </c>
      <c r="E162" s="807" t="s">
        <v>1260</v>
      </c>
      <c r="F162" s="808" t="s">
        <v>1260</v>
      </c>
      <c r="G162" s="809" t="s">
        <v>1260</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1260</v>
      </c>
      <c r="C163" s="805" t="s">
        <v>1260</v>
      </c>
      <c r="D163" s="806" t="s">
        <v>1260</v>
      </c>
      <c r="E163" s="807" t="s">
        <v>1260</v>
      </c>
      <c r="F163" s="808" t="s">
        <v>1260</v>
      </c>
      <c r="G163" s="809" t="s">
        <v>1260</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1260</v>
      </c>
      <c r="C164" s="805" t="s">
        <v>1260</v>
      </c>
      <c r="D164" s="806" t="s">
        <v>1260</v>
      </c>
      <c r="E164" s="807" t="s">
        <v>1260</v>
      </c>
      <c r="F164" s="808" t="s">
        <v>1260</v>
      </c>
      <c r="G164" s="809" t="s">
        <v>1260</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1260</v>
      </c>
      <c r="C165" s="805" t="s">
        <v>1260</v>
      </c>
      <c r="D165" s="806" t="s">
        <v>1260</v>
      </c>
      <c r="E165" s="807" t="s">
        <v>1260</v>
      </c>
      <c r="F165" s="808" t="s">
        <v>1260</v>
      </c>
      <c r="G165" s="809" t="s">
        <v>1260</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1260</v>
      </c>
      <c r="C166" s="805" t="s">
        <v>1260</v>
      </c>
      <c r="D166" s="806" t="s">
        <v>1260</v>
      </c>
      <c r="E166" s="807" t="s">
        <v>1260</v>
      </c>
      <c r="F166" s="808" t="s">
        <v>1260</v>
      </c>
      <c r="G166" s="809" t="s">
        <v>1260</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1260</v>
      </c>
      <c r="C167" s="805" t="s">
        <v>1260</v>
      </c>
      <c r="D167" s="806" t="s">
        <v>1260</v>
      </c>
      <c r="E167" s="807" t="s">
        <v>1260</v>
      </c>
      <c r="F167" s="808" t="s">
        <v>1260</v>
      </c>
      <c r="G167" s="809" t="s">
        <v>1260</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1260</v>
      </c>
      <c r="C168" s="805" t="s">
        <v>1260</v>
      </c>
      <c r="D168" s="806" t="s">
        <v>1260</v>
      </c>
      <c r="E168" s="807" t="s">
        <v>1260</v>
      </c>
      <c r="F168" s="808" t="s">
        <v>1260</v>
      </c>
      <c r="G168" s="809" t="s">
        <v>1260</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1260</v>
      </c>
      <c r="C169" s="805" t="s">
        <v>1260</v>
      </c>
      <c r="D169" s="806" t="s">
        <v>1260</v>
      </c>
      <c r="E169" s="807" t="s">
        <v>1260</v>
      </c>
      <c r="F169" s="808" t="s">
        <v>1260</v>
      </c>
      <c r="G169" s="809" t="s">
        <v>1260</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1260</v>
      </c>
      <c r="C170" s="805" t="s">
        <v>1260</v>
      </c>
      <c r="D170" s="806" t="s">
        <v>1260</v>
      </c>
      <c r="E170" s="807" t="s">
        <v>1260</v>
      </c>
      <c r="F170" s="808" t="s">
        <v>1260</v>
      </c>
      <c r="G170" s="809" t="s">
        <v>1260</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1260</v>
      </c>
      <c r="C171" s="805" t="s">
        <v>1260</v>
      </c>
      <c r="D171" s="806" t="s">
        <v>1260</v>
      </c>
      <c r="E171" s="807" t="s">
        <v>1260</v>
      </c>
      <c r="F171" s="808" t="s">
        <v>1260</v>
      </c>
      <c r="G171" s="809" t="s">
        <v>1260</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1260</v>
      </c>
      <c r="C172" s="805" t="s">
        <v>1260</v>
      </c>
      <c r="D172" s="806" t="s">
        <v>1260</v>
      </c>
      <c r="E172" s="807" t="s">
        <v>1260</v>
      </c>
      <c r="F172" s="808" t="s">
        <v>1260</v>
      </c>
      <c r="G172" s="809" t="s">
        <v>1260</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1260</v>
      </c>
      <c r="C173" s="805" t="s">
        <v>1260</v>
      </c>
      <c r="D173" s="806" t="s">
        <v>1260</v>
      </c>
      <c r="E173" s="807" t="s">
        <v>1260</v>
      </c>
      <c r="F173" s="808" t="s">
        <v>1260</v>
      </c>
      <c r="G173" s="809" t="s">
        <v>1260</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1260</v>
      </c>
      <c r="C174" s="805" t="s">
        <v>1260</v>
      </c>
      <c r="D174" s="806" t="s">
        <v>1260</v>
      </c>
      <c r="E174" s="807" t="s">
        <v>1260</v>
      </c>
      <c r="F174" s="808" t="s">
        <v>1260</v>
      </c>
      <c r="G174" s="809" t="s">
        <v>1260</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1260</v>
      </c>
      <c r="C175" s="805" t="s">
        <v>1260</v>
      </c>
      <c r="D175" s="806" t="s">
        <v>1260</v>
      </c>
      <c r="E175" s="807" t="s">
        <v>1260</v>
      </c>
      <c r="F175" s="808" t="s">
        <v>1260</v>
      </c>
      <c r="G175" s="809" t="s">
        <v>1260</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1260</v>
      </c>
      <c r="C176" s="805" t="s">
        <v>1260</v>
      </c>
      <c r="D176" s="806" t="s">
        <v>1260</v>
      </c>
      <c r="E176" s="807" t="s">
        <v>1260</v>
      </c>
      <c r="F176" s="808" t="s">
        <v>1260</v>
      </c>
      <c r="G176" s="809" t="s">
        <v>1260</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1260</v>
      </c>
      <c r="C177" s="805" t="s">
        <v>1260</v>
      </c>
      <c r="D177" s="806" t="s">
        <v>1260</v>
      </c>
      <c r="E177" s="807" t="s">
        <v>1260</v>
      </c>
      <c r="F177" s="808" t="s">
        <v>1260</v>
      </c>
      <c r="G177" s="809" t="s">
        <v>1260</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1260</v>
      </c>
      <c r="C178" s="805" t="s">
        <v>1260</v>
      </c>
      <c r="D178" s="806" t="s">
        <v>1260</v>
      </c>
      <c r="E178" s="807" t="s">
        <v>1260</v>
      </c>
      <c r="F178" s="808" t="s">
        <v>1260</v>
      </c>
      <c r="G178" s="809" t="s">
        <v>1260</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1260</v>
      </c>
      <c r="C179" s="805" t="s">
        <v>1260</v>
      </c>
      <c r="D179" s="806" t="s">
        <v>1260</v>
      </c>
      <c r="E179" s="807" t="s">
        <v>1260</v>
      </c>
      <c r="F179" s="808" t="s">
        <v>1260</v>
      </c>
      <c r="G179" s="809" t="s">
        <v>1260</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1260</v>
      </c>
      <c r="C180" s="805" t="s">
        <v>1260</v>
      </c>
      <c r="D180" s="806" t="s">
        <v>1260</v>
      </c>
      <c r="E180" s="807" t="s">
        <v>1260</v>
      </c>
      <c r="F180" s="808" t="s">
        <v>1260</v>
      </c>
      <c r="G180" s="809" t="s">
        <v>1260</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1260</v>
      </c>
      <c r="C181" s="805" t="s">
        <v>1260</v>
      </c>
      <c r="D181" s="806" t="s">
        <v>1260</v>
      </c>
      <c r="E181" s="807" t="s">
        <v>1260</v>
      </c>
      <c r="F181" s="808" t="s">
        <v>1260</v>
      </c>
      <c r="G181" s="809" t="s">
        <v>1260</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1260</v>
      </c>
      <c r="C182" s="805" t="s">
        <v>1260</v>
      </c>
      <c r="D182" s="806" t="s">
        <v>1260</v>
      </c>
      <c r="E182" s="807" t="s">
        <v>1260</v>
      </c>
      <c r="F182" s="808" t="s">
        <v>1260</v>
      </c>
      <c r="G182" s="809" t="s">
        <v>1260</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1260</v>
      </c>
      <c r="C183" s="805" t="s">
        <v>1260</v>
      </c>
      <c r="D183" s="806" t="s">
        <v>1260</v>
      </c>
      <c r="E183" s="807" t="s">
        <v>1260</v>
      </c>
      <c r="F183" s="808" t="s">
        <v>1260</v>
      </c>
      <c r="G183" s="809" t="s">
        <v>1260</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1260</v>
      </c>
      <c r="C184" s="805" t="s">
        <v>1260</v>
      </c>
      <c r="D184" s="806" t="s">
        <v>1260</v>
      </c>
      <c r="E184" s="807" t="s">
        <v>1260</v>
      </c>
      <c r="F184" s="808" t="s">
        <v>1260</v>
      </c>
      <c r="G184" s="809" t="s">
        <v>1260</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1260</v>
      </c>
      <c r="C185" s="805" t="s">
        <v>1260</v>
      </c>
      <c r="D185" s="806" t="s">
        <v>1260</v>
      </c>
      <c r="E185" s="807" t="s">
        <v>1260</v>
      </c>
      <c r="F185" s="808" t="s">
        <v>1260</v>
      </c>
      <c r="G185" s="809" t="s">
        <v>1260</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1260</v>
      </c>
      <c r="C186" s="805" t="s">
        <v>1260</v>
      </c>
      <c r="D186" s="806" t="s">
        <v>1260</v>
      </c>
      <c r="E186" s="807" t="s">
        <v>1260</v>
      </c>
      <c r="F186" s="808" t="s">
        <v>1260</v>
      </c>
      <c r="G186" s="809" t="s">
        <v>1260</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1260</v>
      </c>
      <c r="C187" s="805" t="s">
        <v>1260</v>
      </c>
      <c r="D187" s="806" t="s">
        <v>1260</v>
      </c>
      <c r="E187" s="807" t="s">
        <v>1260</v>
      </c>
      <c r="F187" s="808" t="s">
        <v>1260</v>
      </c>
      <c r="G187" s="809" t="s">
        <v>1260</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1260</v>
      </c>
      <c r="C188" s="805" t="s">
        <v>1260</v>
      </c>
      <c r="D188" s="806" t="s">
        <v>1260</v>
      </c>
      <c r="E188" s="807" t="s">
        <v>1260</v>
      </c>
      <c r="F188" s="808" t="s">
        <v>1260</v>
      </c>
      <c r="G188" s="809" t="s">
        <v>1260</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1260</v>
      </c>
      <c r="C189" s="805" t="s">
        <v>1260</v>
      </c>
      <c r="D189" s="806" t="s">
        <v>1260</v>
      </c>
      <c r="E189" s="807" t="s">
        <v>1260</v>
      </c>
      <c r="F189" s="808" t="s">
        <v>1260</v>
      </c>
      <c r="G189" s="809" t="s">
        <v>1260</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1260</v>
      </c>
      <c r="C190" s="805" t="s">
        <v>1260</v>
      </c>
      <c r="D190" s="806" t="s">
        <v>1260</v>
      </c>
      <c r="E190" s="807" t="s">
        <v>1260</v>
      </c>
      <c r="F190" s="808" t="s">
        <v>1260</v>
      </c>
      <c r="G190" s="809" t="s">
        <v>1260</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1260</v>
      </c>
      <c r="C191" s="805" t="s">
        <v>1260</v>
      </c>
      <c r="D191" s="806" t="s">
        <v>1260</v>
      </c>
      <c r="E191" s="807" t="s">
        <v>1260</v>
      </c>
      <c r="F191" s="808" t="s">
        <v>1260</v>
      </c>
      <c r="G191" s="809" t="s">
        <v>1260</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1260</v>
      </c>
      <c r="C192" s="805" t="s">
        <v>1260</v>
      </c>
      <c r="D192" s="806" t="s">
        <v>1260</v>
      </c>
      <c r="E192" s="807" t="s">
        <v>1260</v>
      </c>
      <c r="F192" s="808" t="s">
        <v>1260</v>
      </c>
      <c r="G192" s="809" t="s">
        <v>1260</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1260</v>
      </c>
      <c r="C193" s="805" t="s">
        <v>1260</v>
      </c>
      <c r="D193" s="806" t="s">
        <v>1260</v>
      </c>
      <c r="E193" s="807" t="s">
        <v>1260</v>
      </c>
      <c r="F193" s="808" t="s">
        <v>1260</v>
      </c>
      <c r="G193" s="809" t="s">
        <v>1260</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1260</v>
      </c>
      <c r="C194" s="805" t="s">
        <v>1260</v>
      </c>
      <c r="D194" s="806" t="s">
        <v>1260</v>
      </c>
      <c r="E194" s="807" t="s">
        <v>1260</v>
      </c>
      <c r="F194" s="808" t="s">
        <v>1260</v>
      </c>
      <c r="G194" s="809" t="s">
        <v>1260</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1260</v>
      </c>
      <c r="C195" s="805" t="s">
        <v>1260</v>
      </c>
      <c r="D195" s="806" t="s">
        <v>1260</v>
      </c>
      <c r="E195" s="807" t="s">
        <v>1260</v>
      </c>
      <c r="F195" s="808" t="s">
        <v>1260</v>
      </c>
      <c r="G195" s="809" t="s">
        <v>1260</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1260</v>
      </c>
      <c r="C196" s="805" t="s">
        <v>1260</v>
      </c>
      <c r="D196" s="806" t="s">
        <v>1260</v>
      </c>
      <c r="E196" s="807" t="s">
        <v>1260</v>
      </c>
      <c r="F196" s="808" t="s">
        <v>1260</v>
      </c>
      <c r="G196" s="809" t="s">
        <v>1260</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1260</v>
      </c>
      <c r="C197" s="805" t="s">
        <v>1260</v>
      </c>
      <c r="D197" s="806" t="s">
        <v>1260</v>
      </c>
      <c r="E197" s="807" t="s">
        <v>1260</v>
      </c>
      <c r="F197" s="808" t="s">
        <v>1260</v>
      </c>
      <c r="G197" s="809" t="s">
        <v>1260</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1260</v>
      </c>
      <c r="C198" s="805" t="s">
        <v>1260</v>
      </c>
      <c r="D198" s="806" t="s">
        <v>1260</v>
      </c>
      <c r="E198" s="807" t="s">
        <v>1260</v>
      </c>
      <c r="F198" s="808" t="s">
        <v>1260</v>
      </c>
      <c r="G198" s="809" t="s">
        <v>1260</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1260</v>
      </c>
      <c r="C199" s="805" t="s">
        <v>1260</v>
      </c>
      <c r="D199" s="806" t="s">
        <v>1260</v>
      </c>
      <c r="E199" s="807" t="s">
        <v>1260</v>
      </c>
      <c r="F199" s="808" t="s">
        <v>1260</v>
      </c>
      <c r="G199" s="809" t="s">
        <v>1260</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1260</v>
      </c>
      <c r="C200" s="805" t="s">
        <v>1260</v>
      </c>
      <c r="D200" s="806" t="s">
        <v>1260</v>
      </c>
      <c r="E200" s="807" t="s">
        <v>1260</v>
      </c>
      <c r="F200" s="808" t="s">
        <v>1260</v>
      </c>
      <c r="G200" s="809" t="s">
        <v>1260</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1260</v>
      </c>
      <c r="C201" s="805" t="s">
        <v>1260</v>
      </c>
      <c r="D201" s="806" t="s">
        <v>1260</v>
      </c>
      <c r="E201" s="807" t="s">
        <v>1260</v>
      </c>
      <c r="F201" s="808" t="s">
        <v>1260</v>
      </c>
      <c r="G201" s="809" t="s">
        <v>1260</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1260</v>
      </c>
      <c r="C202" s="805" t="s">
        <v>1260</v>
      </c>
      <c r="D202" s="806" t="s">
        <v>1260</v>
      </c>
      <c r="E202" s="807" t="s">
        <v>1260</v>
      </c>
      <c r="F202" s="808" t="s">
        <v>1260</v>
      </c>
      <c r="G202" s="809" t="s">
        <v>1260</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1260</v>
      </c>
      <c r="C203" s="805" t="s">
        <v>1260</v>
      </c>
      <c r="D203" s="806" t="s">
        <v>1260</v>
      </c>
      <c r="E203" s="807" t="s">
        <v>1260</v>
      </c>
      <c r="F203" s="808" t="s">
        <v>1260</v>
      </c>
      <c r="G203" s="809" t="s">
        <v>1260</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1260</v>
      </c>
      <c r="C204" s="805" t="s">
        <v>1260</v>
      </c>
      <c r="D204" s="806" t="s">
        <v>1260</v>
      </c>
      <c r="E204" s="807" t="s">
        <v>1260</v>
      </c>
      <c r="F204" s="808" t="s">
        <v>1260</v>
      </c>
      <c r="G204" s="809" t="s">
        <v>1260</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1260</v>
      </c>
      <c r="C205" s="805" t="s">
        <v>1260</v>
      </c>
      <c r="D205" s="806" t="s">
        <v>1260</v>
      </c>
      <c r="E205" s="807" t="s">
        <v>1260</v>
      </c>
      <c r="F205" s="808" t="s">
        <v>1260</v>
      </c>
      <c r="G205" s="809" t="s">
        <v>1260</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1260</v>
      </c>
      <c r="C206" s="805" t="s">
        <v>1260</v>
      </c>
      <c r="D206" s="806" t="s">
        <v>1260</v>
      </c>
      <c r="E206" s="807" t="s">
        <v>1260</v>
      </c>
      <c r="F206" s="808" t="s">
        <v>1260</v>
      </c>
      <c r="G206" s="809" t="s">
        <v>1260</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1260</v>
      </c>
      <c r="C207" s="805" t="s">
        <v>1260</v>
      </c>
      <c r="D207" s="806" t="s">
        <v>1260</v>
      </c>
      <c r="E207" s="807" t="s">
        <v>1260</v>
      </c>
      <c r="F207" s="808" t="s">
        <v>1260</v>
      </c>
      <c r="G207" s="809" t="s">
        <v>1260</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1260</v>
      </c>
      <c r="C208" s="805" t="s">
        <v>1260</v>
      </c>
      <c r="D208" s="806" t="s">
        <v>1260</v>
      </c>
      <c r="E208" s="807" t="s">
        <v>1260</v>
      </c>
      <c r="F208" s="808" t="s">
        <v>1260</v>
      </c>
      <c r="G208" s="809" t="s">
        <v>1260</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1260</v>
      </c>
      <c r="C209" s="805" t="s">
        <v>1260</v>
      </c>
      <c r="D209" s="806" t="s">
        <v>1260</v>
      </c>
      <c r="E209" s="807" t="s">
        <v>1260</v>
      </c>
      <c r="F209" s="808" t="s">
        <v>1260</v>
      </c>
      <c r="G209" s="809" t="s">
        <v>1260</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1260</v>
      </c>
      <c r="C210" s="805" t="s">
        <v>1260</v>
      </c>
      <c r="D210" s="806" t="s">
        <v>1260</v>
      </c>
      <c r="E210" s="807" t="s">
        <v>1260</v>
      </c>
      <c r="F210" s="808" t="s">
        <v>1260</v>
      </c>
      <c r="G210" s="809" t="s">
        <v>1260</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1260</v>
      </c>
      <c r="C211" s="805" t="s">
        <v>1260</v>
      </c>
      <c r="D211" s="806" t="s">
        <v>1260</v>
      </c>
      <c r="E211" s="807" t="s">
        <v>1260</v>
      </c>
      <c r="F211" s="808" t="s">
        <v>1260</v>
      </c>
      <c r="G211" s="809" t="s">
        <v>1260</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1260</v>
      </c>
      <c r="C212" s="805" t="s">
        <v>1260</v>
      </c>
      <c r="D212" s="806" t="s">
        <v>1260</v>
      </c>
      <c r="E212" s="807" t="s">
        <v>1260</v>
      </c>
      <c r="F212" s="808" t="s">
        <v>1260</v>
      </c>
      <c r="G212" s="809" t="s">
        <v>1260</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1260</v>
      </c>
      <c r="C213" s="805" t="s">
        <v>1260</v>
      </c>
      <c r="D213" s="806" t="s">
        <v>1260</v>
      </c>
      <c r="E213" s="807" t="s">
        <v>1260</v>
      </c>
      <c r="F213" s="808" t="s">
        <v>1260</v>
      </c>
      <c r="G213" s="809" t="s">
        <v>1260</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1260</v>
      </c>
      <c r="C214" s="805" t="s">
        <v>1260</v>
      </c>
      <c r="D214" s="806" t="s">
        <v>1260</v>
      </c>
      <c r="E214" s="807" t="s">
        <v>1260</v>
      </c>
      <c r="F214" s="808" t="s">
        <v>1260</v>
      </c>
      <c r="G214" s="809" t="s">
        <v>1260</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1260</v>
      </c>
      <c r="C215" s="805" t="s">
        <v>1260</v>
      </c>
      <c r="D215" s="806" t="s">
        <v>1260</v>
      </c>
      <c r="E215" s="807" t="s">
        <v>1260</v>
      </c>
      <c r="F215" s="808" t="s">
        <v>1260</v>
      </c>
      <c r="G215" s="809" t="s">
        <v>1260</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1260</v>
      </c>
      <c r="C216" s="805" t="s">
        <v>1260</v>
      </c>
      <c r="D216" s="806" t="s">
        <v>1260</v>
      </c>
      <c r="E216" s="807" t="s">
        <v>1260</v>
      </c>
      <c r="F216" s="808" t="s">
        <v>1260</v>
      </c>
      <c r="G216" s="809" t="s">
        <v>1260</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1260</v>
      </c>
      <c r="C217" s="805" t="s">
        <v>1260</v>
      </c>
      <c r="D217" s="806" t="s">
        <v>1260</v>
      </c>
      <c r="E217" s="807" t="s">
        <v>1260</v>
      </c>
      <c r="F217" s="808" t="s">
        <v>1260</v>
      </c>
      <c r="G217" s="809" t="s">
        <v>1260</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1260</v>
      </c>
      <c r="C218" s="805" t="s">
        <v>1260</v>
      </c>
      <c r="D218" s="806" t="s">
        <v>1260</v>
      </c>
      <c r="E218" s="807" t="s">
        <v>1260</v>
      </c>
      <c r="F218" s="808" t="s">
        <v>1260</v>
      </c>
      <c r="G218" s="809" t="s">
        <v>1260</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1260</v>
      </c>
      <c r="C219" s="805" t="s">
        <v>1260</v>
      </c>
      <c r="D219" s="806" t="s">
        <v>1260</v>
      </c>
      <c r="E219" s="807" t="s">
        <v>1260</v>
      </c>
      <c r="F219" s="808" t="s">
        <v>1260</v>
      </c>
      <c r="G219" s="809" t="s">
        <v>1260</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1260</v>
      </c>
      <c r="C220" s="805" t="s">
        <v>1260</v>
      </c>
      <c r="D220" s="806" t="s">
        <v>1260</v>
      </c>
      <c r="E220" s="807" t="s">
        <v>1260</v>
      </c>
      <c r="F220" s="808" t="s">
        <v>1260</v>
      </c>
      <c r="G220" s="809" t="s">
        <v>1260</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1260</v>
      </c>
      <c r="C221" s="805" t="s">
        <v>1260</v>
      </c>
      <c r="D221" s="806" t="s">
        <v>1260</v>
      </c>
      <c r="E221" s="807" t="s">
        <v>1260</v>
      </c>
      <c r="F221" s="808" t="s">
        <v>1260</v>
      </c>
      <c r="G221" s="809" t="s">
        <v>1260</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1260</v>
      </c>
      <c r="C222" s="805" t="s">
        <v>1260</v>
      </c>
      <c r="D222" s="806" t="s">
        <v>1260</v>
      </c>
      <c r="E222" s="807" t="s">
        <v>1260</v>
      </c>
      <c r="F222" s="808" t="s">
        <v>1260</v>
      </c>
      <c r="G222" s="809" t="s">
        <v>1260</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1260</v>
      </c>
      <c r="C223" s="805" t="s">
        <v>1260</v>
      </c>
      <c r="D223" s="806" t="s">
        <v>1260</v>
      </c>
      <c r="E223" s="807" t="s">
        <v>1260</v>
      </c>
      <c r="F223" s="808" t="s">
        <v>1260</v>
      </c>
      <c r="G223" s="809" t="s">
        <v>1260</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1260</v>
      </c>
      <c r="C224" s="805" t="s">
        <v>1260</v>
      </c>
      <c r="D224" s="806" t="s">
        <v>1260</v>
      </c>
      <c r="E224" s="807" t="s">
        <v>1260</v>
      </c>
      <c r="F224" s="808" t="s">
        <v>1260</v>
      </c>
      <c r="G224" s="809" t="s">
        <v>1260</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1260</v>
      </c>
      <c r="C225" s="805" t="s">
        <v>1260</v>
      </c>
      <c r="D225" s="806" t="s">
        <v>1260</v>
      </c>
      <c r="E225" s="807" t="s">
        <v>1260</v>
      </c>
      <c r="F225" s="808" t="s">
        <v>1260</v>
      </c>
      <c r="G225" s="809" t="s">
        <v>1260</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1260</v>
      </c>
      <c r="C226" s="805" t="s">
        <v>1260</v>
      </c>
      <c r="D226" s="806" t="s">
        <v>1260</v>
      </c>
      <c r="E226" s="807" t="s">
        <v>1260</v>
      </c>
      <c r="F226" s="808" t="s">
        <v>1260</v>
      </c>
      <c r="G226" s="809" t="s">
        <v>1260</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1260</v>
      </c>
      <c r="C227" s="805" t="s">
        <v>1260</v>
      </c>
      <c r="D227" s="806" t="s">
        <v>1260</v>
      </c>
      <c r="E227" s="807" t="s">
        <v>1260</v>
      </c>
      <c r="F227" s="808" t="s">
        <v>1260</v>
      </c>
      <c r="G227" s="809" t="s">
        <v>1260</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1260</v>
      </c>
      <c r="C228" s="805" t="s">
        <v>1260</v>
      </c>
      <c r="D228" s="806" t="s">
        <v>1260</v>
      </c>
      <c r="E228" s="807" t="s">
        <v>1260</v>
      </c>
      <c r="F228" s="808" t="s">
        <v>1260</v>
      </c>
      <c r="G228" s="809" t="s">
        <v>1260</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1260</v>
      </c>
      <c r="C229" s="805" t="s">
        <v>1260</v>
      </c>
      <c r="D229" s="806" t="s">
        <v>1260</v>
      </c>
      <c r="E229" s="807" t="s">
        <v>1260</v>
      </c>
      <c r="F229" s="808" t="s">
        <v>1260</v>
      </c>
      <c r="G229" s="809" t="s">
        <v>1260</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1260</v>
      </c>
      <c r="C230" s="805" t="s">
        <v>1260</v>
      </c>
      <c r="D230" s="806" t="s">
        <v>1260</v>
      </c>
      <c r="E230" s="807" t="s">
        <v>1260</v>
      </c>
      <c r="F230" s="808" t="s">
        <v>1260</v>
      </c>
      <c r="G230" s="809" t="s">
        <v>1260</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1260</v>
      </c>
      <c r="C231" s="805" t="s">
        <v>1260</v>
      </c>
      <c r="D231" s="806" t="s">
        <v>1260</v>
      </c>
      <c r="E231" s="807" t="s">
        <v>1260</v>
      </c>
      <c r="F231" s="808" t="s">
        <v>1260</v>
      </c>
      <c r="G231" s="809" t="s">
        <v>1260</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1260</v>
      </c>
      <c r="C232" s="805" t="s">
        <v>1260</v>
      </c>
      <c r="D232" s="806" t="s">
        <v>1260</v>
      </c>
      <c r="E232" s="807" t="s">
        <v>1260</v>
      </c>
      <c r="F232" s="808" t="s">
        <v>1260</v>
      </c>
      <c r="G232" s="809" t="s">
        <v>1260</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1260</v>
      </c>
      <c r="C233" s="805" t="s">
        <v>1260</v>
      </c>
      <c r="D233" s="806" t="s">
        <v>1260</v>
      </c>
      <c r="E233" s="807" t="s">
        <v>1260</v>
      </c>
      <c r="F233" s="808" t="s">
        <v>1260</v>
      </c>
      <c r="G233" s="809" t="s">
        <v>1260</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1260</v>
      </c>
      <c r="C234" s="805" t="s">
        <v>1260</v>
      </c>
      <c r="D234" s="806" t="s">
        <v>1260</v>
      </c>
      <c r="E234" s="807" t="s">
        <v>1260</v>
      </c>
      <c r="F234" s="808" t="s">
        <v>1260</v>
      </c>
      <c r="G234" s="809" t="s">
        <v>1260</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1260</v>
      </c>
      <c r="C235" s="805" t="s">
        <v>1260</v>
      </c>
      <c r="D235" s="806" t="s">
        <v>1260</v>
      </c>
      <c r="E235" s="807" t="s">
        <v>1260</v>
      </c>
      <c r="F235" s="808" t="s">
        <v>1260</v>
      </c>
      <c r="G235" s="809" t="s">
        <v>1260</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1260</v>
      </c>
      <c r="C236" s="805" t="s">
        <v>1260</v>
      </c>
      <c r="D236" s="806" t="s">
        <v>1260</v>
      </c>
      <c r="E236" s="807" t="s">
        <v>1260</v>
      </c>
      <c r="F236" s="808" t="s">
        <v>1260</v>
      </c>
      <c r="G236" s="809" t="s">
        <v>1260</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1260</v>
      </c>
      <c r="C237" s="805" t="s">
        <v>1260</v>
      </c>
      <c r="D237" s="806" t="s">
        <v>1260</v>
      </c>
      <c r="E237" s="807" t="s">
        <v>1260</v>
      </c>
      <c r="F237" s="808" t="s">
        <v>1260</v>
      </c>
      <c r="G237" s="809" t="s">
        <v>1260</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1260</v>
      </c>
      <c r="C238" s="805" t="s">
        <v>1260</v>
      </c>
      <c r="D238" s="806" t="s">
        <v>1260</v>
      </c>
      <c r="E238" s="807" t="s">
        <v>1260</v>
      </c>
      <c r="F238" s="808" t="s">
        <v>1260</v>
      </c>
      <c r="G238" s="809" t="s">
        <v>1260</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1260</v>
      </c>
      <c r="C239" s="805" t="s">
        <v>1260</v>
      </c>
      <c r="D239" s="806" t="s">
        <v>1260</v>
      </c>
      <c r="E239" s="807" t="s">
        <v>1260</v>
      </c>
      <c r="F239" s="808" t="s">
        <v>1260</v>
      </c>
      <c r="G239" s="809" t="s">
        <v>1260</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1260</v>
      </c>
      <c r="C240" s="805" t="s">
        <v>1260</v>
      </c>
      <c r="D240" s="806" t="s">
        <v>1260</v>
      </c>
      <c r="E240" s="807" t="s">
        <v>1260</v>
      </c>
      <c r="F240" s="808" t="s">
        <v>1260</v>
      </c>
      <c r="G240" s="809" t="s">
        <v>1260</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1260</v>
      </c>
      <c r="C241" s="805" t="s">
        <v>1260</v>
      </c>
      <c r="D241" s="806" t="s">
        <v>1260</v>
      </c>
      <c r="E241" s="807" t="s">
        <v>1260</v>
      </c>
      <c r="F241" s="808" t="s">
        <v>1260</v>
      </c>
      <c r="G241" s="809" t="s">
        <v>1260</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1260</v>
      </c>
      <c r="C242" s="805" t="s">
        <v>1260</v>
      </c>
      <c r="D242" s="806" t="s">
        <v>1260</v>
      </c>
      <c r="E242" s="807" t="s">
        <v>1260</v>
      </c>
      <c r="F242" s="808" t="s">
        <v>1260</v>
      </c>
      <c r="G242" s="809" t="s">
        <v>1260</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1260</v>
      </c>
      <c r="C243" s="805" t="s">
        <v>1260</v>
      </c>
      <c r="D243" s="806" t="s">
        <v>1260</v>
      </c>
      <c r="E243" s="807" t="s">
        <v>1260</v>
      </c>
      <c r="F243" s="808" t="s">
        <v>1260</v>
      </c>
      <c r="G243" s="809" t="s">
        <v>1260</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1260</v>
      </c>
      <c r="C244" s="805" t="s">
        <v>1260</v>
      </c>
      <c r="D244" s="806" t="s">
        <v>1260</v>
      </c>
      <c r="E244" s="807" t="s">
        <v>1260</v>
      </c>
      <c r="F244" s="808" t="s">
        <v>1260</v>
      </c>
      <c r="G244" s="809" t="s">
        <v>1260</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1260</v>
      </c>
      <c r="C245" s="805" t="s">
        <v>1260</v>
      </c>
      <c r="D245" s="806" t="s">
        <v>1260</v>
      </c>
      <c r="E245" s="807" t="s">
        <v>1260</v>
      </c>
      <c r="F245" s="808" t="s">
        <v>1260</v>
      </c>
      <c r="G245" s="809" t="s">
        <v>1260</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1260</v>
      </c>
      <c r="C246" s="805" t="s">
        <v>1260</v>
      </c>
      <c r="D246" s="806" t="s">
        <v>1260</v>
      </c>
      <c r="E246" s="807" t="s">
        <v>1260</v>
      </c>
      <c r="F246" s="808" t="s">
        <v>1260</v>
      </c>
      <c r="G246" s="809" t="s">
        <v>1260</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1260</v>
      </c>
      <c r="C247" s="805" t="s">
        <v>1260</v>
      </c>
      <c r="D247" s="806" t="s">
        <v>1260</v>
      </c>
      <c r="E247" s="807" t="s">
        <v>1260</v>
      </c>
      <c r="F247" s="808" t="s">
        <v>1260</v>
      </c>
      <c r="G247" s="809" t="s">
        <v>1260</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1260</v>
      </c>
      <c r="C248" s="805" t="s">
        <v>1260</v>
      </c>
      <c r="D248" s="806" t="s">
        <v>1260</v>
      </c>
      <c r="E248" s="807" t="s">
        <v>1260</v>
      </c>
      <c r="F248" s="808" t="s">
        <v>1260</v>
      </c>
      <c r="G248" s="809" t="s">
        <v>1260</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1260</v>
      </c>
      <c r="C249" s="805" t="s">
        <v>1260</v>
      </c>
      <c r="D249" s="806" t="s">
        <v>1260</v>
      </c>
      <c r="E249" s="807" t="s">
        <v>1260</v>
      </c>
      <c r="F249" s="808" t="s">
        <v>1260</v>
      </c>
      <c r="G249" s="809" t="s">
        <v>1260</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1260</v>
      </c>
      <c r="C250" s="805" t="s">
        <v>1260</v>
      </c>
      <c r="D250" s="806" t="s">
        <v>1260</v>
      </c>
      <c r="E250" s="807" t="s">
        <v>1260</v>
      </c>
      <c r="F250" s="808" t="s">
        <v>1260</v>
      </c>
      <c r="G250" s="809" t="s">
        <v>1260</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1260</v>
      </c>
      <c r="C251" s="805" t="s">
        <v>1260</v>
      </c>
      <c r="D251" s="806" t="s">
        <v>1260</v>
      </c>
      <c r="E251" s="807" t="s">
        <v>1260</v>
      </c>
      <c r="F251" s="808" t="s">
        <v>1260</v>
      </c>
      <c r="G251" s="809" t="s">
        <v>1260</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1260</v>
      </c>
      <c r="C252" s="805" t="s">
        <v>1260</v>
      </c>
      <c r="D252" s="806" t="s">
        <v>1260</v>
      </c>
      <c r="E252" s="807" t="s">
        <v>1260</v>
      </c>
      <c r="F252" s="808" t="s">
        <v>1260</v>
      </c>
      <c r="G252" s="809" t="s">
        <v>1260</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1260</v>
      </c>
      <c r="C253" s="805" t="s">
        <v>1260</v>
      </c>
      <c r="D253" s="806" t="s">
        <v>1260</v>
      </c>
      <c r="E253" s="807" t="s">
        <v>1260</v>
      </c>
      <c r="F253" s="808" t="s">
        <v>1260</v>
      </c>
      <c r="G253" s="809" t="s">
        <v>1260</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1260</v>
      </c>
      <c r="C254" s="805" t="s">
        <v>1260</v>
      </c>
      <c r="D254" s="806" t="s">
        <v>1260</v>
      </c>
      <c r="E254" s="807" t="s">
        <v>1260</v>
      </c>
      <c r="F254" s="808" t="s">
        <v>1260</v>
      </c>
      <c r="G254" s="809" t="s">
        <v>1260</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1260</v>
      </c>
      <c r="C255" s="805" t="s">
        <v>1260</v>
      </c>
      <c r="D255" s="806" t="s">
        <v>1260</v>
      </c>
      <c r="E255" s="807" t="s">
        <v>1260</v>
      </c>
      <c r="F255" s="808" t="s">
        <v>1260</v>
      </c>
      <c r="G255" s="809" t="s">
        <v>1260</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1260</v>
      </c>
      <c r="C256" s="805" t="s">
        <v>1260</v>
      </c>
      <c r="D256" s="806" t="s">
        <v>1260</v>
      </c>
      <c r="E256" s="807" t="s">
        <v>1260</v>
      </c>
      <c r="F256" s="808" t="s">
        <v>1260</v>
      </c>
      <c r="G256" s="809" t="s">
        <v>1260</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1260</v>
      </c>
      <c r="C257" s="805" t="s">
        <v>1260</v>
      </c>
      <c r="D257" s="806" t="s">
        <v>1260</v>
      </c>
      <c r="E257" s="807" t="s">
        <v>1260</v>
      </c>
      <c r="F257" s="808" t="s">
        <v>1260</v>
      </c>
      <c r="G257" s="809" t="s">
        <v>1260</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1260</v>
      </c>
      <c r="C258" s="805" t="s">
        <v>1260</v>
      </c>
      <c r="D258" s="806" t="s">
        <v>1260</v>
      </c>
      <c r="E258" s="807" t="s">
        <v>1260</v>
      </c>
      <c r="F258" s="808" t="s">
        <v>1260</v>
      </c>
      <c r="G258" s="809" t="s">
        <v>1260</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1260</v>
      </c>
      <c r="C259" s="805" t="s">
        <v>1260</v>
      </c>
      <c r="D259" s="806" t="s">
        <v>1260</v>
      </c>
      <c r="E259" s="807" t="s">
        <v>1260</v>
      </c>
      <c r="F259" s="808" t="s">
        <v>1260</v>
      </c>
      <c r="G259" s="809" t="s">
        <v>1260</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1260</v>
      </c>
      <c r="C260" s="805" t="s">
        <v>1260</v>
      </c>
      <c r="D260" s="806" t="s">
        <v>1260</v>
      </c>
      <c r="E260" s="807" t="s">
        <v>1260</v>
      </c>
      <c r="F260" s="808" t="s">
        <v>1260</v>
      </c>
      <c r="G260" s="809" t="s">
        <v>1260</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1260</v>
      </c>
      <c r="C261" s="805" t="s">
        <v>1260</v>
      </c>
      <c r="D261" s="806" t="s">
        <v>1260</v>
      </c>
      <c r="E261" s="807" t="s">
        <v>1260</v>
      </c>
      <c r="F261" s="808" t="s">
        <v>1260</v>
      </c>
      <c r="G261" s="809" t="s">
        <v>1260</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1260</v>
      </c>
      <c r="C262" s="805" t="s">
        <v>1260</v>
      </c>
      <c r="D262" s="806" t="s">
        <v>1260</v>
      </c>
      <c r="E262" s="807" t="s">
        <v>1260</v>
      </c>
      <c r="F262" s="808" t="s">
        <v>1260</v>
      </c>
      <c r="G262" s="809" t="s">
        <v>1260</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1260</v>
      </c>
      <c r="C263" s="805" t="s">
        <v>1260</v>
      </c>
      <c r="D263" s="806" t="s">
        <v>1260</v>
      </c>
      <c r="E263" s="807" t="s">
        <v>1260</v>
      </c>
      <c r="F263" s="808" t="s">
        <v>1260</v>
      </c>
      <c r="G263" s="809" t="s">
        <v>1260</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1260</v>
      </c>
      <c r="C264" s="805" t="s">
        <v>1260</v>
      </c>
      <c r="D264" s="806" t="s">
        <v>1260</v>
      </c>
      <c r="E264" s="807" t="s">
        <v>1260</v>
      </c>
      <c r="F264" s="808" t="s">
        <v>1260</v>
      </c>
      <c r="G264" s="809" t="s">
        <v>1260</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1260</v>
      </c>
      <c r="C265" s="805" t="s">
        <v>1260</v>
      </c>
      <c r="D265" s="806" t="s">
        <v>1260</v>
      </c>
      <c r="E265" s="807" t="s">
        <v>1260</v>
      </c>
      <c r="F265" s="808" t="s">
        <v>1260</v>
      </c>
      <c r="G265" s="809" t="s">
        <v>1260</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1260</v>
      </c>
      <c r="C266" s="805" t="s">
        <v>1260</v>
      </c>
      <c r="D266" s="806" t="s">
        <v>1260</v>
      </c>
      <c r="E266" s="807" t="s">
        <v>1260</v>
      </c>
      <c r="F266" s="808" t="s">
        <v>1260</v>
      </c>
      <c r="G266" s="809" t="s">
        <v>1260</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1260</v>
      </c>
      <c r="C267" s="805" t="s">
        <v>1260</v>
      </c>
      <c r="D267" s="806" t="s">
        <v>1260</v>
      </c>
      <c r="E267" s="807" t="s">
        <v>1260</v>
      </c>
      <c r="F267" s="808" t="s">
        <v>1260</v>
      </c>
      <c r="G267" s="809" t="s">
        <v>1260</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1260</v>
      </c>
      <c r="C268" s="805" t="s">
        <v>1260</v>
      </c>
      <c r="D268" s="806" t="s">
        <v>1260</v>
      </c>
      <c r="E268" s="807" t="s">
        <v>1260</v>
      </c>
      <c r="F268" s="808" t="s">
        <v>1260</v>
      </c>
      <c r="G268" s="809" t="s">
        <v>1260</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1260</v>
      </c>
      <c r="C269" s="805" t="s">
        <v>1260</v>
      </c>
      <c r="D269" s="806" t="s">
        <v>1260</v>
      </c>
      <c r="E269" s="807" t="s">
        <v>1260</v>
      </c>
      <c r="F269" s="808" t="s">
        <v>1260</v>
      </c>
      <c r="G269" s="809" t="s">
        <v>1260</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1260</v>
      </c>
      <c r="C270" s="805" t="s">
        <v>1260</v>
      </c>
      <c r="D270" s="806" t="s">
        <v>1260</v>
      </c>
      <c r="E270" s="807" t="s">
        <v>1260</v>
      </c>
      <c r="F270" s="808" t="s">
        <v>1260</v>
      </c>
      <c r="G270" s="809" t="s">
        <v>1260</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1260</v>
      </c>
      <c r="C271" s="805" t="s">
        <v>1260</v>
      </c>
      <c r="D271" s="806" t="s">
        <v>1260</v>
      </c>
      <c r="E271" s="807" t="s">
        <v>1260</v>
      </c>
      <c r="F271" s="808" t="s">
        <v>1260</v>
      </c>
      <c r="G271" s="809" t="s">
        <v>1260</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1260</v>
      </c>
      <c r="C272" s="805" t="s">
        <v>1260</v>
      </c>
      <c r="D272" s="806" t="s">
        <v>1260</v>
      </c>
      <c r="E272" s="807" t="s">
        <v>1260</v>
      </c>
      <c r="F272" s="808" t="s">
        <v>1260</v>
      </c>
      <c r="G272" s="809" t="s">
        <v>1260</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1260</v>
      </c>
      <c r="C273" s="805" t="s">
        <v>1260</v>
      </c>
      <c r="D273" s="806" t="s">
        <v>1260</v>
      </c>
      <c r="E273" s="807" t="s">
        <v>1260</v>
      </c>
      <c r="F273" s="808" t="s">
        <v>1260</v>
      </c>
      <c r="G273" s="809" t="s">
        <v>1260</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1260</v>
      </c>
      <c r="C274" s="805" t="s">
        <v>1260</v>
      </c>
      <c r="D274" s="806" t="s">
        <v>1260</v>
      </c>
      <c r="E274" s="807" t="s">
        <v>1260</v>
      </c>
      <c r="F274" s="808" t="s">
        <v>1260</v>
      </c>
      <c r="G274" s="809" t="s">
        <v>1260</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1260</v>
      </c>
      <c r="C275" s="805" t="s">
        <v>1260</v>
      </c>
      <c r="D275" s="806" t="s">
        <v>1260</v>
      </c>
      <c r="E275" s="807" t="s">
        <v>1260</v>
      </c>
      <c r="F275" s="808" t="s">
        <v>1260</v>
      </c>
      <c r="G275" s="809" t="s">
        <v>1260</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1260</v>
      </c>
      <c r="C276" s="805" t="s">
        <v>1260</v>
      </c>
      <c r="D276" s="806" t="s">
        <v>1260</v>
      </c>
      <c r="E276" s="807" t="s">
        <v>1260</v>
      </c>
      <c r="F276" s="808" t="s">
        <v>1260</v>
      </c>
      <c r="G276" s="809" t="s">
        <v>1260</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1260</v>
      </c>
      <c r="C277" s="805" t="s">
        <v>1260</v>
      </c>
      <c r="D277" s="806" t="s">
        <v>1260</v>
      </c>
      <c r="E277" s="807" t="s">
        <v>1260</v>
      </c>
      <c r="F277" s="808" t="s">
        <v>1260</v>
      </c>
      <c r="G277" s="809" t="s">
        <v>1260</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1260</v>
      </c>
      <c r="C278" s="805" t="s">
        <v>1260</v>
      </c>
      <c r="D278" s="806" t="s">
        <v>1260</v>
      </c>
      <c r="E278" s="807" t="s">
        <v>1260</v>
      </c>
      <c r="F278" s="808" t="s">
        <v>1260</v>
      </c>
      <c r="G278" s="809" t="s">
        <v>1260</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1260</v>
      </c>
      <c r="C279" s="805" t="s">
        <v>1260</v>
      </c>
      <c r="D279" s="806" t="s">
        <v>1260</v>
      </c>
      <c r="E279" s="807" t="s">
        <v>1260</v>
      </c>
      <c r="F279" s="808" t="s">
        <v>1260</v>
      </c>
      <c r="G279" s="809" t="s">
        <v>1260</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1260</v>
      </c>
      <c r="C280" s="805" t="s">
        <v>1260</v>
      </c>
      <c r="D280" s="806" t="s">
        <v>1260</v>
      </c>
      <c r="E280" s="807" t="s">
        <v>1260</v>
      </c>
      <c r="F280" s="808" t="s">
        <v>1260</v>
      </c>
      <c r="G280" s="809" t="s">
        <v>1260</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1260</v>
      </c>
      <c r="C281" s="805" t="s">
        <v>1260</v>
      </c>
      <c r="D281" s="806" t="s">
        <v>1260</v>
      </c>
      <c r="E281" s="807" t="s">
        <v>1260</v>
      </c>
      <c r="F281" s="808" t="s">
        <v>1260</v>
      </c>
      <c r="G281" s="809" t="s">
        <v>1260</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1260</v>
      </c>
      <c r="C282" s="805" t="s">
        <v>1260</v>
      </c>
      <c r="D282" s="806" t="s">
        <v>1260</v>
      </c>
      <c r="E282" s="807" t="s">
        <v>1260</v>
      </c>
      <c r="F282" s="808" t="s">
        <v>1260</v>
      </c>
      <c r="G282" s="809" t="s">
        <v>1260</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1260</v>
      </c>
      <c r="C283" s="805" t="s">
        <v>1260</v>
      </c>
      <c r="D283" s="806" t="s">
        <v>1260</v>
      </c>
      <c r="E283" s="807" t="s">
        <v>1260</v>
      </c>
      <c r="F283" s="808" t="s">
        <v>1260</v>
      </c>
      <c r="G283" s="809" t="s">
        <v>1260</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1260</v>
      </c>
      <c r="C284" s="805" t="s">
        <v>1260</v>
      </c>
      <c r="D284" s="806" t="s">
        <v>1260</v>
      </c>
      <c r="E284" s="807" t="s">
        <v>1260</v>
      </c>
      <c r="F284" s="808" t="s">
        <v>1260</v>
      </c>
      <c r="G284" s="809" t="s">
        <v>1260</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1260</v>
      </c>
      <c r="C285" s="805" t="s">
        <v>1260</v>
      </c>
      <c r="D285" s="806" t="s">
        <v>1260</v>
      </c>
      <c r="E285" s="807" t="s">
        <v>1260</v>
      </c>
      <c r="F285" s="808" t="s">
        <v>1260</v>
      </c>
      <c r="G285" s="809" t="s">
        <v>1260</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1260</v>
      </c>
      <c r="C286" s="805" t="s">
        <v>1260</v>
      </c>
      <c r="D286" s="806" t="s">
        <v>1260</v>
      </c>
      <c r="E286" s="807" t="s">
        <v>1260</v>
      </c>
      <c r="F286" s="808" t="s">
        <v>1260</v>
      </c>
      <c r="G286" s="809" t="s">
        <v>1260</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1260</v>
      </c>
      <c r="C287" s="805" t="s">
        <v>1260</v>
      </c>
      <c r="D287" s="806" t="s">
        <v>1260</v>
      </c>
      <c r="E287" s="807" t="s">
        <v>1260</v>
      </c>
      <c r="F287" s="808" t="s">
        <v>1260</v>
      </c>
      <c r="G287" s="809" t="s">
        <v>1260</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1260</v>
      </c>
      <c r="C288" s="805" t="s">
        <v>1260</v>
      </c>
      <c r="D288" s="806" t="s">
        <v>1260</v>
      </c>
      <c r="E288" s="807" t="s">
        <v>1260</v>
      </c>
      <c r="F288" s="808" t="s">
        <v>1260</v>
      </c>
      <c r="G288" s="809" t="s">
        <v>1260</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1260</v>
      </c>
      <c r="C289" s="805" t="s">
        <v>1260</v>
      </c>
      <c r="D289" s="806" t="s">
        <v>1260</v>
      </c>
      <c r="E289" s="807" t="s">
        <v>1260</v>
      </c>
      <c r="F289" s="808" t="s">
        <v>1260</v>
      </c>
      <c r="G289" s="809" t="s">
        <v>1260</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1260</v>
      </c>
      <c r="C290" s="805" t="s">
        <v>1260</v>
      </c>
      <c r="D290" s="806" t="s">
        <v>1260</v>
      </c>
      <c r="E290" s="807" t="s">
        <v>1260</v>
      </c>
      <c r="F290" s="808" t="s">
        <v>1260</v>
      </c>
      <c r="G290" s="809" t="s">
        <v>1260</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1260</v>
      </c>
      <c r="C291" s="805" t="s">
        <v>1260</v>
      </c>
      <c r="D291" s="806" t="s">
        <v>1260</v>
      </c>
      <c r="E291" s="807" t="s">
        <v>1260</v>
      </c>
      <c r="F291" s="808" t="s">
        <v>1260</v>
      </c>
      <c r="G291" s="809" t="s">
        <v>1260</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1260</v>
      </c>
      <c r="C292" s="805" t="s">
        <v>1260</v>
      </c>
      <c r="D292" s="806" t="s">
        <v>1260</v>
      </c>
      <c r="E292" s="807" t="s">
        <v>1260</v>
      </c>
      <c r="F292" s="808" t="s">
        <v>1260</v>
      </c>
      <c r="G292" s="809" t="s">
        <v>1260</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1260</v>
      </c>
      <c r="C293" s="805" t="s">
        <v>1260</v>
      </c>
      <c r="D293" s="806" t="s">
        <v>1260</v>
      </c>
      <c r="E293" s="807" t="s">
        <v>1260</v>
      </c>
      <c r="F293" s="808" t="s">
        <v>1260</v>
      </c>
      <c r="G293" s="809" t="s">
        <v>1260</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1260</v>
      </c>
      <c r="C294" s="805" t="s">
        <v>1260</v>
      </c>
      <c r="D294" s="806" t="s">
        <v>1260</v>
      </c>
      <c r="E294" s="807" t="s">
        <v>1260</v>
      </c>
      <c r="F294" s="808" t="s">
        <v>1260</v>
      </c>
      <c r="G294" s="809" t="s">
        <v>1260</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1260</v>
      </c>
      <c r="C295" s="805" t="s">
        <v>1260</v>
      </c>
      <c r="D295" s="806" t="s">
        <v>1260</v>
      </c>
      <c r="E295" s="807" t="s">
        <v>1260</v>
      </c>
      <c r="F295" s="808" t="s">
        <v>1260</v>
      </c>
      <c r="G295" s="809" t="s">
        <v>1260</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1260</v>
      </c>
      <c r="C296" s="805" t="s">
        <v>1260</v>
      </c>
      <c r="D296" s="806" t="s">
        <v>1260</v>
      </c>
      <c r="E296" s="807" t="s">
        <v>1260</v>
      </c>
      <c r="F296" s="808" t="s">
        <v>1260</v>
      </c>
      <c r="G296" s="809" t="s">
        <v>1260</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1260</v>
      </c>
      <c r="C297" s="805" t="s">
        <v>1260</v>
      </c>
      <c r="D297" s="806" t="s">
        <v>1260</v>
      </c>
      <c r="E297" s="807" t="s">
        <v>1260</v>
      </c>
      <c r="F297" s="808" t="s">
        <v>1260</v>
      </c>
      <c r="G297" s="809" t="s">
        <v>1260</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1260</v>
      </c>
      <c r="C298" s="805" t="s">
        <v>1260</v>
      </c>
      <c r="D298" s="806" t="s">
        <v>1260</v>
      </c>
      <c r="E298" s="807" t="s">
        <v>1260</v>
      </c>
      <c r="F298" s="808" t="s">
        <v>1260</v>
      </c>
      <c r="G298" s="809" t="s">
        <v>1260</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1260</v>
      </c>
      <c r="C299" s="805" t="s">
        <v>1260</v>
      </c>
      <c r="D299" s="806" t="s">
        <v>1260</v>
      </c>
      <c r="E299" s="807" t="s">
        <v>1260</v>
      </c>
      <c r="F299" s="808" t="s">
        <v>1260</v>
      </c>
      <c r="G299" s="809" t="s">
        <v>1260</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1260</v>
      </c>
      <c r="C300" s="805" t="s">
        <v>1260</v>
      </c>
      <c r="D300" s="806" t="s">
        <v>1260</v>
      </c>
      <c r="E300" s="807" t="s">
        <v>1260</v>
      </c>
      <c r="F300" s="808" t="s">
        <v>1260</v>
      </c>
      <c r="G300" s="809" t="s">
        <v>1260</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1260</v>
      </c>
      <c r="C301" s="805" t="s">
        <v>1260</v>
      </c>
      <c r="D301" s="806" t="s">
        <v>1260</v>
      </c>
      <c r="E301" s="807" t="s">
        <v>1260</v>
      </c>
      <c r="F301" s="808" t="s">
        <v>1260</v>
      </c>
      <c r="G301" s="809" t="s">
        <v>1260</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1260</v>
      </c>
      <c r="C302" s="805" t="s">
        <v>1260</v>
      </c>
      <c r="D302" s="806" t="s">
        <v>1260</v>
      </c>
      <c r="E302" s="807" t="s">
        <v>1260</v>
      </c>
      <c r="F302" s="808" t="s">
        <v>1260</v>
      </c>
      <c r="G302" s="809" t="s">
        <v>1260</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9126</v>
      </c>
      <c r="C1" s="1487" t="s">
        <v>9127</v>
      </c>
      <c r="D1" s="1488" t="s">
        <v>9128</v>
      </c>
      <c r="E1" s="1488" t="s">
        <v>8406</v>
      </c>
      <c r="F1" s="1488" t="s">
        <v>8407</v>
      </c>
      <c r="G1" s="1488" t="s">
        <v>9129</v>
      </c>
      <c r="H1" s="1489" t="s">
        <v>9130</v>
      </c>
      <c r="I1" s="1489" t="s">
        <v>9131</v>
      </c>
      <c r="J1" s="1490" t="s">
        <v>8418</v>
      </c>
      <c r="K1" s="1490" t="s">
        <v>9132</v>
      </c>
      <c r="L1" s="1490" t="s">
        <v>9133</v>
      </c>
      <c r="M1" s="1490" t="s">
        <v>9134</v>
      </c>
      <c r="N1" s="1490" t="s">
        <v>8481</v>
      </c>
      <c r="O1" s="1490" t="s">
        <v>9135</v>
      </c>
      <c r="P1" s="1490" t="s">
        <v>9136</v>
      </c>
      <c r="Q1" s="1491" t="s">
        <v>9137</v>
      </c>
      <c r="R1" s="1491" t="s">
        <v>8414</v>
      </c>
      <c r="S1" s="1491" t="s">
        <v>9138</v>
      </c>
      <c r="T1" s="1491" t="s">
        <v>9139</v>
      </c>
      <c r="U1" s="1491" t="s">
        <v>9140</v>
      </c>
      <c r="V1" s="1491" t="s">
        <v>9141</v>
      </c>
      <c r="W1" s="1492" t="s">
        <v>8408</v>
      </c>
      <c r="X1" s="1492" t="s">
        <v>8409</v>
      </c>
      <c r="Y1" s="1492" t="s">
        <v>9142</v>
      </c>
      <c r="Z1" s="1492" t="s">
        <v>9143</v>
      </c>
      <c r="AA1" s="1492" t="s">
        <v>8411</v>
      </c>
      <c r="AB1" s="1492" t="s">
        <v>9144</v>
      </c>
      <c r="AC1" s="1492" t="s">
        <v>9145</v>
      </c>
      <c r="AD1" s="1488" t="s">
        <v>9146</v>
      </c>
      <c r="AE1" s="1488" t="s">
        <v>9147</v>
      </c>
      <c r="AF1" s="1493" t="s">
        <v>8415</v>
      </c>
      <c r="AG1" s="1493" t="s">
        <v>9148</v>
      </c>
      <c r="AH1" s="1493" t="s">
        <v>9149</v>
      </c>
      <c r="AI1" s="1493" t="s">
        <v>8416</v>
      </c>
      <c r="AJ1" s="1493" t="s">
        <v>9150</v>
      </c>
      <c r="AK1" s="1493" t="s">
        <v>9151</v>
      </c>
      <c r="AL1" s="1493" t="s">
        <v>9152</v>
      </c>
      <c r="AM1" s="1494" t="s">
        <v>8417</v>
      </c>
      <c r="AN1" s="1494" t="s">
        <v>9153</v>
      </c>
      <c r="AO1" s="1494" t="s">
        <v>9154</v>
      </c>
      <c r="AP1" s="1494" t="s">
        <v>9155</v>
      </c>
      <c r="AQ1" s="1494" t="s">
        <v>9156</v>
      </c>
      <c r="AR1" s="1494" t="s">
        <v>9157</v>
      </c>
      <c r="AS1" s="1494" t="s">
        <v>9158</v>
      </c>
      <c r="AT1" s="1495" t="s">
        <v>9159</v>
      </c>
      <c r="AU1" s="1496" t="s">
        <v>9160</v>
      </c>
      <c r="AV1" s="1497" t="s">
        <v>9161</v>
      </c>
      <c r="AW1" s="1498" t="s">
        <v>9162</v>
      </c>
    </row>
    <row r="2" ht="15.75" customHeight="1">
      <c r="A2" s="1499" t="s">
        <v>9163</v>
      </c>
      <c r="B2" s="1500" t="s">
        <v>9164</v>
      </c>
      <c r="C2" s="1501">
        <v>0.04879351851851852</v>
      </c>
      <c r="D2" s="1502" t="s">
        <v>9165</v>
      </c>
      <c r="E2" s="1502" t="s">
        <v>9166</v>
      </c>
      <c r="F2" s="1503" t="s">
        <v>9167</v>
      </c>
      <c r="G2" s="1502" t="s">
        <v>9168</v>
      </c>
      <c r="H2" s="1504" t="s">
        <v>6327</v>
      </c>
      <c r="I2" s="1504" t="s">
        <v>9169</v>
      </c>
      <c r="J2" s="1505" t="s">
        <v>5310</v>
      </c>
      <c r="K2" s="1506" t="s">
        <v>9170</v>
      </c>
      <c r="L2" s="1506" t="s">
        <v>234</v>
      </c>
      <c r="M2" s="1506" t="s">
        <v>6301</v>
      </c>
      <c r="N2" s="1506" t="s">
        <v>4073</v>
      </c>
      <c r="O2" s="1506" t="s">
        <v>9171</v>
      </c>
      <c r="P2" s="1506" t="s">
        <v>9172</v>
      </c>
      <c r="Q2" s="1507" t="s">
        <v>4275</v>
      </c>
      <c r="R2" s="1508" t="s">
        <v>9173</v>
      </c>
      <c r="S2" s="1507" t="s">
        <v>6715</v>
      </c>
      <c r="T2" s="1508" t="s">
        <v>3276</v>
      </c>
      <c r="U2" s="1507" t="s">
        <v>6868</v>
      </c>
      <c r="V2" s="1507" t="s">
        <v>3777</v>
      </c>
      <c r="W2" s="1509" t="s">
        <v>6527</v>
      </c>
      <c r="X2" s="1510" t="s">
        <v>9174</v>
      </c>
      <c r="Y2" s="1510" t="s">
        <v>6896</v>
      </c>
      <c r="Z2" s="1511" t="s">
        <v>6891</v>
      </c>
      <c r="AA2" s="1510" t="s">
        <v>9175</v>
      </c>
      <c r="AB2" s="1510" t="s">
        <v>9176</v>
      </c>
      <c r="AC2" s="1511" t="s">
        <v>4099</v>
      </c>
      <c r="AD2" s="1512" t="s">
        <v>9177</v>
      </c>
      <c r="AE2" s="1513" t="s">
        <v>4807</v>
      </c>
      <c r="AF2" s="1514" t="s">
        <v>9178</v>
      </c>
      <c r="AG2" s="1514" t="s">
        <v>9179</v>
      </c>
      <c r="AH2" s="1514" t="s">
        <v>3853</v>
      </c>
      <c r="AI2" s="1515" t="s">
        <v>9180</v>
      </c>
      <c r="AJ2" s="1515" t="s">
        <v>9181</v>
      </c>
      <c r="AK2" s="1515" t="s">
        <v>9182</v>
      </c>
      <c r="AL2" s="1515" t="s">
        <v>5672</v>
      </c>
      <c r="AM2" s="1516" t="s">
        <v>9183</v>
      </c>
      <c r="AN2" s="1517" t="s">
        <v>9184</v>
      </c>
      <c r="AO2" s="1517" t="s">
        <v>7118</v>
      </c>
      <c r="AP2" s="1518" t="s">
        <v>9185</v>
      </c>
      <c r="AQ2" s="1516" t="s">
        <v>9186</v>
      </c>
      <c r="AR2" s="1517" t="s">
        <v>9187</v>
      </c>
      <c r="AS2" s="1516" t="s">
        <v>1334</v>
      </c>
      <c r="AT2" s="1519" t="s">
        <v>9188</v>
      </c>
      <c r="AU2" s="1520" t="s">
        <v>9189</v>
      </c>
      <c r="AV2" s="1520" t="str">
        <f t="shared" ref="AV2:AV101" si="1">TEXT(AU2-C2,"m:ss")</f>
        <v>2:25</v>
      </c>
      <c r="AW2" s="1521"/>
    </row>
    <row r="3" ht="15.75" customHeight="1">
      <c r="A3" s="1522" t="s">
        <v>9190</v>
      </c>
      <c r="B3" s="1523" t="s">
        <v>9191</v>
      </c>
      <c r="C3" s="1524">
        <v>0.04932685185185185</v>
      </c>
      <c r="D3" s="1525" t="s">
        <v>9192</v>
      </c>
      <c r="E3" s="1525" t="s">
        <v>6763</v>
      </c>
      <c r="F3" s="1525" t="s">
        <v>9193</v>
      </c>
      <c r="G3" s="1525" t="s">
        <v>9194</v>
      </c>
      <c r="H3" s="1526" t="s">
        <v>9195</v>
      </c>
      <c r="I3" s="1526" t="s">
        <v>5055</v>
      </c>
      <c r="J3" s="1527" t="s">
        <v>1353</v>
      </c>
      <c r="K3" s="1527" t="s">
        <v>9196</v>
      </c>
      <c r="L3" s="1527" t="s">
        <v>2948</v>
      </c>
      <c r="M3" s="1527" t="s">
        <v>9197</v>
      </c>
      <c r="N3" s="1527" t="s">
        <v>2502</v>
      </c>
      <c r="O3" s="1527" t="s">
        <v>9198</v>
      </c>
      <c r="P3" s="1527" t="s">
        <v>5610</v>
      </c>
      <c r="Q3" s="1528" t="s">
        <v>5824</v>
      </c>
      <c r="R3" s="1528" t="s">
        <v>9199</v>
      </c>
      <c r="S3" s="1528" t="s">
        <v>9200</v>
      </c>
      <c r="T3" s="1528" t="s">
        <v>9201</v>
      </c>
      <c r="U3" s="1529" t="s">
        <v>7402</v>
      </c>
      <c r="V3" s="1528" t="s">
        <v>9202</v>
      </c>
      <c r="W3" s="1530" t="s">
        <v>4155</v>
      </c>
      <c r="X3" s="1530" t="s">
        <v>6026</v>
      </c>
      <c r="Y3" s="1531" t="s">
        <v>9203</v>
      </c>
      <c r="Z3" s="1531" t="s">
        <v>1340</v>
      </c>
      <c r="AA3" s="1531" t="s">
        <v>5850</v>
      </c>
      <c r="AB3" s="1530" t="s">
        <v>6852</v>
      </c>
      <c r="AC3" s="1531" t="s">
        <v>9204</v>
      </c>
      <c r="AD3" s="1525" t="s">
        <v>9205</v>
      </c>
      <c r="AE3" s="1525" t="s">
        <v>9206</v>
      </c>
      <c r="AF3" s="1532" t="s">
        <v>9207</v>
      </c>
      <c r="AG3" s="1533" t="s">
        <v>4621</v>
      </c>
      <c r="AH3" s="1533" t="s">
        <v>9208</v>
      </c>
      <c r="AI3" s="1533" t="s">
        <v>9209</v>
      </c>
      <c r="AJ3" s="1532" t="s">
        <v>9210</v>
      </c>
      <c r="AK3" s="1533" t="s">
        <v>3380</v>
      </c>
      <c r="AL3" s="1533" t="s">
        <v>9211</v>
      </c>
      <c r="AM3" s="1534" t="s">
        <v>9212</v>
      </c>
      <c r="AN3" s="1534" t="s">
        <v>4761</v>
      </c>
      <c r="AO3" s="1535" t="s">
        <v>7308</v>
      </c>
      <c r="AP3" s="1535" t="s">
        <v>9213</v>
      </c>
      <c r="AQ3" s="1535" t="s">
        <v>9214</v>
      </c>
      <c r="AR3" s="1535" t="s">
        <v>4080</v>
      </c>
      <c r="AS3" s="1534" t="s">
        <v>4858</v>
      </c>
      <c r="AT3" s="1527" t="s">
        <v>5047</v>
      </c>
      <c r="AU3" s="1536" t="s">
        <v>9215</v>
      </c>
      <c r="AV3" s="1536" t="str">
        <f t="shared" si="1"/>
        <v>3:56</v>
      </c>
      <c r="AW3" s="1537"/>
    </row>
    <row r="4" ht="15.75" customHeight="1">
      <c r="A4" s="1538" t="s">
        <v>9216</v>
      </c>
      <c r="B4" s="1539" t="s">
        <v>9217</v>
      </c>
      <c r="C4" s="1540">
        <v>0.050637731481481485</v>
      </c>
      <c r="D4" s="1541" t="s">
        <v>9218</v>
      </c>
      <c r="E4" s="1541" t="s">
        <v>9219</v>
      </c>
      <c r="F4" s="1541" t="s">
        <v>9220</v>
      </c>
      <c r="G4" s="1541" t="s">
        <v>9221</v>
      </c>
      <c r="H4" s="1542" t="s">
        <v>9222</v>
      </c>
      <c r="I4" s="1542" t="s">
        <v>350</v>
      </c>
      <c r="J4" s="1543" t="s">
        <v>9223</v>
      </c>
      <c r="K4" s="1543" t="s">
        <v>6349</v>
      </c>
      <c r="L4" s="1543" t="s">
        <v>3811</v>
      </c>
      <c r="M4" s="1543" t="s">
        <v>9224</v>
      </c>
      <c r="N4" s="1543" t="s">
        <v>9183</v>
      </c>
      <c r="O4" s="1543" t="s">
        <v>9225</v>
      </c>
      <c r="P4" s="1543" t="s">
        <v>9226</v>
      </c>
      <c r="Q4" s="1544" t="s">
        <v>9227</v>
      </c>
      <c r="R4" s="1544" t="s">
        <v>9228</v>
      </c>
      <c r="S4" s="1544" t="s">
        <v>2269</v>
      </c>
      <c r="T4" s="1544" t="s">
        <v>9229</v>
      </c>
      <c r="U4" s="1544" t="s">
        <v>9230</v>
      </c>
      <c r="V4" s="1544" t="s">
        <v>4296</v>
      </c>
      <c r="W4" s="1545" t="s">
        <v>9231</v>
      </c>
      <c r="X4" s="1545" t="s">
        <v>9232</v>
      </c>
      <c r="Y4" s="1545">
        <v>47.93</v>
      </c>
      <c r="Z4" s="1545" t="s">
        <v>9233</v>
      </c>
      <c r="AA4" s="1545" t="s">
        <v>9234</v>
      </c>
      <c r="AB4" s="1545" t="s">
        <v>9235</v>
      </c>
      <c r="AC4" s="1545">
        <v>49.24</v>
      </c>
      <c r="AD4" s="1546" t="s">
        <v>9236</v>
      </c>
      <c r="AE4" s="1547" t="s">
        <v>5590</v>
      </c>
      <c r="AF4" s="1548" t="s">
        <v>2804</v>
      </c>
      <c r="AG4" s="1548" t="s">
        <v>4616</v>
      </c>
      <c r="AH4" s="1548" t="s">
        <v>5339</v>
      </c>
      <c r="AI4" s="1548" t="s">
        <v>9237</v>
      </c>
      <c r="AJ4" s="1548" t="s">
        <v>9238</v>
      </c>
      <c r="AK4" s="1548" t="s">
        <v>886</v>
      </c>
      <c r="AL4" s="1548" t="s">
        <v>9239</v>
      </c>
      <c r="AM4" s="1549" t="s">
        <v>9240</v>
      </c>
      <c r="AN4" s="1550" t="s">
        <v>9241</v>
      </c>
      <c r="AO4" s="1549" t="s">
        <v>9242</v>
      </c>
      <c r="AP4" s="1550" t="s">
        <v>9243</v>
      </c>
      <c r="AQ4" s="1549" t="s">
        <v>9244</v>
      </c>
      <c r="AR4" s="1549" t="s">
        <v>7605</v>
      </c>
      <c r="AS4" s="1549" t="s">
        <v>756</v>
      </c>
      <c r="AT4" s="1551" t="s">
        <v>9245</v>
      </c>
      <c r="AU4" s="1552" t="s">
        <v>9246</v>
      </c>
      <c r="AV4" s="1553" t="str">
        <f t="shared" si="1"/>
        <v>2:49</v>
      </c>
      <c r="AW4" s="1521"/>
    </row>
    <row r="5" ht="15.75" customHeight="1">
      <c r="A5" s="1554" t="s">
        <v>981</v>
      </c>
      <c r="B5" s="1555" t="s">
        <v>9164</v>
      </c>
      <c r="C5" s="1556">
        <v>0.04895833333333333</v>
      </c>
      <c r="D5" s="1557" t="s">
        <v>9165</v>
      </c>
      <c r="E5" s="1557" t="s">
        <v>9166</v>
      </c>
      <c r="F5" s="1558" t="s">
        <v>9247</v>
      </c>
      <c r="G5" s="1559" t="s">
        <v>9168</v>
      </c>
      <c r="H5" s="1557" t="s">
        <v>6327</v>
      </c>
      <c r="I5" s="1557" t="s">
        <v>9169</v>
      </c>
      <c r="J5" s="1559" t="s">
        <v>5310</v>
      </c>
      <c r="K5" s="1560" t="s">
        <v>9248</v>
      </c>
      <c r="L5" s="1558" t="s">
        <v>2311</v>
      </c>
      <c r="M5" s="1560" t="s">
        <v>2575</v>
      </c>
      <c r="N5" s="1561" t="s">
        <v>4073</v>
      </c>
      <c r="O5" s="1562" t="s">
        <v>9249</v>
      </c>
      <c r="P5" s="1561" t="s">
        <v>9172</v>
      </c>
      <c r="Q5" s="1561" t="s">
        <v>4275</v>
      </c>
      <c r="R5" s="1559" t="s">
        <v>9173</v>
      </c>
      <c r="S5" s="1561" t="s">
        <v>6715</v>
      </c>
      <c r="T5" s="1559" t="s">
        <v>3276</v>
      </c>
      <c r="U5" s="1561" t="s">
        <v>6868</v>
      </c>
      <c r="V5" s="1563" t="s">
        <v>3777</v>
      </c>
      <c r="W5" s="1557" t="s">
        <v>6527</v>
      </c>
      <c r="X5" s="1559" t="s">
        <v>9174</v>
      </c>
      <c r="Y5" s="1559" t="s">
        <v>6896</v>
      </c>
      <c r="Z5" s="1562" t="s">
        <v>5094</v>
      </c>
      <c r="AA5" s="1559" t="s">
        <v>9175</v>
      </c>
      <c r="AB5" s="1558" t="s">
        <v>3296</v>
      </c>
      <c r="AC5" s="1561" t="s">
        <v>4099</v>
      </c>
      <c r="AD5" s="1559" t="s">
        <v>9177</v>
      </c>
      <c r="AE5" s="1560" t="s">
        <v>8253</v>
      </c>
      <c r="AF5" s="1474" t="s">
        <v>9250</v>
      </c>
      <c r="AG5" s="1038" t="s">
        <v>9251</v>
      </c>
      <c r="AH5" s="1558" t="s">
        <v>5662</v>
      </c>
      <c r="AI5" s="1561" t="s">
        <v>9180</v>
      </c>
      <c r="AJ5" s="1038" t="s">
        <v>9252</v>
      </c>
      <c r="AK5" s="1561" t="s">
        <v>9182</v>
      </c>
      <c r="AL5" s="1559" t="s">
        <v>5672</v>
      </c>
      <c r="AM5" s="1559" t="s">
        <v>9183</v>
      </c>
      <c r="AN5" s="1558" t="s">
        <v>6470</v>
      </c>
      <c r="AO5" s="1560" t="s">
        <v>381</v>
      </c>
      <c r="AP5" s="1559" t="s">
        <v>9185</v>
      </c>
      <c r="AQ5" s="1559" t="s">
        <v>9186</v>
      </c>
      <c r="AR5" s="1038" t="s">
        <v>7118</v>
      </c>
      <c r="AS5" s="1562" t="s">
        <v>4510</v>
      </c>
      <c r="AT5" s="1558" t="s">
        <v>9253</v>
      </c>
      <c r="AU5" s="1564" t="s">
        <v>9254</v>
      </c>
      <c r="AV5" s="1474" t="str">
        <f t="shared" si="1"/>
        <v>1:58</v>
      </c>
      <c r="AW5" s="1565" t="s">
        <v>9255</v>
      </c>
    </row>
    <row r="6">
      <c r="A6" s="1566" t="s">
        <v>2545</v>
      </c>
      <c r="B6" s="1567" t="s">
        <v>9164</v>
      </c>
      <c r="C6" s="1568">
        <v>0.04926921296296296</v>
      </c>
      <c r="D6" s="1569" t="s">
        <v>9256</v>
      </c>
      <c r="E6" s="1569" t="s">
        <v>9257</v>
      </c>
      <c r="F6" s="1569" t="s">
        <v>9258</v>
      </c>
      <c r="G6" s="1569" t="s">
        <v>9259</v>
      </c>
      <c r="H6" s="1570" t="s">
        <v>9260</v>
      </c>
      <c r="I6" s="1570" t="s">
        <v>4301</v>
      </c>
      <c r="J6" s="1571" t="s">
        <v>9261</v>
      </c>
      <c r="K6" s="1571" t="s">
        <v>7609</v>
      </c>
      <c r="L6" s="1571" t="s">
        <v>9262</v>
      </c>
      <c r="M6" s="1571" t="s">
        <v>9263</v>
      </c>
      <c r="N6" s="1571" t="s">
        <v>102</v>
      </c>
      <c r="O6" s="1571" t="s">
        <v>9264</v>
      </c>
      <c r="P6" s="1571" t="s">
        <v>1016</v>
      </c>
      <c r="Q6" s="1572" t="s">
        <v>9265</v>
      </c>
      <c r="R6" s="1573" t="s">
        <v>3643</v>
      </c>
      <c r="S6" s="1573" t="s">
        <v>9266</v>
      </c>
      <c r="T6" s="1573" t="s">
        <v>3021</v>
      </c>
      <c r="U6" s="1573" t="s">
        <v>9267</v>
      </c>
      <c r="V6" s="1573" t="s">
        <v>9268</v>
      </c>
      <c r="W6" s="1574" t="s">
        <v>9269</v>
      </c>
      <c r="X6" s="1574" t="s">
        <v>4794</v>
      </c>
      <c r="Y6" s="1575" t="s">
        <v>9270</v>
      </c>
      <c r="Z6" s="1574" t="s">
        <v>7073</v>
      </c>
      <c r="AA6" s="1574" t="s">
        <v>9271</v>
      </c>
      <c r="AB6" s="1574" t="s">
        <v>9272</v>
      </c>
      <c r="AC6" s="1574" t="s">
        <v>8679</v>
      </c>
      <c r="AD6" s="1569" t="s">
        <v>9273</v>
      </c>
      <c r="AE6" s="1569" t="s">
        <v>9274</v>
      </c>
      <c r="AF6" s="1576" t="s">
        <v>9275</v>
      </c>
      <c r="AG6" s="1576" t="s">
        <v>6049</v>
      </c>
      <c r="AH6" s="1576" t="s">
        <v>3270</v>
      </c>
      <c r="AI6" s="1577" t="s">
        <v>9276</v>
      </c>
      <c r="AJ6" s="1577" t="s">
        <v>9277</v>
      </c>
      <c r="AK6" s="1577" t="s">
        <v>9183</v>
      </c>
      <c r="AL6" s="1576" t="s">
        <v>1738</v>
      </c>
      <c r="AM6" s="1578" t="s">
        <v>5060</v>
      </c>
      <c r="AN6" s="1579" t="s">
        <v>6314</v>
      </c>
      <c r="AO6" s="1579" t="s">
        <v>9278</v>
      </c>
      <c r="AP6" s="1579" t="s">
        <v>9279</v>
      </c>
      <c r="AQ6" s="1578" t="s">
        <v>4780</v>
      </c>
      <c r="AR6" s="1579" t="s">
        <v>6911</v>
      </c>
      <c r="AS6" s="1578" t="s">
        <v>2071</v>
      </c>
      <c r="AT6" s="1580" t="s">
        <v>9280</v>
      </c>
      <c r="AU6" s="1581" t="s">
        <v>9281</v>
      </c>
      <c r="AV6" s="1581" t="str">
        <f t="shared" si="1"/>
        <v>2:02</v>
      </c>
      <c r="AW6" s="1582"/>
    </row>
    <row r="7" ht="15.75" customHeight="1">
      <c r="A7" s="1583" t="s">
        <v>436</v>
      </c>
      <c r="B7" s="1555" t="s">
        <v>9164</v>
      </c>
      <c r="C7" s="1556">
        <v>0.0493287037037037</v>
      </c>
      <c r="D7" s="1584" t="s">
        <v>9282</v>
      </c>
      <c r="E7" s="1585" t="s">
        <v>9283</v>
      </c>
      <c r="F7" s="1585" t="s">
        <v>9284</v>
      </c>
      <c r="G7" s="1585" t="s">
        <v>9285</v>
      </c>
      <c r="H7" s="1585" t="s">
        <v>9286</v>
      </c>
      <c r="I7" s="1586" t="s">
        <v>9287</v>
      </c>
      <c r="J7" s="1585" t="s">
        <v>9288</v>
      </c>
      <c r="K7" s="1585" t="s">
        <v>782</v>
      </c>
      <c r="L7" s="1585" t="s">
        <v>9289</v>
      </c>
      <c r="M7" s="1585" t="s">
        <v>2575</v>
      </c>
      <c r="N7" s="1585" t="s">
        <v>9290</v>
      </c>
      <c r="O7" s="1585" t="s">
        <v>9291</v>
      </c>
      <c r="P7" s="1585" t="s">
        <v>1286</v>
      </c>
      <c r="Q7" s="1587" t="s">
        <v>1565</v>
      </c>
      <c r="R7" s="1585" t="s">
        <v>4460</v>
      </c>
      <c r="S7" s="1585" t="s">
        <v>9288</v>
      </c>
      <c r="T7" s="1585" t="s">
        <v>5272</v>
      </c>
      <c r="U7" s="1587" t="s">
        <v>9292</v>
      </c>
      <c r="V7" s="1588" t="s">
        <v>8997</v>
      </c>
      <c r="W7" s="1585" t="s">
        <v>9293</v>
      </c>
      <c r="X7" s="1585" t="s">
        <v>6635</v>
      </c>
      <c r="Y7" s="1589">
        <v>46.72</v>
      </c>
      <c r="Z7" s="1589" t="s">
        <v>3705</v>
      </c>
      <c r="AA7" s="1585" t="s">
        <v>3717</v>
      </c>
      <c r="AB7" s="1590" t="s">
        <v>9176</v>
      </c>
      <c r="AC7" s="1585" t="s">
        <v>5561</v>
      </c>
      <c r="AD7" s="1585" t="s">
        <v>7037</v>
      </c>
      <c r="AE7" s="1591" t="s">
        <v>4807</v>
      </c>
      <c r="AF7" s="1589" t="s">
        <v>9294</v>
      </c>
      <c r="AG7" s="1588" t="s">
        <v>6189</v>
      </c>
      <c r="AH7" s="1590" t="s">
        <v>3853</v>
      </c>
      <c r="AI7" s="1585" t="s">
        <v>6085</v>
      </c>
      <c r="AJ7" s="1589" t="s">
        <v>9295</v>
      </c>
      <c r="AK7" s="1589" t="s">
        <v>5997</v>
      </c>
      <c r="AL7" s="1588" t="s">
        <v>6314</v>
      </c>
      <c r="AM7" s="1585" t="s">
        <v>9296</v>
      </c>
      <c r="AN7" s="1588" t="s">
        <v>4261</v>
      </c>
      <c r="AO7" s="1588" t="s">
        <v>2845</v>
      </c>
      <c r="AP7" s="1588" t="s">
        <v>9297</v>
      </c>
      <c r="AQ7" s="1474" t="s">
        <v>9298</v>
      </c>
      <c r="AR7" s="1588" t="s">
        <v>9299</v>
      </c>
      <c r="AS7" s="1588" t="s">
        <v>9300</v>
      </c>
      <c r="AT7" s="1588" t="s">
        <v>9301</v>
      </c>
      <c r="AU7" s="1592" t="s">
        <v>9302</v>
      </c>
      <c r="AV7" s="1474" t="str">
        <f t="shared" si="1"/>
        <v>2:15</v>
      </c>
      <c r="AW7" s="1565"/>
    </row>
    <row r="8" ht="15.75" customHeight="1">
      <c r="A8" s="1554" t="s">
        <v>6781</v>
      </c>
      <c r="B8" s="1555" t="s">
        <v>9164</v>
      </c>
      <c r="C8" s="1556">
        <v>0.049444444444444444</v>
      </c>
      <c r="D8" s="1562" t="s">
        <v>9303</v>
      </c>
      <c r="E8" s="1562" t="s">
        <v>9304</v>
      </c>
      <c r="F8" s="1586" t="s">
        <v>9305</v>
      </c>
      <c r="G8" s="1560" t="s">
        <v>9306</v>
      </c>
      <c r="H8" s="1586" t="s">
        <v>9307</v>
      </c>
      <c r="I8" s="1586" t="s">
        <v>2954</v>
      </c>
      <c r="J8" s="1562" t="s">
        <v>9308</v>
      </c>
      <c r="K8" s="1586" t="s">
        <v>3568</v>
      </c>
      <c r="L8" s="1586" t="s">
        <v>4196</v>
      </c>
      <c r="M8" s="1586" t="s">
        <v>6624</v>
      </c>
      <c r="N8" s="1562" t="s">
        <v>9309</v>
      </c>
      <c r="O8" s="1586" t="s">
        <v>9310</v>
      </c>
      <c r="P8" s="1474" t="s">
        <v>8243</v>
      </c>
      <c r="Q8" s="1562" t="s">
        <v>9311</v>
      </c>
      <c r="R8" s="1586" t="s">
        <v>6860</v>
      </c>
      <c r="S8" s="1586" t="s">
        <v>3440</v>
      </c>
      <c r="T8" s="1474" t="s">
        <v>4082</v>
      </c>
      <c r="U8" s="1586" t="s">
        <v>9312</v>
      </c>
      <c r="V8" s="1586" t="s">
        <v>5318</v>
      </c>
      <c r="W8" s="1593" t="s">
        <v>9313</v>
      </c>
      <c r="X8" s="1474" t="s">
        <v>2574</v>
      </c>
      <c r="Y8" s="1594" t="s">
        <v>7853</v>
      </c>
      <c r="Z8" s="1586" t="s">
        <v>7270</v>
      </c>
      <c r="AA8" s="1595" t="str">
        <f>HYPERLINK("https://www.twitch.tv/videos/571775470","1:28.03")</f>
        <v>1:28.03</v>
      </c>
      <c r="AB8" s="1474" t="s">
        <v>416</v>
      </c>
      <c r="AC8" s="1047" t="str">
        <f>HYPERLINK("https://clips.twitch.tv/HelpfulSaltyCoyoteHoneyBadger","47.31")</f>
        <v>47.31</v>
      </c>
      <c r="AD8" s="1595" t="str">
        <f>HYPERLINK("https://www.twitch.tv/videos/625954575","1:47.79")</f>
        <v>1:47.79</v>
      </c>
      <c r="AE8" s="1474" t="s">
        <v>9314</v>
      </c>
      <c r="AF8" s="1474" t="s">
        <v>9315</v>
      </c>
      <c r="AG8" s="1595" t="str">
        <f>HYPERLINK("https://www.twitch.tv/videos/566334947","1:28.73")</f>
        <v>1:28.73</v>
      </c>
      <c r="AH8" s="1586" t="s">
        <v>9316</v>
      </c>
      <c r="AI8" s="1596" t="str">
        <f>HYPERLINK("https://www.twitch.tv/videos/584107631","1:27.68")</f>
        <v>1:27.68</v>
      </c>
      <c r="AJ8" s="1474" t="s">
        <v>9317</v>
      </c>
      <c r="AK8" s="1586" t="s">
        <v>6705</v>
      </c>
      <c r="AL8" s="1586" t="s">
        <v>9318</v>
      </c>
      <c r="AM8" s="1562" t="s">
        <v>4554</v>
      </c>
      <c r="AN8" s="1562" t="s">
        <v>2784</v>
      </c>
      <c r="AO8" s="1562" t="s">
        <v>6012</v>
      </c>
      <c r="AP8" s="1586" t="s">
        <v>9319</v>
      </c>
      <c r="AQ8" s="1474" t="s">
        <v>9320</v>
      </c>
      <c r="AR8" s="1562" t="s">
        <v>9321</v>
      </c>
      <c r="AS8" s="1047" t="str">
        <f>HYPERLINK("https://www.twitch.tv/videos/571767101","42.91")</f>
        <v>42.91</v>
      </c>
      <c r="AT8" s="1558" t="s">
        <v>9322</v>
      </c>
      <c r="AU8" s="1592" t="s">
        <v>9323</v>
      </c>
      <c r="AV8" s="1474" t="str">
        <f t="shared" si="1"/>
        <v>2:32</v>
      </c>
      <c r="AW8" s="1597" t="s">
        <v>9324</v>
      </c>
    </row>
    <row r="9" ht="15.75" customHeight="1">
      <c r="A9" s="1554" t="s">
        <v>1878</v>
      </c>
      <c r="B9" s="1555" t="s">
        <v>9164</v>
      </c>
      <c r="C9" s="1556">
        <v>0.04949074074074074</v>
      </c>
      <c r="D9" s="1598" t="s">
        <v>9325</v>
      </c>
      <c r="E9" s="1594" t="s">
        <v>9326</v>
      </c>
      <c r="F9" s="1594" t="s">
        <v>2136</v>
      </c>
      <c r="G9" s="1594" t="s">
        <v>9327</v>
      </c>
      <c r="H9" s="1562" t="s">
        <v>9328</v>
      </c>
      <c r="I9" s="1585">
        <v>47.34</v>
      </c>
      <c r="J9" s="1594" t="s">
        <v>1637</v>
      </c>
      <c r="K9" s="1594" t="s">
        <v>7420</v>
      </c>
      <c r="L9" s="1594">
        <v>55.97</v>
      </c>
      <c r="M9" s="1594" t="s">
        <v>2050</v>
      </c>
      <c r="N9" s="1594" t="s">
        <v>9329</v>
      </c>
      <c r="O9" s="1599" t="s">
        <v>9171</v>
      </c>
      <c r="P9" s="1594">
        <v>47.49</v>
      </c>
      <c r="Q9" s="1594" t="s">
        <v>9330</v>
      </c>
      <c r="R9" s="1594" t="s">
        <v>1229</v>
      </c>
      <c r="S9" s="1600" t="s">
        <v>1899</v>
      </c>
      <c r="T9" s="1594" t="s">
        <v>8008</v>
      </c>
      <c r="U9" s="1562" t="s">
        <v>9331</v>
      </c>
      <c r="V9" s="1594">
        <v>59.32</v>
      </c>
      <c r="W9" s="1598" t="s">
        <v>9332</v>
      </c>
      <c r="X9" s="1601" t="s">
        <v>9333</v>
      </c>
      <c r="Y9" s="1594">
        <v>46.65</v>
      </c>
      <c r="Z9" s="1594" t="s">
        <v>9334</v>
      </c>
      <c r="AA9" s="1594" t="s">
        <v>2499</v>
      </c>
      <c r="AB9" s="1594" t="s">
        <v>9335</v>
      </c>
      <c r="AC9" s="1594">
        <v>47.89</v>
      </c>
      <c r="AD9" s="1594" t="s">
        <v>1898</v>
      </c>
      <c r="AE9" s="1594">
        <v>47.98</v>
      </c>
      <c r="AF9" s="1601" t="s">
        <v>9336</v>
      </c>
      <c r="AG9" s="1594" t="s">
        <v>9337</v>
      </c>
      <c r="AH9" s="1594">
        <v>57.45</v>
      </c>
      <c r="AI9" s="1589" t="s">
        <v>6786</v>
      </c>
      <c r="AJ9" s="1602" t="s">
        <v>9252</v>
      </c>
      <c r="AK9" s="1594" t="s">
        <v>5529</v>
      </c>
      <c r="AL9" s="1594">
        <v>56.23</v>
      </c>
      <c r="AM9" s="1598" t="s">
        <v>4027</v>
      </c>
      <c r="AN9" s="1598" t="s">
        <v>9338</v>
      </c>
      <c r="AO9" s="1594" t="s">
        <v>9339</v>
      </c>
      <c r="AP9" s="1594" t="s">
        <v>9340</v>
      </c>
      <c r="AQ9" s="1594" t="s">
        <v>9341</v>
      </c>
      <c r="AR9" s="1601" t="s">
        <v>3927</v>
      </c>
      <c r="AS9" s="1594">
        <v>46.19</v>
      </c>
      <c r="AT9" s="1603" t="s">
        <v>9188</v>
      </c>
      <c r="AU9" s="1474" t="s">
        <v>9342</v>
      </c>
      <c r="AV9" s="1474" t="str">
        <f t="shared" si="1"/>
        <v>1:33</v>
      </c>
      <c r="AW9" s="1597" t="s">
        <v>9343</v>
      </c>
    </row>
    <row r="10">
      <c r="A10" s="1604" t="s">
        <v>827</v>
      </c>
      <c r="B10" s="1605" t="s">
        <v>9164</v>
      </c>
      <c r="C10" s="1556">
        <v>0.04951388888888889</v>
      </c>
      <c r="D10" s="1588" t="s">
        <v>9303</v>
      </c>
      <c r="E10" s="1588" t="s">
        <v>253</v>
      </c>
      <c r="F10" s="1588" t="s">
        <v>9344</v>
      </c>
      <c r="G10" s="1589" t="s">
        <v>9345</v>
      </c>
      <c r="H10" s="1588" t="s">
        <v>9346</v>
      </c>
      <c r="I10" s="1588" t="s">
        <v>4562</v>
      </c>
      <c r="J10" s="1585" t="s">
        <v>1489</v>
      </c>
      <c r="K10" s="1588" t="s">
        <v>9347</v>
      </c>
      <c r="L10" s="1588" t="s">
        <v>9348</v>
      </c>
      <c r="M10" s="1591" t="s">
        <v>6301</v>
      </c>
      <c r="N10" s="1588" t="s">
        <v>5961</v>
      </c>
      <c r="O10" s="1588" t="s">
        <v>9349</v>
      </c>
      <c r="P10" s="1588" t="s">
        <v>6218</v>
      </c>
      <c r="Q10" s="1588" t="s">
        <v>4802</v>
      </c>
      <c r="R10" s="1588" t="s">
        <v>5853</v>
      </c>
      <c r="S10" s="1562" t="s">
        <v>2903</v>
      </c>
      <c r="T10" s="1588" t="s">
        <v>9350</v>
      </c>
      <c r="U10" s="1588" t="s">
        <v>9351</v>
      </c>
      <c r="V10" s="1588" t="s">
        <v>9352</v>
      </c>
      <c r="W10" s="1588" t="s">
        <v>9353</v>
      </c>
      <c r="X10" s="1562" t="s">
        <v>9354</v>
      </c>
      <c r="Y10" s="1588" t="s">
        <v>6218</v>
      </c>
      <c r="Z10" s="1599" t="s">
        <v>6891</v>
      </c>
      <c r="AA10" s="1562" t="s">
        <v>9209</v>
      </c>
      <c r="AB10" s="1588" t="s">
        <v>416</v>
      </c>
      <c r="AC10" s="1588" t="s">
        <v>3799</v>
      </c>
      <c r="AD10" s="1606" t="s">
        <v>3730</v>
      </c>
      <c r="AE10" s="1589">
        <v>47.81</v>
      </c>
      <c r="AF10" s="1588" t="s">
        <v>9355</v>
      </c>
      <c r="AG10" s="1588" t="s">
        <v>9356</v>
      </c>
      <c r="AH10" s="1588" t="s">
        <v>751</v>
      </c>
      <c r="AI10" s="1588" t="s">
        <v>9357</v>
      </c>
      <c r="AJ10" s="1588" t="s">
        <v>9358</v>
      </c>
      <c r="AK10" s="1588" t="s">
        <v>9359</v>
      </c>
      <c r="AL10" s="1588" t="s">
        <v>8801</v>
      </c>
      <c r="AM10" s="1588" t="s">
        <v>4554</v>
      </c>
      <c r="AN10" s="1599" t="s">
        <v>9184</v>
      </c>
      <c r="AO10" s="1599" t="s">
        <v>7118</v>
      </c>
      <c r="AP10" s="1588" t="s">
        <v>9360</v>
      </c>
      <c r="AQ10" s="1588" t="s">
        <v>9361</v>
      </c>
      <c r="AR10" s="1599" t="s">
        <v>9187</v>
      </c>
      <c r="AS10" s="1591" t="s">
        <v>1334</v>
      </c>
      <c r="AT10" s="1588" t="s">
        <v>9362</v>
      </c>
      <c r="AU10" s="1607" t="s">
        <v>9363</v>
      </c>
      <c r="AV10" s="1474" t="str">
        <f t="shared" si="1"/>
        <v>2:15</v>
      </c>
      <c r="AW10" s="1608" t="s">
        <v>9364</v>
      </c>
    </row>
    <row r="11" ht="15.75" customHeight="1">
      <c r="A11" s="1583" t="s">
        <v>330</v>
      </c>
      <c r="B11" s="1555" t="s">
        <v>9164</v>
      </c>
      <c r="C11" s="1556">
        <v>0.04957175925925926</v>
      </c>
      <c r="D11" s="1609" t="s">
        <v>9365</v>
      </c>
      <c r="E11" s="1585" t="s">
        <v>9366</v>
      </c>
      <c r="F11" s="1610" t="s">
        <v>9167</v>
      </c>
      <c r="G11" s="1588" t="s">
        <v>9367</v>
      </c>
      <c r="H11" s="1611" t="s">
        <v>5499</v>
      </c>
      <c r="I11" s="1588" t="s">
        <v>1387</v>
      </c>
      <c r="J11" s="1178" t="s">
        <v>9368</v>
      </c>
      <c r="K11" s="1588" t="s">
        <v>7955</v>
      </c>
      <c r="L11" s="1590" t="s">
        <v>234</v>
      </c>
      <c r="M11" s="1178" t="s">
        <v>9369</v>
      </c>
      <c r="N11" s="1585" t="s">
        <v>9370</v>
      </c>
      <c r="O11" s="1178" t="s">
        <v>9371</v>
      </c>
      <c r="P11" s="1588" t="s">
        <v>6615</v>
      </c>
      <c r="Q11" s="1588" t="s">
        <v>9330</v>
      </c>
      <c r="R11" s="1588" t="s">
        <v>5719</v>
      </c>
      <c r="S11" s="1588" t="s">
        <v>9372</v>
      </c>
      <c r="T11" s="1588" t="s">
        <v>9373</v>
      </c>
      <c r="U11" s="1588" t="s">
        <v>6298</v>
      </c>
      <c r="V11" s="998" t="s">
        <v>5576</v>
      </c>
      <c r="W11" s="1612" t="s">
        <v>9374</v>
      </c>
      <c r="X11" s="1588" t="s">
        <v>9375</v>
      </c>
      <c r="Y11" s="1585">
        <v>46.63</v>
      </c>
      <c r="Z11" s="1130" t="s">
        <v>306</v>
      </c>
      <c r="AA11" s="1585" t="s">
        <v>9376</v>
      </c>
      <c r="AB11" s="1590" t="s">
        <v>9176</v>
      </c>
      <c r="AC11" s="1588" t="s">
        <v>5559</v>
      </c>
      <c r="AD11" s="1588" t="s">
        <v>9377</v>
      </c>
      <c r="AE11" s="1589" t="s">
        <v>9378</v>
      </c>
      <c r="AF11" s="1585" t="s">
        <v>9379</v>
      </c>
      <c r="AG11" s="1594" t="s">
        <v>9380</v>
      </c>
      <c r="AH11" s="1588" t="s">
        <v>9381</v>
      </c>
      <c r="AI11" s="998" t="s">
        <v>9382</v>
      </c>
      <c r="AJ11" s="1589" t="s">
        <v>9383</v>
      </c>
      <c r="AK11" s="1588" t="s">
        <v>1299</v>
      </c>
      <c r="AL11" s="1588" t="s">
        <v>5212</v>
      </c>
      <c r="AM11" s="1588" t="s">
        <v>9373</v>
      </c>
      <c r="AN11" s="1178" t="s">
        <v>9384</v>
      </c>
      <c r="AO11" s="1588" t="s">
        <v>9299</v>
      </c>
      <c r="AP11" s="1588" t="s">
        <v>9385</v>
      </c>
      <c r="AQ11" s="1588" t="s">
        <v>9386</v>
      </c>
      <c r="AR11" s="1588" t="s">
        <v>4641</v>
      </c>
      <c r="AS11" s="1588" t="s">
        <v>9387</v>
      </c>
      <c r="AT11" s="1613" t="s">
        <v>9388</v>
      </c>
      <c r="AU11" s="1607" t="s">
        <v>9389</v>
      </c>
      <c r="AV11" s="1474" t="str">
        <f t="shared" si="1"/>
        <v>2:59</v>
      </c>
      <c r="AW11" s="1614"/>
    </row>
    <row r="12">
      <c r="A12" s="1583" t="s">
        <v>6619</v>
      </c>
      <c r="B12" s="1615" t="s">
        <v>9164</v>
      </c>
      <c r="C12" s="1556">
        <v>0.04958333333333333</v>
      </c>
      <c r="D12" s="998" t="s">
        <v>9390</v>
      </c>
      <c r="E12" s="1594" t="s">
        <v>6579</v>
      </c>
      <c r="F12" s="1594" t="s">
        <v>9391</v>
      </c>
      <c r="G12" s="1594" t="s">
        <v>9392</v>
      </c>
      <c r="H12" s="1598" t="s">
        <v>9393</v>
      </c>
      <c r="I12" s="1598" t="s">
        <v>5839</v>
      </c>
      <c r="J12" s="1598" t="s">
        <v>151</v>
      </c>
      <c r="K12" s="1598" t="s">
        <v>7028</v>
      </c>
      <c r="L12" s="1594">
        <v>56.42</v>
      </c>
      <c r="M12" s="1594" t="s">
        <v>1045</v>
      </c>
      <c r="N12" s="1594" t="s">
        <v>9394</v>
      </c>
      <c r="O12" s="1598" t="s">
        <v>9395</v>
      </c>
      <c r="P12" s="1598" t="s">
        <v>280</v>
      </c>
      <c r="Q12" s="1598" t="s">
        <v>9396</v>
      </c>
      <c r="R12" s="1594" t="s">
        <v>9397</v>
      </c>
      <c r="S12" s="1598" t="s">
        <v>9398</v>
      </c>
      <c r="T12" s="1598" t="s">
        <v>5060</v>
      </c>
      <c r="U12" s="1598" t="s">
        <v>9399</v>
      </c>
      <c r="V12" s="1594">
        <v>59.45</v>
      </c>
      <c r="W12" s="1598" t="s">
        <v>9400</v>
      </c>
      <c r="X12" s="1598" t="s">
        <v>9401</v>
      </c>
      <c r="Y12" s="1598" t="s">
        <v>5164</v>
      </c>
      <c r="Z12" s="1594" t="s">
        <v>4190</v>
      </c>
      <c r="AA12" s="1594" t="s">
        <v>3219</v>
      </c>
      <c r="AB12" s="1594" t="s">
        <v>4609</v>
      </c>
      <c r="AC12" s="1598" t="s">
        <v>4916</v>
      </c>
      <c r="AD12" s="1598" t="s">
        <v>9402</v>
      </c>
      <c r="AE12" s="1594">
        <v>47.89</v>
      </c>
      <c r="AF12" s="1594" t="s">
        <v>9403</v>
      </c>
      <c r="AG12" s="1591" t="s">
        <v>9179</v>
      </c>
      <c r="AH12" s="1594">
        <v>57.71</v>
      </c>
      <c r="AI12" s="1598" t="s">
        <v>2230</v>
      </c>
      <c r="AJ12" s="1594" t="s">
        <v>9404</v>
      </c>
      <c r="AK12" s="1598" t="s">
        <v>9405</v>
      </c>
      <c r="AL12" s="1594">
        <v>56.69</v>
      </c>
      <c r="AM12" s="1598" t="s">
        <v>9406</v>
      </c>
      <c r="AN12" s="1598" t="s">
        <v>4150</v>
      </c>
      <c r="AO12" s="1598" t="s">
        <v>2938</v>
      </c>
      <c r="AP12" s="1594" t="s">
        <v>9407</v>
      </c>
      <c r="AQ12" s="1598" t="s">
        <v>9408</v>
      </c>
      <c r="AR12" s="1598" t="s">
        <v>9409</v>
      </c>
      <c r="AS12" s="1594">
        <v>43.65</v>
      </c>
      <c r="AT12" s="1598" t="s">
        <v>9410</v>
      </c>
      <c r="AU12" s="1592" t="s">
        <v>9411</v>
      </c>
      <c r="AV12" s="1474" t="str">
        <f t="shared" si="1"/>
        <v>1:34</v>
      </c>
      <c r="AW12" s="1616" t="s">
        <v>9412</v>
      </c>
    </row>
    <row r="13" ht="15.75" customHeight="1">
      <c r="A13" s="1617" t="s">
        <v>2154</v>
      </c>
      <c r="B13" s="1618" t="s">
        <v>9191</v>
      </c>
      <c r="C13" s="1556">
        <v>0.04960648148148148</v>
      </c>
      <c r="D13" s="1619" t="s">
        <v>9413</v>
      </c>
      <c r="E13" s="998" t="s">
        <v>3299</v>
      </c>
      <c r="F13" s="998" t="s">
        <v>9414</v>
      </c>
      <c r="G13" s="1619" t="s">
        <v>9415</v>
      </c>
      <c r="H13" s="1620" t="s">
        <v>9195</v>
      </c>
      <c r="I13" s="998" t="s">
        <v>9416</v>
      </c>
      <c r="J13" s="998" t="s">
        <v>9417</v>
      </c>
      <c r="K13" s="1621" t="s">
        <v>9196</v>
      </c>
      <c r="L13" s="1622" t="s">
        <v>4738</v>
      </c>
      <c r="M13" s="998" t="s">
        <v>6602</v>
      </c>
      <c r="N13" s="1623" t="s">
        <v>5349</v>
      </c>
      <c r="O13" s="998" t="s">
        <v>6958</v>
      </c>
      <c r="P13" s="1623" t="s">
        <v>5559</v>
      </c>
      <c r="Q13" s="998" t="s">
        <v>9418</v>
      </c>
      <c r="R13" s="1621" t="s">
        <v>9199</v>
      </c>
      <c r="S13" s="1624" t="s">
        <v>9200</v>
      </c>
      <c r="T13" s="1625" t="s">
        <v>4027</v>
      </c>
      <c r="U13" s="1626" t="s">
        <v>9419</v>
      </c>
      <c r="V13" s="1627" t="s">
        <v>9202</v>
      </c>
      <c r="W13" s="1628" t="s">
        <v>4155</v>
      </c>
      <c r="X13" s="1628" t="s">
        <v>6026</v>
      </c>
      <c r="Y13" s="1621" t="s">
        <v>9420</v>
      </c>
      <c r="Z13" s="1628" t="s">
        <v>1340</v>
      </c>
      <c r="AA13" s="1629" t="s">
        <v>5850</v>
      </c>
      <c r="AB13" s="1621" t="s">
        <v>6852</v>
      </c>
      <c r="AC13" s="1630" t="s">
        <v>9204</v>
      </c>
      <c r="AD13" s="998" t="s">
        <v>9421</v>
      </c>
      <c r="AE13" s="1631" t="s">
        <v>9206</v>
      </c>
      <c r="AF13" s="1038" t="s">
        <v>9422</v>
      </c>
      <c r="AG13" s="1628" t="s">
        <v>4621</v>
      </c>
      <c r="AH13" s="1632" t="s">
        <v>9208</v>
      </c>
      <c r="AI13" s="1632" t="s">
        <v>9209</v>
      </c>
      <c r="AJ13" s="998" t="s">
        <v>9423</v>
      </c>
      <c r="AK13" s="1622" t="s">
        <v>6921</v>
      </c>
      <c r="AL13" s="1628" t="s">
        <v>9211</v>
      </c>
      <c r="AM13" s="998" t="s">
        <v>887</v>
      </c>
      <c r="AN13" s="1633" t="s">
        <v>4761</v>
      </c>
      <c r="AO13" s="1621" t="s">
        <v>7308</v>
      </c>
      <c r="AP13" s="1634" t="s">
        <v>9213</v>
      </c>
      <c r="AQ13" s="1635" t="s">
        <v>9214</v>
      </c>
      <c r="AR13" s="1635" t="s">
        <v>4080</v>
      </c>
      <c r="AS13" s="1636" t="s">
        <v>4858</v>
      </c>
      <c r="AT13" s="1621" t="s">
        <v>5047</v>
      </c>
      <c r="AU13" s="1607" t="s">
        <v>9424</v>
      </c>
      <c r="AV13" s="1474" t="str">
        <f t="shared" si="1"/>
        <v>3:56</v>
      </c>
      <c r="AW13" s="1608" t="s">
        <v>9425</v>
      </c>
    </row>
    <row r="14" ht="15.75" customHeight="1">
      <c r="A14" s="1617" t="s">
        <v>7159</v>
      </c>
      <c r="B14" s="1555" t="s">
        <v>9164</v>
      </c>
      <c r="C14" s="1556">
        <v>0.04967592592592593</v>
      </c>
      <c r="D14" s="998" t="s">
        <v>9426</v>
      </c>
      <c r="E14" s="1586" t="s">
        <v>956</v>
      </c>
      <c r="F14" s="1586" t="s">
        <v>9427</v>
      </c>
      <c r="G14" s="1586" t="s">
        <v>9428</v>
      </c>
      <c r="H14" s="998" t="s">
        <v>9429</v>
      </c>
      <c r="I14" s="1586" t="s">
        <v>9430</v>
      </c>
      <c r="J14" s="1586" t="s">
        <v>9431</v>
      </c>
      <c r="K14" s="1586" t="s">
        <v>6542</v>
      </c>
      <c r="L14" s="1586" t="s">
        <v>4515</v>
      </c>
      <c r="M14" s="1586" t="s">
        <v>8974</v>
      </c>
      <c r="N14" s="1586" t="s">
        <v>2226</v>
      </c>
      <c r="O14" s="1586" t="s">
        <v>3336</v>
      </c>
      <c r="P14" s="1586" t="s">
        <v>9430</v>
      </c>
      <c r="Q14" s="1586" t="s">
        <v>9432</v>
      </c>
      <c r="R14" s="1586" t="s">
        <v>1229</v>
      </c>
      <c r="S14" s="1637" t="s">
        <v>9433</v>
      </c>
      <c r="T14" s="1586" t="s">
        <v>4930</v>
      </c>
      <c r="U14" s="1586" t="s">
        <v>9434</v>
      </c>
      <c r="V14" s="1586" t="s">
        <v>9435</v>
      </c>
      <c r="W14" s="1586" t="s">
        <v>9436</v>
      </c>
      <c r="X14" s="1586" t="s">
        <v>1119</v>
      </c>
      <c r="Y14" s="1586" t="s">
        <v>4400</v>
      </c>
      <c r="Z14" s="1586" t="s">
        <v>9437</v>
      </c>
      <c r="AA14" s="1586" t="s">
        <v>9438</v>
      </c>
      <c r="AB14" s="1586" t="s">
        <v>1907</v>
      </c>
      <c r="AC14" s="1586" t="s">
        <v>761</v>
      </c>
      <c r="AD14" s="1586" t="s">
        <v>9439</v>
      </c>
      <c r="AE14" s="1586" t="s">
        <v>5044</v>
      </c>
      <c r="AF14" s="1562" t="s">
        <v>9440</v>
      </c>
      <c r="AG14" s="1586" t="s">
        <v>9441</v>
      </c>
      <c r="AH14" s="1586" t="s">
        <v>4827</v>
      </c>
      <c r="AI14" s="1586" t="s">
        <v>3019</v>
      </c>
      <c r="AJ14" s="1586" t="s">
        <v>9442</v>
      </c>
      <c r="AK14" s="1586" t="s">
        <v>4198</v>
      </c>
      <c r="AL14" s="1586" t="s">
        <v>9443</v>
      </c>
      <c r="AM14" s="1586" t="s">
        <v>9444</v>
      </c>
      <c r="AN14" s="998" t="s">
        <v>9289</v>
      </c>
      <c r="AO14" s="1586" t="s">
        <v>9445</v>
      </c>
      <c r="AP14" s="1586" t="s">
        <v>9446</v>
      </c>
      <c r="AQ14" s="1562" t="s">
        <v>9447</v>
      </c>
      <c r="AR14" s="1586" t="s">
        <v>1911</v>
      </c>
      <c r="AS14" s="1586" t="s">
        <v>1571</v>
      </c>
      <c r="AT14" s="1586" t="s">
        <v>9448</v>
      </c>
      <c r="AU14" s="1586" t="s">
        <v>9449</v>
      </c>
      <c r="AV14" s="1474" t="str">
        <f t="shared" si="1"/>
        <v>2:47</v>
      </c>
      <c r="AW14" s="1565" t="s">
        <v>9450</v>
      </c>
    </row>
    <row r="15" ht="15.75" customHeight="1">
      <c r="A15" s="1638" t="s">
        <v>2772</v>
      </c>
      <c r="B15" s="1555" t="s">
        <v>9164</v>
      </c>
      <c r="C15" s="1639">
        <v>0.04971064814814815</v>
      </c>
      <c r="D15" s="1426" t="s">
        <v>9451</v>
      </c>
      <c r="E15" s="1640" t="s">
        <v>512</v>
      </c>
      <c r="F15" s="1640" t="s">
        <v>9452</v>
      </c>
      <c r="G15" s="1640" t="s">
        <v>9453</v>
      </c>
      <c r="H15" s="1562" t="s">
        <v>9454</v>
      </c>
      <c r="I15" s="925" t="s">
        <v>5851</v>
      </c>
      <c r="J15" s="1623" t="s">
        <v>2548</v>
      </c>
      <c r="K15" s="1623" t="s">
        <v>4354</v>
      </c>
      <c r="L15" s="1623" t="s">
        <v>4738</v>
      </c>
      <c r="M15" s="1641" t="s">
        <v>6301</v>
      </c>
      <c r="N15" s="1623" t="s">
        <v>2699</v>
      </c>
      <c r="O15" s="1623" t="s">
        <v>9455</v>
      </c>
      <c r="P15" s="1623" t="s">
        <v>9456</v>
      </c>
      <c r="Q15" s="1562" t="s">
        <v>9457</v>
      </c>
      <c r="R15" s="1626" t="s">
        <v>9458</v>
      </c>
      <c r="S15" s="1562" t="s">
        <v>1899</v>
      </c>
      <c r="T15" s="1626" t="s">
        <v>9459</v>
      </c>
      <c r="U15" s="1562" t="s">
        <v>9460</v>
      </c>
      <c r="V15" s="1626" t="s">
        <v>3456</v>
      </c>
      <c r="W15" s="1642" t="s">
        <v>9461</v>
      </c>
      <c r="X15" s="1642" t="s">
        <v>4111</v>
      </c>
      <c r="Y15" s="1642" t="s">
        <v>8254</v>
      </c>
      <c r="Z15" s="1642" t="s">
        <v>9462</v>
      </c>
      <c r="AA15" s="1642" t="s">
        <v>6189</v>
      </c>
      <c r="AB15" s="1642" t="s">
        <v>4440</v>
      </c>
      <c r="AC15" s="1642" t="s">
        <v>1147</v>
      </c>
      <c r="AD15" s="1640" t="s">
        <v>9463</v>
      </c>
      <c r="AE15" s="1640" t="s">
        <v>5457</v>
      </c>
      <c r="AF15" s="1643" t="s">
        <v>9464</v>
      </c>
      <c r="AG15" s="1643" t="s">
        <v>7456</v>
      </c>
      <c r="AH15" s="1643" t="s">
        <v>5467</v>
      </c>
      <c r="AI15" s="1643" t="s">
        <v>9465</v>
      </c>
      <c r="AJ15" s="1643" t="s">
        <v>9466</v>
      </c>
      <c r="AK15" s="1643" t="s">
        <v>9467</v>
      </c>
      <c r="AL15" s="1643" t="s">
        <v>3582</v>
      </c>
      <c r="AM15" s="1644" t="s">
        <v>9468</v>
      </c>
      <c r="AN15" s="1645" t="s">
        <v>4738</v>
      </c>
      <c r="AO15" s="1645" t="s">
        <v>9469</v>
      </c>
      <c r="AP15" s="1644" t="s">
        <v>9470</v>
      </c>
      <c r="AQ15" s="1644" t="s">
        <v>9471</v>
      </c>
      <c r="AR15" s="1645" t="s">
        <v>9472</v>
      </c>
      <c r="AS15" s="1644" t="s">
        <v>273</v>
      </c>
      <c r="AT15" s="1592" t="s">
        <v>9473</v>
      </c>
      <c r="AU15" s="1607" t="s">
        <v>9474</v>
      </c>
      <c r="AV15" s="1474" t="str">
        <f t="shared" si="1"/>
        <v>2:35</v>
      </c>
      <c r="AW15" s="1646" t="s">
        <v>9475</v>
      </c>
    </row>
    <row r="16">
      <c r="A16" s="1617" t="s">
        <v>1808</v>
      </c>
      <c r="B16" s="1615" t="s">
        <v>9164</v>
      </c>
      <c r="C16" s="1647">
        <v>0.04976851851851852</v>
      </c>
      <c r="D16" s="1598" t="s">
        <v>9476</v>
      </c>
      <c r="E16" s="1598" t="s">
        <v>9477</v>
      </c>
      <c r="F16" s="1598" t="s">
        <v>7020</v>
      </c>
      <c r="G16" s="1601" t="s">
        <v>9478</v>
      </c>
      <c r="H16" s="1598" t="s">
        <v>9479</v>
      </c>
      <c r="I16" s="1598" t="s">
        <v>3758</v>
      </c>
      <c r="J16" s="1598" t="s">
        <v>9480</v>
      </c>
      <c r="K16" s="1603" t="s">
        <v>9170</v>
      </c>
      <c r="L16" s="1598" t="s">
        <v>8846</v>
      </c>
      <c r="M16" s="1598" t="s">
        <v>9481</v>
      </c>
      <c r="N16" s="1598" t="s">
        <v>691</v>
      </c>
      <c r="O16" s="1598" t="s">
        <v>9482</v>
      </c>
      <c r="P16" s="1598" t="s">
        <v>6615</v>
      </c>
      <c r="Q16" s="1598" t="s">
        <v>9483</v>
      </c>
      <c r="R16" s="1598" t="s">
        <v>6983</v>
      </c>
      <c r="S16" s="1598" t="s">
        <v>9484</v>
      </c>
      <c r="T16" s="1598" t="s">
        <v>5903</v>
      </c>
      <c r="U16" s="1598" t="s">
        <v>9485</v>
      </c>
      <c r="V16" s="1598" t="s">
        <v>9486</v>
      </c>
      <c r="W16" s="1598" t="s">
        <v>9487</v>
      </c>
      <c r="X16" s="1598" t="s">
        <v>9488</v>
      </c>
      <c r="Y16" s="1598" t="s">
        <v>7853</v>
      </c>
      <c r="Z16" s="1598" t="s">
        <v>9489</v>
      </c>
      <c r="AA16" s="1598" t="s">
        <v>9490</v>
      </c>
      <c r="AB16" s="1598" t="s">
        <v>9491</v>
      </c>
      <c r="AC16" s="1598" t="s">
        <v>598</v>
      </c>
      <c r="AD16" s="1598" t="s">
        <v>3239</v>
      </c>
      <c r="AE16" s="1598" t="s">
        <v>5636</v>
      </c>
      <c r="AF16" s="1598" t="s">
        <v>9492</v>
      </c>
      <c r="AG16" s="1598" t="s">
        <v>309</v>
      </c>
      <c r="AH16" s="1598" t="s">
        <v>9493</v>
      </c>
      <c r="AI16" s="1598" t="s">
        <v>3219</v>
      </c>
      <c r="AJ16" s="1598" t="s">
        <v>9494</v>
      </c>
      <c r="AK16" s="1598" t="s">
        <v>9495</v>
      </c>
      <c r="AL16" s="1598" t="s">
        <v>344</v>
      </c>
      <c r="AM16" s="1598" t="s">
        <v>2228</v>
      </c>
      <c r="AN16" s="1598" t="s">
        <v>234</v>
      </c>
      <c r="AO16" s="1598" t="s">
        <v>9496</v>
      </c>
      <c r="AP16" s="1598" t="s">
        <v>9497</v>
      </c>
      <c r="AQ16" s="1648" t="s">
        <v>9498</v>
      </c>
      <c r="AR16" s="1598" t="s">
        <v>9499</v>
      </c>
      <c r="AS16" s="1598" t="s">
        <v>839</v>
      </c>
      <c r="AT16" s="1598" t="s">
        <v>2412</v>
      </c>
      <c r="AU16" s="1586" t="s">
        <v>9500</v>
      </c>
      <c r="AV16" s="1474" t="str">
        <f t="shared" si="1"/>
        <v>2:14</v>
      </c>
      <c r="AW16" s="1649"/>
    </row>
    <row r="17" ht="15.75" customHeight="1">
      <c r="A17" s="1554" t="s">
        <v>6418</v>
      </c>
      <c r="B17" s="1650" t="s">
        <v>9164</v>
      </c>
      <c r="C17" s="1556">
        <v>0.04982638888888889</v>
      </c>
      <c r="D17" s="1426" t="s">
        <v>9501</v>
      </c>
      <c r="E17" s="1426" t="s">
        <v>4867</v>
      </c>
      <c r="F17" s="1426" t="s">
        <v>9502</v>
      </c>
      <c r="G17" s="1426" t="s">
        <v>9503</v>
      </c>
      <c r="H17" s="1426" t="s">
        <v>9504</v>
      </c>
      <c r="I17" s="1426" t="s">
        <v>5233</v>
      </c>
      <c r="J17" s="1426" t="s">
        <v>9505</v>
      </c>
      <c r="K17" s="998" t="s">
        <v>9506</v>
      </c>
      <c r="L17" s="1426" t="s">
        <v>9507</v>
      </c>
      <c r="M17" s="1426" t="s">
        <v>9508</v>
      </c>
      <c r="N17" s="1426" t="s">
        <v>2099</v>
      </c>
      <c r="O17" s="1426" t="s">
        <v>9509</v>
      </c>
      <c r="P17" s="998" t="s">
        <v>4489</v>
      </c>
      <c r="Q17" s="1426" t="s">
        <v>9510</v>
      </c>
      <c r="R17" s="1426" t="s">
        <v>1939</v>
      </c>
      <c r="S17" s="1426" t="s">
        <v>3440</v>
      </c>
      <c r="T17" s="1426" t="s">
        <v>9511</v>
      </c>
      <c r="U17" s="1426" t="s">
        <v>9512</v>
      </c>
      <c r="V17" s="1426" t="s">
        <v>7821</v>
      </c>
      <c r="W17" s="1426" t="s">
        <v>5547</v>
      </c>
      <c r="X17" s="1426" t="s">
        <v>9179</v>
      </c>
      <c r="Y17" s="1426" t="s">
        <v>9287</v>
      </c>
      <c r="Z17" s="1426" t="s">
        <v>7963</v>
      </c>
      <c r="AA17" s="1651" t="s">
        <v>9513</v>
      </c>
      <c r="AB17" s="1426" t="s">
        <v>5961</v>
      </c>
      <c r="AC17" s="1426" t="s">
        <v>1097</v>
      </c>
      <c r="AD17" s="1426" t="s">
        <v>7066</v>
      </c>
      <c r="AE17" s="1426" t="s">
        <v>4976</v>
      </c>
      <c r="AF17" s="1426" t="s">
        <v>9514</v>
      </c>
      <c r="AG17" s="1426" t="s">
        <v>1529</v>
      </c>
      <c r="AH17" s="998" t="s">
        <v>9515</v>
      </c>
      <c r="AI17" s="1426" t="s">
        <v>8891</v>
      </c>
      <c r="AJ17" s="1426" t="s">
        <v>9516</v>
      </c>
      <c r="AK17" s="1426" t="s">
        <v>9517</v>
      </c>
      <c r="AL17" s="1426" t="s">
        <v>4432</v>
      </c>
      <c r="AM17" s="1426" t="s">
        <v>3463</v>
      </c>
      <c r="AN17" s="1426" t="s">
        <v>9518</v>
      </c>
      <c r="AO17" s="1426" t="s">
        <v>9321</v>
      </c>
      <c r="AP17" s="1592" t="s">
        <v>9292</v>
      </c>
      <c r="AQ17" s="1426" t="s">
        <v>9519</v>
      </c>
      <c r="AR17" s="1426" t="s">
        <v>9520</v>
      </c>
      <c r="AS17" s="1426" t="s">
        <v>8704</v>
      </c>
      <c r="AT17" s="1426" t="s">
        <v>9521</v>
      </c>
      <c r="AU17" s="1408" t="s">
        <v>9522</v>
      </c>
      <c r="AV17" s="1474" t="str">
        <f t="shared" si="1"/>
        <v>2:18</v>
      </c>
      <c r="AW17" s="1652" t="s">
        <v>9523</v>
      </c>
    </row>
    <row r="18">
      <c r="A18" s="1653" t="s">
        <v>2650</v>
      </c>
      <c r="B18" s="1605" t="s">
        <v>9191</v>
      </c>
      <c r="C18" s="1654">
        <v>0.04985763888888889</v>
      </c>
      <c r="D18" s="1038" t="s">
        <v>9524</v>
      </c>
      <c r="E18" s="1655" t="s">
        <v>9525</v>
      </c>
      <c r="F18" s="1640" t="s">
        <v>1149</v>
      </c>
      <c r="G18" s="1655" t="s">
        <v>9526</v>
      </c>
      <c r="H18" s="1139" t="s">
        <v>9527</v>
      </c>
      <c r="I18" s="824" t="s">
        <v>239</v>
      </c>
      <c r="J18" s="1656" t="s">
        <v>9528</v>
      </c>
      <c r="K18" s="1657" t="s">
        <v>1619</v>
      </c>
      <c r="L18" s="1656" t="s">
        <v>9529</v>
      </c>
      <c r="M18" s="1656" t="s">
        <v>9530</v>
      </c>
      <c r="N18" s="1657" t="s">
        <v>9531</v>
      </c>
      <c r="O18" s="1656" t="s">
        <v>9532</v>
      </c>
      <c r="P18" s="1656" t="s">
        <v>4560</v>
      </c>
      <c r="Q18" s="1658" t="s">
        <v>9533</v>
      </c>
      <c r="R18" s="1659" t="s">
        <v>5573</v>
      </c>
      <c r="S18" s="1658" t="s">
        <v>9534</v>
      </c>
      <c r="T18" s="1243" t="s">
        <v>9535</v>
      </c>
      <c r="U18" s="1243" t="s">
        <v>9536</v>
      </c>
      <c r="V18" s="1659" t="s">
        <v>6435</v>
      </c>
      <c r="W18" s="1660" t="s">
        <v>9537</v>
      </c>
      <c r="X18" s="1661" t="s">
        <v>6888</v>
      </c>
      <c r="Y18" s="1642" t="s">
        <v>8679</v>
      </c>
      <c r="Z18" s="1661" t="s">
        <v>9538</v>
      </c>
      <c r="AA18" s="1662" t="s">
        <v>1856</v>
      </c>
      <c r="AB18" s="1660" t="s">
        <v>9539</v>
      </c>
      <c r="AC18" s="1660" t="s">
        <v>4976</v>
      </c>
      <c r="AD18" s="1655" t="s">
        <v>9540</v>
      </c>
      <c r="AE18" s="1655" t="s">
        <v>5424</v>
      </c>
      <c r="AF18" s="1663" t="s">
        <v>9541</v>
      </c>
      <c r="AG18" s="1664" t="s">
        <v>156</v>
      </c>
      <c r="AH18" s="1664" t="s">
        <v>9542</v>
      </c>
      <c r="AI18" s="1663" t="s">
        <v>9543</v>
      </c>
      <c r="AJ18" s="1664" t="s">
        <v>9544</v>
      </c>
      <c r="AK18" s="1664" t="s">
        <v>2336</v>
      </c>
      <c r="AL18" s="1663" t="s">
        <v>4143</v>
      </c>
      <c r="AM18" s="1635" t="s">
        <v>9212</v>
      </c>
      <c r="AN18" s="1665" t="s">
        <v>4634</v>
      </c>
      <c r="AO18" s="1665" t="s">
        <v>9545</v>
      </c>
      <c r="AP18" s="1665" t="s">
        <v>9546</v>
      </c>
      <c r="AQ18" s="1665" t="s">
        <v>4578</v>
      </c>
      <c r="AR18" s="1665" t="s">
        <v>9547</v>
      </c>
      <c r="AS18" s="1665" t="s">
        <v>931</v>
      </c>
      <c r="AT18" s="1656" t="s">
        <v>9548</v>
      </c>
      <c r="AU18" s="1666" t="s">
        <v>9522</v>
      </c>
      <c r="AV18" s="1667" t="str">
        <f t="shared" si="1"/>
        <v>2:15</v>
      </c>
      <c r="AW18" s="1668"/>
    </row>
    <row r="19" ht="15.75" customHeight="1">
      <c r="A19" s="1554" t="s">
        <v>2088</v>
      </c>
      <c r="B19" s="1555" t="s">
        <v>9164</v>
      </c>
      <c r="C19" s="1556">
        <v>0.049895833333333334</v>
      </c>
      <c r="D19" s="998" t="s">
        <v>9549</v>
      </c>
      <c r="E19" s="1669" t="s">
        <v>956</v>
      </c>
      <c r="F19" s="1640" t="s">
        <v>9550</v>
      </c>
      <c r="G19" s="1669" t="s">
        <v>9551</v>
      </c>
      <c r="H19" s="824" t="s">
        <v>9552</v>
      </c>
      <c r="I19" s="925" t="s">
        <v>5638</v>
      </c>
      <c r="J19" s="1623" t="s">
        <v>9553</v>
      </c>
      <c r="K19" s="1670" t="s">
        <v>9554</v>
      </c>
      <c r="L19" s="1623" t="s">
        <v>9262</v>
      </c>
      <c r="M19" s="1623" t="s">
        <v>5096</v>
      </c>
      <c r="N19" s="1623" t="s">
        <v>9555</v>
      </c>
      <c r="O19" s="1670" t="s">
        <v>9556</v>
      </c>
      <c r="P19" s="998" t="s">
        <v>992</v>
      </c>
      <c r="Q19" s="1626" t="s">
        <v>3551</v>
      </c>
      <c r="R19" s="1671" t="s">
        <v>7960</v>
      </c>
      <c r="S19" s="1671" t="s">
        <v>9557</v>
      </c>
      <c r="T19" s="1671" t="s">
        <v>9558</v>
      </c>
      <c r="U19" s="1671" t="s">
        <v>1896</v>
      </c>
      <c r="V19" s="1626" t="s">
        <v>4468</v>
      </c>
      <c r="W19" s="1642" t="s">
        <v>9559</v>
      </c>
      <c r="X19" s="1672" t="s">
        <v>9560</v>
      </c>
      <c r="Y19" s="1642" t="s">
        <v>9561</v>
      </c>
      <c r="Z19" s="1642" t="s">
        <v>9562</v>
      </c>
      <c r="AA19" s="1642" t="s">
        <v>3323</v>
      </c>
      <c r="AB19" s="1672" t="s">
        <v>7409</v>
      </c>
      <c r="AC19" s="1672" t="s">
        <v>1222</v>
      </c>
      <c r="AD19" s="1669" t="s">
        <v>9563</v>
      </c>
      <c r="AE19" s="1669" t="s">
        <v>9564</v>
      </c>
      <c r="AF19" s="1673" t="s">
        <v>9565</v>
      </c>
      <c r="AG19" s="1643" t="s">
        <v>9566</v>
      </c>
      <c r="AH19" s="1643" t="s">
        <v>9567</v>
      </c>
      <c r="AI19" s="1643" t="s">
        <v>9568</v>
      </c>
      <c r="AJ19" s="1673" t="s">
        <v>9569</v>
      </c>
      <c r="AK19" s="1673" t="s">
        <v>962</v>
      </c>
      <c r="AL19" s="1643" t="s">
        <v>9570</v>
      </c>
      <c r="AM19" s="1645" t="s">
        <v>9571</v>
      </c>
      <c r="AN19" s="1644" t="s">
        <v>3163</v>
      </c>
      <c r="AO19" s="1645" t="s">
        <v>6862</v>
      </c>
      <c r="AP19" s="1644" t="s">
        <v>5726</v>
      </c>
      <c r="AQ19" s="1645" t="s">
        <v>9572</v>
      </c>
      <c r="AR19" s="1644" t="s">
        <v>1163</v>
      </c>
      <c r="AS19" s="1644" t="s">
        <v>3953</v>
      </c>
      <c r="AT19" s="1670" t="s">
        <v>6599</v>
      </c>
      <c r="AU19" s="1667" t="s">
        <v>9573</v>
      </c>
      <c r="AV19" s="1474" t="str">
        <f t="shared" si="1"/>
        <v>2:22</v>
      </c>
      <c r="AW19" s="1614" t="s">
        <v>9574</v>
      </c>
    </row>
    <row r="20">
      <c r="A20" s="1617" t="s">
        <v>1550</v>
      </c>
      <c r="B20" s="1605" t="s">
        <v>9164</v>
      </c>
      <c r="C20" s="1556">
        <v>0.04991898148148148</v>
      </c>
      <c r="D20" s="1674" t="s">
        <v>9575</v>
      </c>
      <c r="E20" s="1675" t="s">
        <v>9576</v>
      </c>
      <c r="F20" s="1675" t="s">
        <v>9577</v>
      </c>
      <c r="G20" s="1675" t="s">
        <v>9578</v>
      </c>
      <c r="H20" s="1675" t="s">
        <v>9579</v>
      </c>
      <c r="I20" s="1675">
        <v>48.07</v>
      </c>
      <c r="J20" s="1675" t="s">
        <v>9538</v>
      </c>
      <c r="K20" s="1675" t="s">
        <v>1789</v>
      </c>
      <c r="L20" s="1675">
        <v>56.32</v>
      </c>
      <c r="M20" s="1675" t="s">
        <v>175</v>
      </c>
      <c r="N20" s="1675" t="s">
        <v>9580</v>
      </c>
      <c r="O20" s="1675" t="s">
        <v>9581</v>
      </c>
      <c r="P20" s="1675">
        <v>47.77</v>
      </c>
      <c r="Q20" s="1675" t="s">
        <v>9582</v>
      </c>
      <c r="R20" s="1675" t="s">
        <v>6913</v>
      </c>
      <c r="S20" s="1675" t="s">
        <v>9583</v>
      </c>
      <c r="T20" s="1675" t="s">
        <v>2667</v>
      </c>
      <c r="U20" s="1675" t="s">
        <v>9584</v>
      </c>
      <c r="V20" s="1675">
        <v>59.79</v>
      </c>
      <c r="W20" s="1675" t="s">
        <v>9585</v>
      </c>
      <c r="X20" s="1675" t="s">
        <v>1856</v>
      </c>
      <c r="Y20" s="1675">
        <v>47.0</v>
      </c>
      <c r="Z20" s="1675" t="s">
        <v>9586</v>
      </c>
      <c r="AA20" s="1675" t="s">
        <v>9587</v>
      </c>
      <c r="AB20" s="1675" t="s">
        <v>6852</v>
      </c>
      <c r="AC20" s="1675">
        <v>47.56</v>
      </c>
      <c r="AD20" s="1675" t="s">
        <v>9205</v>
      </c>
      <c r="AE20" s="1675">
        <v>47.95</v>
      </c>
      <c r="AF20" s="1675" t="s">
        <v>9588</v>
      </c>
      <c r="AG20" s="1675" t="s">
        <v>9589</v>
      </c>
      <c r="AH20" s="1675">
        <v>57.67</v>
      </c>
      <c r="AI20" s="1675" t="s">
        <v>1119</v>
      </c>
      <c r="AJ20" s="1675" t="s">
        <v>9590</v>
      </c>
      <c r="AK20" s="1675" t="s">
        <v>7443</v>
      </c>
      <c r="AL20" s="1675">
        <v>56.37</v>
      </c>
      <c r="AM20" s="1675" t="s">
        <v>9591</v>
      </c>
      <c r="AN20" s="1675">
        <v>55.92</v>
      </c>
      <c r="AO20" s="1675" t="s">
        <v>4520</v>
      </c>
      <c r="AP20" s="1675" t="s">
        <v>9055</v>
      </c>
      <c r="AQ20" s="1675" t="s">
        <v>9592</v>
      </c>
      <c r="AR20" s="1675" t="s">
        <v>7604</v>
      </c>
      <c r="AS20" s="1675">
        <v>46.83</v>
      </c>
      <c r="AT20" s="1676" t="s">
        <v>9593</v>
      </c>
      <c r="AU20" s="1598" t="s">
        <v>9594</v>
      </c>
      <c r="AV20" s="1474" t="str">
        <f t="shared" si="1"/>
        <v>1:53</v>
      </c>
      <c r="AW20" s="1608" t="s">
        <v>9595</v>
      </c>
    </row>
    <row r="21">
      <c r="A21" s="1617" t="s">
        <v>2106</v>
      </c>
      <c r="B21" s="1605" t="s">
        <v>9164</v>
      </c>
      <c r="C21" s="1677">
        <v>0.049930555555555554</v>
      </c>
      <c r="D21" s="1678" t="s">
        <v>9596</v>
      </c>
      <c r="E21" s="1598" t="s">
        <v>6472</v>
      </c>
      <c r="F21" s="1598" t="s">
        <v>4240</v>
      </c>
      <c r="G21" s="1598" t="s">
        <v>9597</v>
      </c>
      <c r="H21" s="1598" t="s">
        <v>9598</v>
      </c>
      <c r="I21" s="1598" t="s">
        <v>5839</v>
      </c>
      <c r="J21" s="1598" t="s">
        <v>6445</v>
      </c>
      <c r="K21" s="1598" t="s">
        <v>9599</v>
      </c>
      <c r="L21" s="1598" t="s">
        <v>3582</v>
      </c>
      <c r="M21" s="1598" t="s">
        <v>1012</v>
      </c>
      <c r="N21" s="1598" t="s">
        <v>9600</v>
      </c>
      <c r="O21" s="1598" t="s">
        <v>800</v>
      </c>
      <c r="P21" s="1594">
        <v>47.54</v>
      </c>
      <c r="Q21" s="1679" t="s">
        <v>5846</v>
      </c>
      <c r="R21" s="1594" t="s">
        <v>9601</v>
      </c>
      <c r="S21" s="1679" t="s">
        <v>9433</v>
      </c>
      <c r="T21" s="1594" t="s">
        <v>9602</v>
      </c>
      <c r="U21" s="1679" t="s">
        <v>9603</v>
      </c>
      <c r="V21" s="1594">
        <v>58.55</v>
      </c>
      <c r="W21" s="1679" t="s">
        <v>9604</v>
      </c>
      <c r="X21" s="1679" t="s">
        <v>9605</v>
      </c>
      <c r="Y21" s="1562" t="s">
        <v>7853</v>
      </c>
      <c r="Z21" s="1679" t="s">
        <v>9606</v>
      </c>
      <c r="AA21" s="1598" t="s">
        <v>9607</v>
      </c>
      <c r="AB21" s="1679" t="s">
        <v>9491</v>
      </c>
      <c r="AC21" s="1474">
        <v>47.2</v>
      </c>
      <c r="AD21" s="1679" t="s">
        <v>9608</v>
      </c>
      <c r="AE21" s="1594">
        <v>47.88</v>
      </c>
      <c r="AF21" s="1679" t="s">
        <v>9609</v>
      </c>
      <c r="AG21" s="1679" t="s">
        <v>9610</v>
      </c>
      <c r="AH21" s="1679">
        <v>57.68</v>
      </c>
      <c r="AI21" s="1679" t="s">
        <v>2925</v>
      </c>
      <c r="AJ21" s="1594" t="s">
        <v>9611</v>
      </c>
      <c r="AK21" s="1562" t="s">
        <v>9612</v>
      </c>
      <c r="AL21" s="1679">
        <v>55.92</v>
      </c>
      <c r="AM21" s="1679" t="s">
        <v>2966</v>
      </c>
      <c r="AN21" s="1562" t="s">
        <v>5855</v>
      </c>
      <c r="AO21" s="1679" t="s">
        <v>7951</v>
      </c>
      <c r="AP21" s="1679" t="s">
        <v>9613</v>
      </c>
      <c r="AQ21" s="1679" t="s">
        <v>7036</v>
      </c>
      <c r="AR21" s="1679" t="s">
        <v>6545</v>
      </c>
      <c r="AS21" s="1680">
        <v>42.83</v>
      </c>
      <c r="AT21" s="1594" t="s">
        <v>9614</v>
      </c>
      <c r="AU21" s="1607" t="s">
        <v>9615</v>
      </c>
      <c r="AV21" s="1474" t="str">
        <f t="shared" si="1"/>
        <v>4:29</v>
      </c>
      <c r="AW21" s="1608" t="s">
        <v>9616</v>
      </c>
    </row>
    <row r="22" ht="15.75" customHeight="1">
      <c r="A22" s="1617" t="s">
        <v>2266</v>
      </c>
      <c r="B22" s="1555" t="s">
        <v>9164</v>
      </c>
      <c r="C22" s="1556">
        <v>0.0499537037037037</v>
      </c>
      <c r="D22" s="1586" t="s">
        <v>9617</v>
      </c>
      <c r="E22" s="1586" t="s">
        <v>2880</v>
      </c>
      <c r="F22" s="1586" t="s">
        <v>9618</v>
      </c>
      <c r="G22" s="1562" t="s">
        <v>9619</v>
      </c>
      <c r="H22" s="1586" t="s">
        <v>9620</v>
      </c>
      <c r="I22" s="793" t="s">
        <v>9564</v>
      </c>
      <c r="J22" s="1586" t="s">
        <v>1419</v>
      </c>
      <c r="K22" s="1586" t="s">
        <v>5308</v>
      </c>
      <c r="L22" s="1586" t="s">
        <v>9621</v>
      </c>
      <c r="M22" s="1586" t="s">
        <v>9622</v>
      </c>
      <c r="N22" s="1586" t="s">
        <v>9623</v>
      </c>
      <c r="O22" s="1586" t="s">
        <v>9624</v>
      </c>
      <c r="P22" s="1586" t="s">
        <v>7838</v>
      </c>
      <c r="Q22" s="1586" t="s">
        <v>4635</v>
      </c>
      <c r="R22" s="1626" t="s">
        <v>5573</v>
      </c>
      <c r="S22" s="1586" t="s">
        <v>4073</v>
      </c>
      <c r="T22" s="1586" t="s">
        <v>9354</v>
      </c>
      <c r="U22" s="1586" t="s">
        <v>9625</v>
      </c>
      <c r="V22" s="1586" t="s">
        <v>9626</v>
      </c>
      <c r="W22" s="1586" t="s">
        <v>9627</v>
      </c>
      <c r="X22" s="1586" t="s">
        <v>7410</v>
      </c>
      <c r="Y22" s="1586" t="s">
        <v>4359</v>
      </c>
      <c r="Z22" s="1586" t="s">
        <v>9628</v>
      </c>
      <c r="AA22" s="1586" t="s">
        <v>7410</v>
      </c>
      <c r="AB22" s="1586" t="s">
        <v>9629</v>
      </c>
      <c r="AC22" s="1586" t="s">
        <v>5688</v>
      </c>
      <c r="AD22" s="1586" t="s">
        <v>7468</v>
      </c>
      <c r="AE22" s="1586" t="s">
        <v>5950</v>
      </c>
      <c r="AF22" s="1586" t="s">
        <v>9630</v>
      </c>
      <c r="AG22" s="1586" t="s">
        <v>5101</v>
      </c>
      <c r="AH22" s="1586" t="s">
        <v>5326</v>
      </c>
      <c r="AI22" s="1586" t="s">
        <v>9631</v>
      </c>
      <c r="AJ22" s="1561" t="s">
        <v>9181</v>
      </c>
      <c r="AK22" s="1586" t="s">
        <v>2532</v>
      </c>
      <c r="AL22" s="1586" t="s">
        <v>9632</v>
      </c>
      <c r="AM22" s="1586" t="s">
        <v>9333</v>
      </c>
      <c r="AN22" s="1586" t="s">
        <v>558</v>
      </c>
      <c r="AO22" s="1586" t="s">
        <v>9633</v>
      </c>
      <c r="AP22" s="1586" t="s">
        <v>9634</v>
      </c>
      <c r="AQ22" s="1586" t="s">
        <v>4837</v>
      </c>
      <c r="AR22" s="1586" t="s">
        <v>7605</v>
      </c>
      <c r="AS22" s="1586" t="s">
        <v>9635</v>
      </c>
      <c r="AT22" s="1586" t="s">
        <v>3122</v>
      </c>
      <c r="AU22" s="1586" t="s">
        <v>9636</v>
      </c>
      <c r="AV22" s="1474" t="str">
        <f t="shared" si="1"/>
        <v>3:21</v>
      </c>
      <c r="AW22" s="1652" t="s">
        <v>9637</v>
      </c>
    </row>
    <row r="23" ht="15.75" customHeight="1">
      <c r="A23" s="1554" t="s">
        <v>9638</v>
      </c>
      <c r="B23" s="1555" t="s">
        <v>9164</v>
      </c>
      <c r="C23" s="1556">
        <v>0.049965277777777775</v>
      </c>
      <c r="D23" s="998" t="s">
        <v>9639</v>
      </c>
      <c r="E23" s="1586" t="s">
        <v>4382</v>
      </c>
      <c r="F23" s="1586" t="s">
        <v>9640</v>
      </c>
      <c r="G23" s="1586" t="s">
        <v>9641</v>
      </c>
      <c r="H23" s="1474" t="s">
        <v>2290</v>
      </c>
      <c r="I23" s="1586" t="s">
        <v>1387</v>
      </c>
      <c r="J23" s="1586" t="s">
        <v>381</v>
      </c>
      <c r="K23" s="1586" t="s">
        <v>9642</v>
      </c>
      <c r="L23" s="1586" t="s">
        <v>5504</v>
      </c>
      <c r="M23" s="1586" t="s">
        <v>6624</v>
      </c>
      <c r="N23" s="1586" t="s">
        <v>9643</v>
      </c>
      <c r="O23" s="1586" t="s">
        <v>2616</v>
      </c>
      <c r="P23" s="1474" t="s">
        <v>5352</v>
      </c>
      <c r="Q23" s="1586" t="s">
        <v>9644</v>
      </c>
      <c r="R23" s="1586" t="s">
        <v>3301</v>
      </c>
      <c r="S23" s="1586" t="s">
        <v>7280</v>
      </c>
      <c r="T23" s="1586" t="s">
        <v>8941</v>
      </c>
      <c r="U23" s="1586" t="s">
        <v>9645</v>
      </c>
      <c r="V23" s="1586" t="s">
        <v>5073</v>
      </c>
      <c r="W23" s="1586" t="s">
        <v>9646</v>
      </c>
      <c r="X23" s="1474" t="s">
        <v>6888</v>
      </c>
      <c r="Y23" s="1474" t="s">
        <v>5622</v>
      </c>
      <c r="Z23" s="1586" t="s">
        <v>9647</v>
      </c>
      <c r="AA23" s="1586" t="s">
        <v>2333</v>
      </c>
      <c r="AB23" s="1586" t="s">
        <v>5759</v>
      </c>
      <c r="AC23" s="1586" t="s">
        <v>786</v>
      </c>
      <c r="AD23" s="1586" t="s">
        <v>5364</v>
      </c>
      <c r="AE23" s="1586" t="s">
        <v>9648</v>
      </c>
      <c r="AF23" s="1586" t="s">
        <v>945</v>
      </c>
      <c r="AG23" s="1586" t="s">
        <v>9649</v>
      </c>
      <c r="AH23" s="1586" t="s">
        <v>6179</v>
      </c>
      <c r="AI23" s="1586" t="s">
        <v>693</v>
      </c>
      <c r="AJ23" s="1474" t="s">
        <v>9650</v>
      </c>
      <c r="AK23" s="1643" t="s">
        <v>7212</v>
      </c>
      <c r="AL23" s="1586" t="s">
        <v>4627</v>
      </c>
      <c r="AM23" s="1586" t="s">
        <v>3717</v>
      </c>
      <c r="AN23" s="1474" t="s">
        <v>6314</v>
      </c>
      <c r="AO23" s="1474" t="s">
        <v>7605</v>
      </c>
      <c r="AP23" s="1474" t="s">
        <v>9651</v>
      </c>
      <c r="AQ23" s="1474" t="s">
        <v>9298</v>
      </c>
      <c r="AR23" s="1474" t="s">
        <v>491</v>
      </c>
      <c r="AS23" s="1474" t="s">
        <v>6896</v>
      </c>
      <c r="AT23" s="1474" t="s">
        <v>9514</v>
      </c>
      <c r="AU23" s="1586" t="s">
        <v>9652</v>
      </c>
      <c r="AV23" s="1474" t="str">
        <f t="shared" si="1"/>
        <v>3:46</v>
      </c>
      <c r="AW23" s="1649" t="s">
        <v>8713</v>
      </c>
    </row>
    <row r="24" ht="15.75" customHeight="1">
      <c r="A24" s="1681" t="s">
        <v>6367</v>
      </c>
      <c r="B24" s="1555" t="s">
        <v>9164</v>
      </c>
      <c r="C24" s="1556">
        <v>0.05</v>
      </c>
      <c r="D24" s="998" t="s">
        <v>9653</v>
      </c>
      <c r="E24" s="1586" t="s">
        <v>8974</v>
      </c>
      <c r="F24" s="1586" t="s">
        <v>9618</v>
      </c>
      <c r="G24" s="1474" t="s">
        <v>9654</v>
      </c>
      <c r="H24" s="1586" t="s">
        <v>9655</v>
      </c>
      <c r="I24" s="1474" t="s">
        <v>1916</v>
      </c>
      <c r="J24" s="1586" t="s">
        <v>2868</v>
      </c>
      <c r="K24" s="1586" t="s">
        <v>9656</v>
      </c>
      <c r="L24" s="1586" t="s">
        <v>3321</v>
      </c>
      <c r="M24" s="1586" t="s">
        <v>9657</v>
      </c>
      <c r="N24" s="1586" t="s">
        <v>9658</v>
      </c>
      <c r="O24" s="1586" t="s">
        <v>9604</v>
      </c>
      <c r="P24" s="1474" t="s">
        <v>4021</v>
      </c>
      <c r="Q24" s="1586" t="s">
        <v>1920</v>
      </c>
      <c r="R24" s="1586" t="s">
        <v>6715</v>
      </c>
      <c r="S24" s="1586" t="s">
        <v>8160</v>
      </c>
      <c r="T24" s="1586" t="s">
        <v>6915</v>
      </c>
      <c r="U24" s="1586" t="s">
        <v>9659</v>
      </c>
      <c r="V24" s="1586" t="s">
        <v>9660</v>
      </c>
      <c r="W24" s="1586" t="s">
        <v>9661</v>
      </c>
      <c r="X24" s="1586" t="s">
        <v>9490</v>
      </c>
      <c r="Y24" s="1586" t="s">
        <v>9662</v>
      </c>
      <c r="Z24" s="1586" t="s">
        <v>9663</v>
      </c>
      <c r="AA24" s="1586" t="s">
        <v>9488</v>
      </c>
      <c r="AB24" s="1586" t="s">
        <v>9664</v>
      </c>
      <c r="AC24" s="1474" t="s">
        <v>1821</v>
      </c>
      <c r="AD24" s="1586" t="s">
        <v>9665</v>
      </c>
      <c r="AE24" s="1474" t="s">
        <v>5610</v>
      </c>
      <c r="AF24" s="1682" t="s">
        <v>9178</v>
      </c>
      <c r="AG24" s="1586" t="s">
        <v>609</v>
      </c>
      <c r="AH24" s="1586" t="s">
        <v>8143</v>
      </c>
      <c r="AI24" s="1586" t="s">
        <v>309</v>
      </c>
      <c r="AJ24" s="1474" t="s">
        <v>9666</v>
      </c>
      <c r="AK24" s="1586" t="s">
        <v>9667</v>
      </c>
      <c r="AL24" s="1474" t="s">
        <v>3270</v>
      </c>
      <c r="AM24" s="1586" t="s">
        <v>2058</v>
      </c>
      <c r="AN24" s="1474" t="s">
        <v>2634</v>
      </c>
      <c r="AO24" s="1586" t="s">
        <v>3491</v>
      </c>
      <c r="AP24" s="1586" t="s">
        <v>9668</v>
      </c>
      <c r="AQ24" s="1474" t="s">
        <v>9669</v>
      </c>
      <c r="AR24" s="1586" t="s">
        <v>1757</v>
      </c>
      <c r="AS24" s="1474" t="s">
        <v>8704</v>
      </c>
      <c r="AT24" s="1586" t="s">
        <v>9670</v>
      </c>
      <c r="AU24" s="1586" t="s">
        <v>9671</v>
      </c>
      <c r="AV24" s="1474" t="str">
        <f t="shared" si="1"/>
        <v>1:53</v>
      </c>
      <c r="AW24" s="1649"/>
    </row>
    <row r="25" ht="15.75" customHeight="1">
      <c r="A25" s="1617" t="s">
        <v>2681</v>
      </c>
      <c r="B25" s="1605" t="s">
        <v>9191</v>
      </c>
      <c r="C25" s="1556">
        <v>0.05008101851851852</v>
      </c>
      <c r="D25" s="998" t="s">
        <v>9672</v>
      </c>
      <c r="E25" s="998" t="s">
        <v>9673</v>
      </c>
      <c r="F25" s="998" t="s">
        <v>9584</v>
      </c>
      <c r="G25" s="998" t="s">
        <v>9674</v>
      </c>
      <c r="H25" s="998" t="s">
        <v>9675</v>
      </c>
      <c r="I25" s="998" t="s">
        <v>9676</v>
      </c>
      <c r="J25" s="1621" t="s">
        <v>1353</v>
      </c>
      <c r="K25" s="998" t="s">
        <v>1015</v>
      </c>
      <c r="L25" s="998" t="s">
        <v>9529</v>
      </c>
      <c r="M25" s="1623" t="s">
        <v>9508</v>
      </c>
      <c r="N25" s="1621" t="s">
        <v>2502</v>
      </c>
      <c r="O25" s="998" t="s">
        <v>9677</v>
      </c>
      <c r="P25" s="1621" t="s">
        <v>5610</v>
      </c>
      <c r="Q25" s="1621" t="s">
        <v>5824</v>
      </c>
      <c r="R25" s="998" t="s">
        <v>6826</v>
      </c>
      <c r="S25" s="998" t="s">
        <v>336</v>
      </c>
      <c r="T25" s="1621" t="s">
        <v>9201</v>
      </c>
      <c r="U25" s="998" t="s">
        <v>9678</v>
      </c>
      <c r="V25" s="998" t="s">
        <v>9679</v>
      </c>
      <c r="W25" s="998" t="s">
        <v>6792</v>
      </c>
      <c r="X25" s="998" t="s">
        <v>5903</v>
      </c>
      <c r="Y25" s="998" t="s">
        <v>5164</v>
      </c>
      <c r="Z25" s="998" t="s">
        <v>1132</v>
      </c>
      <c r="AA25" s="998" t="s">
        <v>9543</v>
      </c>
      <c r="AB25" s="998" t="s">
        <v>2520</v>
      </c>
      <c r="AC25" s="998" t="s">
        <v>1900</v>
      </c>
      <c r="AD25" s="998" t="s">
        <v>6327</v>
      </c>
      <c r="AE25" s="998" t="s">
        <v>3315</v>
      </c>
      <c r="AF25" s="998" t="s">
        <v>9210</v>
      </c>
      <c r="AG25" s="998" t="s">
        <v>9680</v>
      </c>
      <c r="AH25" s="998" t="s">
        <v>5017</v>
      </c>
      <c r="AI25" s="998" t="s">
        <v>3425</v>
      </c>
      <c r="AJ25" s="998" t="s">
        <v>9681</v>
      </c>
      <c r="AK25" s="998" t="s">
        <v>9682</v>
      </c>
      <c r="AL25" s="998" t="s">
        <v>5237</v>
      </c>
      <c r="AM25" s="998" t="s">
        <v>9276</v>
      </c>
      <c r="AN25" s="998" t="s">
        <v>4423</v>
      </c>
      <c r="AO25" s="998" t="s">
        <v>6970</v>
      </c>
      <c r="AP25" s="998" t="s">
        <v>9683</v>
      </c>
      <c r="AQ25" s="998" t="s">
        <v>9684</v>
      </c>
      <c r="AR25" s="998" t="s">
        <v>9685</v>
      </c>
      <c r="AS25" s="998" t="s">
        <v>4678</v>
      </c>
      <c r="AT25" s="998" t="s">
        <v>9686</v>
      </c>
      <c r="AU25" s="1643" t="s">
        <v>9215</v>
      </c>
      <c r="AV25" s="1474" t="str">
        <f t="shared" si="1"/>
        <v>2:51</v>
      </c>
      <c r="AW25" s="1683"/>
    </row>
    <row r="26">
      <c r="A26" s="1617" t="s">
        <v>7583</v>
      </c>
      <c r="B26" s="1615" t="s">
        <v>9191</v>
      </c>
      <c r="C26" s="1556">
        <v>0.05016203703703704</v>
      </c>
      <c r="D26" s="1594" t="s">
        <v>9687</v>
      </c>
      <c r="E26" s="1684" t="s">
        <v>6763</v>
      </c>
      <c r="F26" s="1594" t="s">
        <v>9688</v>
      </c>
      <c r="G26" s="1594" t="s">
        <v>9689</v>
      </c>
      <c r="H26" s="1594" t="s">
        <v>9690</v>
      </c>
      <c r="I26" s="1594" t="s">
        <v>5424</v>
      </c>
      <c r="J26" s="1594" t="s">
        <v>9691</v>
      </c>
      <c r="K26" s="1594" t="s">
        <v>5284</v>
      </c>
      <c r="L26" s="998" t="s">
        <v>5159</v>
      </c>
      <c r="M26" s="1621" t="s">
        <v>9197</v>
      </c>
      <c r="N26" s="1594" t="s">
        <v>9692</v>
      </c>
      <c r="O26" s="1594" t="s">
        <v>9693</v>
      </c>
      <c r="P26" s="1594" t="s">
        <v>5976</v>
      </c>
      <c r="Q26" s="1594" t="s">
        <v>2806</v>
      </c>
      <c r="R26" s="1594" t="s">
        <v>969</v>
      </c>
      <c r="S26" s="1594" t="s">
        <v>9694</v>
      </c>
      <c r="T26" s="1594" t="s">
        <v>1392</v>
      </c>
      <c r="U26" s="1594" t="s">
        <v>9536</v>
      </c>
      <c r="V26" s="1594" t="s">
        <v>9695</v>
      </c>
      <c r="W26" s="1594" t="s">
        <v>9696</v>
      </c>
      <c r="X26" s="1594" t="s">
        <v>1302</v>
      </c>
      <c r="Y26" s="1594" t="s">
        <v>1016</v>
      </c>
      <c r="Z26" s="1594" t="s">
        <v>9606</v>
      </c>
      <c r="AA26" s="1594" t="s">
        <v>9697</v>
      </c>
      <c r="AB26" s="1594" t="s">
        <v>9698</v>
      </c>
      <c r="AC26" s="1594" t="s">
        <v>4807</v>
      </c>
      <c r="AD26" s="1594" t="s">
        <v>9699</v>
      </c>
      <c r="AE26" s="1594" t="s">
        <v>2657</v>
      </c>
      <c r="AF26" s="1594" t="s">
        <v>5865</v>
      </c>
      <c r="AG26" s="1594" t="s">
        <v>9700</v>
      </c>
      <c r="AH26" s="1594" t="s">
        <v>4302</v>
      </c>
      <c r="AI26" s="1586" t="s">
        <v>4168</v>
      </c>
      <c r="AJ26" s="1594" t="s">
        <v>9701</v>
      </c>
      <c r="AK26" s="1594" t="s">
        <v>9528</v>
      </c>
      <c r="AL26" s="1594" t="s">
        <v>2514</v>
      </c>
      <c r="AM26" s="1594" t="s">
        <v>4078</v>
      </c>
      <c r="AN26" s="1594" t="s">
        <v>6089</v>
      </c>
      <c r="AO26" s="1594" t="s">
        <v>9702</v>
      </c>
      <c r="AP26" s="1594" t="s">
        <v>9703</v>
      </c>
      <c r="AQ26" s="1594" t="s">
        <v>4063</v>
      </c>
      <c r="AR26" s="1594" t="s">
        <v>2743</v>
      </c>
      <c r="AS26" s="1594" t="s">
        <v>756</v>
      </c>
      <c r="AT26" s="1594" t="s">
        <v>9704</v>
      </c>
      <c r="AU26" s="1586" t="s">
        <v>9705</v>
      </c>
      <c r="AV26" s="1474" t="str">
        <f t="shared" si="1"/>
        <v>3:20</v>
      </c>
      <c r="AW26" s="1116"/>
    </row>
    <row r="27" ht="15.75" customHeight="1">
      <c r="A27" s="1583" t="s">
        <v>1415</v>
      </c>
      <c r="B27" s="1555" t="s">
        <v>9164</v>
      </c>
      <c r="C27" s="1556">
        <v>0.05025462962962963</v>
      </c>
      <c r="D27" s="998" t="s">
        <v>9706</v>
      </c>
      <c r="E27" s="1640" t="s">
        <v>9707</v>
      </c>
      <c r="F27" s="1669" t="s">
        <v>7316</v>
      </c>
      <c r="G27" s="1562" t="s">
        <v>9708</v>
      </c>
      <c r="H27" s="925" t="s">
        <v>9709</v>
      </c>
      <c r="I27" s="925" t="s">
        <v>1114</v>
      </c>
      <c r="J27" s="1623" t="s">
        <v>7420</v>
      </c>
      <c r="K27" s="1670" t="s">
        <v>8288</v>
      </c>
      <c r="L27" s="1670" t="s">
        <v>5208</v>
      </c>
      <c r="M27" s="1685" t="str">
        <f>HYPERLINK("https://youtu.be/teAIifUZjFw","1:14.18")</f>
        <v>1:14.18</v>
      </c>
      <c r="N27" s="1670" t="s">
        <v>3780</v>
      </c>
      <c r="O27" s="1670" t="s">
        <v>9710</v>
      </c>
      <c r="P27" s="1670" t="s">
        <v>2097</v>
      </c>
      <c r="Q27" s="1671" t="s">
        <v>9711</v>
      </c>
      <c r="R27" s="1626" t="s">
        <v>9712</v>
      </c>
      <c r="S27" s="1626" t="s">
        <v>5538</v>
      </c>
      <c r="T27" s="1686" t="str">
        <f>HYPERLINK("https://youtu.be/AiXricVH5ss","1:24.99")</f>
        <v>1:24.99</v>
      </c>
      <c r="U27" s="1687" t="str">
        <f>HYPERLINK("https://www.twitch.tv/videos/450151935","2:00.31")</f>
        <v>2:00.31</v>
      </c>
      <c r="V27" s="1626" t="s">
        <v>9202</v>
      </c>
      <c r="W27" s="1688" t="str">
        <f>HYPERLINK("https://youtu.be/eafNhBoXVWA","1:46.09")</f>
        <v>1:46.09</v>
      </c>
      <c r="X27" s="1672" t="s">
        <v>4486</v>
      </c>
      <c r="Y27" s="1672" t="s">
        <v>9430</v>
      </c>
      <c r="Z27" s="1672" t="s">
        <v>9713</v>
      </c>
      <c r="AA27" s="1642" t="s">
        <v>9380</v>
      </c>
      <c r="AB27" s="1672" t="s">
        <v>7194</v>
      </c>
      <c r="AC27" s="1672" t="s">
        <v>7238</v>
      </c>
      <c r="AD27" s="1689" t="str">
        <f>HYPERLINK("https://youtu.be/8FEcTKESSh0","1:49.80")</f>
        <v>1:49.80</v>
      </c>
      <c r="AE27" s="1640" t="s">
        <v>5044</v>
      </c>
      <c r="AF27" s="1673" t="s">
        <v>9714</v>
      </c>
      <c r="AG27" s="1673" t="s">
        <v>9715</v>
      </c>
      <c r="AH27" s="1673" t="s">
        <v>9716</v>
      </c>
      <c r="AI27" s="1673" t="s">
        <v>4079</v>
      </c>
      <c r="AJ27" s="1673" t="s">
        <v>9717</v>
      </c>
      <c r="AK27" s="1643" t="s">
        <v>9602</v>
      </c>
      <c r="AL27" s="1673" t="s">
        <v>9718</v>
      </c>
      <c r="AM27" s="1645" t="s">
        <v>9571</v>
      </c>
      <c r="AN27" s="1645" t="s">
        <v>8942</v>
      </c>
      <c r="AO27" s="1645" t="s">
        <v>9685</v>
      </c>
      <c r="AP27" s="1644" t="s">
        <v>9719</v>
      </c>
      <c r="AQ27" s="1644" t="s">
        <v>9720</v>
      </c>
      <c r="AR27" s="1645" t="s">
        <v>9721</v>
      </c>
      <c r="AS27" s="1644" t="s">
        <v>5666</v>
      </c>
      <c r="AT27" s="1685" t="str">
        <f>HYPERLINK("https://youtu.be/xDirVtS1AZ4?t=4416","2:27.45")</f>
        <v>2:27.45</v>
      </c>
      <c r="AU27" s="1667" t="s">
        <v>9722</v>
      </c>
      <c r="AV27" s="1474" t="str">
        <f t="shared" si="1"/>
        <v>2:34</v>
      </c>
      <c r="AW27" s="1614" t="s">
        <v>9723</v>
      </c>
    </row>
    <row r="28">
      <c r="A28" s="1617" t="s">
        <v>7044</v>
      </c>
      <c r="B28" s="1615" t="s">
        <v>9164</v>
      </c>
      <c r="C28" s="1556">
        <v>0.0502662037037037</v>
      </c>
      <c r="D28" s="998" t="s">
        <v>9724</v>
      </c>
      <c r="E28" s="1586" t="s">
        <v>9369</v>
      </c>
      <c r="F28" s="1586" t="s">
        <v>9725</v>
      </c>
      <c r="G28" s="1586" t="s">
        <v>9726</v>
      </c>
      <c r="H28" s="1586" t="s">
        <v>9727</v>
      </c>
      <c r="I28" s="998" t="s">
        <v>263</v>
      </c>
      <c r="J28" s="998" t="s">
        <v>6193</v>
      </c>
      <c r="K28" s="1586" t="s">
        <v>9656</v>
      </c>
      <c r="L28" s="1586" t="s">
        <v>3582</v>
      </c>
      <c r="M28" s="998" t="s">
        <v>2788</v>
      </c>
      <c r="N28" s="1586" t="s">
        <v>9728</v>
      </c>
      <c r="O28" s="1586" t="s">
        <v>9729</v>
      </c>
      <c r="P28" s="998" t="s">
        <v>9730</v>
      </c>
      <c r="Q28" s="1586" t="s">
        <v>9731</v>
      </c>
      <c r="R28" s="998" t="s">
        <v>9732</v>
      </c>
      <c r="S28" s="1586" t="s">
        <v>9733</v>
      </c>
      <c r="T28" s="998" t="s">
        <v>9734</v>
      </c>
      <c r="U28" s="1586" t="s">
        <v>1099</v>
      </c>
      <c r="V28" s="998" t="s">
        <v>5073</v>
      </c>
      <c r="W28" s="998" t="s">
        <v>6794</v>
      </c>
      <c r="X28" s="998" t="s">
        <v>6888</v>
      </c>
      <c r="Y28" s="998" t="s">
        <v>883</v>
      </c>
      <c r="Z28" s="998" t="s">
        <v>9735</v>
      </c>
      <c r="AA28" s="1586" t="s">
        <v>9736</v>
      </c>
      <c r="AB28" s="998" t="s">
        <v>7237</v>
      </c>
      <c r="AC28" s="1586" t="s">
        <v>9676</v>
      </c>
      <c r="AD28" s="998" t="s">
        <v>6353</v>
      </c>
      <c r="AE28" s="1586" t="s">
        <v>9274</v>
      </c>
      <c r="AF28" s="1586" t="s">
        <v>9737</v>
      </c>
      <c r="AG28" s="998" t="s">
        <v>1844</v>
      </c>
      <c r="AH28" s="998" t="s">
        <v>2641</v>
      </c>
      <c r="AI28" s="1586" t="s">
        <v>9738</v>
      </c>
      <c r="AJ28" s="998" t="s">
        <v>9739</v>
      </c>
      <c r="AK28" s="998" t="s">
        <v>6635</v>
      </c>
      <c r="AL28" s="998" t="s">
        <v>4627</v>
      </c>
      <c r="AM28" s="998" t="s">
        <v>9740</v>
      </c>
      <c r="AN28" s="998" t="s">
        <v>4627</v>
      </c>
      <c r="AO28" s="998" t="s">
        <v>1912</v>
      </c>
      <c r="AP28" s="1586" t="s">
        <v>9741</v>
      </c>
      <c r="AQ28" s="998" t="s">
        <v>2229</v>
      </c>
      <c r="AR28" s="1586" t="s">
        <v>9052</v>
      </c>
      <c r="AS28" s="998" t="s">
        <v>1971</v>
      </c>
      <c r="AT28" s="1586" t="s">
        <v>9742</v>
      </c>
      <c r="AU28" s="1586" t="s">
        <v>9743</v>
      </c>
      <c r="AV28" s="1474" t="str">
        <f t="shared" si="1"/>
        <v>2:28</v>
      </c>
      <c r="AW28" s="1616" t="s">
        <v>9744</v>
      </c>
    </row>
    <row r="29">
      <c r="A29" s="1617" t="s">
        <v>9745</v>
      </c>
      <c r="B29" s="1690" t="s">
        <v>9164</v>
      </c>
      <c r="C29" s="1556">
        <v>0.0503125</v>
      </c>
      <c r="D29" s="998" t="s">
        <v>9746</v>
      </c>
      <c r="E29" s="1640" t="s">
        <v>9747</v>
      </c>
      <c r="F29" s="1640" t="s">
        <v>7010</v>
      </c>
      <c r="G29" s="1640" t="s">
        <v>9748</v>
      </c>
      <c r="H29" s="862" t="s">
        <v>9749</v>
      </c>
      <c r="I29" s="862" t="s">
        <v>8253</v>
      </c>
      <c r="J29" s="1623" t="s">
        <v>1908</v>
      </c>
      <c r="K29" s="1623" t="s">
        <v>6109</v>
      </c>
      <c r="L29" s="1623" t="s">
        <v>3555</v>
      </c>
      <c r="M29" s="1623" t="s">
        <v>9750</v>
      </c>
      <c r="N29" s="1623" t="s">
        <v>7133</v>
      </c>
      <c r="O29" s="1623" t="s">
        <v>4155</v>
      </c>
      <c r="P29" s="1623" t="s">
        <v>4719</v>
      </c>
      <c r="Q29" s="1626" t="s">
        <v>9751</v>
      </c>
      <c r="R29" s="1626" t="s">
        <v>9752</v>
      </c>
      <c r="S29" s="1626" t="s">
        <v>550</v>
      </c>
      <c r="T29" s="1626" t="s">
        <v>9753</v>
      </c>
      <c r="U29" s="1626" t="s">
        <v>9754</v>
      </c>
      <c r="V29" s="1626" t="s">
        <v>9755</v>
      </c>
      <c r="W29" s="1642" t="s">
        <v>9756</v>
      </c>
      <c r="X29" s="1642" t="s">
        <v>4486</v>
      </c>
      <c r="Y29" s="1642" t="s">
        <v>1546</v>
      </c>
      <c r="Z29" s="1642" t="s">
        <v>2405</v>
      </c>
      <c r="AA29" s="1642" t="s">
        <v>9757</v>
      </c>
      <c r="AB29" s="1642" t="s">
        <v>3809</v>
      </c>
      <c r="AC29" s="1642" t="s">
        <v>9758</v>
      </c>
      <c r="AD29" s="1640" t="s">
        <v>9759</v>
      </c>
      <c r="AE29" s="1640" t="s">
        <v>5950</v>
      </c>
      <c r="AF29" s="1643" t="s">
        <v>9760</v>
      </c>
      <c r="AG29" s="1643" t="s">
        <v>7488</v>
      </c>
      <c r="AH29" s="1643" t="s">
        <v>9761</v>
      </c>
      <c r="AI29" s="1643" t="s">
        <v>5179</v>
      </c>
      <c r="AJ29" s="1643" t="s">
        <v>9762</v>
      </c>
      <c r="AK29" s="1643" t="s">
        <v>9763</v>
      </c>
      <c r="AL29" s="1643" t="s">
        <v>9764</v>
      </c>
      <c r="AM29" s="1645" t="s">
        <v>9465</v>
      </c>
      <c r="AN29" s="1645" t="s">
        <v>9765</v>
      </c>
      <c r="AO29" s="1645" t="s">
        <v>3218</v>
      </c>
      <c r="AP29" s="1645" t="s">
        <v>9766</v>
      </c>
      <c r="AQ29" s="1645" t="s">
        <v>9767</v>
      </c>
      <c r="AR29" s="1645" t="s">
        <v>3017</v>
      </c>
      <c r="AS29" s="1645" t="s">
        <v>302</v>
      </c>
      <c r="AT29" s="1623" t="s">
        <v>9768</v>
      </c>
      <c r="AU29" s="1607" t="s">
        <v>9769</v>
      </c>
      <c r="AV29" s="1474" t="str">
        <f t="shared" si="1"/>
        <v>2:59</v>
      </c>
      <c r="AW29" s="1608" t="s">
        <v>9770</v>
      </c>
    </row>
    <row r="30" ht="15.75" customHeight="1">
      <c r="A30" s="1554" t="s">
        <v>9771</v>
      </c>
      <c r="B30" s="1650" t="s">
        <v>9191</v>
      </c>
      <c r="C30" s="1556">
        <v>0.05042824074074074</v>
      </c>
      <c r="D30" s="998" t="s">
        <v>9501</v>
      </c>
      <c r="E30" s="1640" t="s">
        <v>6385</v>
      </c>
      <c r="F30" s="1640" t="s">
        <v>9772</v>
      </c>
      <c r="G30" s="1669" t="s">
        <v>9773</v>
      </c>
      <c r="H30" s="925" t="s">
        <v>9774</v>
      </c>
      <c r="I30" s="862" t="s">
        <v>3368</v>
      </c>
      <c r="J30" s="1623" t="s">
        <v>4886</v>
      </c>
      <c r="K30" s="1623" t="s">
        <v>5284</v>
      </c>
      <c r="L30" s="1623" t="s">
        <v>2475</v>
      </c>
      <c r="M30" s="1623" t="s">
        <v>1833</v>
      </c>
      <c r="N30" s="1623" t="s">
        <v>4199</v>
      </c>
      <c r="O30" s="1623" t="s">
        <v>9775</v>
      </c>
      <c r="P30" s="1670" t="s">
        <v>761</v>
      </c>
      <c r="Q30" s="1626" t="s">
        <v>9776</v>
      </c>
      <c r="R30" s="1626" t="s">
        <v>3440</v>
      </c>
      <c r="S30" s="1626" t="s">
        <v>7223</v>
      </c>
      <c r="T30" s="1671" t="s">
        <v>3219</v>
      </c>
      <c r="U30" s="1626" t="s">
        <v>9331</v>
      </c>
      <c r="V30" s="1671" t="s">
        <v>5032</v>
      </c>
      <c r="W30" s="1672" t="s">
        <v>6949</v>
      </c>
      <c r="X30" s="1642" t="s">
        <v>2613</v>
      </c>
      <c r="Y30" s="1672" t="s">
        <v>9777</v>
      </c>
      <c r="Z30" s="1642" t="s">
        <v>9778</v>
      </c>
      <c r="AA30" s="1672" t="s">
        <v>9779</v>
      </c>
      <c r="AB30" s="998" t="s">
        <v>9780</v>
      </c>
      <c r="AC30" s="1672" t="s">
        <v>3693</v>
      </c>
      <c r="AD30" s="1631" t="s">
        <v>9205</v>
      </c>
      <c r="AE30" s="1640" t="s">
        <v>3315</v>
      </c>
      <c r="AF30" s="1643" t="s">
        <v>9781</v>
      </c>
      <c r="AG30" s="1673" t="s">
        <v>4002</v>
      </c>
      <c r="AH30" s="1673" t="s">
        <v>6175</v>
      </c>
      <c r="AI30" s="1474" t="s">
        <v>9736</v>
      </c>
      <c r="AJ30" s="1673" t="s">
        <v>9782</v>
      </c>
      <c r="AK30" s="1643" t="s">
        <v>9783</v>
      </c>
      <c r="AL30" s="1673" t="s">
        <v>3699</v>
      </c>
      <c r="AM30" s="1645" t="s">
        <v>9784</v>
      </c>
      <c r="AN30" s="1645" t="s">
        <v>5147</v>
      </c>
      <c r="AO30" s="1645" t="s">
        <v>1869</v>
      </c>
      <c r="AP30" s="1645" t="s">
        <v>9785</v>
      </c>
      <c r="AQ30" s="1644" t="s">
        <v>9786</v>
      </c>
      <c r="AR30" s="1644" t="s">
        <v>3744</v>
      </c>
      <c r="AS30" s="1644" t="s">
        <v>5324</v>
      </c>
      <c r="AT30" s="1623" t="s">
        <v>9787</v>
      </c>
      <c r="AU30" s="1607" t="s">
        <v>9788</v>
      </c>
      <c r="AV30" s="1474" t="str">
        <f t="shared" si="1"/>
        <v>2:55</v>
      </c>
      <c r="AW30" s="1668"/>
    </row>
    <row r="31" ht="15.75" customHeight="1">
      <c r="A31" s="1554" t="s">
        <v>4352</v>
      </c>
      <c r="B31" s="1555" t="s">
        <v>9164</v>
      </c>
      <c r="C31" s="1691">
        <v>0.05043981481481481</v>
      </c>
      <c r="D31" s="998" t="s">
        <v>9789</v>
      </c>
      <c r="E31" s="1474" t="s">
        <v>6975</v>
      </c>
      <c r="F31" s="1474" t="s">
        <v>1573</v>
      </c>
      <c r="G31" s="1474" t="s">
        <v>9790</v>
      </c>
      <c r="H31" s="1474" t="s">
        <v>9393</v>
      </c>
      <c r="I31" s="1474" t="s">
        <v>4759</v>
      </c>
      <c r="J31" s="1474" t="s">
        <v>4496</v>
      </c>
      <c r="K31" s="1474" t="s">
        <v>9642</v>
      </c>
      <c r="L31" s="1474" t="s">
        <v>3881</v>
      </c>
      <c r="M31" s="1474" t="s">
        <v>9791</v>
      </c>
      <c r="N31" s="1474" t="s">
        <v>9201</v>
      </c>
      <c r="O31" s="1474" t="s">
        <v>9792</v>
      </c>
      <c r="P31" s="1474" t="s">
        <v>5457</v>
      </c>
      <c r="Q31" s="1474" t="s">
        <v>9793</v>
      </c>
      <c r="R31" s="1474" t="s">
        <v>9794</v>
      </c>
      <c r="S31" s="1474" t="s">
        <v>9795</v>
      </c>
      <c r="T31" s="1474" t="s">
        <v>9796</v>
      </c>
      <c r="U31" s="1474" t="s">
        <v>9797</v>
      </c>
      <c r="V31" s="1474" t="s">
        <v>2286</v>
      </c>
      <c r="W31" s="1474" t="s">
        <v>9798</v>
      </c>
      <c r="X31" s="1474" t="s">
        <v>9799</v>
      </c>
      <c r="Y31" s="1474" t="s">
        <v>9662</v>
      </c>
      <c r="Z31" s="1474" t="s">
        <v>1132</v>
      </c>
      <c r="AA31" s="1474" t="s">
        <v>3425</v>
      </c>
      <c r="AB31" s="1474" t="s">
        <v>4886</v>
      </c>
      <c r="AC31" s="1474" t="s">
        <v>7238</v>
      </c>
      <c r="AD31" s="1474" t="s">
        <v>6327</v>
      </c>
      <c r="AE31" s="1474" t="s">
        <v>5636</v>
      </c>
      <c r="AF31" s="1474" t="s">
        <v>9800</v>
      </c>
      <c r="AG31" s="1474" t="s">
        <v>5940</v>
      </c>
      <c r="AH31" s="1474" t="s">
        <v>4107</v>
      </c>
      <c r="AI31" s="1474" t="s">
        <v>5179</v>
      </c>
      <c r="AJ31" s="1474" t="s">
        <v>9801</v>
      </c>
      <c r="AK31" s="1474" t="s">
        <v>9802</v>
      </c>
      <c r="AL31" s="1474" t="s">
        <v>6047</v>
      </c>
      <c r="AM31" s="1474" t="s">
        <v>1234</v>
      </c>
      <c r="AN31" s="1474" t="s">
        <v>4202</v>
      </c>
      <c r="AO31" s="1474" t="s">
        <v>9803</v>
      </c>
      <c r="AP31" s="1596" t="str">
        <f>HYPERLINK("https://www.twitch.tv/videos/511415405","2:00.79")</f>
        <v>2:00.79</v>
      </c>
      <c r="AQ31" s="1474" t="s">
        <v>3607</v>
      </c>
      <c r="AR31" s="1474" t="s">
        <v>6970</v>
      </c>
      <c r="AS31" s="1474" t="s">
        <v>9270</v>
      </c>
      <c r="AT31" s="1474" t="s">
        <v>9804</v>
      </c>
      <c r="AU31" s="1474" t="s">
        <v>9805</v>
      </c>
      <c r="AV31" s="1474" t="str">
        <f t="shared" si="1"/>
        <v>2:36</v>
      </c>
      <c r="AW31" s="1597" t="s">
        <v>7665</v>
      </c>
    </row>
    <row r="32">
      <c r="A32" s="1617" t="s">
        <v>1198</v>
      </c>
      <c r="B32" s="1605" t="s">
        <v>9164</v>
      </c>
      <c r="C32" s="1556">
        <v>0.050486111111111114</v>
      </c>
      <c r="D32" s="1640" t="s">
        <v>9806</v>
      </c>
      <c r="E32" s="1640" t="s">
        <v>4277</v>
      </c>
      <c r="F32" s="1640" t="s">
        <v>9807</v>
      </c>
      <c r="G32" s="1640" t="s">
        <v>9808</v>
      </c>
      <c r="H32" s="998" t="s">
        <v>9809</v>
      </c>
      <c r="I32" s="862" t="s">
        <v>927</v>
      </c>
      <c r="J32" s="1623" t="s">
        <v>5932</v>
      </c>
      <c r="K32" s="1623" t="s">
        <v>7501</v>
      </c>
      <c r="L32" s="1623" t="s">
        <v>6585</v>
      </c>
      <c r="M32" s="1623" t="s">
        <v>5064</v>
      </c>
      <c r="N32" s="1623" t="s">
        <v>9810</v>
      </c>
      <c r="O32" s="1623" t="s">
        <v>9811</v>
      </c>
      <c r="P32" s="1623" t="s">
        <v>9564</v>
      </c>
      <c r="Q32" s="1626" t="s">
        <v>170</v>
      </c>
      <c r="R32" s="1626" t="s">
        <v>4817</v>
      </c>
      <c r="S32" s="1626" t="s">
        <v>9528</v>
      </c>
      <c r="T32" s="1626" t="s">
        <v>9812</v>
      </c>
      <c r="U32" s="1626" t="s">
        <v>9813</v>
      </c>
      <c r="V32" s="1626" t="s">
        <v>9814</v>
      </c>
      <c r="W32" s="1642" t="s">
        <v>9815</v>
      </c>
      <c r="X32" s="1642" t="s">
        <v>9816</v>
      </c>
      <c r="Y32" s="1642" t="s">
        <v>8216</v>
      </c>
      <c r="Z32" s="1642" t="s">
        <v>9817</v>
      </c>
      <c r="AA32" s="1586" t="s">
        <v>9818</v>
      </c>
      <c r="AB32" s="1642" t="s">
        <v>3408</v>
      </c>
      <c r="AC32" s="1642" t="s">
        <v>1114</v>
      </c>
      <c r="AD32" s="1640" t="s">
        <v>9819</v>
      </c>
      <c r="AE32" s="1640" t="s">
        <v>2225</v>
      </c>
      <c r="AF32" s="1643" t="s">
        <v>9820</v>
      </c>
      <c r="AG32" s="1643" t="s">
        <v>529</v>
      </c>
      <c r="AH32" s="1643" t="s">
        <v>9821</v>
      </c>
      <c r="AI32" s="1643" t="s">
        <v>2709</v>
      </c>
      <c r="AJ32" s="1643" t="s">
        <v>9822</v>
      </c>
      <c r="AK32" s="1643" t="s">
        <v>7054</v>
      </c>
      <c r="AL32" s="1643" t="s">
        <v>2889</v>
      </c>
      <c r="AM32" s="1645" t="s">
        <v>9823</v>
      </c>
      <c r="AN32" s="1645" t="s">
        <v>9529</v>
      </c>
      <c r="AO32" s="1645" t="s">
        <v>9824</v>
      </c>
      <c r="AP32" s="1645" t="s">
        <v>9825</v>
      </c>
      <c r="AQ32" s="1645" t="s">
        <v>9826</v>
      </c>
      <c r="AR32" s="1645" t="s">
        <v>1160</v>
      </c>
      <c r="AS32" s="1645" t="s">
        <v>1546</v>
      </c>
      <c r="AT32" s="1623" t="s">
        <v>9827</v>
      </c>
      <c r="AU32" s="1607" t="s">
        <v>9828</v>
      </c>
      <c r="AV32" s="1474" t="str">
        <f t="shared" si="1"/>
        <v>3:47</v>
      </c>
      <c r="AW32" s="1608"/>
    </row>
    <row r="33" ht="15.75" customHeight="1">
      <c r="A33" s="1617" t="s">
        <v>1722</v>
      </c>
      <c r="B33" s="1555" t="s">
        <v>9164</v>
      </c>
      <c r="C33" s="1556">
        <v>0.05049768518518519</v>
      </c>
      <c r="D33" s="998" t="s">
        <v>9829</v>
      </c>
      <c r="E33" s="1669" t="s">
        <v>9830</v>
      </c>
      <c r="F33" s="1689" t="str">
        <f>HYPERLINK("https://www.youtube.com/watch?v=rtR6KkKhM6I","1:59.91")</f>
        <v>1:59.91</v>
      </c>
      <c r="G33" s="1669" t="s">
        <v>9831</v>
      </c>
      <c r="H33" s="1692" t="str">
        <f>HYPERLINK("https://www.youtube.com/watch?v=cg-eipYsN1s","1:54.47")</f>
        <v>1:54.47</v>
      </c>
      <c r="I33" s="925" t="s">
        <v>9777</v>
      </c>
      <c r="J33" s="1670" t="s">
        <v>6545</v>
      </c>
      <c r="K33" s="1623" t="s">
        <v>7603</v>
      </c>
      <c r="L33" s="1685" t="str">
        <f>HYPERLINK("https://www.youtube.com/watch?v=tJdjPKdAbw4","57.01")</f>
        <v>57.01</v>
      </c>
      <c r="M33" s="1670" t="s">
        <v>6860</v>
      </c>
      <c r="N33" s="1623" t="s">
        <v>2305</v>
      </c>
      <c r="O33" s="1670" t="s">
        <v>9537</v>
      </c>
      <c r="P33" s="1670" t="s">
        <v>280</v>
      </c>
      <c r="Q33" s="1671" t="s">
        <v>238</v>
      </c>
      <c r="R33" s="1671" t="s">
        <v>9832</v>
      </c>
      <c r="S33" s="1687" t="str">
        <f>HYPERLINK("https://www.youtube.com/watch?v=_3ms_ZhYFzo","1:18.01")</f>
        <v>1:18.01</v>
      </c>
      <c r="T33" s="1671" t="s">
        <v>9833</v>
      </c>
      <c r="U33" s="1687" t="str">
        <f>HYPERLINK("https://www.youtube.com/watch?v=ZOy_TI3Zw14","2:02.38")</f>
        <v>2:02.38</v>
      </c>
      <c r="V33" s="1671" t="s">
        <v>9814</v>
      </c>
      <c r="W33" s="1672" t="s">
        <v>3313</v>
      </c>
      <c r="X33" s="1672" t="s">
        <v>7054</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7238</v>
      </c>
      <c r="AD33" s="1689" t="str">
        <f>HYPERLINK("https://www.youtube.com/watch?v=ikF77QyREZg","1:50.30")</f>
        <v>1:50.30</v>
      </c>
      <c r="AE33" s="1669" t="s">
        <v>9564</v>
      </c>
      <c r="AF33" s="1673" t="s">
        <v>9834</v>
      </c>
      <c r="AG33" s="1693" t="str">
        <f>HYPERLINK("https://www.youtube.com/watch?v=KXwTRrVVluY","1:30.62")</f>
        <v>1:30.62</v>
      </c>
      <c r="AH33" s="1673" t="s">
        <v>3054</v>
      </c>
      <c r="AI33" s="1673" t="s">
        <v>9715</v>
      </c>
      <c r="AJ33" s="1673" t="s">
        <v>9835</v>
      </c>
      <c r="AK33" s="1643" t="s">
        <v>9836</v>
      </c>
      <c r="AL33" s="1673" t="s">
        <v>9837</v>
      </c>
      <c r="AM33" s="1694" t="str">
        <f>HYPERLINK("https://www.youtube.com/watch?v=BAoEwuQ0LoI","1:25.68")</f>
        <v>1:25.68</v>
      </c>
      <c r="AN33" s="1694" t="str">
        <f>HYPERLINK("https://www.youtube.com/watch?v=F-LtZeEZXek","56.36")</f>
        <v>56.36</v>
      </c>
      <c r="AO33" s="1644" t="s">
        <v>9838</v>
      </c>
      <c r="AP33" s="1644" t="s">
        <v>9839</v>
      </c>
      <c r="AQ33" s="1644" t="s">
        <v>9840</v>
      </c>
      <c r="AR33" s="1694" t="str">
        <f>HYPERLINK("https://www.youtube.com/watch?v=WSIIkWWbKgE","1:21.74")</f>
        <v>1:21.74</v>
      </c>
      <c r="AS33" s="1644" t="s">
        <v>5658</v>
      </c>
      <c r="AT33" s="1685" t="str">
        <f>HYPERLINK("https://www.youtube.com/watch?v=H67SXBLcISI","2:29.09")</f>
        <v>2:29.09</v>
      </c>
      <c r="AU33" s="1667" t="s">
        <v>9841</v>
      </c>
      <c r="AV33" s="1474" t="str">
        <f t="shared" si="1"/>
        <v>2:03</v>
      </c>
      <c r="AW33" s="1695" t="s">
        <v>9842</v>
      </c>
    </row>
    <row r="34">
      <c r="A34" s="1617" t="s">
        <v>3097</v>
      </c>
      <c r="B34" s="1605" t="s">
        <v>9191</v>
      </c>
      <c r="C34" s="1556">
        <v>0.050520833333333334</v>
      </c>
      <c r="D34" s="1640" t="s">
        <v>9843</v>
      </c>
      <c r="E34" s="1678" t="s">
        <v>4613</v>
      </c>
      <c r="F34" s="1678" t="s">
        <v>9213</v>
      </c>
      <c r="G34" s="1640" t="s">
        <v>9844</v>
      </c>
      <c r="H34" s="1678" t="s">
        <v>9527</v>
      </c>
      <c r="I34" s="1678" t="s">
        <v>3121</v>
      </c>
      <c r="J34" s="1623" t="s">
        <v>9845</v>
      </c>
      <c r="K34" s="1696" t="s">
        <v>9846</v>
      </c>
      <c r="L34" s="1623" t="s">
        <v>9847</v>
      </c>
      <c r="M34" s="1562" t="s">
        <v>5883</v>
      </c>
      <c r="N34" s="1623" t="s">
        <v>887</v>
      </c>
      <c r="O34" s="1623" t="s">
        <v>9710</v>
      </c>
      <c r="P34" s="1623" t="s">
        <v>412</v>
      </c>
      <c r="Q34" s="1047" t="str">
        <f>HYPERLINK("https://www.twitch.tv/planktonsecretformula/v/1588460220?sr=a", "2:12.43")</f>
        <v>2:12.43</v>
      </c>
      <c r="R34" s="1626" t="s">
        <v>9794</v>
      </c>
      <c r="S34" s="1626" t="s">
        <v>9848</v>
      </c>
      <c r="T34" s="1658" t="s">
        <v>9849</v>
      </c>
      <c r="U34" s="1678" t="s">
        <v>9850</v>
      </c>
      <c r="V34" s="1678" t="s">
        <v>9851</v>
      </c>
      <c r="W34" s="1651" t="s">
        <v>9852</v>
      </c>
      <c r="X34" s="1642" t="s">
        <v>858</v>
      </c>
      <c r="Y34" s="1642" t="s">
        <v>7838</v>
      </c>
      <c r="Z34" s="1642" t="s">
        <v>9329</v>
      </c>
      <c r="AA34" s="1586" t="s">
        <v>9853</v>
      </c>
      <c r="AB34" s="1642" t="s">
        <v>4151</v>
      </c>
      <c r="AC34" s="1642" t="s">
        <v>942</v>
      </c>
      <c r="AD34" s="1640" t="s">
        <v>3960</v>
      </c>
      <c r="AE34" s="1640" t="s">
        <v>5976</v>
      </c>
      <c r="AF34" s="1643" t="s">
        <v>9854</v>
      </c>
      <c r="AG34" s="1678" t="s">
        <v>4648</v>
      </c>
      <c r="AH34" s="1643" t="s">
        <v>9855</v>
      </c>
      <c r="AI34" s="1643" t="s">
        <v>7952</v>
      </c>
      <c r="AJ34" s="1643" t="s">
        <v>9856</v>
      </c>
      <c r="AK34" s="1643" t="s">
        <v>9857</v>
      </c>
      <c r="AL34" s="1643" t="s">
        <v>9858</v>
      </c>
      <c r="AM34" s="1645" t="s">
        <v>3219</v>
      </c>
      <c r="AN34" s="1645" t="s">
        <v>9567</v>
      </c>
      <c r="AO34" s="1645" t="s">
        <v>3017</v>
      </c>
      <c r="AP34" s="1645" t="s">
        <v>9859</v>
      </c>
      <c r="AQ34" s="1047" t="str">
        <f>HYPERLINK("https://www.twitch.tv/planktonsecretformula/v/1678454360?sr=a&amp;t=0s", "1:37.46")</f>
        <v>1:37.46</v>
      </c>
      <c r="AR34" s="1645" t="s">
        <v>9860</v>
      </c>
      <c r="AS34" s="1645" t="s">
        <v>720</v>
      </c>
      <c r="AT34" s="1623" t="s">
        <v>9861</v>
      </c>
      <c r="AU34" s="1607" t="s">
        <v>9862</v>
      </c>
      <c r="AV34" s="1474" t="str">
        <f t="shared" si="1"/>
        <v>4:40</v>
      </c>
      <c r="AW34" s="1608" t="s">
        <v>9863</v>
      </c>
    </row>
    <row r="35" ht="15.75" customHeight="1">
      <c r="A35" s="1681" t="s">
        <v>9864</v>
      </c>
      <c r="B35" s="1555" t="s">
        <v>9164</v>
      </c>
      <c r="C35" s="1556">
        <v>0.050555555555555555</v>
      </c>
      <c r="D35" s="998" t="s">
        <v>9865</v>
      </c>
      <c r="E35" s="1640" t="s">
        <v>9866</v>
      </c>
      <c r="F35" s="1640" t="s">
        <v>9867</v>
      </c>
      <c r="G35" s="1640" t="s">
        <v>9868</v>
      </c>
      <c r="H35" s="862" t="s">
        <v>9869</v>
      </c>
      <c r="I35" s="862" t="s">
        <v>9870</v>
      </c>
      <c r="J35" s="1623" t="s">
        <v>9871</v>
      </c>
      <c r="K35" s="1623" t="s">
        <v>9872</v>
      </c>
      <c r="L35" s="1623" t="s">
        <v>9873</v>
      </c>
      <c r="M35" s="1623" t="s">
        <v>3212</v>
      </c>
      <c r="N35" s="1623" t="s">
        <v>9874</v>
      </c>
      <c r="O35" s="1623" t="s">
        <v>9775</v>
      </c>
      <c r="P35" s="1623" t="s">
        <v>4916</v>
      </c>
      <c r="Q35" s="1626" t="s">
        <v>9875</v>
      </c>
      <c r="R35" s="1626" t="s">
        <v>2714</v>
      </c>
      <c r="S35" s="1626" t="s">
        <v>6999</v>
      </c>
      <c r="T35" s="1626" t="s">
        <v>9876</v>
      </c>
      <c r="U35" s="1626" t="s">
        <v>9877</v>
      </c>
      <c r="V35" s="1626" t="s">
        <v>9202</v>
      </c>
      <c r="W35" s="1642" t="s">
        <v>9878</v>
      </c>
      <c r="X35" s="1642" t="s">
        <v>9879</v>
      </c>
      <c r="Y35" s="1642" t="s">
        <v>9880</v>
      </c>
      <c r="Z35" s="1642" t="s">
        <v>1383</v>
      </c>
      <c r="AA35" s="1642" t="s">
        <v>9881</v>
      </c>
      <c r="AB35" s="1642" t="s">
        <v>7096</v>
      </c>
      <c r="AC35" s="1672" t="s">
        <v>2177</v>
      </c>
      <c r="AD35" s="1640" t="s">
        <v>9882</v>
      </c>
      <c r="AE35" s="1640" t="s">
        <v>9564</v>
      </c>
      <c r="AF35" s="1643" t="s">
        <v>9883</v>
      </c>
      <c r="AG35" s="1643" t="s">
        <v>9884</v>
      </c>
      <c r="AH35" s="1643" t="s">
        <v>5689</v>
      </c>
      <c r="AI35" s="1643" t="s">
        <v>9885</v>
      </c>
      <c r="AJ35" s="1643" t="s">
        <v>9886</v>
      </c>
      <c r="AK35" s="1643" t="s">
        <v>4486</v>
      </c>
      <c r="AL35" s="1643" t="s">
        <v>5782</v>
      </c>
      <c r="AM35" s="1645" t="s">
        <v>1856</v>
      </c>
      <c r="AN35" s="1645" t="s">
        <v>4634</v>
      </c>
      <c r="AO35" s="1645" t="s">
        <v>9887</v>
      </c>
      <c r="AP35" s="1645" t="s">
        <v>9888</v>
      </c>
      <c r="AQ35" s="1645" t="s">
        <v>9889</v>
      </c>
      <c r="AR35" s="1645" t="s">
        <v>9580</v>
      </c>
      <c r="AS35" s="1645" t="s">
        <v>883</v>
      </c>
      <c r="AT35" s="1623" t="s">
        <v>9890</v>
      </c>
      <c r="AU35" s="1607" t="s">
        <v>9891</v>
      </c>
      <c r="AV35" s="1474" t="str">
        <f t="shared" si="1"/>
        <v>2:07</v>
      </c>
      <c r="AW35" s="1668"/>
    </row>
    <row r="36">
      <c r="A36" s="1617" t="s">
        <v>647</v>
      </c>
      <c r="B36" s="1605" t="s">
        <v>9164</v>
      </c>
      <c r="C36" s="1556">
        <v>0.050555555555555555</v>
      </c>
      <c r="D36" s="998" t="s">
        <v>9892</v>
      </c>
      <c r="E36" s="998" t="s">
        <v>9893</v>
      </c>
      <c r="F36" s="998" t="s">
        <v>9894</v>
      </c>
      <c r="G36" s="998" t="s">
        <v>9895</v>
      </c>
      <c r="H36" s="998" t="s">
        <v>9896</v>
      </c>
      <c r="I36" s="998" t="s">
        <v>2560</v>
      </c>
      <c r="J36" s="998" t="s">
        <v>1303</v>
      </c>
      <c r="K36" s="998" t="s">
        <v>9897</v>
      </c>
      <c r="L36" s="998" t="s">
        <v>4270</v>
      </c>
      <c r="M36" s="998" t="s">
        <v>4179</v>
      </c>
      <c r="N36" s="998" t="s">
        <v>9898</v>
      </c>
      <c r="O36" s="998" t="s">
        <v>9899</v>
      </c>
      <c r="P36" s="998" t="s">
        <v>9900</v>
      </c>
      <c r="Q36" s="998" t="s">
        <v>9901</v>
      </c>
      <c r="R36" s="998" t="s">
        <v>1870</v>
      </c>
      <c r="S36" s="998" t="s">
        <v>9902</v>
      </c>
      <c r="T36" s="998" t="s">
        <v>9763</v>
      </c>
      <c r="U36" s="998" t="s">
        <v>9903</v>
      </c>
      <c r="V36" s="998" t="s">
        <v>9904</v>
      </c>
      <c r="W36" s="998" t="s">
        <v>4768</v>
      </c>
      <c r="X36" s="998" t="s">
        <v>9905</v>
      </c>
      <c r="Y36" s="998" t="s">
        <v>5164</v>
      </c>
      <c r="Z36" s="998" t="s">
        <v>9906</v>
      </c>
      <c r="AA36" s="998" t="s">
        <v>9907</v>
      </c>
      <c r="AB36" s="998" t="s">
        <v>9908</v>
      </c>
      <c r="AC36" s="998" t="s">
        <v>7238</v>
      </c>
      <c r="AD36" s="998" t="s">
        <v>9909</v>
      </c>
      <c r="AE36" s="998" t="s">
        <v>9378</v>
      </c>
      <c r="AF36" s="998" t="s">
        <v>9910</v>
      </c>
      <c r="AG36" s="998" t="s">
        <v>5160</v>
      </c>
      <c r="AH36" s="998" t="s">
        <v>4455</v>
      </c>
      <c r="AI36" s="998" t="s">
        <v>9911</v>
      </c>
      <c r="AJ36" s="998" t="s">
        <v>9912</v>
      </c>
      <c r="AK36" s="998" t="s">
        <v>1673</v>
      </c>
      <c r="AL36" s="998" t="s">
        <v>9913</v>
      </c>
      <c r="AM36" s="998" t="s">
        <v>4048</v>
      </c>
      <c r="AN36" s="998" t="s">
        <v>4085</v>
      </c>
      <c r="AO36" s="998" t="s">
        <v>6389</v>
      </c>
      <c r="AP36" s="998" t="s">
        <v>9914</v>
      </c>
      <c r="AQ36" s="998" t="s">
        <v>9915</v>
      </c>
      <c r="AR36" s="998" t="s">
        <v>9469</v>
      </c>
      <c r="AS36" s="998" t="s">
        <v>839</v>
      </c>
      <c r="AT36" s="998" t="s">
        <v>9916</v>
      </c>
      <c r="AU36" s="1607" t="s">
        <v>9805</v>
      </c>
      <c r="AV36" s="1474" t="str">
        <f t="shared" si="1"/>
        <v>2:26</v>
      </c>
      <c r="AW36" s="1608" t="s">
        <v>9917</v>
      </c>
    </row>
    <row r="37" ht="15.75" customHeight="1">
      <c r="A37" s="1554" t="s">
        <v>741</v>
      </c>
      <c r="B37" s="1650" t="s">
        <v>9191</v>
      </c>
      <c r="C37" s="1556">
        <v>0.05056712962962963</v>
      </c>
      <c r="D37" s="1621" t="s">
        <v>9192</v>
      </c>
      <c r="E37" s="1669" t="s">
        <v>9707</v>
      </c>
      <c r="F37" s="1684" t="s">
        <v>9193</v>
      </c>
      <c r="G37" s="1586" t="s">
        <v>9918</v>
      </c>
      <c r="H37" s="1586" t="s">
        <v>9267</v>
      </c>
      <c r="I37" s="1684" t="s">
        <v>5055</v>
      </c>
      <c r="J37" s="1586" t="s">
        <v>1027</v>
      </c>
      <c r="K37" s="1586" t="s">
        <v>4930</v>
      </c>
      <c r="L37" s="1586" t="s">
        <v>2292</v>
      </c>
      <c r="M37" s="1586" t="s">
        <v>2245</v>
      </c>
      <c r="N37" s="1586" t="s">
        <v>9667</v>
      </c>
      <c r="O37" s="1586" t="s">
        <v>9919</v>
      </c>
      <c r="P37" s="1586" t="s">
        <v>4021</v>
      </c>
      <c r="Q37" s="1586" t="s">
        <v>9920</v>
      </c>
      <c r="R37" s="1586" t="s">
        <v>3118</v>
      </c>
      <c r="S37" s="1586" t="s">
        <v>9278</v>
      </c>
      <c r="T37" s="1586" t="s">
        <v>2361</v>
      </c>
      <c r="U37" s="1586" t="s">
        <v>9427</v>
      </c>
      <c r="V37" s="1586" t="s">
        <v>2883</v>
      </c>
      <c r="W37" s="1586" t="s">
        <v>9921</v>
      </c>
      <c r="X37" s="1586" t="s">
        <v>9922</v>
      </c>
      <c r="Y37" s="1586" t="s">
        <v>863</v>
      </c>
      <c r="Z37" s="1586" t="s">
        <v>9586</v>
      </c>
      <c r="AA37" s="1586" t="s">
        <v>7054</v>
      </c>
      <c r="AB37" s="1586" t="s">
        <v>6188</v>
      </c>
      <c r="AC37" s="1474" t="s">
        <v>537</v>
      </c>
      <c r="AD37" s="1586" t="s">
        <v>9923</v>
      </c>
      <c r="AE37" s="1586" t="s">
        <v>2657</v>
      </c>
      <c r="AF37" s="1586" t="s">
        <v>9924</v>
      </c>
      <c r="AG37" s="1586" t="s">
        <v>9763</v>
      </c>
      <c r="AH37" s="1586" t="s">
        <v>2962</v>
      </c>
      <c r="AI37" s="1586" t="s">
        <v>9925</v>
      </c>
      <c r="AJ37" s="1586" t="s">
        <v>3229</v>
      </c>
      <c r="AK37" s="1586" t="s">
        <v>5279</v>
      </c>
      <c r="AL37" s="1586" t="s">
        <v>4202</v>
      </c>
      <c r="AM37" s="1586" t="s">
        <v>3323</v>
      </c>
      <c r="AN37" s="1586" t="s">
        <v>344</v>
      </c>
      <c r="AO37" s="1586" t="s">
        <v>9926</v>
      </c>
      <c r="AP37" s="1586" t="s">
        <v>9927</v>
      </c>
      <c r="AQ37" s="1586" t="s">
        <v>6987</v>
      </c>
      <c r="AR37" s="1586" t="s">
        <v>2699</v>
      </c>
      <c r="AS37" s="1586" t="s">
        <v>4099</v>
      </c>
      <c r="AT37" s="1586" t="s">
        <v>5572</v>
      </c>
      <c r="AU37" s="1586" t="s">
        <v>9615</v>
      </c>
      <c r="AV37" s="1474" t="str">
        <f t="shared" si="1"/>
        <v>3:34</v>
      </c>
      <c r="AW37" s="1616" t="s">
        <v>9928</v>
      </c>
    </row>
    <row r="38" ht="15.75" customHeight="1">
      <c r="A38" s="1617" t="s">
        <v>647</v>
      </c>
      <c r="B38" s="1650" t="s">
        <v>9191</v>
      </c>
      <c r="C38" s="1691">
        <v>0.05056712962962963</v>
      </c>
      <c r="D38" s="998" t="s">
        <v>9929</v>
      </c>
      <c r="E38" s="1474" t="s">
        <v>9930</v>
      </c>
      <c r="F38" s="1474" t="s">
        <v>9645</v>
      </c>
      <c r="G38" s="1474" t="s">
        <v>9931</v>
      </c>
      <c r="H38" s="1474" t="s">
        <v>4459</v>
      </c>
      <c r="I38" s="1474" t="s">
        <v>1183</v>
      </c>
      <c r="J38" s="1586" t="s">
        <v>3477</v>
      </c>
      <c r="K38" s="1586" t="s">
        <v>3477</v>
      </c>
      <c r="L38" s="1474" t="s">
        <v>9932</v>
      </c>
      <c r="M38" s="1474" t="s">
        <v>9933</v>
      </c>
      <c r="N38" s="1474" t="s">
        <v>9591</v>
      </c>
      <c r="O38" s="1684" t="s">
        <v>9198</v>
      </c>
      <c r="P38" s="1474" t="s">
        <v>8250</v>
      </c>
      <c r="Q38" s="1474" t="s">
        <v>787</v>
      </c>
      <c r="R38" s="1586" t="s">
        <v>3477</v>
      </c>
      <c r="S38" s="1474" t="s">
        <v>9934</v>
      </c>
      <c r="T38" s="1474" t="s">
        <v>156</v>
      </c>
      <c r="U38" s="1474" t="s">
        <v>9935</v>
      </c>
      <c r="V38" s="1474" t="s">
        <v>9936</v>
      </c>
      <c r="W38" s="1474" t="s">
        <v>9937</v>
      </c>
      <c r="X38" s="1474" t="s">
        <v>9757</v>
      </c>
      <c r="Y38" s="1474" t="s">
        <v>9758</v>
      </c>
      <c r="Z38" s="1474" t="s">
        <v>151</v>
      </c>
      <c r="AA38" s="1474" t="s">
        <v>9938</v>
      </c>
      <c r="AB38" s="1474" t="s">
        <v>9445</v>
      </c>
      <c r="AC38" s="1474" t="s">
        <v>4489</v>
      </c>
      <c r="AD38" s="1474" t="s">
        <v>2325</v>
      </c>
      <c r="AE38" s="1474" t="s">
        <v>9880</v>
      </c>
      <c r="AF38" s="1474" t="s">
        <v>9939</v>
      </c>
      <c r="AG38" s="1474" t="s">
        <v>9940</v>
      </c>
      <c r="AH38" s="1474" t="s">
        <v>4476</v>
      </c>
      <c r="AI38" s="1474" t="s">
        <v>3806</v>
      </c>
      <c r="AJ38" s="1474" t="s">
        <v>9941</v>
      </c>
      <c r="AK38" s="1474" t="s">
        <v>1163</v>
      </c>
      <c r="AL38" s="1474" t="s">
        <v>9761</v>
      </c>
      <c r="AM38" s="1474" t="s">
        <v>874</v>
      </c>
      <c r="AN38" s="1586" t="s">
        <v>9942</v>
      </c>
      <c r="AO38" s="1586" t="s">
        <v>3477</v>
      </c>
      <c r="AP38" s="1474" t="s">
        <v>5478</v>
      </c>
      <c r="AQ38" s="1474" t="s">
        <v>252</v>
      </c>
      <c r="AR38" s="1474" t="s">
        <v>9943</v>
      </c>
      <c r="AS38" s="1474" t="s">
        <v>9944</v>
      </c>
      <c r="AT38" s="1474" t="s">
        <v>9945</v>
      </c>
      <c r="AU38" s="1586" t="s">
        <v>9946</v>
      </c>
      <c r="AV38" s="1474" t="str">
        <f t="shared" si="1"/>
        <v>3:07</v>
      </c>
      <c r="AW38" s="1649" t="s">
        <v>9947</v>
      </c>
    </row>
    <row r="39" ht="15.75" customHeight="1">
      <c r="A39" s="1554" t="s">
        <v>4266</v>
      </c>
      <c r="B39" s="1555" t="s">
        <v>9164</v>
      </c>
      <c r="C39" s="1691">
        <v>0.05060185185185185</v>
      </c>
      <c r="D39" s="998" t="s">
        <v>9948</v>
      </c>
      <c r="E39" s="1669" t="s">
        <v>3299</v>
      </c>
      <c r="F39" s="1669" t="s">
        <v>6126</v>
      </c>
      <c r="G39" s="1669" t="s">
        <v>9949</v>
      </c>
      <c r="H39" s="925" t="s">
        <v>9950</v>
      </c>
      <c r="I39" s="925" t="s">
        <v>4791</v>
      </c>
      <c r="J39" s="1670" t="s">
        <v>9394</v>
      </c>
      <c r="K39" s="1670" t="s">
        <v>7501</v>
      </c>
      <c r="L39" s="1670" t="s">
        <v>5637</v>
      </c>
      <c r="M39" s="1670" t="s">
        <v>9951</v>
      </c>
      <c r="N39" s="1670" t="s">
        <v>5394</v>
      </c>
      <c r="O39" s="1670" t="s">
        <v>9952</v>
      </c>
      <c r="P39" s="1670" t="s">
        <v>5950</v>
      </c>
      <c r="Q39" s="1671" t="s">
        <v>9953</v>
      </c>
      <c r="R39" s="1671" t="s">
        <v>5556</v>
      </c>
      <c r="S39" s="1671" t="s">
        <v>7096</v>
      </c>
      <c r="T39" s="1671" t="s">
        <v>9954</v>
      </c>
      <c r="U39" s="1671" t="s">
        <v>6262</v>
      </c>
      <c r="V39" s="1671" t="s">
        <v>3925</v>
      </c>
      <c r="W39" s="1672" t="s">
        <v>9955</v>
      </c>
      <c r="X39" s="1672" t="s">
        <v>7491</v>
      </c>
      <c r="Y39" s="1672" t="s">
        <v>1847</v>
      </c>
      <c r="Z39" s="1672" t="s">
        <v>1908</v>
      </c>
      <c r="AA39" s="1672" t="s">
        <v>9956</v>
      </c>
      <c r="AB39" s="1672" t="s">
        <v>9445</v>
      </c>
      <c r="AC39" s="1672" t="s">
        <v>5638</v>
      </c>
      <c r="AD39" s="1669" t="s">
        <v>6610</v>
      </c>
      <c r="AE39" s="1669" t="s">
        <v>7838</v>
      </c>
      <c r="AF39" s="1673" t="s">
        <v>9957</v>
      </c>
      <c r="AG39" s="1673" t="s">
        <v>9884</v>
      </c>
      <c r="AH39" s="1673" t="s">
        <v>8339</v>
      </c>
      <c r="AI39" s="1673" t="s">
        <v>5633</v>
      </c>
      <c r="AJ39" s="1673" t="s">
        <v>9958</v>
      </c>
      <c r="AK39" s="1673" t="s">
        <v>9959</v>
      </c>
      <c r="AL39" s="1673" t="s">
        <v>9960</v>
      </c>
      <c r="AM39" s="1644" t="s">
        <v>9961</v>
      </c>
      <c r="AN39" s="1644" t="s">
        <v>9962</v>
      </c>
      <c r="AO39" s="1644" t="s">
        <v>9963</v>
      </c>
      <c r="AP39" s="1644" t="s">
        <v>9964</v>
      </c>
      <c r="AQ39" s="1644" t="s">
        <v>9826</v>
      </c>
      <c r="AR39" s="1644" t="s">
        <v>9965</v>
      </c>
      <c r="AS39" s="1644" t="s">
        <v>4400</v>
      </c>
      <c r="AT39" s="1670" t="s">
        <v>9966</v>
      </c>
      <c r="AU39" s="1667" t="s">
        <v>9967</v>
      </c>
      <c r="AV39" s="1474" t="str">
        <f t="shared" si="1"/>
        <v>1:56</v>
      </c>
      <c r="AW39" s="1668"/>
    </row>
    <row r="40" ht="15.75" customHeight="1">
      <c r="A40" s="1583" t="s">
        <v>899</v>
      </c>
      <c r="B40" s="1555" t="s">
        <v>9164</v>
      </c>
      <c r="C40" s="1556">
        <v>0.05061342592592592</v>
      </c>
      <c r="D40" s="998" t="s">
        <v>9968</v>
      </c>
      <c r="E40" s="1586" t="s">
        <v>9369</v>
      </c>
      <c r="F40" s="1586" t="s">
        <v>5516</v>
      </c>
      <c r="G40" s="1474" t="s">
        <v>9969</v>
      </c>
      <c r="H40" s="1586" t="s">
        <v>9970</v>
      </c>
      <c r="I40" s="1586" t="s">
        <v>388</v>
      </c>
      <c r="J40" s="1586" t="s">
        <v>7954</v>
      </c>
      <c r="K40" s="1474" t="s">
        <v>9642</v>
      </c>
      <c r="L40" s="1586" t="s">
        <v>9971</v>
      </c>
      <c r="M40" s="1586" t="s">
        <v>9972</v>
      </c>
      <c r="N40" s="1586" t="s">
        <v>4407</v>
      </c>
      <c r="O40" s="1586" t="s">
        <v>9973</v>
      </c>
      <c r="P40" s="1586" t="s">
        <v>1585</v>
      </c>
      <c r="Q40" s="1560" t="s">
        <v>9974</v>
      </c>
      <c r="R40" s="1586" t="s">
        <v>9975</v>
      </c>
      <c r="S40" s="1474" t="s">
        <v>9976</v>
      </c>
      <c r="T40" s="1586" t="s">
        <v>9740</v>
      </c>
      <c r="U40" s="1586" t="s">
        <v>6766</v>
      </c>
      <c r="V40" s="1586" t="s">
        <v>2480</v>
      </c>
      <c r="W40" s="1595" t="str">
        <f>HYPERLINK("https://www.youtube.com/watch?v=nn1ub1z3NYM","1:45.96")</f>
        <v>1:45.96</v>
      </c>
      <c r="X40" s="1586" t="s">
        <v>5780</v>
      </c>
      <c r="Y40" s="1474" t="s">
        <v>5622</v>
      </c>
      <c r="Z40" s="1586" t="s">
        <v>1500</v>
      </c>
      <c r="AA40" s="1586" t="s">
        <v>9977</v>
      </c>
      <c r="AB40" s="1586" t="s">
        <v>9978</v>
      </c>
      <c r="AC40" s="1586" t="s">
        <v>1114</v>
      </c>
      <c r="AD40" s="1586" t="s">
        <v>9979</v>
      </c>
      <c r="AE40" s="1560" t="s">
        <v>4632</v>
      </c>
      <c r="AF40" s="1474" t="s">
        <v>9980</v>
      </c>
      <c r="AG40" s="1586" t="s">
        <v>1868</v>
      </c>
      <c r="AH40" s="1586" t="s">
        <v>3054</v>
      </c>
      <c r="AI40" s="1586" t="s">
        <v>9981</v>
      </c>
      <c r="AJ40" s="1474" t="s">
        <v>8574</v>
      </c>
      <c r="AK40" s="1586" t="s">
        <v>9982</v>
      </c>
      <c r="AL40" s="1474" t="s">
        <v>4360</v>
      </c>
      <c r="AM40" s="1474" t="s">
        <v>9983</v>
      </c>
      <c r="AN40" s="1474" t="s">
        <v>2514</v>
      </c>
      <c r="AO40" s="1586" t="s">
        <v>3608</v>
      </c>
      <c r="AP40" s="1586" t="s">
        <v>9984</v>
      </c>
      <c r="AQ40" s="1586" t="s">
        <v>9985</v>
      </c>
      <c r="AR40" s="1586" t="s">
        <v>1303</v>
      </c>
      <c r="AS40" s="1586" t="s">
        <v>4715</v>
      </c>
      <c r="AT40" s="1586" t="s">
        <v>9986</v>
      </c>
      <c r="AU40" s="1586" t="s">
        <v>9987</v>
      </c>
      <c r="AV40" s="1474" t="str">
        <f t="shared" si="1"/>
        <v>2:25</v>
      </c>
      <c r="AW40" s="1616"/>
    </row>
    <row r="41">
      <c r="A41" s="1583" t="s">
        <v>9988</v>
      </c>
      <c r="B41" s="1615" t="s">
        <v>9164</v>
      </c>
      <c r="C41" s="1556">
        <v>0.050625</v>
      </c>
      <c r="D41" s="1697" t="s">
        <v>9989</v>
      </c>
      <c r="E41" s="1586" t="s">
        <v>4744</v>
      </c>
      <c r="F41" s="1586" t="s">
        <v>9990</v>
      </c>
      <c r="G41" s="1586" t="s">
        <v>9991</v>
      </c>
      <c r="H41" s="1586" t="s">
        <v>1745</v>
      </c>
      <c r="I41" s="1586" t="s">
        <v>1900</v>
      </c>
      <c r="J41" s="1586" t="s">
        <v>9992</v>
      </c>
      <c r="K41" s="1586" t="s">
        <v>3629</v>
      </c>
      <c r="L41" s="1586" t="s">
        <v>9993</v>
      </c>
      <c r="M41" s="1586" t="s">
        <v>9994</v>
      </c>
      <c r="N41" s="1586" t="s">
        <v>9995</v>
      </c>
      <c r="O41" s="1586" t="s">
        <v>9996</v>
      </c>
      <c r="P41" s="1586" t="s">
        <v>9880</v>
      </c>
      <c r="Q41" s="1586" t="s">
        <v>4652</v>
      </c>
      <c r="R41" s="1586" t="s">
        <v>4018</v>
      </c>
      <c r="S41" s="1586" t="s">
        <v>2685</v>
      </c>
      <c r="T41" s="1586" t="s">
        <v>2361</v>
      </c>
      <c r="U41" s="1586" t="s">
        <v>9997</v>
      </c>
      <c r="V41" s="1586" t="s">
        <v>2216</v>
      </c>
      <c r="W41" s="1586" t="s">
        <v>7152</v>
      </c>
      <c r="X41" s="1586" t="s">
        <v>9998</v>
      </c>
      <c r="Y41" s="1586" t="s">
        <v>9999</v>
      </c>
      <c r="Z41" s="1586" t="s">
        <v>10000</v>
      </c>
      <c r="AA41" s="1586" t="s">
        <v>10001</v>
      </c>
      <c r="AB41" s="1586"/>
      <c r="AC41" s="1586" t="s">
        <v>10002</v>
      </c>
      <c r="AD41" s="1586" t="s">
        <v>10003</v>
      </c>
      <c r="AE41" s="1586" t="s">
        <v>4976</v>
      </c>
      <c r="AF41" s="1586" t="s">
        <v>10004</v>
      </c>
      <c r="AG41" s="1586" t="s">
        <v>10005</v>
      </c>
      <c r="AH41" s="1586" t="s">
        <v>10006</v>
      </c>
      <c r="AI41" s="1586" t="s">
        <v>729</v>
      </c>
      <c r="AJ41" s="1586" t="s">
        <v>10007</v>
      </c>
      <c r="AK41" s="1586" t="s">
        <v>9174</v>
      </c>
      <c r="AL41" s="1586" t="s">
        <v>10008</v>
      </c>
      <c r="AM41" s="1586" t="s">
        <v>10009</v>
      </c>
      <c r="AN41" s="1586" t="s">
        <v>9241</v>
      </c>
      <c r="AO41" s="1586" t="s">
        <v>5038</v>
      </c>
      <c r="AP41" s="1586" t="s">
        <v>10010</v>
      </c>
      <c r="AQ41" s="1586" t="s">
        <v>10011</v>
      </c>
      <c r="AR41" s="1586" t="s">
        <v>7608</v>
      </c>
      <c r="AS41" s="1586" t="s">
        <v>5832</v>
      </c>
      <c r="AT41" s="1586" t="s">
        <v>8881</v>
      </c>
      <c r="AU41" s="1586" t="s">
        <v>10012</v>
      </c>
      <c r="AV41" s="1474" t="str">
        <f t="shared" si="1"/>
        <v>2:05</v>
      </c>
      <c r="AW41" s="1649"/>
    </row>
    <row r="42">
      <c r="A42" s="1583" t="s">
        <v>10013</v>
      </c>
      <c r="B42" s="1605" t="s">
        <v>9164</v>
      </c>
      <c r="C42" s="1556">
        <v>0.0506712962962963</v>
      </c>
      <c r="D42" s="1697" t="s">
        <v>10014</v>
      </c>
      <c r="E42" s="1640" t="s">
        <v>3299</v>
      </c>
      <c r="F42" s="1640" t="s">
        <v>9512</v>
      </c>
      <c r="G42" s="1640" t="s">
        <v>10015</v>
      </c>
      <c r="H42" s="862" t="s">
        <v>10016</v>
      </c>
      <c r="I42" s="862" t="s">
        <v>10017</v>
      </c>
      <c r="J42" s="1623" t="s">
        <v>10018</v>
      </c>
      <c r="K42" s="1623" t="s">
        <v>8295</v>
      </c>
      <c r="L42" s="1623" t="s">
        <v>4334</v>
      </c>
      <c r="M42" s="1623" t="s">
        <v>8296</v>
      </c>
      <c r="N42" s="1623" t="s">
        <v>10019</v>
      </c>
      <c r="O42" s="1623" t="s">
        <v>2249</v>
      </c>
      <c r="P42" s="1623" t="s">
        <v>8253</v>
      </c>
      <c r="Q42" s="1626" t="s">
        <v>7431</v>
      </c>
      <c r="R42" s="1626" t="s">
        <v>10020</v>
      </c>
      <c r="S42" s="1626" t="s">
        <v>10021</v>
      </c>
      <c r="T42" s="1626" t="s">
        <v>10022</v>
      </c>
      <c r="U42" s="1626" t="s">
        <v>10023</v>
      </c>
      <c r="V42" s="1626" t="s">
        <v>10024</v>
      </c>
      <c r="W42" s="1642" t="s">
        <v>10025</v>
      </c>
      <c r="X42" s="1642" t="s">
        <v>10026</v>
      </c>
      <c r="Y42" s="1642" t="s">
        <v>6318</v>
      </c>
      <c r="Z42" s="1642" t="s">
        <v>10027</v>
      </c>
      <c r="AA42" s="1586" t="s">
        <v>1678</v>
      </c>
      <c r="AB42" s="1642" t="s">
        <v>10028</v>
      </c>
      <c r="AC42" s="1642" t="s">
        <v>7238</v>
      </c>
      <c r="AD42" s="1640" t="s">
        <v>10029</v>
      </c>
      <c r="AE42" s="1640" t="s">
        <v>537</v>
      </c>
      <c r="AF42" s="1643" t="s">
        <v>10030</v>
      </c>
      <c r="AG42" s="1643" t="s">
        <v>4002</v>
      </c>
      <c r="AH42" s="1643" t="s">
        <v>5326</v>
      </c>
      <c r="AI42" s="1643" t="s">
        <v>10031</v>
      </c>
      <c r="AJ42" s="1643" t="s">
        <v>10032</v>
      </c>
      <c r="AK42" s="1643" t="s">
        <v>174</v>
      </c>
      <c r="AL42" s="1643" t="s">
        <v>2625</v>
      </c>
      <c r="AM42" s="1645" t="s">
        <v>9513</v>
      </c>
      <c r="AN42" s="1645" t="s">
        <v>9764</v>
      </c>
      <c r="AO42" s="1645" t="s">
        <v>9702</v>
      </c>
      <c r="AP42" s="1645" t="s">
        <v>10033</v>
      </c>
      <c r="AQ42" s="1645" t="s">
        <v>10034</v>
      </c>
      <c r="AR42" s="1645" t="s">
        <v>4849</v>
      </c>
      <c r="AS42" s="1645" t="s">
        <v>10035</v>
      </c>
      <c r="AT42" s="1623" t="s">
        <v>10036</v>
      </c>
      <c r="AU42" s="1607" t="s">
        <v>9828</v>
      </c>
      <c r="AV42" s="1474" t="str">
        <f t="shared" si="1"/>
        <v>3:31</v>
      </c>
      <c r="AW42" s="1668"/>
    </row>
    <row r="43" ht="15.75" customHeight="1">
      <c r="A43" s="1681" t="s">
        <v>10037</v>
      </c>
      <c r="B43" s="1555" t="s">
        <v>9164</v>
      </c>
      <c r="C43" s="1556">
        <v>0.05070601851851852</v>
      </c>
      <c r="D43" s="998" t="s">
        <v>10038</v>
      </c>
      <c r="E43" s="1669" t="s">
        <v>3199</v>
      </c>
      <c r="F43" s="1669" t="s">
        <v>9360</v>
      </c>
      <c r="G43" s="1669" t="s">
        <v>10039</v>
      </c>
      <c r="H43" s="925" t="s">
        <v>10040</v>
      </c>
      <c r="I43" s="925" t="s">
        <v>388</v>
      </c>
      <c r="J43" s="1670" t="s">
        <v>10041</v>
      </c>
      <c r="K43" s="1670" t="s">
        <v>3507</v>
      </c>
      <c r="L43" s="1670" t="s">
        <v>5525</v>
      </c>
      <c r="M43" s="1670" t="s">
        <v>10042</v>
      </c>
      <c r="N43" s="1670" t="s">
        <v>9876</v>
      </c>
      <c r="O43" s="1670" t="s">
        <v>10043</v>
      </c>
      <c r="P43" s="1670" t="s">
        <v>5054</v>
      </c>
      <c r="Q43" s="1671" t="s">
        <v>10044</v>
      </c>
      <c r="R43" s="1671" t="s">
        <v>732</v>
      </c>
      <c r="S43" s="1671" t="s">
        <v>5038</v>
      </c>
      <c r="T43" s="1671" t="s">
        <v>9879</v>
      </c>
      <c r="U43" s="1671" t="s">
        <v>10045</v>
      </c>
      <c r="V43" s="1671" t="s">
        <v>2480</v>
      </c>
      <c r="W43" s="1672" t="s">
        <v>10046</v>
      </c>
      <c r="X43" s="1672" t="s">
        <v>6189</v>
      </c>
      <c r="Y43" s="1672" t="s">
        <v>7547</v>
      </c>
      <c r="Z43" s="1672" t="s">
        <v>10047</v>
      </c>
      <c r="AA43" s="1672" t="s">
        <v>10048</v>
      </c>
      <c r="AB43" s="1672" t="s">
        <v>2644</v>
      </c>
      <c r="AC43" s="1672" t="s">
        <v>3114</v>
      </c>
      <c r="AD43" s="1669" t="s">
        <v>10049</v>
      </c>
      <c r="AE43" s="1669" t="s">
        <v>6320</v>
      </c>
      <c r="AF43" s="1673" t="s">
        <v>9315</v>
      </c>
      <c r="AG43" s="1673" t="s">
        <v>10050</v>
      </c>
      <c r="AH43" s="1673" t="s">
        <v>2258</v>
      </c>
      <c r="AI43" s="1673" t="s">
        <v>10051</v>
      </c>
      <c r="AJ43" s="1673" t="s">
        <v>10052</v>
      </c>
      <c r="AK43" s="1673" t="s">
        <v>10053</v>
      </c>
      <c r="AL43" s="1673" t="s">
        <v>5495</v>
      </c>
      <c r="AM43" s="1644" t="s">
        <v>9905</v>
      </c>
      <c r="AN43" s="1644" t="s">
        <v>5495</v>
      </c>
      <c r="AO43" s="1644" t="s">
        <v>2305</v>
      </c>
      <c r="AP43" s="1644" t="s">
        <v>10054</v>
      </c>
      <c r="AQ43" s="1644" t="s">
        <v>10055</v>
      </c>
      <c r="AR43" s="1644" t="s">
        <v>4699</v>
      </c>
      <c r="AS43" s="1644" t="s">
        <v>4403</v>
      </c>
      <c r="AT43" s="1670" t="s">
        <v>10056</v>
      </c>
      <c r="AU43" s="1667" t="s">
        <v>10057</v>
      </c>
      <c r="AV43" s="1474" t="str">
        <f t="shared" si="1"/>
        <v>2:54</v>
      </c>
      <c r="AW43" s="1668"/>
    </row>
    <row r="44">
      <c r="A44" s="1617" t="s">
        <v>2824</v>
      </c>
      <c r="B44" s="1615" t="s">
        <v>9164</v>
      </c>
      <c r="C44" s="1556">
        <v>0.050826388888888886</v>
      </c>
      <c r="D44" s="1586" t="s">
        <v>10058</v>
      </c>
      <c r="E44" s="1586" t="s">
        <v>6865</v>
      </c>
      <c r="F44" s="1640" t="s">
        <v>10059</v>
      </c>
      <c r="G44" s="1586" t="s">
        <v>10060</v>
      </c>
      <c r="H44" s="1586" t="s">
        <v>6595</v>
      </c>
      <c r="I44" s="1586" t="s">
        <v>1293</v>
      </c>
      <c r="J44" s="1586" t="s">
        <v>10061</v>
      </c>
      <c r="K44" s="1586" t="s">
        <v>3976</v>
      </c>
      <c r="L44" s="1586" t="s">
        <v>5938</v>
      </c>
      <c r="M44" s="1586" t="s">
        <v>10062</v>
      </c>
      <c r="N44" s="1586" t="s">
        <v>6742</v>
      </c>
      <c r="O44" s="1586" t="s">
        <v>10063</v>
      </c>
      <c r="P44" s="1586" t="s">
        <v>9648</v>
      </c>
      <c r="Q44" s="1586" t="s">
        <v>10064</v>
      </c>
      <c r="R44" s="1586" t="s">
        <v>10065</v>
      </c>
      <c r="S44" s="1586" t="s">
        <v>10066</v>
      </c>
      <c r="T44" s="1586" t="s">
        <v>1708</v>
      </c>
      <c r="U44" s="1586" t="s">
        <v>10067</v>
      </c>
      <c r="V44" s="1586" t="s">
        <v>8341</v>
      </c>
      <c r="W44" s="1586" t="s">
        <v>5555</v>
      </c>
      <c r="X44" s="1586" t="s">
        <v>10068</v>
      </c>
      <c r="Y44" s="1586" t="s">
        <v>8244</v>
      </c>
      <c r="Z44" s="1586" t="s">
        <v>10069</v>
      </c>
      <c r="AA44" s="1642" t="s">
        <v>10070</v>
      </c>
      <c r="AB44" s="1586" t="s">
        <v>1908</v>
      </c>
      <c r="AC44" s="1586" t="s">
        <v>7238</v>
      </c>
      <c r="AD44" s="1586" t="s">
        <v>10071</v>
      </c>
      <c r="AE44" s="1586" t="s">
        <v>4976</v>
      </c>
      <c r="AF44" s="1586" t="s">
        <v>10072</v>
      </c>
      <c r="AG44" s="1586" t="s">
        <v>1177</v>
      </c>
      <c r="AH44" s="1586" t="s">
        <v>3900</v>
      </c>
      <c r="AI44" s="1586" t="s">
        <v>10073</v>
      </c>
      <c r="AJ44" s="1586" t="s">
        <v>10074</v>
      </c>
      <c r="AK44" s="1586" t="s">
        <v>9982</v>
      </c>
      <c r="AL44" s="1586" t="s">
        <v>4365</v>
      </c>
      <c r="AM44" s="1586" t="s">
        <v>9982</v>
      </c>
      <c r="AN44" s="1586" t="s">
        <v>9241</v>
      </c>
      <c r="AO44" s="1586" t="s">
        <v>6970</v>
      </c>
      <c r="AP44" s="1586" t="s">
        <v>10075</v>
      </c>
      <c r="AQ44" s="1586" t="s">
        <v>10076</v>
      </c>
      <c r="AR44" s="1586" t="s">
        <v>5186</v>
      </c>
      <c r="AS44" s="1586" t="s">
        <v>6156</v>
      </c>
      <c r="AT44" s="1586" t="s">
        <v>10077</v>
      </c>
      <c r="AU44" s="1586" t="s">
        <v>10078</v>
      </c>
      <c r="AV44" s="1474" t="str">
        <f t="shared" si="1"/>
        <v>2:25</v>
      </c>
      <c r="AW44" s="1649"/>
    </row>
    <row r="45" ht="15.75" customHeight="1">
      <c r="A45" s="1617" t="s">
        <v>4653</v>
      </c>
      <c r="B45" s="1555" t="s">
        <v>9164</v>
      </c>
      <c r="C45" s="1691">
        <v>0.050868055555555555</v>
      </c>
      <c r="D45" s="998" t="s">
        <v>10079</v>
      </c>
      <c r="E45" s="1474" t="s">
        <v>7215</v>
      </c>
      <c r="F45" s="1474" t="s">
        <v>10080</v>
      </c>
      <c r="G45" s="1474" t="s">
        <v>10081</v>
      </c>
      <c r="H45" s="1474" t="s">
        <v>9267</v>
      </c>
      <c r="I45" s="1474" t="s">
        <v>1293</v>
      </c>
      <c r="J45" s="1474" t="s">
        <v>4849</v>
      </c>
      <c r="K45" s="1474" t="s">
        <v>9656</v>
      </c>
      <c r="L45" s="1474" t="s">
        <v>9515</v>
      </c>
      <c r="M45" s="1474" t="s">
        <v>5455</v>
      </c>
      <c r="N45" s="1474" t="s">
        <v>8678</v>
      </c>
      <c r="O45" s="1474" t="s">
        <v>10082</v>
      </c>
      <c r="P45" s="1474" t="s">
        <v>4301</v>
      </c>
      <c r="Q45" s="1474" t="s">
        <v>10083</v>
      </c>
      <c r="R45" s="1474" t="s">
        <v>6921</v>
      </c>
      <c r="S45" s="1474" t="s">
        <v>9472</v>
      </c>
      <c r="T45" s="1474" t="s">
        <v>4621</v>
      </c>
      <c r="U45" s="1474" t="s">
        <v>10084</v>
      </c>
      <c r="V45" s="1474" t="s">
        <v>9695</v>
      </c>
      <c r="W45" s="1474" t="s">
        <v>10085</v>
      </c>
      <c r="X45" s="1474" t="s">
        <v>9700</v>
      </c>
      <c r="Y45" s="1474" t="s">
        <v>3636</v>
      </c>
      <c r="Z45" s="1474" t="s">
        <v>10086</v>
      </c>
      <c r="AA45" s="1474" t="s">
        <v>10087</v>
      </c>
      <c r="AB45" s="1474" t="s">
        <v>194</v>
      </c>
      <c r="AC45" s="1474" t="s">
        <v>3016</v>
      </c>
      <c r="AD45" s="1474" t="s">
        <v>10088</v>
      </c>
      <c r="AE45" s="1474" t="s">
        <v>620</v>
      </c>
      <c r="AF45" s="1474" t="s">
        <v>10089</v>
      </c>
      <c r="AG45" s="1474" t="s">
        <v>6055</v>
      </c>
      <c r="AH45" s="1474" t="s">
        <v>9268</v>
      </c>
      <c r="AI45" s="1474" t="s">
        <v>6995</v>
      </c>
      <c r="AJ45" s="1474" t="s">
        <v>10090</v>
      </c>
      <c r="AK45" s="1474" t="s">
        <v>5483</v>
      </c>
      <c r="AL45" s="1474" t="s">
        <v>3208</v>
      </c>
      <c r="AM45" s="1474" t="s">
        <v>10091</v>
      </c>
      <c r="AN45" s="1474" t="s">
        <v>3343</v>
      </c>
      <c r="AO45" s="1474" t="s">
        <v>9642</v>
      </c>
      <c r="AP45" s="1474" t="s">
        <v>10092</v>
      </c>
      <c r="AQ45" s="1474" t="s">
        <v>10093</v>
      </c>
      <c r="AR45" s="1474" t="s">
        <v>9506</v>
      </c>
      <c r="AS45" s="1474" t="s">
        <v>5149</v>
      </c>
      <c r="AT45" s="1474" t="s">
        <v>10094</v>
      </c>
      <c r="AU45" s="1474" t="s">
        <v>10095</v>
      </c>
      <c r="AV45" s="1474" t="str">
        <f t="shared" si="1"/>
        <v>2:44</v>
      </c>
      <c r="AW45" s="1597"/>
    </row>
    <row r="46" ht="15.75" customHeight="1">
      <c r="A46" s="1617" t="s">
        <v>1878</v>
      </c>
      <c r="B46" s="1698" t="s">
        <v>9217</v>
      </c>
      <c r="C46" s="1699">
        <v>0.05092592592592592</v>
      </c>
      <c r="D46" s="1700" t="s">
        <v>9218</v>
      </c>
      <c r="E46" s="1701" t="s">
        <v>9219</v>
      </c>
      <c r="F46" s="1700" t="s">
        <v>9220</v>
      </c>
      <c r="G46" s="1586" t="s">
        <v>10096</v>
      </c>
      <c r="H46" s="1700" t="s">
        <v>9222</v>
      </c>
      <c r="I46" s="1474" t="s">
        <v>1410</v>
      </c>
      <c r="J46" s="1669" t="s">
        <v>10097</v>
      </c>
      <c r="K46" s="1474" t="s">
        <v>9876</v>
      </c>
      <c r="L46" s="1669" t="s">
        <v>2331</v>
      </c>
      <c r="M46" s="1474" t="s">
        <v>2714</v>
      </c>
      <c r="N46" s="1700" t="s">
        <v>9183</v>
      </c>
      <c r="O46" s="1474" t="s">
        <v>10098</v>
      </c>
      <c r="P46" s="1669" t="s">
        <v>639</v>
      </c>
      <c r="Q46" s="1701" t="s">
        <v>9227</v>
      </c>
      <c r="R46" s="1700" t="s">
        <v>9228</v>
      </c>
      <c r="S46" s="1474" t="s">
        <v>1163</v>
      </c>
      <c r="T46" s="1669" t="s">
        <v>7290</v>
      </c>
      <c r="U46" s="1701" t="s">
        <v>9230</v>
      </c>
      <c r="V46" s="1700" t="s">
        <v>4296</v>
      </c>
      <c r="W46" s="1474" t="s">
        <v>10099</v>
      </c>
      <c r="X46" s="1700" t="s">
        <v>9232</v>
      </c>
      <c r="Y46" s="1474" t="s">
        <v>5723</v>
      </c>
      <c r="Z46" s="1640" t="s">
        <v>10100</v>
      </c>
      <c r="AA46" s="1474" t="s">
        <v>2307</v>
      </c>
      <c r="AB46" s="1669" t="s">
        <v>9545</v>
      </c>
      <c r="AC46" s="1586" t="s">
        <v>10101</v>
      </c>
      <c r="AD46" s="1669" t="s">
        <v>10102</v>
      </c>
      <c r="AE46" s="1586" t="s">
        <v>10103</v>
      </c>
      <c r="AF46" s="1669" t="s">
        <v>10104</v>
      </c>
      <c r="AG46" s="1474" t="s">
        <v>8149</v>
      </c>
      <c r="AH46" s="1640" t="s">
        <v>9993</v>
      </c>
      <c r="AI46" s="1701" t="s">
        <v>9237</v>
      </c>
      <c r="AJ46" s="1669" t="s">
        <v>10105</v>
      </c>
      <c r="AK46" s="1474" t="s">
        <v>5961</v>
      </c>
      <c r="AL46" s="1700" t="s">
        <v>9239</v>
      </c>
      <c r="AM46" s="1474" t="s">
        <v>9607</v>
      </c>
      <c r="AN46" s="1669" t="s">
        <v>3920</v>
      </c>
      <c r="AO46" s="1586" t="s">
        <v>4892</v>
      </c>
      <c r="AP46" s="1640" t="s">
        <v>10106</v>
      </c>
      <c r="AQ46" s="1586" t="s">
        <v>10107</v>
      </c>
      <c r="AR46" s="1640" t="s">
        <v>10108</v>
      </c>
      <c r="AS46" s="1474" t="s">
        <v>973</v>
      </c>
      <c r="AT46" s="1700" t="s">
        <v>9245</v>
      </c>
      <c r="AU46" s="1701" t="s">
        <v>9246</v>
      </c>
      <c r="AV46" s="1474" t="str">
        <f t="shared" si="1"/>
        <v>2:24</v>
      </c>
      <c r="AW46" s="1616"/>
    </row>
    <row r="47">
      <c r="A47" s="1617" t="s">
        <v>2583</v>
      </c>
      <c r="B47" s="1618" t="s">
        <v>9191</v>
      </c>
      <c r="C47" s="1556">
        <v>0.05092592592592592</v>
      </c>
      <c r="D47" s="998" t="s">
        <v>10109</v>
      </c>
      <c r="E47" s="1640" t="s">
        <v>10110</v>
      </c>
      <c r="F47" s="1640" t="s">
        <v>10111</v>
      </c>
      <c r="G47" s="1640" t="s">
        <v>10112</v>
      </c>
      <c r="H47" s="862" t="s">
        <v>10113</v>
      </c>
      <c r="I47" s="862" t="s">
        <v>2960</v>
      </c>
      <c r="J47" s="1623" t="s">
        <v>8008</v>
      </c>
      <c r="K47" s="1623" t="s">
        <v>3594</v>
      </c>
      <c r="L47" s="1623" t="s">
        <v>5875</v>
      </c>
      <c r="M47" s="1623" t="s">
        <v>3132</v>
      </c>
      <c r="N47" s="1623" t="s">
        <v>874</v>
      </c>
      <c r="O47" s="1623" t="s">
        <v>10114</v>
      </c>
      <c r="P47" s="1623" t="s">
        <v>774</v>
      </c>
      <c r="Q47" s="1626" t="s">
        <v>7272</v>
      </c>
      <c r="R47" s="1626" t="s">
        <v>6942</v>
      </c>
      <c r="S47" s="1626" t="s">
        <v>7603</v>
      </c>
      <c r="T47" s="1626" t="s">
        <v>10115</v>
      </c>
      <c r="U47" s="1702" t="s">
        <v>7402</v>
      </c>
      <c r="V47" s="1626" t="s">
        <v>10116</v>
      </c>
      <c r="W47" s="1642" t="s">
        <v>6890</v>
      </c>
      <c r="X47" s="1642" t="s">
        <v>10117</v>
      </c>
      <c r="Y47" s="1642" t="s">
        <v>10118</v>
      </c>
      <c r="Z47" s="1642" t="s">
        <v>7223</v>
      </c>
      <c r="AA47" s="1642" t="s">
        <v>1936</v>
      </c>
      <c r="AB47" s="1642" t="s">
        <v>10119</v>
      </c>
      <c r="AC47" s="1642" t="s">
        <v>2449</v>
      </c>
      <c r="AD47" s="1640" t="s">
        <v>10120</v>
      </c>
      <c r="AE47" s="1640" t="s">
        <v>5332</v>
      </c>
      <c r="AF47" s="1643" t="s">
        <v>10121</v>
      </c>
      <c r="AG47" s="1643" t="s">
        <v>5278</v>
      </c>
      <c r="AH47" s="1643" t="s">
        <v>4476</v>
      </c>
      <c r="AI47" s="1643" t="s">
        <v>10122</v>
      </c>
      <c r="AJ47" s="1632" t="s">
        <v>9210</v>
      </c>
      <c r="AK47" s="1643" t="s">
        <v>194</v>
      </c>
      <c r="AL47" s="1643" t="s">
        <v>5962</v>
      </c>
      <c r="AM47" s="1645" t="s">
        <v>4079</v>
      </c>
      <c r="AN47" s="1645" t="s">
        <v>3735</v>
      </c>
      <c r="AO47" s="1645" t="s">
        <v>2403</v>
      </c>
      <c r="AP47" s="1645" t="s">
        <v>10123</v>
      </c>
      <c r="AQ47" s="1645" t="s">
        <v>4317</v>
      </c>
      <c r="AR47" s="1645" t="s">
        <v>7261</v>
      </c>
      <c r="AS47" s="1645" t="s">
        <v>6615</v>
      </c>
      <c r="AT47" s="1623" t="s">
        <v>10124</v>
      </c>
      <c r="AU47" s="1083" t="s">
        <v>10125</v>
      </c>
      <c r="AV47" s="1474" t="str">
        <f t="shared" si="1"/>
        <v>4:25</v>
      </c>
      <c r="AW47" s="1614"/>
    </row>
    <row r="48" ht="15.75" customHeight="1">
      <c r="A48" s="1554" t="s">
        <v>4506</v>
      </c>
      <c r="B48" s="1650" t="s">
        <v>9191</v>
      </c>
      <c r="C48" s="1556">
        <v>0.05100810185185185</v>
      </c>
      <c r="D48" s="998" t="s">
        <v>10126</v>
      </c>
      <c r="E48" s="1640" t="s">
        <v>10127</v>
      </c>
      <c r="F48" s="1640" t="s">
        <v>10128</v>
      </c>
      <c r="G48" s="1669" t="s">
        <v>10129</v>
      </c>
      <c r="H48" s="862" t="s">
        <v>10130</v>
      </c>
      <c r="I48" s="862" t="s">
        <v>1410</v>
      </c>
      <c r="J48" s="1623" t="s">
        <v>5186</v>
      </c>
      <c r="K48" s="1623" t="s">
        <v>9874</v>
      </c>
      <c r="L48" s="1623" t="s">
        <v>4419</v>
      </c>
      <c r="M48" s="1623" t="s">
        <v>1453</v>
      </c>
      <c r="N48" s="1623" t="s">
        <v>9180</v>
      </c>
      <c r="O48" s="1623" t="s">
        <v>9374</v>
      </c>
      <c r="P48" s="1623" t="s">
        <v>10131</v>
      </c>
      <c r="Q48" s="1626" t="s">
        <v>10132</v>
      </c>
      <c r="R48" s="1626" t="s">
        <v>3440</v>
      </c>
      <c r="S48" s="1626" t="s">
        <v>7194</v>
      </c>
      <c r="T48" s="1626" t="s">
        <v>10133</v>
      </c>
      <c r="U48" s="1626" t="s">
        <v>10134</v>
      </c>
      <c r="V48" s="1671" t="s">
        <v>1364</v>
      </c>
      <c r="W48" s="1642" t="s">
        <v>10135</v>
      </c>
      <c r="X48" s="1642" t="s">
        <v>9925</v>
      </c>
      <c r="Y48" s="1642" t="s">
        <v>4021</v>
      </c>
      <c r="Z48" s="1642" t="s">
        <v>7151</v>
      </c>
      <c r="AA48" s="1642" t="s">
        <v>1092</v>
      </c>
      <c r="AB48" s="1642" t="s">
        <v>3948</v>
      </c>
      <c r="AC48" s="1672" t="s">
        <v>7798</v>
      </c>
      <c r="AD48" s="1640" t="s">
        <v>10136</v>
      </c>
      <c r="AE48" s="1669" t="s">
        <v>2165</v>
      </c>
      <c r="AF48" s="1643" t="s">
        <v>10137</v>
      </c>
      <c r="AG48" s="1643" t="s">
        <v>10138</v>
      </c>
      <c r="AH48" s="1643" t="s">
        <v>10139</v>
      </c>
      <c r="AI48" s="1643" t="s">
        <v>9589</v>
      </c>
      <c r="AJ48" s="1643" t="s">
        <v>10140</v>
      </c>
      <c r="AK48" s="1643" t="s">
        <v>10141</v>
      </c>
      <c r="AL48" s="1643" t="s">
        <v>4540</v>
      </c>
      <c r="AM48" s="1645" t="s">
        <v>10142</v>
      </c>
      <c r="AN48" s="1645" t="s">
        <v>3415</v>
      </c>
      <c r="AO48" s="1645" t="s">
        <v>10143</v>
      </c>
      <c r="AP48" s="1645" t="s">
        <v>10144</v>
      </c>
      <c r="AQ48" s="1645" t="s">
        <v>4317</v>
      </c>
      <c r="AR48" s="1645" t="s">
        <v>10145</v>
      </c>
      <c r="AS48" s="1645" t="s">
        <v>4562</v>
      </c>
      <c r="AT48" s="1623" t="s">
        <v>10146</v>
      </c>
      <c r="AU48" s="1607" t="s">
        <v>10147</v>
      </c>
      <c r="AV48" s="1474" t="str">
        <f t="shared" si="1"/>
        <v>3:17</v>
      </c>
      <c r="AW48" s="1608" t="s">
        <v>10148</v>
      </c>
    </row>
    <row r="49" ht="15.75" customHeight="1">
      <c r="A49" s="1617" t="s">
        <v>1052</v>
      </c>
      <c r="B49" s="1605" t="s">
        <v>9191</v>
      </c>
      <c r="C49" s="1556">
        <v>0.05112268518518519</v>
      </c>
      <c r="D49" s="1640" t="s">
        <v>10149</v>
      </c>
      <c r="E49" s="1640" t="s">
        <v>4665</v>
      </c>
      <c r="F49" s="1640" t="s">
        <v>10150</v>
      </c>
      <c r="G49" s="1640" t="s">
        <v>10151</v>
      </c>
      <c r="H49" s="998" t="s">
        <v>10152</v>
      </c>
      <c r="I49" s="862" t="s">
        <v>5424</v>
      </c>
      <c r="J49" s="1623" t="s">
        <v>9373</v>
      </c>
      <c r="K49" s="1623" t="s">
        <v>10153</v>
      </c>
      <c r="L49" s="1562" t="s">
        <v>3652</v>
      </c>
      <c r="M49" s="1623" t="s">
        <v>4460</v>
      </c>
      <c r="N49" s="1623" t="s">
        <v>9905</v>
      </c>
      <c r="O49" s="1623" t="s">
        <v>10154</v>
      </c>
      <c r="P49" s="1623" t="s">
        <v>1524</v>
      </c>
      <c r="Q49" s="1626" t="s">
        <v>10155</v>
      </c>
      <c r="R49" s="1703" t="s">
        <v>10156</v>
      </c>
      <c r="S49" s="1626" t="s">
        <v>416</v>
      </c>
      <c r="T49" s="1626" t="s">
        <v>10157</v>
      </c>
      <c r="U49" s="1626" t="s">
        <v>10158</v>
      </c>
      <c r="V49" s="1626" t="s">
        <v>10159</v>
      </c>
      <c r="W49" s="1642" t="s">
        <v>10160</v>
      </c>
      <c r="X49" s="1642" t="s">
        <v>10161</v>
      </c>
      <c r="Y49" s="1660" t="s">
        <v>973</v>
      </c>
      <c r="Z49" s="1642" t="s">
        <v>10162</v>
      </c>
      <c r="AA49" s="1586" t="s">
        <v>10163</v>
      </c>
      <c r="AB49" s="1642" t="s">
        <v>2845</v>
      </c>
      <c r="AC49" s="1642" t="s">
        <v>5092</v>
      </c>
      <c r="AD49" s="1640" t="s">
        <v>10164</v>
      </c>
      <c r="AE49" s="1640" t="s">
        <v>5590</v>
      </c>
      <c r="AF49" s="1643" t="s">
        <v>9392</v>
      </c>
      <c r="AG49" s="1643" t="s">
        <v>274</v>
      </c>
      <c r="AH49" s="1643" t="s">
        <v>464</v>
      </c>
      <c r="AI49" s="1643" t="s">
        <v>10165</v>
      </c>
      <c r="AJ49" s="1643" t="s">
        <v>10166</v>
      </c>
      <c r="AK49" s="1643" t="s">
        <v>4154</v>
      </c>
      <c r="AL49" s="1643" t="s">
        <v>10167</v>
      </c>
      <c r="AM49" s="1645" t="s">
        <v>10168</v>
      </c>
      <c r="AN49" s="1704" t="s">
        <v>3220</v>
      </c>
      <c r="AO49" s="1645" t="s">
        <v>8295</v>
      </c>
      <c r="AP49" s="1645" t="s">
        <v>10169</v>
      </c>
      <c r="AQ49" s="1645" t="s">
        <v>10170</v>
      </c>
      <c r="AR49" s="1645" t="s">
        <v>10171</v>
      </c>
      <c r="AS49" s="1645" t="s">
        <v>9121</v>
      </c>
      <c r="AT49" s="1623" t="s">
        <v>10172</v>
      </c>
      <c r="AU49" s="1607" t="s">
        <v>10173</v>
      </c>
      <c r="AV49" s="1474" t="str">
        <f t="shared" si="1"/>
        <v>4:57</v>
      </c>
      <c r="AW49" s="1668"/>
    </row>
    <row r="50">
      <c r="A50" s="1617" t="s">
        <v>2376</v>
      </c>
      <c r="B50" s="1615" t="s">
        <v>9191</v>
      </c>
      <c r="C50" s="1556">
        <v>0.05112268518518519</v>
      </c>
      <c r="D50" s="1586" t="s">
        <v>10174</v>
      </c>
      <c r="E50" s="1586" t="s">
        <v>4526</v>
      </c>
      <c r="F50" s="1586" t="s">
        <v>6168</v>
      </c>
      <c r="G50" s="1684" t="s">
        <v>9194</v>
      </c>
      <c r="H50" s="998" t="s">
        <v>10175</v>
      </c>
      <c r="I50" s="1586" t="s">
        <v>767</v>
      </c>
      <c r="J50" s="1586" t="s">
        <v>7607</v>
      </c>
      <c r="K50" s="1586" t="s">
        <v>2503</v>
      </c>
      <c r="L50" s="1586" t="s">
        <v>1364</v>
      </c>
      <c r="M50" s="1586" t="s">
        <v>10176</v>
      </c>
      <c r="N50" s="1586" t="s">
        <v>9276</v>
      </c>
      <c r="O50" s="1586" t="s">
        <v>10177</v>
      </c>
      <c r="P50" s="1586" t="s">
        <v>3636</v>
      </c>
      <c r="Q50" s="1586" t="s">
        <v>10178</v>
      </c>
      <c r="R50" s="1586" t="s">
        <v>10179</v>
      </c>
      <c r="S50" s="1586" t="s">
        <v>3783</v>
      </c>
      <c r="T50" s="1586" t="s">
        <v>7491</v>
      </c>
      <c r="U50" s="1626" t="s">
        <v>9613</v>
      </c>
      <c r="V50" s="1586" t="s">
        <v>10180</v>
      </c>
      <c r="W50" s="1586" t="s">
        <v>10181</v>
      </c>
      <c r="X50" s="1586" t="s">
        <v>1485</v>
      </c>
      <c r="Y50" s="1586" t="s">
        <v>8250</v>
      </c>
      <c r="Z50" s="1586" t="s">
        <v>9431</v>
      </c>
      <c r="AA50" s="1642" t="s">
        <v>615</v>
      </c>
      <c r="AB50" s="1586" t="s">
        <v>10182</v>
      </c>
      <c r="AC50" s="1586" t="s">
        <v>5332</v>
      </c>
      <c r="AD50" s="1586" t="s">
        <v>10183</v>
      </c>
      <c r="AE50" s="1586" t="s">
        <v>3636</v>
      </c>
      <c r="AF50" s="1586" t="s">
        <v>10184</v>
      </c>
      <c r="AG50" s="1586" t="s">
        <v>10185</v>
      </c>
      <c r="AH50" s="1586" t="s">
        <v>2527</v>
      </c>
      <c r="AI50" s="1586" t="s">
        <v>6201</v>
      </c>
      <c r="AJ50" s="1586" t="s">
        <v>10186</v>
      </c>
      <c r="AK50" s="1586" t="s">
        <v>9702</v>
      </c>
      <c r="AL50" s="1586" t="s">
        <v>10187</v>
      </c>
      <c r="AM50" s="1586" t="s">
        <v>2709</v>
      </c>
      <c r="AN50" s="1586" t="s">
        <v>10188</v>
      </c>
      <c r="AO50" s="1586" t="s">
        <v>7420</v>
      </c>
      <c r="AP50" s="1586" t="s">
        <v>10189</v>
      </c>
      <c r="AQ50" s="1586" t="s">
        <v>10190</v>
      </c>
      <c r="AR50" s="1586" t="s">
        <v>2257</v>
      </c>
      <c r="AS50" s="1586" t="s">
        <v>8244</v>
      </c>
      <c r="AT50" s="1586" t="s">
        <v>10191</v>
      </c>
      <c r="AU50" s="1586" t="s">
        <v>10192</v>
      </c>
      <c r="AV50" s="1474" t="str">
        <f t="shared" si="1"/>
        <v>3:15</v>
      </c>
      <c r="AW50" s="1097"/>
    </row>
    <row r="51">
      <c r="A51" s="1617" t="s">
        <v>2715</v>
      </c>
      <c r="B51" s="1615" t="s">
        <v>9164</v>
      </c>
      <c r="C51" s="1556">
        <v>0.051145833333333335</v>
      </c>
      <c r="D51" s="998" t="s">
        <v>10193</v>
      </c>
      <c r="E51" s="793" t="s">
        <v>4139</v>
      </c>
      <c r="F51" s="793" t="s">
        <v>1683</v>
      </c>
      <c r="G51" s="793" t="s">
        <v>10194</v>
      </c>
      <c r="H51" s="998" t="s">
        <v>10195</v>
      </c>
      <c r="I51" s="793" t="s">
        <v>10101</v>
      </c>
      <c r="J51" s="793" t="s">
        <v>10196</v>
      </c>
      <c r="K51" s="793" t="s">
        <v>10196</v>
      </c>
      <c r="L51" s="793" t="s">
        <v>4143</v>
      </c>
      <c r="M51" s="793" t="s">
        <v>3465</v>
      </c>
      <c r="N51" s="793" t="s">
        <v>10197</v>
      </c>
      <c r="O51" s="793" t="s">
        <v>10198</v>
      </c>
      <c r="P51" s="793" t="s">
        <v>9206</v>
      </c>
      <c r="Q51" s="793" t="s">
        <v>10199</v>
      </c>
      <c r="R51" s="793" t="s">
        <v>10200</v>
      </c>
      <c r="S51" s="1558" t="s">
        <v>6833</v>
      </c>
      <c r="T51" s="793" t="s">
        <v>10201</v>
      </c>
      <c r="U51" s="793" t="s">
        <v>230</v>
      </c>
      <c r="V51" s="793" t="s">
        <v>10202</v>
      </c>
      <c r="W51" s="793" t="s">
        <v>10203</v>
      </c>
      <c r="X51" s="793" t="s">
        <v>10204</v>
      </c>
      <c r="Y51" s="793" t="s">
        <v>598</v>
      </c>
      <c r="Z51" s="793" t="s">
        <v>10205</v>
      </c>
      <c r="AA51" s="793" t="s">
        <v>9938</v>
      </c>
      <c r="AB51" s="793" t="s">
        <v>5932</v>
      </c>
      <c r="AC51" s="793" t="s">
        <v>1236</v>
      </c>
      <c r="AD51" s="793" t="s">
        <v>10206</v>
      </c>
      <c r="AE51" s="793" t="s">
        <v>9648</v>
      </c>
      <c r="AF51" s="793" t="s">
        <v>10207</v>
      </c>
      <c r="AG51" s="793" t="s">
        <v>10208</v>
      </c>
      <c r="AH51" s="793" t="s">
        <v>3763</v>
      </c>
      <c r="AI51" s="793" t="s">
        <v>10209</v>
      </c>
      <c r="AJ51" s="793" t="s">
        <v>10210</v>
      </c>
      <c r="AK51" s="793" t="s">
        <v>10211</v>
      </c>
      <c r="AL51" s="793" t="s">
        <v>4985</v>
      </c>
      <c r="AM51" s="793" t="s">
        <v>3619</v>
      </c>
      <c r="AN51" s="793" t="s">
        <v>5662</v>
      </c>
      <c r="AO51" s="793" t="s">
        <v>5186</v>
      </c>
      <c r="AP51" s="793" t="s">
        <v>10212</v>
      </c>
      <c r="AQ51" s="793" t="s">
        <v>3372</v>
      </c>
      <c r="AR51" s="793" t="s">
        <v>10213</v>
      </c>
      <c r="AS51" s="793" t="s">
        <v>1398</v>
      </c>
      <c r="AT51" s="793" t="s">
        <v>702</v>
      </c>
      <c r="AU51" s="793" t="s">
        <v>10214</v>
      </c>
      <c r="AV51" s="1474" t="str">
        <f t="shared" si="1"/>
        <v>3:47</v>
      </c>
      <c r="AW51" s="1705" t="s">
        <v>10215</v>
      </c>
    </row>
    <row r="52" ht="15.75" customHeight="1">
      <c r="A52" s="1554" t="s">
        <v>10216</v>
      </c>
      <c r="B52" s="1706" t="s">
        <v>9164</v>
      </c>
      <c r="C52" s="1556">
        <v>0.051180555555555556</v>
      </c>
      <c r="D52" s="998" t="s">
        <v>10217</v>
      </c>
      <c r="E52" s="1586" t="s">
        <v>10218</v>
      </c>
      <c r="F52" s="1586" t="s">
        <v>4157</v>
      </c>
      <c r="G52" s="1586" t="s">
        <v>10219</v>
      </c>
      <c r="H52" s="1586" t="s">
        <v>10220</v>
      </c>
      <c r="I52" s="1586" t="s">
        <v>161</v>
      </c>
      <c r="J52" s="1586" t="s">
        <v>887</v>
      </c>
      <c r="K52" s="1586" t="s">
        <v>7133</v>
      </c>
      <c r="L52" s="1586" t="s">
        <v>9381</v>
      </c>
      <c r="M52" s="1586" t="s">
        <v>5952</v>
      </c>
      <c r="N52" s="1586" t="s">
        <v>10221</v>
      </c>
      <c r="O52" s="1586" t="s">
        <v>10222</v>
      </c>
      <c r="P52" s="1586" t="s">
        <v>5621</v>
      </c>
      <c r="Q52" s="1586" t="s">
        <v>6728</v>
      </c>
      <c r="R52" s="1586" t="s">
        <v>10223</v>
      </c>
      <c r="S52" s="1586" t="s">
        <v>9052</v>
      </c>
      <c r="T52" s="1474" t="s">
        <v>4200</v>
      </c>
      <c r="U52" s="1474" t="s">
        <v>10224</v>
      </c>
      <c r="V52" s="1586" t="s">
        <v>1965</v>
      </c>
      <c r="W52" s="1586" t="s">
        <v>10225</v>
      </c>
      <c r="X52" s="1586" t="s">
        <v>10226</v>
      </c>
      <c r="Y52" s="1586" t="s">
        <v>9648</v>
      </c>
      <c r="Z52" s="1586" t="s">
        <v>10227</v>
      </c>
      <c r="AA52" s="1586" t="s">
        <v>10228</v>
      </c>
      <c r="AB52" s="1586" t="s">
        <v>10229</v>
      </c>
      <c r="AC52" s="1586" t="s">
        <v>849</v>
      </c>
      <c r="AD52" s="1586" t="s">
        <v>10136</v>
      </c>
      <c r="AE52" s="1586" t="s">
        <v>3217</v>
      </c>
      <c r="AF52" s="1474" t="s">
        <v>10230</v>
      </c>
      <c r="AG52" s="1586" t="s">
        <v>387</v>
      </c>
      <c r="AH52" s="1586" t="s">
        <v>10231</v>
      </c>
      <c r="AI52" s="1586" t="s">
        <v>10232</v>
      </c>
      <c r="AJ52" s="1586" t="s">
        <v>10233</v>
      </c>
      <c r="AK52" s="1586" t="s">
        <v>10234</v>
      </c>
      <c r="AL52" s="1586" t="s">
        <v>4859</v>
      </c>
      <c r="AM52" s="1586" t="s">
        <v>6967</v>
      </c>
      <c r="AN52" s="1586" t="s">
        <v>9837</v>
      </c>
      <c r="AO52" s="1595" t="str">
        <f>HYPERLINK("https://clips.twitch.tv/AltruisticEmpathicManateeDoritosChip","1:20.90")</f>
        <v>1:20.90</v>
      </c>
      <c r="AP52" s="1586" t="s">
        <v>10235</v>
      </c>
      <c r="AQ52" s="1586" t="s">
        <v>10236</v>
      </c>
      <c r="AR52" s="1586" t="s">
        <v>10237</v>
      </c>
      <c r="AS52" s="1586" t="s">
        <v>9270</v>
      </c>
      <c r="AT52" s="1586" t="s">
        <v>10238</v>
      </c>
      <c r="AU52" s="1586" t="s">
        <v>10239</v>
      </c>
      <c r="AV52" s="1474" t="str">
        <f t="shared" si="1"/>
        <v>2:40</v>
      </c>
      <c r="AW52" s="1649" t="s">
        <v>10240</v>
      </c>
    </row>
    <row r="53" ht="15.75" customHeight="1">
      <c r="A53" s="1617" t="s">
        <v>3751</v>
      </c>
      <c r="B53" s="1698" t="s">
        <v>9164</v>
      </c>
      <c r="C53" s="1707">
        <v>0.05123738425925926</v>
      </c>
      <c r="D53" s="1640" t="s">
        <v>10241</v>
      </c>
      <c r="E53" s="1640" t="s">
        <v>3911</v>
      </c>
      <c r="F53" s="1640" t="s">
        <v>10242</v>
      </c>
      <c r="G53" s="1640" t="s">
        <v>9666</v>
      </c>
      <c r="H53" s="862" t="s">
        <v>10243</v>
      </c>
      <c r="I53" s="862" t="s">
        <v>2560</v>
      </c>
      <c r="J53" s="1623" t="s">
        <v>9874</v>
      </c>
      <c r="K53" s="1623" t="s">
        <v>8283</v>
      </c>
      <c r="L53" s="1623" t="s">
        <v>10244</v>
      </c>
      <c r="M53" s="1623" t="s">
        <v>5573</v>
      </c>
      <c r="N53" s="1708" t="s">
        <v>1162</v>
      </c>
      <c r="O53" s="1623" t="s">
        <v>3458</v>
      </c>
      <c r="P53" s="1623" t="s">
        <v>9314</v>
      </c>
      <c r="Q53" s="1626" t="s">
        <v>10245</v>
      </c>
      <c r="R53" s="1626" t="s">
        <v>9832</v>
      </c>
      <c r="S53" s="1626" t="s">
        <v>10246</v>
      </c>
      <c r="T53" s="1626" t="s">
        <v>10247</v>
      </c>
      <c r="U53" s="1626" t="s">
        <v>10248</v>
      </c>
      <c r="V53" s="1626" t="s">
        <v>4227</v>
      </c>
      <c r="W53" s="1642" t="s">
        <v>10249</v>
      </c>
      <c r="X53" s="1642" t="s">
        <v>10250</v>
      </c>
      <c r="Y53" s="1642" t="s">
        <v>10251</v>
      </c>
      <c r="Z53" s="1642" t="s">
        <v>1353</v>
      </c>
      <c r="AA53" s="1642" t="s">
        <v>9589</v>
      </c>
      <c r="AB53" s="1642" t="s">
        <v>9976</v>
      </c>
      <c r="AC53" s="1642" t="s">
        <v>483</v>
      </c>
      <c r="AD53" s="1640" t="s">
        <v>10252</v>
      </c>
      <c r="AE53" s="1640" t="s">
        <v>5044</v>
      </c>
      <c r="AF53" s="1643" t="s">
        <v>10253</v>
      </c>
      <c r="AG53" s="1643" t="s">
        <v>10254</v>
      </c>
      <c r="AH53" s="1643" t="s">
        <v>10255</v>
      </c>
      <c r="AI53" s="1643" t="s">
        <v>312</v>
      </c>
      <c r="AJ53" s="1643" t="s">
        <v>10256</v>
      </c>
      <c r="AK53" s="1613" t="s">
        <v>9738</v>
      </c>
      <c r="AL53" s="1643" t="s">
        <v>9529</v>
      </c>
      <c r="AM53" s="1645" t="s">
        <v>10257</v>
      </c>
      <c r="AN53" s="1645" t="s">
        <v>571</v>
      </c>
      <c r="AO53" s="1645" t="s">
        <v>10258</v>
      </c>
      <c r="AP53" s="1645" t="s">
        <v>10259</v>
      </c>
      <c r="AQ53" s="998" t="s">
        <v>10260</v>
      </c>
      <c r="AR53" s="1709" t="s">
        <v>10261</v>
      </c>
      <c r="AS53" s="1645" t="s">
        <v>10262</v>
      </c>
      <c r="AT53" s="1623" t="s">
        <v>10263</v>
      </c>
      <c r="AU53" s="1607" t="s">
        <v>10264</v>
      </c>
      <c r="AV53" s="1474" t="str">
        <f t="shared" si="1"/>
        <v>4:25</v>
      </c>
      <c r="AW53" s="1608" t="s">
        <v>10265</v>
      </c>
    </row>
    <row r="54" ht="15.75" customHeight="1">
      <c r="A54" s="1617" t="s">
        <v>1722</v>
      </c>
      <c r="B54" s="1710" t="s">
        <v>9217</v>
      </c>
      <c r="C54" s="1691">
        <v>0.051319444444444445</v>
      </c>
      <c r="D54" s="998" t="s">
        <v>10266</v>
      </c>
      <c r="E54" s="1474" t="s">
        <v>10267</v>
      </c>
      <c r="F54" s="1474" t="s">
        <v>10268</v>
      </c>
      <c r="G54" s="1474" t="s">
        <v>10269</v>
      </c>
      <c r="H54" s="1474" t="s">
        <v>5105</v>
      </c>
      <c r="I54" s="1474" t="s">
        <v>6627</v>
      </c>
      <c r="J54" s="1474" t="s">
        <v>10270</v>
      </c>
      <c r="K54" s="1474" t="s">
        <v>9333</v>
      </c>
      <c r="L54" s="1474" t="s">
        <v>3901</v>
      </c>
      <c r="M54" s="1474" t="s">
        <v>10020</v>
      </c>
      <c r="N54" s="1474" t="s">
        <v>9816</v>
      </c>
      <c r="O54" s="1474" t="s">
        <v>10271</v>
      </c>
      <c r="P54" s="1711" t="s">
        <v>9226</v>
      </c>
      <c r="Q54" s="1474" t="s">
        <v>10272</v>
      </c>
      <c r="R54" s="1474" t="s">
        <v>5941</v>
      </c>
      <c r="S54" s="1474" t="s">
        <v>1160</v>
      </c>
      <c r="T54" s="1474" t="s">
        <v>10273</v>
      </c>
      <c r="U54" s="1474" t="s">
        <v>1075</v>
      </c>
      <c r="V54" s="1474" t="s">
        <v>452</v>
      </c>
      <c r="W54" s="1474" t="s">
        <v>10274</v>
      </c>
      <c r="X54" s="1474" t="s">
        <v>309</v>
      </c>
      <c r="Y54" s="1474" t="s">
        <v>10275</v>
      </c>
      <c r="Z54" s="1474" t="s">
        <v>6972</v>
      </c>
      <c r="AA54" s="1474" t="s">
        <v>10051</v>
      </c>
      <c r="AB54" s="1474" t="s">
        <v>4520</v>
      </c>
      <c r="AC54" s="1474" t="s">
        <v>6157</v>
      </c>
      <c r="AD54" s="1474" t="s">
        <v>10276</v>
      </c>
      <c r="AE54" s="1711" t="s">
        <v>5590</v>
      </c>
      <c r="AF54" s="1711" t="s">
        <v>2804</v>
      </c>
      <c r="AG54" s="1474" t="s">
        <v>4603</v>
      </c>
      <c r="AH54" s="1474" t="s">
        <v>10277</v>
      </c>
      <c r="AI54" s="1474" t="s">
        <v>10278</v>
      </c>
      <c r="AJ54" s="1474" t="s">
        <v>10279</v>
      </c>
      <c r="AK54" s="1474" t="s">
        <v>6109</v>
      </c>
      <c r="AL54" s="1474" t="s">
        <v>6340</v>
      </c>
      <c r="AM54" s="1711" t="s">
        <v>9240</v>
      </c>
      <c r="AN54" s="1586" t="s">
        <v>2475</v>
      </c>
      <c r="AO54" s="1474" t="s">
        <v>4962</v>
      </c>
      <c r="AP54" s="1474" t="s">
        <v>10280</v>
      </c>
      <c r="AQ54" s="1474" t="s">
        <v>10281</v>
      </c>
      <c r="AR54" s="1474" t="s">
        <v>8288</v>
      </c>
      <c r="AS54" s="1474" t="s">
        <v>4448</v>
      </c>
      <c r="AT54" s="1474" t="s">
        <v>10282</v>
      </c>
      <c r="AU54" s="1474" t="s">
        <v>10283</v>
      </c>
      <c r="AV54" s="1474" t="str">
        <f t="shared" si="1"/>
        <v>3:15</v>
      </c>
      <c r="AW54" s="1649" t="s">
        <v>10284</v>
      </c>
    </row>
    <row r="55">
      <c r="A55" s="1617" t="s">
        <v>1947</v>
      </c>
      <c r="B55" s="1605" t="s">
        <v>9164</v>
      </c>
      <c r="C55" s="1556">
        <v>0.05133101851851852</v>
      </c>
      <c r="D55" s="1697" t="s">
        <v>10285</v>
      </c>
      <c r="E55" s="1640" t="s">
        <v>10286</v>
      </c>
      <c r="F55" s="1640" t="s">
        <v>10287</v>
      </c>
      <c r="G55" s="1640" t="s">
        <v>10288</v>
      </c>
      <c r="H55" s="862" t="s">
        <v>10289</v>
      </c>
      <c r="I55" s="862" t="s">
        <v>3114</v>
      </c>
      <c r="J55" s="1623" t="s">
        <v>1934</v>
      </c>
      <c r="K55" s="1623" t="s">
        <v>10290</v>
      </c>
      <c r="L55" s="1623" t="s">
        <v>4188</v>
      </c>
      <c r="M55" s="1623" t="s">
        <v>10291</v>
      </c>
      <c r="N55" s="1623" t="s">
        <v>9438</v>
      </c>
      <c r="O55" s="1623" t="s">
        <v>10292</v>
      </c>
      <c r="P55" s="1623" t="s">
        <v>9378</v>
      </c>
      <c r="Q55" s="1626" t="s">
        <v>10293</v>
      </c>
      <c r="R55" s="1626" t="s">
        <v>10065</v>
      </c>
      <c r="S55" s="1626" t="s">
        <v>7510</v>
      </c>
      <c r="T55" s="1626" t="s">
        <v>10070</v>
      </c>
      <c r="U55" s="1626" t="s">
        <v>10294</v>
      </c>
      <c r="V55" s="1626" t="s">
        <v>9851</v>
      </c>
      <c r="W55" s="1642" t="s">
        <v>10295</v>
      </c>
      <c r="X55" s="1642" t="s">
        <v>10296</v>
      </c>
      <c r="Y55" s="1642" t="s">
        <v>5559</v>
      </c>
      <c r="Z55" s="1642" t="s">
        <v>1500</v>
      </c>
      <c r="AA55" s="1642" t="s">
        <v>10297</v>
      </c>
      <c r="AB55" s="1642" t="s">
        <v>6406</v>
      </c>
      <c r="AC55" s="1642" t="s">
        <v>263</v>
      </c>
      <c r="AD55" s="1640" t="s">
        <v>9655</v>
      </c>
      <c r="AE55" s="1640" t="s">
        <v>5559</v>
      </c>
      <c r="AF55" s="1643" t="s">
        <v>10298</v>
      </c>
      <c r="AG55" s="1643" t="s">
        <v>5901</v>
      </c>
      <c r="AH55" s="1643" t="s">
        <v>4069</v>
      </c>
      <c r="AI55" s="1643" t="s">
        <v>10299</v>
      </c>
      <c r="AJ55" s="1643" t="s">
        <v>10300</v>
      </c>
      <c r="AK55" s="1643" t="s">
        <v>10226</v>
      </c>
      <c r="AL55" s="1643" t="s">
        <v>3234</v>
      </c>
      <c r="AM55" s="1645" t="s">
        <v>9680</v>
      </c>
      <c r="AN55" s="1645" t="s">
        <v>4077</v>
      </c>
      <c r="AO55" s="1645" t="s">
        <v>10301</v>
      </c>
      <c r="AP55" s="1645" t="s">
        <v>10302</v>
      </c>
      <c r="AQ55" s="1645" t="s">
        <v>9889</v>
      </c>
      <c r="AR55" s="1645" t="s">
        <v>10303</v>
      </c>
      <c r="AS55" s="1645" t="s">
        <v>9172</v>
      </c>
      <c r="AT55" s="1623" t="s">
        <v>10304</v>
      </c>
      <c r="AU55" s="1607" t="s">
        <v>10305</v>
      </c>
      <c r="AV55" s="1474" t="str">
        <f t="shared" si="1"/>
        <v>1:34</v>
      </c>
      <c r="AW55" s="1668"/>
    </row>
    <row r="56">
      <c r="A56" s="1617" t="s">
        <v>2992</v>
      </c>
      <c r="B56" s="1605" t="s">
        <v>9164</v>
      </c>
      <c r="C56" s="1556">
        <v>0.05134259259259259</v>
      </c>
      <c r="D56" s="1640" t="s">
        <v>10306</v>
      </c>
      <c r="E56" s="1640" t="s">
        <v>6624</v>
      </c>
      <c r="F56" s="1640" t="s">
        <v>10307</v>
      </c>
      <c r="G56" s="1640" t="s">
        <v>10308</v>
      </c>
      <c r="H56" s="1640" t="s">
        <v>10309</v>
      </c>
      <c r="I56" s="1640" t="s">
        <v>1293</v>
      </c>
      <c r="J56" s="1623" t="s">
        <v>5060</v>
      </c>
      <c r="K56" s="1623" t="s">
        <v>9405</v>
      </c>
      <c r="L56" s="1623" t="s">
        <v>4897</v>
      </c>
      <c r="M56" s="1623" t="s">
        <v>3643</v>
      </c>
      <c r="N56" s="1623" t="s">
        <v>2076</v>
      </c>
      <c r="O56" s="1623" t="s">
        <v>10310</v>
      </c>
      <c r="P56" s="1623" t="s">
        <v>4560</v>
      </c>
      <c r="Q56" s="1626" t="s">
        <v>10311</v>
      </c>
      <c r="R56" s="1626" t="s">
        <v>2600</v>
      </c>
      <c r="S56" s="1626" t="s">
        <v>10312</v>
      </c>
      <c r="T56" s="1626" t="s">
        <v>10313</v>
      </c>
      <c r="U56" s="1626" t="s">
        <v>10158</v>
      </c>
      <c r="V56" s="1626" t="s">
        <v>10314</v>
      </c>
      <c r="W56" s="1642" t="s">
        <v>10315</v>
      </c>
      <c r="X56" s="1642" t="s">
        <v>9237</v>
      </c>
      <c r="Y56" s="1642" t="s">
        <v>9900</v>
      </c>
      <c r="Z56" s="1642" t="s">
        <v>3037</v>
      </c>
      <c r="AA56" s="1586" t="s">
        <v>593</v>
      </c>
      <c r="AB56" s="1642" t="s">
        <v>9496</v>
      </c>
      <c r="AC56" s="1642" t="s">
        <v>9777</v>
      </c>
      <c r="AD56" s="1640" t="s">
        <v>10316</v>
      </c>
      <c r="AE56" s="1640" t="s">
        <v>10317</v>
      </c>
      <c r="AF56" s="1643" t="s">
        <v>10318</v>
      </c>
      <c r="AG56" s="1643" t="s">
        <v>10319</v>
      </c>
      <c r="AH56" s="1643" t="s">
        <v>1972</v>
      </c>
      <c r="AI56" s="1643" t="s">
        <v>420</v>
      </c>
      <c r="AJ56" s="1643" t="s">
        <v>10320</v>
      </c>
      <c r="AK56" s="1643" t="s">
        <v>10321</v>
      </c>
      <c r="AL56" s="1643" t="s">
        <v>5766</v>
      </c>
      <c r="AM56" s="1645" t="s">
        <v>10322</v>
      </c>
      <c r="AN56" s="1645" t="s">
        <v>6585</v>
      </c>
      <c r="AO56" s="1645" t="s">
        <v>10323</v>
      </c>
      <c r="AP56" s="1645" t="s">
        <v>10324</v>
      </c>
      <c r="AQ56" s="1645" t="s">
        <v>9889</v>
      </c>
      <c r="AR56" s="1645" t="s">
        <v>9531</v>
      </c>
      <c r="AS56" s="1645" t="s">
        <v>1971</v>
      </c>
      <c r="AT56" s="1623" t="s">
        <v>10325</v>
      </c>
      <c r="AU56" s="1607" t="s">
        <v>10192</v>
      </c>
      <c r="AV56" s="1474" t="str">
        <f t="shared" si="1"/>
        <v>2:56</v>
      </c>
      <c r="AW56" s="1608" t="s">
        <v>10326</v>
      </c>
    </row>
    <row r="57" ht="15.75" customHeight="1">
      <c r="A57" s="1583" t="s">
        <v>1415</v>
      </c>
      <c r="B57" s="1710" t="s">
        <v>9217</v>
      </c>
      <c r="C57" s="1691">
        <v>0.05134259259259259</v>
      </c>
      <c r="D57" s="998" t="s">
        <v>10327</v>
      </c>
      <c r="E57" s="1669" t="s">
        <v>6035</v>
      </c>
      <c r="F57" s="1669" t="s">
        <v>10307</v>
      </c>
      <c r="G57" s="1669" t="s">
        <v>10328</v>
      </c>
      <c r="H57" s="925" t="s">
        <v>10329</v>
      </c>
      <c r="I57" s="1712" t="s">
        <v>350</v>
      </c>
      <c r="J57" s="1670" t="s">
        <v>10330</v>
      </c>
      <c r="K57" s="1670" t="s">
        <v>4048</v>
      </c>
      <c r="L57" s="1713" t="s">
        <v>3811</v>
      </c>
      <c r="M57" s="1670" t="s">
        <v>5719</v>
      </c>
      <c r="N57" s="1670" t="s">
        <v>7421</v>
      </c>
      <c r="O57" s="1713" t="s">
        <v>9225</v>
      </c>
      <c r="P57" s="1670" t="s">
        <v>388</v>
      </c>
      <c r="Q57" s="1671" t="s">
        <v>10331</v>
      </c>
      <c r="R57" s="1671" t="s">
        <v>1623</v>
      </c>
      <c r="S57" s="1671" t="s">
        <v>10332</v>
      </c>
      <c r="T57" s="1714" t="s">
        <v>9229</v>
      </c>
      <c r="U57" s="1671" t="s">
        <v>10333</v>
      </c>
      <c r="V57" s="1671" t="s">
        <v>4071</v>
      </c>
      <c r="W57" s="1715" t="s">
        <v>9231</v>
      </c>
      <c r="X57" s="1672" t="s">
        <v>4374</v>
      </c>
      <c r="Y57" s="1672" t="s">
        <v>6627</v>
      </c>
      <c r="Z57" s="1672" t="s">
        <v>7249</v>
      </c>
      <c r="AA57" s="1672" t="s">
        <v>9738</v>
      </c>
      <c r="AB57" s="1715" t="s">
        <v>9235</v>
      </c>
      <c r="AC57" s="1672" t="s">
        <v>7624</v>
      </c>
      <c r="AD57" s="1645" t="s">
        <v>10334</v>
      </c>
      <c r="AE57" s="1669" t="s">
        <v>10335</v>
      </c>
      <c r="AF57" s="1673" t="s">
        <v>10336</v>
      </c>
      <c r="AG57" s="1673" t="s">
        <v>10337</v>
      </c>
      <c r="AH57" s="1673" t="s">
        <v>10338</v>
      </c>
      <c r="AI57" s="1673" t="s">
        <v>10339</v>
      </c>
      <c r="AJ57" s="1673" t="s">
        <v>10340</v>
      </c>
      <c r="AK57" s="1716" t="s">
        <v>886</v>
      </c>
      <c r="AL57" s="1673" t="s">
        <v>1563</v>
      </c>
      <c r="AM57" s="1644" t="s">
        <v>10185</v>
      </c>
      <c r="AN57" s="1645" t="s">
        <v>4692</v>
      </c>
      <c r="AO57" s="1644" t="s">
        <v>10341</v>
      </c>
      <c r="AP57" s="1644" t="s">
        <v>10342</v>
      </c>
      <c r="AQ57" s="1644" t="s">
        <v>10343</v>
      </c>
      <c r="AR57" s="1644" t="s">
        <v>10344</v>
      </c>
      <c r="AS57" s="1644" t="s">
        <v>4632</v>
      </c>
      <c r="AT57" s="1670" t="s">
        <v>10345</v>
      </c>
      <c r="AU57" s="1667" t="s">
        <v>10346</v>
      </c>
      <c r="AV57" s="1474" t="str">
        <f t="shared" si="1"/>
        <v>1:58</v>
      </c>
      <c r="AW57" s="1668"/>
    </row>
    <row r="58" ht="15.75" customHeight="1">
      <c r="A58" s="1554" t="s">
        <v>3381</v>
      </c>
      <c r="B58" s="1555" t="s">
        <v>9164</v>
      </c>
      <c r="C58" s="1691">
        <v>0.05134259259259259</v>
      </c>
      <c r="D58" s="998" t="s">
        <v>10347</v>
      </c>
      <c r="E58" s="1474" t="s">
        <v>10348</v>
      </c>
      <c r="F58" s="1474" t="s">
        <v>10349</v>
      </c>
      <c r="G58" s="1474" t="s">
        <v>7285</v>
      </c>
      <c r="H58" s="1474" t="s">
        <v>9427</v>
      </c>
      <c r="I58" s="1474" t="s">
        <v>6343</v>
      </c>
      <c r="J58" s="1474" t="s">
        <v>10350</v>
      </c>
      <c r="K58" s="1474" t="s">
        <v>3976</v>
      </c>
      <c r="L58" s="1474" t="s">
        <v>10351</v>
      </c>
      <c r="M58" s="1474" t="s">
        <v>10352</v>
      </c>
      <c r="N58" s="1474" t="s">
        <v>2925</v>
      </c>
      <c r="O58" s="1474" t="s">
        <v>10353</v>
      </c>
      <c r="P58" s="1474" t="s">
        <v>1005</v>
      </c>
      <c r="Q58" s="1474" t="s">
        <v>2466</v>
      </c>
      <c r="R58" s="1474" t="s">
        <v>10065</v>
      </c>
      <c r="S58" s="1474" t="s">
        <v>9934</v>
      </c>
      <c r="T58" s="1474" t="s">
        <v>10354</v>
      </c>
      <c r="U58" s="1474" t="s">
        <v>10355</v>
      </c>
      <c r="V58" s="1474" t="s">
        <v>9679</v>
      </c>
      <c r="W58" s="1474" t="s">
        <v>10356</v>
      </c>
      <c r="X58" s="1474" t="s">
        <v>10357</v>
      </c>
      <c r="Y58" s="1474" t="s">
        <v>388</v>
      </c>
      <c r="Z58" s="1474" t="s">
        <v>7194</v>
      </c>
      <c r="AA58" s="1474" t="s">
        <v>9884</v>
      </c>
      <c r="AB58" s="1474" t="s">
        <v>9299</v>
      </c>
      <c r="AC58" s="1474" t="s">
        <v>849</v>
      </c>
      <c r="AD58" s="1474" t="s">
        <v>10358</v>
      </c>
      <c r="AE58" s="1474" t="s">
        <v>388</v>
      </c>
      <c r="AF58" s="1474" t="s">
        <v>10359</v>
      </c>
      <c r="AG58" s="1474" t="s">
        <v>10360</v>
      </c>
      <c r="AH58" s="1474" t="s">
        <v>5319</v>
      </c>
      <c r="AI58" s="1474" t="s">
        <v>10361</v>
      </c>
      <c r="AJ58" s="1474" t="s">
        <v>10300</v>
      </c>
      <c r="AK58" s="1474" t="s">
        <v>6939</v>
      </c>
      <c r="AL58" s="1474" t="s">
        <v>3317</v>
      </c>
      <c r="AM58" s="1474" t="s">
        <v>4152</v>
      </c>
      <c r="AN58" s="1474" t="s">
        <v>5795</v>
      </c>
      <c r="AO58" s="1474" t="s">
        <v>6542</v>
      </c>
      <c r="AP58" s="1474" t="s">
        <v>10362</v>
      </c>
      <c r="AQ58" s="1474" t="s">
        <v>10363</v>
      </c>
      <c r="AR58" s="1474" t="s">
        <v>10364</v>
      </c>
      <c r="AS58" s="1644" t="s">
        <v>4436</v>
      </c>
      <c r="AT58" s="1474" t="s">
        <v>10365</v>
      </c>
      <c r="AU58" s="1474" t="s">
        <v>9615</v>
      </c>
      <c r="AV58" s="1474" t="str">
        <f t="shared" si="1"/>
        <v>2:27</v>
      </c>
      <c r="AW58" s="1649"/>
    </row>
    <row r="59" ht="15.75" customHeight="1">
      <c r="A59" s="1617" t="s">
        <v>1348</v>
      </c>
      <c r="B59" s="1615" t="s">
        <v>9217</v>
      </c>
      <c r="C59" s="1556">
        <v>0.05140046296296296</v>
      </c>
      <c r="D59" s="1586" t="s">
        <v>10366</v>
      </c>
      <c r="E59" s="1586" t="s">
        <v>1746</v>
      </c>
      <c r="F59" s="1586" t="s">
        <v>10367</v>
      </c>
      <c r="G59" s="1701" t="s">
        <v>9221</v>
      </c>
      <c r="H59" s="998" t="s">
        <v>10368</v>
      </c>
      <c r="I59" s="1586" t="s">
        <v>1669</v>
      </c>
      <c r="J59" s="1701" t="s">
        <v>9223</v>
      </c>
      <c r="K59" s="1586" t="s">
        <v>7156</v>
      </c>
      <c r="L59" s="1586" t="s">
        <v>10369</v>
      </c>
      <c r="M59" s="1701" t="s">
        <v>9224</v>
      </c>
      <c r="N59" s="1586" t="s">
        <v>10370</v>
      </c>
      <c r="O59" s="1586" t="s">
        <v>10371</v>
      </c>
      <c r="P59" s="1586" t="s">
        <v>1114</v>
      </c>
      <c r="Q59" s="1586" t="s">
        <v>10155</v>
      </c>
      <c r="R59" s="1586" t="s">
        <v>10372</v>
      </c>
      <c r="S59" s="1586" t="s">
        <v>9212</v>
      </c>
      <c r="T59" s="1586" t="s">
        <v>10373</v>
      </c>
      <c r="U59" s="1586" t="s">
        <v>10080</v>
      </c>
      <c r="V59" s="1586" t="s">
        <v>5992</v>
      </c>
      <c r="W59" s="1586" t="s">
        <v>10374</v>
      </c>
      <c r="X59" s="1586" t="s">
        <v>630</v>
      </c>
      <c r="Y59" s="1586" t="s">
        <v>10375</v>
      </c>
      <c r="Z59" s="1586" t="s">
        <v>10376</v>
      </c>
      <c r="AA59" s="1717" t="s">
        <v>9234</v>
      </c>
      <c r="AB59" s="1586" t="s">
        <v>6084</v>
      </c>
      <c r="AC59" s="1586" t="s">
        <v>10377</v>
      </c>
      <c r="AD59" s="1586" t="s">
        <v>9598</v>
      </c>
      <c r="AE59" s="1586" t="s">
        <v>2606</v>
      </c>
      <c r="AF59" s="1586" t="s">
        <v>10378</v>
      </c>
      <c r="AG59" s="1701" t="s">
        <v>4616</v>
      </c>
      <c r="AH59" s="1701" t="s">
        <v>5339</v>
      </c>
      <c r="AI59" s="1586" t="s">
        <v>10379</v>
      </c>
      <c r="AJ59" s="1586" t="s">
        <v>10380</v>
      </c>
      <c r="AK59" s="1586" t="s">
        <v>7212</v>
      </c>
      <c r="AL59" s="1586" t="s">
        <v>3900</v>
      </c>
      <c r="AM59" s="1586" t="s">
        <v>10381</v>
      </c>
      <c r="AN59" s="1586" t="s">
        <v>3822</v>
      </c>
      <c r="AO59" s="1701" t="s">
        <v>9242</v>
      </c>
      <c r="AP59" s="1718" t="s">
        <v>9243</v>
      </c>
      <c r="AQ59" s="1586" t="s">
        <v>3245</v>
      </c>
      <c r="AR59" s="1586" t="s">
        <v>1619</v>
      </c>
      <c r="AS59" s="1586" t="s">
        <v>4719</v>
      </c>
      <c r="AT59" s="1586" t="s">
        <v>10382</v>
      </c>
      <c r="AU59" s="1586" t="s">
        <v>9615</v>
      </c>
      <c r="AV59" s="1474" t="str">
        <f t="shared" si="1"/>
        <v>2:22</v>
      </c>
      <c r="AW59" s="1616" t="s">
        <v>10383</v>
      </c>
    </row>
    <row r="60" ht="15.75" customHeight="1">
      <c r="A60" s="1617" t="s">
        <v>4054</v>
      </c>
      <c r="B60" s="1605" t="s">
        <v>9164</v>
      </c>
      <c r="C60" s="1556">
        <v>0.05153935185185185</v>
      </c>
      <c r="D60" s="793" t="s">
        <v>10384</v>
      </c>
      <c r="E60" s="793" t="s">
        <v>7871</v>
      </c>
      <c r="F60" s="793" t="s">
        <v>10385</v>
      </c>
      <c r="G60" s="793" t="s">
        <v>4969</v>
      </c>
      <c r="H60" s="998" t="s">
        <v>10386</v>
      </c>
      <c r="I60" s="793" t="s">
        <v>1293</v>
      </c>
      <c r="J60" s="793" t="s">
        <v>10387</v>
      </c>
      <c r="K60" s="793" t="s">
        <v>3679</v>
      </c>
      <c r="L60" s="793" t="s">
        <v>4227</v>
      </c>
      <c r="M60" s="793" t="s">
        <v>6784</v>
      </c>
      <c r="N60" s="793" t="s">
        <v>10388</v>
      </c>
      <c r="O60" s="793" t="s">
        <v>3804</v>
      </c>
      <c r="P60" s="793" t="s">
        <v>8250</v>
      </c>
      <c r="Q60" s="793" t="s">
        <v>10389</v>
      </c>
      <c r="R60" s="793" t="s">
        <v>3440</v>
      </c>
      <c r="S60" s="1719" t="s">
        <v>10018</v>
      </c>
      <c r="T60" s="793" t="s">
        <v>9836</v>
      </c>
      <c r="U60" s="793" t="s">
        <v>10390</v>
      </c>
      <c r="V60" s="793" t="s">
        <v>1704</v>
      </c>
      <c r="W60" s="793" t="s">
        <v>10391</v>
      </c>
      <c r="X60" s="793" t="s">
        <v>1762</v>
      </c>
      <c r="Y60" s="793" t="s">
        <v>3693</v>
      </c>
      <c r="Z60" s="793" t="s">
        <v>6963</v>
      </c>
      <c r="AA60" s="793" t="s">
        <v>964</v>
      </c>
      <c r="AB60" s="793" t="s">
        <v>10392</v>
      </c>
      <c r="AC60" s="793" t="s">
        <v>10377</v>
      </c>
      <c r="AD60" s="793" t="s">
        <v>10393</v>
      </c>
      <c r="AE60" s="793" t="s">
        <v>4976</v>
      </c>
      <c r="AF60" s="1562" t="s">
        <v>10394</v>
      </c>
      <c r="AG60" s="793" t="s">
        <v>10395</v>
      </c>
      <c r="AH60" s="793" t="s">
        <v>10396</v>
      </c>
      <c r="AI60" s="793" t="s">
        <v>10397</v>
      </c>
      <c r="AJ60" s="793" t="s">
        <v>10398</v>
      </c>
      <c r="AK60" s="793" t="s">
        <v>5160</v>
      </c>
      <c r="AL60" s="793" t="s">
        <v>10187</v>
      </c>
      <c r="AM60" s="793" t="s">
        <v>10379</v>
      </c>
      <c r="AN60" s="793" t="s">
        <v>2595</v>
      </c>
      <c r="AO60" s="793" t="s">
        <v>5838</v>
      </c>
      <c r="AP60" s="1719" t="s">
        <v>10123</v>
      </c>
      <c r="AQ60" s="793" t="s">
        <v>10399</v>
      </c>
      <c r="AR60" s="793" t="s">
        <v>5060</v>
      </c>
      <c r="AS60" s="793" t="s">
        <v>9270</v>
      </c>
      <c r="AT60" s="793" t="s">
        <v>10400</v>
      </c>
      <c r="AU60" s="793" t="s">
        <v>10401</v>
      </c>
      <c r="AV60" s="1474" t="str">
        <f t="shared" si="1"/>
        <v>2:41</v>
      </c>
      <c r="AW60" s="1720" t="s">
        <v>10402</v>
      </c>
    </row>
    <row r="61" ht="15.75" customHeight="1">
      <c r="A61" s="1554" t="s">
        <v>2027</v>
      </c>
      <c r="B61" s="1555" t="s">
        <v>9164</v>
      </c>
      <c r="C61" s="1556">
        <v>0.05157407407407407</v>
      </c>
      <c r="D61" s="998" t="s">
        <v>10403</v>
      </c>
      <c r="E61" s="1640" t="s">
        <v>10404</v>
      </c>
      <c r="F61" s="1640" t="s">
        <v>10405</v>
      </c>
      <c r="G61" s="1669" t="s">
        <v>9895</v>
      </c>
      <c r="H61" s="925" t="s">
        <v>10406</v>
      </c>
      <c r="I61" s="925" t="s">
        <v>2100</v>
      </c>
      <c r="J61" s="1670" t="s">
        <v>5529</v>
      </c>
      <c r="K61" s="1670" t="s">
        <v>3507</v>
      </c>
      <c r="L61" s="1670" t="s">
        <v>10407</v>
      </c>
      <c r="M61" s="1670" t="s">
        <v>10062</v>
      </c>
      <c r="N61" s="1670" t="s">
        <v>1232</v>
      </c>
      <c r="O61" s="1670" t="s">
        <v>10374</v>
      </c>
      <c r="P61" s="1670" t="s">
        <v>10408</v>
      </c>
      <c r="Q61" s="1671" t="s">
        <v>10409</v>
      </c>
      <c r="R61" s="1671" t="s">
        <v>10410</v>
      </c>
      <c r="S61" s="1671" t="s">
        <v>10411</v>
      </c>
      <c r="T61" s="1671" t="s">
        <v>6967</v>
      </c>
      <c r="U61" s="1671" t="s">
        <v>2750</v>
      </c>
      <c r="V61" s="1671" t="s">
        <v>5131</v>
      </c>
      <c r="W61" s="1672" t="s">
        <v>10412</v>
      </c>
      <c r="X61" s="1672" t="s">
        <v>10413</v>
      </c>
      <c r="Y61" s="1672" t="s">
        <v>10275</v>
      </c>
      <c r="Z61" s="1672" t="s">
        <v>9235</v>
      </c>
      <c r="AA61" s="1672" t="s">
        <v>6201</v>
      </c>
      <c r="AB61" s="1672" t="s">
        <v>5932</v>
      </c>
      <c r="AC61" s="1672" t="s">
        <v>6492</v>
      </c>
      <c r="AD61" s="1640" t="s">
        <v>10414</v>
      </c>
      <c r="AE61" s="1669" t="s">
        <v>5610</v>
      </c>
      <c r="AF61" s="1673" t="s">
        <v>10415</v>
      </c>
      <c r="AG61" s="1673" t="s">
        <v>10416</v>
      </c>
      <c r="AH61" s="1673" t="s">
        <v>10417</v>
      </c>
      <c r="AI61" s="1673" t="s">
        <v>1105</v>
      </c>
      <c r="AJ61" s="1673" t="s">
        <v>10418</v>
      </c>
      <c r="AK61" s="1643" t="s">
        <v>630</v>
      </c>
      <c r="AL61" s="1643" t="s">
        <v>10419</v>
      </c>
      <c r="AM61" s="1644" t="s">
        <v>3734</v>
      </c>
      <c r="AN61" s="1644" t="s">
        <v>10420</v>
      </c>
      <c r="AO61" s="1644" t="s">
        <v>10421</v>
      </c>
      <c r="AP61" s="1644" t="s">
        <v>10422</v>
      </c>
      <c r="AQ61" s="1644" t="s">
        <v>10423</v>
      </c>
      <c r="AR61" s="1645" t="s">
        <v>7501</v>
      </c>
      <c r="AS61" s="1644" t="s">
        <v>4436</v>
      </c>
      <c r="AT61" s="1670" t="s">
        <v>10424</v>
      </c>
      <c r="AU61" s="1667" t="s">
        <v>10425</v>
      </c>
      <c r="AV61" s="1474" t="str">
        <f t="shared" si="1"/>
        <v>4:40</v>
      </c>
      <c r="AW61" s="1668" t="s">
        <v>10426</v>
      </c>
    </row>
    <row r="62" ht="15.75" customHeight="1">
      <c r="A62" s="1617" t="s">
        <v>10427</v>
      </c>
      <c r="B62" s="1605" t="s">
        <v>9164</v>
      </c>
      <c r="C62" s="1556">
        <v>0.051631944444444446</v>
      </c>
      <c r="D62" s="1640" t="s">
        <v>10428</v>
      </c>
      <c r="E62" s="1640" t="s">
        <v>7685</v>
      </c>
      <c r="F62" s="1640" t="s">
        <v>9360</v>
      </c>
      <c r="G62" s="1640" t="s">
        <v>10429</v>
      </c>
      <c r="H62" s="862" t="s">
        <v>10430</v>
      </c>
      <c r="I62" s="862" t="s">
        <v>10431</v>
      </c>
      <c r="J62" s="1623" t="s">
        <v>10432</v>
      </c>
      <c r="K62" s="1623" t="s">
        <v>7212</v>
      </c>
      <c r="L62" s="1623" t="s">
        <v>4468</v>
      </c>
      <c r="M62" s="1623" t="s">
        <v>10433</v>
      </c>
      <c r="N62" s="1623" t="s">
        <v>9833</v>
      </c>
      <c r="O62" s="1623" t="s">
        <v>10434</v>
      </c>
      <c r="P62" s="1623" t="s">
        <v>2177</v>
      </c>
      <c r="Q62" s="1626" t="s">
        <v>10435</v>
      </c>
      <c r="R62" s="1626" t="s">
        <v>5941</v>
      </c>
      <c r="S62" s="1626" t="s">
        <v>5682</v>
      </c>
      <c r="T62" s="1626" t="s">
        <v>6324</v>
      </c>
      <c r="U62" s="1626" t="s">
        <v>10436</v>
      </c>
      <c r="V62" s="1626" t="s">
        <v>10437</v>
      </c>
      <c r="W62" s="1642" t="s">
        <v>10438</v>
      </c>
      <c r="X62" s="1642" t="s">
        <v>630</v>
      </c>
      <c r="Y62" s="1642" t="s">
        <v>5123</v>
      </c>
      <c r="Z62" s="1642" t="s">
        <v>10439</v>
      </c>
      <c r="AA62" s="1586" t="s">
        <v>10440</v>
      </c>
      <c r="AB62" s="1642" t="s">
        <v>10028</v>
      </c>
      <c r="AC62" s="1642" t="s">
        <v>4759</v>
      </c>
      <c r="AD62" s="1640" t="s">
        <v>10441</v>
      </c>
      <c r="AE62" s="1640" t="s">
        <v>9730</v>
      </c>
      <c r="AF62" s="1721" t="s">
        <v>10442</v>
      </c>
      <c r="AG62" s="1643" t="s">
        <v>7835</v>
      </c>
      <c r="AH62" s="1643" t="s">
        <v>10417</v>
      </c>
      <c r="AI62" s="1643" t="s">
        <v>4125</v>
      </c>
      <c r="AJ62" s="1643" t="s">
        <v>10443</v>
      </c>
      <c r="AK62" s="1643" t="s">
        <v>1521</v>
      </c>
      <c r="AL62" s="1643" t="s">
        <v>3487</v>
      </c>
      <c r="AM62" s="1645" t="s">
        <v>6201</v>
      </c>
      <c r="AN62" s="1645" t="s">
        <v>5766</v>
      </c>
      <c r="AO62" s="1645" t="s">
        <v>7605</v>
      </c>
      <c r="AP62" s="1645" t="s">
        <v>10444</v>
      </c>
      <c r="AQ62" s="1645" t="s">
        <v>3515</v>
      </c>
      <c r="AR62" s="1645" t="s">
        <v>9995</v>
      </c>
      <c r="AS62" s="1645" t="s">
        <v>4099</v>
      </c>
      <c r="AT62" s="1623" t="s">
        <v>10445</v>
      </c>
      <c r="AU62" s="1607" t="s">
        <v>10446</v>
      </c>
      <c r="AV62" s="1474" t="str">
        <f t="shared" si="1"/>
        <v>2:25</v>
      </c>
      <c r="AW62" s="1683" t="s">
        <v>10447</v>
      </c>
    </row>
    <row r="63" ht="15.75" customHeight="1">
      <c r="A63" s="1681" t="s">
        <v>10448</v>
      </c>
      <c r="B63" s="1555" t="s">
        <v>9164</v>
      </c>
      <c r="C63" s="1691">
        <v>0.051631944444444446</v>
      </c>
      <c r="D63" s="998" t="s">
        <v>10449</v>
      </c>
      <c r="E63" s="333" t="s">
        <v>8818</v>
      </c>
      <c r="F63" s="333" t="s">
        <v>9243</v>
      </c>
      <c r="G63" s="333" t="s">
        <v>10450</v>
      </c>
      <c r="H63" s="333" t="s">
        <v>10451</v>
      </c>
      <c r="I63" s="333" t="s">
        <v>10377</v>
      </c>
      <c r="J63" s="333" t="s">
        <v>3508</v>
      </c>
      <c r="K63" s="333" t="s">
        <v>10452</v>
      </c>
      <c r="L63" s="333" t="s">
        <v>5277</v>
      </c>
      <c r="M63" s="333" t="s">
        <v>715</v>
      </c>
      <c r="N63" s="333" t="s">
        <v>10453</v>
      </c>
      <c r="O63" s="333" t="s">
        <v>4768</v>
      </c>
      <c r="P63" s="333" t="s">
        <v>5055</v>
      </c>
      <c r="Q63" s="333" t="s">
        <v>10454</v>
      </c>
      <c r="R63" s="333" t="s">
        <v>10455</v>
      </c>
      <c r="S63" s="333" t="s">
        <v>10237</v>
      </c>
      <c r="T63" s="333" t="s">
        <v>9680</v>
      </c>
      <c r="U63" s="333" t="s">
        <v>10456</v>
      </c>
      <c r="V63" s="333" t="s">
        <v>10457</v>
      </c>
      <c r="W63" s="333" t="s">
        <v>10458</v>
      </c>
      <c r="X63" s="333" t="s">
        <v>10379</v>
      </c>
      <c r="Y63" s="333" t="s">
        <v>4759</v>
      </c>
      <c r="Z63" s="333" t="s">
        <v>6834</v>
      </c>
      <c r="AA63" s="333" t="s">
        <v>5940</v>
      </c>
      <c r="AB63" s="333" t="s">
        <v>10459</v>
      </c>
      <c r="AC63" s="333" t="s">
        <v>388</v>
      </c>
      <c r="AD63" s="333" t="s">
        <v>6147</v>
      </c>
      <c r="AE63" s="333" t="s">
        <v>3114</v>
      </c>
      <c r="AF63" s="333" t="s">
        <v>10129</v>
      </c>
      <c r="AG63" s="333" t="s">
        <v>10460</v>
      </c>
      <c r="AH63" s="333" t="s">
        <v>5497</v>
      </c>
      <c r="AI63" s="333" t="s">
        <v>3583</v>
      </c>
      <c r="AJ63" s="333" t="s">
        <v>10461</v>
      </c>
      <c r="AK63" s="333" t="s">
        <v>10297</v>
      </c>
      <c r="AL63" s="333" t="s">
        <v>5312</v>
      </c>
      <c r="AM63" s="333" t="s">
        <v>10462</v>
      </c>
      <c r="AN63" s="333" t="s">
        <v>9028</v>
      </c>
      <c r="AO63" s="333" t="s">
        <v>5172</v>
      </c>
      <c r="AP63" s="333" t="s">
        <v>10463</v>
      </c>
      <c r="AQ63" s="333" t="s">
        <v>3700</v>
      </c>
      <c r="AR63" s="333" t="s">
        <v>9818</v>
      </c>
      <c r="AS63" s="333" t="s">
        <v>4745</v>
      </c>
      <c r="AT63" s="333" t="s">
        <v>10464</v>
      </c>
      <c r="AU63" s="1722" t="str">
        <f>HYPERLINK("https://splits.io/pc9","1:16:48")</f>
        <v>1:16:48</v>
      </c>
      <c r="AV63" s="1474" t="str">
        <f t="shared" si="1"/>
        <v>2:27</v>
      </c>
      <c r="AW63" s="1723" t="s">
        <v>10465</v>
      </c>
    </row>
    <row r="64" ht="15.75" customHeight="1">
      <c r="A64" s="1554" t="s">
        <v>5929</v>
      </c>
      <c r="B64" s="1555" t="s">
        <v>9164</v>
      </c>
      <c r="C64" s="1691">
        <v>0.051631944444444446</v>
      </c>
      <c r="D64" s="998" t="s">
        <v>10466</v>
      </c>
      <c r="E64" s="333" t="s">
        <v>7871</v>
      </c>
      <c r="F64" s="333" t="s">
        <v>10467</v>
      </c>
      <c r="G64" s="333" t="s">
        <v>5428</v>
      </c>
      <c r="H64" s="333" t="s">
        <v>10040</v>
      </c>
      <c r="I64" s="333" t="s">
        <v>4759</v>
      </c>
      <c r="J64" s="333" t="s">
        <v>9350</v>
      </c>
      <c r="K64" s="333" t="s">
        <v>9042</v>
      </c>
      <c r="L64" s="333" t="s">
        <v>5915</v>
      </c>
      <c r="M64" s="333" t="s">
        <v>937</v>
      </c>
      <c r="N64" s="333" t="s">
        <v>10468</v>
      </c>
      <c r="O64" s="333" t="s">
        <v>10271</v>
      </c>
      <c r="P64" s="333" t="s">
        <v>10131</v>
      </c>
      <c r="Q64" s="333" t="s">
        <v>10469</v>
      </c>
      <c r="R64" s="333" t="s">
        <v>10410</v>
      </c>
      <c r="S64" s="333" t="s">
        <v>6705</v>
      </c>
      <c r="T64" s="333" t="s">
        <v>10470</v>
      </c>
      <c r="U64" s="333" t="s">
        <v>10471</v>
      </c>
      <c r="V64" s="333" t="s">
        <v>10472</v>
      </c>
      <c r="W64" s="333" t="s">
        <v>10473</v>
      </c>
      <c r="X64" s="333" t="s">
        <v>10474</v>
      </c>
      <c r="Y64" s="333" t="s">
        <v>1165</v>
      </c>
      <c r="Z64" s="333" t="s">
        <v>4886</v>
      </c>
      <c r="AA64" s="333" t="s">
        <v>10475</v>
      </c>
      <c r="AB64" s="333" t="s">
        <v>6885</v>
      </c>
      <c r="AC64" s="333" t="s">
        <v>10476</v>
      </c>
      <c r="AD64" s="333" t="s">
        <v>10477</v>
      </c>
      <c r="AE64" s="793" t="s">
        <v>5559</v>
      </c>
      <c r="AF64" s="333" t="s">
        <v>10478</v>
      </c>
      <c r="AG64" s="333" t="s">
        <v>10479</v>
      </c>
      <c r="AH64" s="333" t="s">
        <v>2255</v>
      </c>
      <c r="AI64" s="333" t="s">
        <v>5340</v>
      </c>
      <c r="AJ64" s="333" t="s">
        <v>8876</v>
      </c>
      <c r="AK64" s="333" t="s">
        <v>1792</v>
      </c>
      <c r="AL64" s="333" t="s">
        <v>5766</v>
      </c>
      <c r="AM64" s="333" t="s">
        <v>10480</v>
      </c>
      <c r="AN64" s="333" t="s">
        <v>10481</v>
      </c>
      <c r="AO64" s="333" t="s">
        <v>9459</v>
      </c>
      <c r="AP64" s="333" t="s">
        <v>10482</v>
      </c>
      <c r="AQ64" s="333" t="s">
        <v>10483</v>
      </c>
      <c r="AR64" s="333" t="s">
        <v>4874</v>
      </c>
      <c r="AS64" s="333" t="s">
        <v>3041</v>
      </c>
      <c r="AT64" s="333" t="s">
        <v>10484</v>
      </c>
      <c r="AU64" s="333" t="s">
        <v>10485</v>
      </c>
      <c r="AV64" s="1474" t="str">
        <f t="shared" si="1"/>
        <v>3:33</v>
      </c>
      <c r="AW64" s="1723"/>
    </row>
    <row r="65" ht="15.75" customHeight="1">
      <c r="A65" s="1554" t="s">
        <v>4245</v>
      </c>
      <c r="B65" s="1555" t="s">
        <v>9164</v>
      </c>
      <c r="C65" s="1691">
        <v>0.05164351851851852</v>
      </c>
      <c r="D65" s="998" t="s">
        <v>10486</v>
      </c>
      <c r="E65" s="333" t="s">
        <v>9369</v>
      </c>
      <c r="F65" s="333" t="s">
        <v>10487</v>
      </c>
      <c r="G65" s="333" t="s">
        <v>9221</v>
      </c>
      <c r="H65" s="333" t="s">
        <v>10488</v>
      </c>
      <c r="I65" s="333" t="s">
        <v>1293</v>
      </c>
      <c r="J65" s="333" t="s">
        <v>806</v>
      </c>
      <c r="K65" s="333" t="s">
        <v>6811</v>
      </c>
      <c r="L65" s="333" t="s">
        <v>3735</v>
      </c>
      <c r="M65" s="333" t="s">
        <v>10433</v>
      </c>
      <c r="N65" s="333" t="s">
        <v>9560</v>
      </c>
      <c r="O65" s="333" t="s">
        <v>10135</v>
      </c>
      <c r="P65" s="333" t="s">
        <v>5218</v>
      </c>
      <c r="Q65" s="333" t="s">
        <v>10489</v>
      </c>
      <c r="R65" s="333" t="s">
        <v>9084</v>
      </c>
      <c r="S65" s="333" t="s">
        <v>10490</v>
      </c>
      <c r="T65" s="333" t="s">
        <v>10491</v>
      </c>
      <c r="U65" s="333" t="s">
        <v>10492</v>
      </c>
      <c r="V65" s="333" t="s">
        <v>10493</v>
      </c>
      <c r="W65" s="333" t="s">
        <v>10494</v>
      </c>
      <c r="X65" s="333" t="s">
        <v>609</v>
      </c>
      <c r="Y65" s="333" t="s">
        <v>10495</v>
      </c>
      <c r="Z65" s="333" t="s">
        <v>7249</v>
      </c>
      <c r="AA65" s="333" t="s">
        <v>5686</v>
      </c>
      <c r="AB65" s="333" t="s">
        <v>7607</v>
      </c>
      <c r="AC65" s="333" t="s">
        <v>7798</v>
      </c>
      <c r="AD65" s="333" t="s">
        <v>10496</v>
      </c>
      <c r="AE65" s="333" t="s">
        <v>1916</v>
      </c>
      <c r="AF65" s="333" t="s">
        <v>10497</v>
      </c>
      <c r="AG65" s="333" t="s">
        <v>528</v>
      </c>
      <c r="AH65" s="333" t="s">
        <v>5497</v>
      </c>
      <c r="AI65" s="333" t="s">
        <v>10498</v>
      </c>
      <c r="AJ65" s="333" t="s">
        <v>10499</v>
      </c>
      <c r="AK65" s="333" t="s">
        <v>10500</v>
      </c>
      <c r="AL65" s="333" t="s">
        <v>5215</v>
      </c>
      <c r="AM65" s="333" t="s">
        <v>9938</v>
      </c>
      <c r="AN65" s="333" t="s">
        <v>9621</v>
      </c>
      <c r="AO65" s="333" t="s">
        <v>10344</v>
      </c>
      <c r="AP65" s="333" t="s">
        <v>10501</v>
      </c>
      <c r="AQ65" s="333" t="s">
        <v>10502</v>
      </c>
      <c r="AR65" s="333" t="s">
        <v>3629</v>
      </c>
      <c r="AS65" s="333" t="s">
        <v>10503</v>
      </c>
      <c r="AT65" s="333" t="s">
        <v>10298</v>
      </c>
      <c r="AU65" s="333" t="s">
        <v>10504</v>
      </c>
      <c r="AV65" s="1474" t="str">
        <f t="shared" si="1"/>
        <v>3:13</v>
      </c>
      <c r="AW65" s="1723" t="s">
        <v>10505</v>
      </c>
    </row>
    <row r="66" ht="15.75" customHeight="1">
      <c r="A66" s="1583" t="s">
        <v>899</v>
      </c>
      <c r="B66" s="1710" t="s">
        <v>9217</v>
      </c>
      <c r="C66" s="1691">
        <v>0.05167824074074074</v>
      </c>
      <c r="D66" s="998" t="s">
        <v>10506</v>
      </c>
      <c r="E66" s="333" t="s">
        <v>10507</v>
      </c>
      <c r="F66" s="333" t="s">
        <v>5946</v>
      </c>
      <c r="G66" s="333" t="s">
        <v>10508</v>
      </c>
      <c r="H66" s="333" t="s">
        <v>10509</v>
      </c>
      <c r="I66" s="333" t="s">
        <v>1904</v>
      </c>
      <c r="J66" s="333" t="s">
        <v>10370</v>
      </c>
      <c r="K66" s="333" t="s">
        <v>9517</v>
      </c>
      <c r="L66" s="333" t="s">
        <v>1965</v>
      </c>
      <c r="M66" s="333" t="s">
        <v>6921</v>
      </c>
      <c r="N66" s="333" t="s">
        <v>10510</v>
      </c>
      <c r="O66" s="333" t="s">
        <v>10511</v>
      </c>
      <c r="P66" s="333" t="s">
        <v>2386</v>
      </c>
      <c r="Q66" s="333" t="s">
        <v>722</v>
      </c>
      <c r="R66" s="333" t="s">
        <v>10512</v>
      </c>
      <c r="S66" s="333" t="s">
        <v>10513</v>
      </c>
      <c r="T66" s="333" t="s">
        <v>10514</v>
      </c>
      <c r="U66" s="333" t="s">
        <v>10092</v>
      </c>
      <c r="V66" s="333" t="s">
        <v>488</v>
      </c>
      <c r="W66" s="333" t="s">
        <v>6008</v>
      </c>
      <c r="X66" s="333" t="s">
        <v>10515</v>
      </c>
      <c r="Y66" s="333" t="s">
        <v>942</v>
      </c>
      <c r="Z66" s="333" t="s">
        <v>3948</v>
      </c>
      <c r="AA66" s="333" t="s">
        <v>1620</v>
      </c>
      <c r="AB66" s="333" t="s">
        <v>10516</v>
      </c>
      <c r="AC66" s="333" t="s">
        <v>9416</v>
      </c>
      <c r="AD66" s="793" t="s">
        <v>10517</v>
      </c>
      <c r="AE66" s="333" t="s">
        <v>1930</v>
      </c>
      <c r="AF66" s="333" t="s">
        <v>9980</v>
      </c>
      <c r="AG66" s="333" t="s">
        <v>7958</v>
      </c>
      <c r="AH66" s="333" t="s">
        <v>4468</v>
      </c>
      <c r="AI66" s="333" t="s">
        <v>1707</v>
      </c>
      <c r="AJ66" s="333" t="s">
        <v>10518</v>
      </c>
      <c r="AK66" s="333" t="s">
        <v>4082</v>
      </c>
      <c r="AL66" s="333" t="s">
        <v>5339</v>
      </c>
      <c r="AM66" s="333" t="s">
        <v>10519</v>
      </c>
      <c r="AN66" s="333" t="s">
        <v>10520</v>
      </c>
      <c r="AO66" s="333" t="s">
        <v>10521</v>
      </c>
      <c r="AP66" s="333" t="s">
        <v>10522</v>
      </c>
      <c r="AQ66" s="333" t="s">
        <v>10523</v>
      </c>
      <c r="AR66" s="333" t="s">
        <v>10524</v>
      </c>
      <c r="AS66" s="333" t="s">
        <v>2578</v>
      </c>
      <c r="AT66" s="333" t="s">
        <v>10525</v>
      </c>
      <c r="AU66" s="333" t="s">
        <v>10526</v>
      </c>
      <c r="AV66" s="1474" t="str">
        <f t="shared" si="1"/>
        <v>2:51</v>
      </c>
      <c r="AW66" s="1724"/>
    </row>
    <row r="67" ht="15.75" customHeight="1">
      <c r="A67" s="1617" t="s">
        <v>4653</v>
      </c>
      <c r="B67" s="1650" t="s">
        <v>9191</v>
      </c>
      <c r="C67" s="1691">
        <v>0.05170138888888889</v>
      </c>
      <c r="D67" s="998" t="s">
        <v>10527</v>
      </c>
      <c r="E67" s="333" t="s">
        <v>4282</v>
      </c>
      <c r="F67" s="333" t="s">
        <v>10084</v>
      </c>
      <c r="G67" s="333" t="s">
        <v>9991</v>
      </c>
      <c r="H67" s="333" t="s">
        <v>10528</v>
      </c>
      <c r="I67" s="333" t="s">
        <v>10529</v>
      </c>
      <c r="J67" s="333" t="s">
        <v>10097</v>
      </c>
      <c r="K67" s="333" t="s">
        <v>9459</v>
      </c>
      <c r="L67" s="333" t="s">
        <v>4102</v>
      </c>
      <c r="M67" s="333" t="s">
        <v>7124</v>
      </c>
      <c r="N67" s="333" t="s">
        <v>6217</v>
      </c>
      <c r="O67" s="333" t="s">
        <v>10222</v>
      </c>
      <c r="P67" s="333" t="s">
        <v>483</v>
      </c>
      <c r="Q67" s="333" t="s">
        <v>2829</v>
      </c>
      <c r="R67" s="333" t="s">
        <v>9261</v>
      </c>
      <c r="S67" s="333" t="s">
        <v>10421</v>
      </c>
      <c r="T67" s="333" t="s">
        <v>2925</v>
      </c>
      <c r="U67" s="333" t="s">
        <v>10530</v>
      </c>
      <c r="V67" s="333" t="s">
        <v>10531</v>
      </c>
      <c r="W67" s="333" t="s">
        <v>10458</v>
      </c>
      <c r="X67" s="333" t="s">
        <v>3734</v>
      </c>
      <c r="Y67" s="333" t="s">
        <v>2449</v>
      </c>
      <c r="Z67" s="333" t="s">
        <v>491</v>
      </c>
      <c r="AA67" s="333" t="s">
        <v>630</v>
      </c>
      <c r="AB67" s="333" t="s">
        <v>10532</v>
      </c>
      <c r="AC67" s="333" t="s">
        <v>5867</v>
      </c>
      <c r="AD67" s="333" t="s">
        <v>10152</v>
      </c>
      <c r="AE67" s="333" t="s">
        <v>143</v>
      </c>
      <c r="AF67" s="333" t="s">
        <v>10533</v>
      </c>
      <c r="AG67" s="333" t="s">
        <v>10534</v>
      </c>
      <c r="AH67" s="333" t="s">
        <v>10535</v>
      </c>
      <c r="AI67" s="333" t="s">
        <v>10536</v>
      </c>
      <c r="AJ67" s="333" t="s">
        <v>10537</v>
      </c>
      <c r="AK67" s="333" t="s">
        <v>9545</v>
      </c>
      <c r="AL67" s="333" t="s">
        <v>4543</v>
      </c>
      <c r="AM67" s="333" t="s">
        <v>10397</v>
      </c>
      <c r="AN67" s="333" t="s">
        <v>10538</v>
      </c>
      <c r="AO67" s="333" t="s">
        <v>10143</v>
      </c>
      <c r="AP67" s="333" t="s">
        <v>3330</v>
      </c>
      <c r="AQ67" s="333" t="s">
        <v>10539</v>
      </c>
      <c r="AR67" s="333" t="s">
        <v>10540</v>
      </c>
      <c r="AS67" s="333" t="s">
        <v>6615</v>
      </c>
      <c r="AT67" s="333" t="s">
        <v>10541</v>
      </c>
      <c r="AU67" s="333" t="s">
        <v>10542</v>
      </c>
      <c r="AV67" s="1474" t="str">
        <f t="shared" si="1"/>
        <v>2:37</v>
      </c>
      <c r="AW67" s="1724" t="s">
        <v>10543</v>
      </c>
    </row>
    <row r="68" ht="15.75" customHeight="1">
      <c r="A68" s="1617" t="s">
        <v>5136</v>
      </c>
      <c r="B68" s="1615" t="s">
        <v>9191</v>
      </c>
      <c r="C68" s="1556">
        <v>0.05171296296296296</v>
      </c>
      <c r="D68" s="1697" t="s">
        <v>10544</v>
      </c>
      <c r="E68" s="793" t="s">
        <v>10545</v>
      </c>
      <c r="F68" s="793" t="s">
        <v>163</v>
      </c>
      <c r="G68" s="793" t="s">
        <v>10546</v>
      </c>
      <c r="H68" s="793" t="s">
        <v>10547</v>
      </c>
      <c r="I68" s="793" t="s">
        <v>10548</v>
      </c>
      <c r="J68" s="793" t="s">
        <v>887</v>
      </c>
      <c r="K68" s="793" t="s">
        <v>4930</v>
      </c>
      <c r="L68" s="793" t="s">
        <v>1956</v>
      </c>
      <c r="M68" s="1725" t="s">
        <v>10549</v>
      </c>
      <c r="N68" s="793" t="s">
        <v>10550</v>
      </c>
      <c r="O68" s="793" t="s">
        <v>1697</v>
      </c>
      <c r="P68" s="793" t="s">
        <v>5123</v>
      </c>
      <c r="Q68" s="793" t="s">
        <v>2678</v>
      </c>
      <c r="R68" s="793" t="s">
        <v>10551</v>
      </c>
      <c r="S68" s="793" t="s">
        <v>9296</v>
      </c>
      <c r="T68" s="793" t="s">
        <v>10552</v>
      </c>
      <c r="U68" s="793" t="s">
        <v>10349</v>
      </c>
      <c r="V68" s="1725" t="s">
        <v>10553</v>
      </c>
      <c r="W68" s="1725" t="s">
        <v>10554</v>
      </c>
      <c r="X68" s="793" t="s">
        <v>10228</v>
      </c>
      <c r="Y68" s="998" t="s">
        <v>2560</v>
      </c>
      <c r="Z68" s="793" t="s">
        <v>1519</v>
      </c>
      <c r="AA68" s="793" t="s">
        <v>200</v>
      </c>
      <c r="AB68" s="1725" t="s">
        <v>10555</v>
      </c>
      <c r="AC68" s="793" t="s">
        <v>1916</v>
      </c>
      <c r="AD68" s="793" t="s">
        <v>10556</v>
      </c>
      <c r="AE68" s="793" t="s">
        <v>3856</v>
      </c>
      <c r="AF68" s="793" t="s">
        <v>10557</v>
      </c>
      <c r="AG68" s="793" t="s">
        <v>528</v>
      </c>
      <c r="AH68" s="793" t="s">
        <v>10558</v>
      </c>
      <c r="AI68" s="793" t="s">
        <v>5522</v>
      </c>
      <c r="AJ68" s="793" t="s">
        <v>10559</v>
      </c>
      <c r="AK68" s="793" t="s">
        <v>10560</v>
      </c>
      <c r="AL68" s="793" t="s">
        <v>1749</v>
      </c>
      <c r="AM68" s="793" t="s">
        <v>10388</v>
      </c>
      <c r="AN68" s="793" t="s">
        <v>10561</v>
      </c>
      <c r="AO68" s="793" t="s">
        <v>2901</v>
      </c>
      <c r="AP68" s="793" t="s">
        <v>2074</v>
      </c>
      <c r="AQ68" s="793" t="s">
        <v>759</v>
      </c>
      <c r="AR68" s="793" t="s">
        <v>10171</v>
      </c>
      <c r="AS68" s="793" t="s">
        <v>8254</v>
      </c>
      <c r="AT68" s="793" t="s">
        <v>10562</v>
      </c>
      <c r="AU68" s="793" t="s">
        <v>10563</v>
      </c>
      <c r="AV68" s="1474" t="str">
        <f t="shared" si="1"/>
        <v>4:14</v>
      </c>
      <c r="AW68" s="1720" t="s">
        <v>10564</v>
      </c>
    </row>
    <row r="69" ht="15.75" customHeight="1">
      <c r="A69" s="1617" t="s">
        <v>2191</v>
      </c>
      <c r="B69" s="1706" t="s">
        <v>9191</v>
      </c>
      <c r="C69" s="1556">
        <v>0.05173611111111111</v>
      </c>
      <c r="D69" s="998" t="s">
        <v>10565</v>
      </c>
      <c r="E69" s="793" t="s">
        <v>10566</v>
      </c>
      <c r="F69" s="793" t="s">
        <v>10567</v>
      </c>
      <c r="G69" s="793" t="s">
        <v>10568</v>
      </c>
      <c r="H69" s="793" t="s">
        <v>7011</v>
      </c>
      <c r="I69" s="793" t="s">
        <v>496</v>
      </c>
      <c r="J69" s="793" t="s">
        <v>9602</v>
      </c>
      <c r="K69" s="793" t="s">
        <v>9175</v>
      </c>
      <c r="L69" s="793" t="s">
        <v>8337</v>
      </c>
      <c r="M69" s="793" t="s">
        <v>3646</v>
      </c>
      <c r="N69" s="793" t="s">
        <v>10569</v>
      </c>
      <c r="O69" s="793" t="s">
        <v>10570</v>
      </c>
      <c r="P69" s="793" t="s">
        <v>3758</v>
      </c>
      <c r="Q69" s="793" t="s">
        <v>10571</v>
      </c>
      <c r="R69" s="793" t="s">
        <v>10512</v>
      </c>
      <c r="S69" s="793" t="s">
        <v>5656</v>
      </c>
      <c r="T69" s="793" t="s">
        <v>10572</v>
      </c>
      <c r="U69" s="793" t="s">
        <v>10573</v>
      </c>
      <c r="V69" s="793" t="s">
        <v>128</v>
      </c>
      <c r="W69" s="793" t="s">
        <v>5690</v>
      </c>
      <c r="X69" s="793" t="s">
        <v>10416</v>
      </c>
      <c r="Y69" s="793" t="s">
        <v>1165</v>
      </c>
      <c r="Z69" s="793" t="s">
        <v>10574</v>
      </c>
      <c r="AA69" s="793" t="s">
        <v>5940</v>
      </c>
      <c r="AB69" s="793" t="s">
        <v>7604</v>
      </c>
      <c r="AC69" s="793" t="s">
        <v>161</v>
      </c>
      <c r="AD69" s="793" t="s">
        <v>10441</v>
      </c>
      <c r="AE69" s="793" t="s">
        <v>9870</v>
      </c>
      <c r="AF69" s="793" t="s">
        <v>9883</v>
      </c>
      <c r="AG69" s="793" t="s">
        <v>10575</v>
      </c>
      <c r="AH69" s="793" t="s">
        <v>10576</v>
      </c>
      <c r="AI69" s="793" t="s">
        <v>10577</v>
      </c>
      <c r="AJ69" s="793" t="s">
        <v>6173</v>
      </c>
      <c r="AK69" s="793" t="s">
        <v>6862</v>
      </c>
      <c r="AL69" s="793" t="s">
        <v>10578</v>
      </c>
      <c r="AM69" s="793" t="s">
        <v>2981</v>
      </c>
      <c r="AN69" s="793" t="s">
        <v>5215</v>
      </c>
      <c r="AO69" s="793" t="s">
        <v>10341</v>
      </c>
      <c r="AP69" s="793" t="s">
        <v>10579</v>
      </c>
      <c r="AQ69" s="793" t="s">
        <v>10580</v>
      </c>
      <c r="AR69" s="793" t="s">
        <v>197</v>
      </c>
      <c r="AS69" s="793" t="s">
        <v>10581</v>
      </c>
      <c r="AT69" s="793" t="s">
        <v>10582</v>
      </c>
      <c r="AU69" s="793" t="s">
        <v>10583</v>
      </c>
      <c r="AV69" s="1474" t="str">
        <f t="shared" si="1"/>
        <v>3:51</v>
      </c>
      <c r="AW69" s="1720" t="s">
        <v>10584</v>
      </c>
    </row>
    <row r="70" ht="15.75" customHeight="1">
      <c r="A70" s="1617" t="s">
        <v>7559</v>
      </c>
      <c r="B70" s="1605" t="s">
        <v>9217</v>
      </c>
      <c r="C70" s="1556">
        <v>0.051805555555555556</v>
      </c>
      <c r="D70" s="793" t="s">
        <v>10585</v>
      </c>
      <c r="E70" s="793" t="s">
        <v>10586</v>
      </c>
      <c r="F70" s="998" t="s">
        <v>10587</v>
      </c>
      <c r="G70" s="793" t="s">
        <v>10588</v>
      </c>
      <c r="H70" s="1589" t="s">
        <v>10589</v>
      </c>
      <c r="I70" s="1589">
        <v>49.81</v>
      </c>
      <c r="J70" s="1589" t="s">
        <v>10590</v>
      </c>
      <c r="K70" s="1589" t="s">
        <v>6342</v>
      </c>
      <c r="L70" s="1589">
        <v>59.57</v>
      </c>
      <c r="M70" s="1589" t="s">
        <v>10591</v>
      </c>
      <c r="N70" s="1589" t="s">
        <v>10592</v>
      </c>
      <c r="O70" s="1588" t="s">
        <v>6949</v>
      </c>
      <c r="P70" s="1588" t="s">
        <v>10593</v>
      </c>
      <c r="Q70" s="1588" t="s">
        <v>10594</v>
      </c>
      <c r="R70" s="1589" t="s">
        <v>10595</v>
      </c>
      <c r="S70" s="1589" t="s">
        <v>10237</v>
      </c>
      <c r="T70" s="1589" t="s">
        <v>10596</v>
      </c>
      <c r="U70" s="1589" t="s">
        <v>10597</v>
      </c>
      <c r="V70" s="1589" t="s">
        <v>4330</v>
      </c>
      <c r="W70" s="1589" t="s">
        <v>10598</v>
      </c>
      <c r="X70" s="1589" t="s">
        <v>10599</v>
      </c>
      <c r="Y70" s="1588" t="s">
        <v>10101</v>
      </c>
      <c r="Z70" s="1726" t="s">
        <v>9233</v>
      </c>
      <c r="AA70" s="1589" t="s">
        <v>966</v>
      </c>
      <c r="AB70" s="1588" t="s">
        <v>4354</v>
      </c>
      <c r="AC70" s="1589">
        <v>49.53</v>
      </c>
      <c r="AD70" s="1589" t="s">
        <v>2005</v>
      </c>
      <c r="AE70" s="1588" t="s">
        <v>10600</v>
      </c>
      <c r="AF70" s="1589" t="s">
        <v>9358</v>
      </c>
      <c r="AG70" s="1589" t="s">
        <v>10601</v>
      </c>
      <c r="AH70" s="1589">
        <v>59.93</v>
      </c>
      <c r="AI70" s="1589" t="s">
        <v>10602</v>
      </c>
      <c r="AJ70" s="1589" t="s">
        <v>10603</v>
      </c>
      <c r="AK70" s="1589" t="s">
        <v>5997</v>
      </c>
      <c r="AL70" s="1589">
        <v>59.13</v>
      </c>
      <c r="AM70" s="1589" t="s">
        <v>10540</v>
      </c>
      <c r="AN70" s="1589">
        <v>57.86</v>
      </c>
      <c r="AO70" s="1589" t="s">
        <v>7289</v>
      </c>
      <c r="AP70" s="1589" t="s">
        <v>10604</v>
      </c>
      <c r="AQ70" s="1589" t="s">
        <v>10107</v>
      </c>
      <c r="AR70" s="1589" t="s">
        <v>6274</v>
      </c>
      <c r="AS70" s="1589">
        <v>47.67</v>
      </c>
      <c r="AT70" s="793" t="s">
        <v>10605</v>
      </c>
      <c r="AU70" s="793" t="s">
        <v>10606</v>
      </c>
      <c r="AV70" s="1474" t="str">
        <f t="shared" si="1"/>
        <v>2:57</v>
      </c>
      <c r="AW70" s="1705" t="s">
        <v>10607</v>
      </c>
    </row>
    <row r="71">
      <c r="A71" s="974" t="s">
        <v>1258</v>
      </c>
      <c r="B71" s="1615" t="s">
        <v>9191</v>
      </c>
      <c r="C71" s="1727">
        <v>0.05181712962962963</v>
      </c>
      <c r="D71" s="1562" t="s">
        <v>10608</v>
      </c>
      <c r="E71" s="1562" t="s">
        <v>7692</v>
      </c>
      <c r="F71" s="1562" t="s">
        <v>10609</v>
      </c>
      <c r="G71" s="1562" t="s">
        <v>10610</v>
      </c>
      <c r="H71" s="1562" t="s">
        <v>10611</v>
      </c>
      <c r="I71" s="1562" t="s">
        <v>5082</v>
      </c>
      <c r="J71" s="1562" t="s">
        <v>9587</v>
      </c>
      <c r="K71" s="1562" t="s">
        <v>9201</v>
      </c>
      <c r="L71" s="1562" t="s">
        <v>10576</v>
      </c>
      <c r="M71" s="1562" t="s">
        <v>1454</v>
      </c>
      <c r="N71" s="1562" t="s">
        <v>10073</v>
      </c>
      <c r="O71" s="1562" t="s">
        <v>7066</v>
      </c>
      <c r="P71" s="1562" t="s">
        <v>9676</v>
      </c>
      <c r="Q71" s="1562" t="s">
        <v>10612</v>
      </c>
      <c r="R71" s="1562" t="s">
        <v>6891</v>
      </c>
      <c r="S71" s="1562" t="s">
        <v>3654</v>
      </c>
      <c r="T71" s="1562" t="s">
        <v>10613</v>
      </c>
      <c r="U71" s="1562" t="s">
        <v>10614</v>
      </c>
      <c r="V71" s="1562" t="s">
        <v>10531</v>
      </c>
      <c r="W71" s="1562" t="s">
        <v>9273</v>
      </c>
      <c r="X71" s="1562" t="s">
        <v>10161</v>
      </c>
      <c r="Y71" s="1562" t="s">
        <v>10615</v>
      </c>
      <c r="Z71" s="1562" t="s">
        <v>6432</v>
      </c>
      <c r="AA71" s="1562" t="s">
        <v>957</v>
      </c>
      <c r="AB71" s="1562" t="s">
        <v>10616</v>
      </c>
      <c r="AC71" s="1562" t="s">
        <v>2100</v>
      </c>
      <c r="AD71" s="1562" t="s">
        <v>10617</v>
      </c>
      <c r="AE71" s="1562" t="s">
        <v>2177</v>
      </c>
      <c r="AF71" s="1562" t="s">
        <v>10298</v>
      </c>
      <c r="AG71" s="1562" t="s">
        <v>174</v>
      </c>
      <c r="AH71" s="1562" t="s">
        <v>10618</v>
      </c>
      <c r="AI71" s="1562" t="s">
        <v>246</v>
      </c>
      <c r="AJ71" s="1562" t="s">
        <v>10619</v>
      </c>
      <c r="AK71" s="1562" t="s">
        <v>9887</v>
      </c>
      <c r="AL71" s="1562" t="s">
        <v>4773</v>
      </c>
      <c r="AM71" s="1562" t="s">
        <v>10620</v>
      </c>
      <c r="AN71" s="1562" t="s">
        <v>9932</v>
      </c>
      <c r="AO71" s="1562" t="s">
        <v>10621</v>
      </c>
      <c r="AP71" s="1562" t="s">
        <v>10622</v>
      </c>
      <c r="AQ71" s="1562" t="s">
        <v>10623</v>
      </c>
      <c r="AR71" s="1562" t="s">
        <v>10624</v>
      </c>
      <c r="AS71" s="1562" t="s">
        <v>353</v>
      </c>
      <c r="AT71" s="1562" t="s">
        <v>10625</v>
      </c>
      <c r="AU71" s="1586" t="s">
        <v>10626</v>
      </c>
      <c r="AV71" s="1474" t="str">
        <f t="shared" si="1"/>
        <v>3:49</v>
      </c>
      <c r="AW71" s="1728" t="s">
        <v>10627</v>
      </c>
    </row>
    <row r="72" ht="15.75" customHeight="1">
      <c r="A72" s="1554" t="s">
        <v>3133</v>
      </c>
      <c r="B72" s="1650" t="s">
        <v>9191</v>
      </c>
      <c r="C72" s="1691">
        <v>0.051863425925925924</v>
      </c>
      <c r="D72" s="998" t="s">
        <v>10628</v>
      </c>
      <c r="E72" s="333" t="s">
        <v>6602</v>
      </c>
      <c r="F72" s="333" t="s">
        <v>10629</v>
      </c>
      <c r="G72" s="333" t="s">
        <v>10630</v>
      </c>
      <c r="H72" s="333" t="s">
        <v>10631</v>
      </c>
      <c r="I72" s="333" t="s">
        <v>10632</v>
      </c>
      <c r="J72" s="333" t="s">
        <v>1673</v>
      </c>
      <c r="K72" s="333" t="s">
        <v>1590</v>
      </c>
      <c r="L72" s="333" t="s">
        <v>3142</v>
      </c>
      <c r="M72" s="333" t="s">
        <v>10410</v>
      </c>
      <c r="N72" s="333" t="s">
        <v>5160</v>
      </c>
      <c r="O72" s="333" t="s">
        <v>10633</v>
      </c>
      <c r="P72" s="333" t="s">
        <v>1236</v>
      </c>
      <c r="Q72" s="333" t="s">
        <v>10634</v>
      </c>
      <c r="R72" s="333" t="s">
        <v>5817</v>
      </c>
      <c r="S72" s="333" t="s">
        <v>10635</v>
      </c>
      <c r="T72" s="333" t="s">
        <v>10636</v>
      </c>
      <c r="U72" s="333" t="s">
        <v>10637</v>
      </c>
      <c r="V72" s="333" t="s">
        <v>10180</v>
      </c>
      <c r="W72" s="333" t="s">
        <v>10638</v>
      </c>
      <c r="X72" s="333" t="s">
        <v>10536</v>
      </c>
      <c r="Y72" s="333" t="s">
        <v>3368</v>
      </c>
      <c r="Z72" s="333" t="s">
        <v>10639</v>
      </c>
      <c r="AA72" s="333" t="s">
        <v>10640</v>
      </c>
      <c r="AB72" s="333" t="s">
        <v>9052</v>
      </c>
      <c r="AC72" s="333" t="s">
        <v>5867</v>
      </c>
      <c r="AD72" s="333" t="s">
        <v>10641</v>
      </c>
      <c r="AE72" s="333" t="s">
        <v>1183</v>
      </c>
      <c r="AF72" s="333" t="s">
        <v>10642</v>
      </c>
      <c r="AG72" s="333" t="s">
        <v>10643</v>
      </c>
      <c r="AH72" s="333" t="s">
        <v>5277</v>
      </c>
      <c r="AI72" s="333" t="s">
        <v>10577</v>
      </c>
      <c r="AJ72" s="333" t="s">
        <v>10644</v>
      </c>
      <c r="AK72" s="333" t="s">
        <v>1908</v>
      </c>
      <c r="AL72" s="333" t="s">
        <v>10618</v>
      </c>
      <c r="AM72" s="333" t="s">
        <v>10645</v>
      </c>
      <c r="AN72" s="333" t="s">
        <v>3208</v>
      </c>
      <c r="AO72" s="333" t="s">
        <v>9354</v>
      </c>
      <c r="AP72" s="333" t="s">
        <v>10646</v>
      </c>
      <c r="AQ72" s="333" t="s">
        <v>10647</v>
      </c>
      <c r="AR72" s="333" t="s">
        <v>2230</v>
      </c>
      <c r="AS72" s="333" t="s">
        <v>4865</v>
      </c>
      <c r="AT72" s="333" t="s">
        <v>10648</v>
      </c>
      <c r="AU72" s="333" t="s">
        <v>10649</v>
      </c>
      <c r="AV72" s="1474" t="str">
        <f t="shared" si="1"/>
        <v>2:06</v>
      </c>
      <c r="AW72" s="1720" t="s">
        <v>10650</v>
      </c>
    </row>
    <row r="73" ht="15.75" customHeight="1">
      <c r="A73" s="1554" t="s">
        <v>1128</v>
      </c>
      <c r="B73" s="1555" t="s">
        <v>9164</v>
      </c>
      <c r="C73" s="1691">
        <v>0.051875</v>
      </c>
      <c r="D73" s="998" t="s">
        <v>10651</v>
      </c>
      <c r="E73" s="333" t="s">
        <v>3213</v>
      </c>
      <c r="F73" s="333" t="s">
        <v>10652</v>
      </c>
      <c r="G73" s="333" t="s">
        <v>10653</v>
      </c>
      <c r="H73" s="333" t="s">
        <v>10654</v>
      </c>
      <c r="I73" s="333" t="s">
        <v>10655</v>
      </c>
      <c r="J73" s="333" t="s">
        <v>2532</v>
      </c>
      <c r="K73" s="333" t="s">
        <v>10656</v>
      </c>
      <c r="L73" s="333" t="s">
        <v>9435</v>
      </c>
      <c r="M73" s="333" t="s">
        <v>7174</v>
      </c>
      <c r="N73" s="333" t="s">
        <v>9680</v>
      </c>
      <c r="O73" s="333" t="s">
        <v>4482</v>
      </c>
      <c r="P73" s="333" t="s">
        <v>1524</v>
      </c>
      <c r="Q73" s="333" t="s">
        <v>10657</v>
      </c>
      <c r="R73" s="333" t="s">
        <v>1870</v>
      </c>
      <c r="S73" s="333" t="s">
        <v>4446</v>
      </c>
      <c r="T73" s="333" t="s">
        <v>10658</v>
      </c>
      <c r="U73" s="333" t="s">
        <v>10456</v>
      </c>
      <c r="V73" s="333" t="s">
        <v>6611</v>
      </c>
      <c r="W73" s="333" t="s">
        <v>4482</v>
      </c>
      <c r="X73" s="333" t="s">
        <v>10073</v>
      </c>
      <c r="Y73" s="333" t="s">
        <v>10103</v>
      </c>
      <c r="Z73" s="333" t="s">
        <v>6557</v>
      </c>
      <c r="AA73" s="333" t="s">
        <v>420</v>
      </c>
      <c r="AB73" s="333" t="s">
        <v>624</v>
      </c>
      <c r="AC73" s="333" t="s">
        <v>4853</v>
      </c>
      <c r="AD73" s="333" t="s">
        <v>10496</v>
      </c>
      <c r="AE73" s="333" t="s">
        <v>849</v>
      </c>
      <c r="AF73" s="333" t="s">
        <v>10659</v>
      </c>
      <c r="AG73" s="333" t="s">
        <v>10660</v>
      </c>
      <c r="AH73" s="333" t="s">
        <v>10407</v>
      </c>
      <c r="AI73" s="333" t="s">
        <v>10661</v>
      </c>
      <c r="AJ73" s="333" t="s">
        <v>10662</v>
      </c>
      <c r="AK73" s="333" t="s">
        <v>10663</v>
      </c>
      <c r="AL73" s="333" t="s">
        <v>5689</v>
      </c>
      <c r="AM73" s="333" t="s">
        <v>10664</v>
      </c>
      <c r="AN73" s="333" t="s">
        <v>6411</v>
      </c>
      <c r="AO73" s="793" t="s">
        <v>10261</v>
      </c>
      <c r="AP73" s="333" t="s">
        <v>10665</v>
      </c>
      <c r="AQ73" s="333" t="s">
        <v>10666</v>
      </c>
      <c r="AR73" s="333" t="s">
        <v>9922</v>
      </c>
      <c r="AS73" s="333" t="s">
        <v>4715</v>
      </c>
      <c r="AT73" s="333" t="s">
        <v>10667</v>
      </c>
      <c r="AU73" s="793" t="s">
        <v>10668</v>
      </c>
      <c r="AV73" s="1474" t="str">
        <f t="shared" si="1"/>
        <v>0:37</v>
      </c>
      <c r="AW73" s="1724" t="s">
        <v>10669</v>
      </c>
    </row>
    <row r="74">
      <c r="A74" s="1617" t="s">
        <v>7515</v>
      </c>
      <c r="B74" s="1615" t="s">
        <v>9164</v>
      </c>
      <c r="C74" s="1556">
        <v>0.05188657407407407</v>
      </c>
      <c r="D74" s="793" t="s">
        <v>10670</v>
      </c>
      <c r="E74" s="998" t="s">
        <v>175</v>
      </c>
      <c r="F74" s="998" t="s">
        <v>10671</v>
      </c>
      <c r="G74" s="998" t="s">
        <v>10672</v>
      </c>
      <c r="H74" s="998" t="s">
        <v>10673</v>
      </c>
      <c r="I74" s="998" t="s">
        <v>143</v>
      </c>
      <c r="J74" s="998" t="s">
        <v>4154</v>
      </c>
      <c r="K74" s="998" t="s">
        <v>9897</v>
      </c>
      <c r="L74" s="998" t="s">
        <v>2882</v>
      </c>
      <c r="M74" s="998" t="s">
        <v>10674</v>
      </c>
      <c r="N74" s="998" t="s">
        <v>4079</v>
      </c>
      <c r="O74" s="998" t="s">
        <v>10675</v>
      </c>
      <c r="P74" s="998" t="s">
        <v>5220</v>
      </c>
      <c r="Q74" s="998" t="s">
        <v>10676</v>
      </c>
      <c r="R74" s="998" t="s">
        <v>5639</v>
      </c>
      <c r="S74" s="998" t="s">
        <v>10677</v>
      </c>
      <c r="T74" s="998" t="s">
        <v>9237</v>
      </c>
      <c r="U74" s="998" t="s">
        <v>10678</v>
      </c>
      <c r="V74" s="998" t="s">
        <v>5369</v>
      </c>
      <c r="W74" s="998" t="s">
        <v>10679</v>
      </c>
      <c r="X74" s="998" t="s">
        <v>10680</v>
      </c>
      <c r="Y74" s="998" t="s">
        <v>10681</v>
      </c>
      <c r="Z74" s="998" t="s">
        <v>9908</v>
      </c>
      <c r="AA74" s="998" t="s">
        <v>5179</v>
      </c>
      <c r="AB74" s="998" t="s">
        <v>691</v>
      </c>
      <c r="AC74" s="998" t="s">
        <v>10682</v>
      </c>
      <c r="AD74" s="998" t="s">
        <v>2730</v>
      </c>
      <c r="AE74" s="998" t="s">
        <v>5976</v>
      </c>
      <c r="AF74" s="998" t="s">
        <v>10683</v>
      </c>
      <c r="AG74" s="998" t="s">
        <v>2416</v>
      </c>
      <c r="AH74" s="998" t="s">
        <v>2882</v>
      </c>
      <c r="AI74" s="998" t="s">
        <v>199</v>
      </c>
      <c r="AJ74" s="998" t="s">
        <v>10684</v>
      </c>
      <c r="AK74" s="998" t="s">
        <v>9915</v>
      </c>
      <c r="AL74" s="998" t="s">
        <v>10369</v>
      </c>
      <c r="AM74" s="998" t="s">
        <v>9885</v>
      </c>
      <c r="AN74" s="998" t="s">
        <v>3640</v>
      </c>
      <c r="AO74" s="998" t="s">
        <v>4861</v>
      </c>
      <c r="AP74" s="998" t="s">
        <v>10324</v>
      </c>
      <c r="AQ74" s="998" t="s">
        <v>10666</v>
      </c>
      <c r="AR74" s="998" t="s">
        <v>10685</v>
      </c>
      <c r="AS74" s="998" t="s">
        <v>6615</v>
      </c>
      <c r="AT74" s="998" t="s">
        <v>9415</v>
      </c>
      <c r="AU74" s="793" t="s">
        <v>10686</v>
      </c>
      <c r="AV74" s="1474" t="str">
        <f t="shared" si="1"/>
        <v>4:21</v>
      </c>
      <c r="AW74" s="1720" t="s">
        <v>10687</v>
      </c>
    </row>
    <row r="75">
      <c r="A75" s="1617" t="s">
        <v>9106</v>
      </c>
      <c r="B75" s="1605" t="s">
        <v>9164</v>
      </c>
      <c r="C75" s="1556">
        <v>0.05193287037037037</v>
      </c>
      <c r="D75" s="1697" t="s">
        <v>10688</v>
      </c>
      <c r="E75" s="793" t="s">
        <v>7215</v>
      </c>
      <c r="F75" s="793" t="s">
        <v>10689</v>
      </c>
      <c r="G75" s="793" t="s">
        <v>10690</v>
      </c>
      <c r="H75" s="793" t="s">
        <v>10691</v>
      </c>
      <c r="I75" s="793" t="s">
        <v>2386</v>
      </c>
      <c r="J75" s="793" t="s">
        <v>4265</v>
      </c>
      <c r="K75" s="793" t="s">
        <v>9838</v>
      </c>
      <c r="L75" s="793"/>
      <c r="M75" s="793" t="s">
        <v>6817</v>
      </c>
      <c r="N75" s="793" t="s">
        <v>4699</v>
      </c>
      <c r="O75" s="793" t="s">
        <v>9231</v>
      </c>
      <c r="P75" s="793" t="s">
        <v>10317</v>
      </c>
      <c r="Q75" s="793" t="s">
        <v>10692</v>
      </c>
      <c r="R75" s="793" t="s">
        <v>10693</v>
      </c>
      <c r="S75" s="793" t="s">
        <v>9496</v>
      </c>
      <c r="T75" s="793" t="s">
        <v>9853</v>
      </c>
      <c r="U75" s="793" t="s">
        <v>2271</v>
      </c>
      <c r="V75" s="793" t="s">
        <v>9695</v>
      </c>
      <c r="W75" s="793" t="s">
        <v>6002</v>
      </c>
      <c r="X75" s="793" t="s">
        <v>630</v>
      </c>
      <c r="Y75" s="793" t="s">
        <v>9662</v>
      </c>
      <c r="Z75" s="793" t="s">
        <v>10047</v>
      </c>
      <c r="AA75" s="793" t="s">
        <v>7301</v>
      </c>
      <c r="AB75" s="793" t="s">
        <v>9531</v>
      </c>
      <c r="AC75" s="793" t="s">
        <v>3016</v>
      </c>
      <c r="AD75" s="793" t="s">
        <v>10694</v>
      </c>
      <c r="AE75" s="793" t="s">
        <v>10695</v>
      </c>
      <c r="AF75" s="793" t="s">
        <v>10696</v>
      </c>
      <c r="AG75" s="793" t="s">
        <v>10460</v>
      </c>
      <c r="AH75" s="793" t="s">
        <v>10697</v>
      </c>
      <c r="AI75" s="793" t="s">
        <v>10698</v>
      </c>
      <c r="AJ75" s="793" t="s">
        <v>10699</v>
      </c>
      <c r="AK75" s="793" t="s">
        <v>10700</v>
      </c>
      <c r="AL75" s="793" t="s">
        <v>3363</v>
      </c>
      <c r="AM75" s="793" t="s">
        <v>10701</v>
      </c>
      <c r="AN75" s="793" t="s">
        <v>3652</v>
      </c>
      <c r="AO75" s="793" t="s">
        <v>10702</v>
      </c>
      <c r="AP75" s="793" t="s">
        <v>10703</v>
      </c>
      <c r="AQ75" s="793" t="s">
        <v>10704</v>
      </c>
      <c r="AR75" s="793" t="s">
        <v>10705</v>
      </c>
      <c r="AS75" s="793" t="s">
        <v>3799</v>
      </c>
      <c r="AT75" s="793" t="s">
        <v>10706</v>
      </c>
      <c r="AU75" s="793" t="s">
        <v>10707</v>
      </c>
      <c r="AV75" s="1474" t="str">
        <f t="shared" si="1"/>
        <v>4:12</v>
      </c>
      <c r="AW75" s="1724"/>
    </row>
    <row r="76" ht="15.75" customHeight="1">
      <c r="A76" s="1681" t="s">
        <v>10708</v>
      </c>
      <c r="B76" s="1555" t="s">
        <v>9164</v>
      </c>
      <c r="C76" s="1691">
        <v>0.05199074074074074</v>
      </c>
      <c r="D76" s="998" t="s">
        <v>10709</v>
      </c>
      <c r="E76" s="333" t="s">
        <v>10710</v>
      </c>
      <c r="F76" s="333" t="s">
        <v>10711</v>
      </c>
      <c r="G76" s="333" t="s">
        <v>10712</v>
      </c>
      <c r="H76" s="333" t="s">
        <v>7104</v>
      </c>
      <c r="I76" s="333" t="s">
        <v>10275</v>
      </c>
      <c r="J76" s="333" t="s">
        <v>10713</v>
      </c>
      <c r="K76" s="333" t="s">
        <v>10714</v>
      </c>
      <c r="L76" s="333" t="s">
        <v>3142</v>
      </c>
      <c r="M76" s="333" t="s">
        <v>10715</v>
      </c>
      <c r="N76" s="333" t="s">
        <v>9982</v>
      </c>
      <c r="O76" s="333" t="s">
        <v>10716</v>
      </c>
      <c r="P76" s="333" t="s">
        <v>2439</v>
      </c>
      <c r="Q76" s="333" t="s">
        <v>5139</v>
      </c>
      <c r="R76" s="333" t="s">
        <v>5419</v>
      </c>
      <c r="S76" s="333" t="s">
        <v>10717</v>
      </c>
      <c r="T76" s="333" t="s">
        <v>5901</v>
      </c>
      <c r="U76" s="333" t="s">
        <v>10718</v>
      </c>
      <c r="V76" s="333" t="s">
        <v>6611</v>
      </c>
      <c r="W76" s="333" t="s">
        <v>7521</v>
      </c>
      <c r="X76" s="333" t="s">
        <v>10719</v>
      </c>
      <c r="Y76" s="333" t="s">
        <v>2100</v>
      </c>
      <c r="Z76" s="333" t="s">
        <v>10720</v>
      </c>
      <c r="AA76" s="333" t="s">
        <v>10413</v>
      </c>
      <c r="AB76" s="333" t="s">
        <v>10721</v>
      </c>
      <c r="AC76" s="333" t="s">
        <v>5590</v>
      </c>
      <c r="AD76" s="333" t="s">
        <v>10722</v>
      </c>
      <c r="AE76" s="333" t="s">
        <v>7798</v>
      </c>
      <c r="AF76" s="333" t="s">
        <v>10723</v>
      </c>
      <c r="AG76" s="333" t="s">
        <v>10663</v>
      </c>
      <c r="AH76" s="333" t="s">
        <v>10724</v>
      </c>
      <c r="AI76" s="333" t="s">
        <v>10725</v>
      </c>
      <c r="AJ76" s="333" t="s">
        <v>10726</v>
      </c>
      <c r="AK76" s="333" t="s">
        <v>810</v>
      </c>
      <c r="AL76" s="333" t="s">
        <v>3343</v>
      </c>
      <c r="AM76" s="333" t="s">
        <v>10165</v>
      </c>
      <c r="AN76" s="333" t="s">
        <v>10727</v>
      </c>
      <c r="AO76" s="793" t="s">
        <v>10728</v>
      </c>
      <c r="AP76" s="793" t="s">
        <v>10729</v>
      </c>
      <c r="AQ76" s="333" t="s">
        <v>5459</v>
      </c>
      <c r="AR76" s="333" t="s">
        <v>10201</v>
      </c>
      <c r="AS76" s="333" t="s">
        <v>1009</v>
      </c>
      <c r="AT76" s="333" t="s">
        <v>10318</v>
      </c>
      <c r="AU76" s="1722" t="str">
        <f>HYPERLINK("https://splits.io/m3t","1:18:40")</f>
        <v>1:18:40</v>
      </c>
      <c r="AV76" s="1474" t="str">
        <f t="shared" si="1"/>
        <v>3:48</v>
      </c>
      <c r="AW76" s="1723" t="s">
        <v>10730</v>
      </c>
    </row>
    <row r="77" ht="15.75" customHeight="1">
      <c r="A77" s="1681" t="s">
        <v>10731</v>
      </c>
      <c r="B77" s="1555" t="s">
        <v>9164</v>
      </c>
      <c r="C77" s="1691">
        <v>0.052002314814814814</v>
      </c>
      <c r="D77" s="998" t="s">
        <v>10732</v>
      </c>
      <c r="E77" s="333" t="s">
        <v>9508</v>
      </c>
      <c r="F77" s="333" t="s">
        <v>10733</v>
      </c>
      <c r="G77" s="333" t="s">
        <v>10734</v>
      </c>
      <c r="H77" s="333" t="s">
        <v>10735</v>
      </c>
      <c r="I77" s="333" t="s">
        <v>3653</v>
      </c>
      <c r="J77" s="333" t="s">
        <v>9874</v>
      </c>
      <c r="K77" s="333" t="s">
        <v>4446</v>
      </c>
      <c r="L77" s="333" t="s">
        <v>3502</v>
      </c>
      <c r="M77" s="333" t="s">
        <v>10455</v>
      </c>
      <c r="N77" s="333" t="s">
        <v>4486</v>
      </c>
      <c r="O77" s="333" t="s">
        <v>10736</v>
      </c>
      <c r="P77" s="333" t="s">
        <v>10737</v>
      </c>
      <c r="Q77" s="333" t="s">
        <v>4943</v>
      </c>
      <c r="R77" s="333" t="s">
        <v>1454</v>
      </c>
      <c r="S77" s="333" t="s">
        <v>9954</v>
      </c>
      <c r="T77" s="333" t="s">
        <v>529</v>
      </c>
      <c r="U77" s="333" t="s">
        <v>1991</v>
      </c>
      <c r="V77" s="333" t="s">
        <v>465</v>
      </c>
      <c r="W77" s="333" t="s">
        <v>5843</v>
      </c>
      <c r="X77" s="333" t="s">
        <v>10232</v>
      </c>
      <c r="Y77" s="333" t="s">
        <v>2449</v>
      </c>
      <c r="Z77" s="333" t="s">
        <v>5349</v>
      </c>
      <c r="AA77" s="333" t="s">
        <v>9982</v>
      </c>
      <c r="AB77" s="333" t="s">
        <v>10738</v>
      </c>
      <c r="AC77" s="333" t="s">
        <v>3114</v>
      </c>
      <c r="AD77" s="333" t="s">
        <v>10739</v>
      </c>
      <c r="AE77" s="333" t="s">
        <v>5220</v>
      </c>
      <c r="AF77" s="333" t="s">
        <v>10740</v>
      </c>
      <c r="AG77" s="333" t="s">
        <v>10741</v>
      </c>
      <c r="AH77" s="333" t="s">
        <v>2255</v>
      </c>
      <c r="AI77" s="333" t="s">
        <v>10742</v>
      </c>
      <c r="AJ77" s="333" t="s">
        <v>10743</v>
      </c>
      <c r="AK77" s="333" t="s">
        <v>4648</v>
      </c>
      <c r="AL77" s="333" t="s">
        <v>6179</v>
      </c>
      <c r="AM77" s="333" t="s">
        <v>1459</v>
      </c>
      <c r="AN77" s="333" t="s">
        <v>5576</v>
      </c>
      <c r="AO77" s="333" t="s">
        <v>5284</v>
      </c>
      <c r="AP77" s="333" t="s">
        <v>4694</v>
      </c>
      <c r="AQ77" s="333" t="s">
        <v>10744</v>
      </c>
      <c r="AR77" s="333" t="s">
        <v>10745</v>
      </c>
      <c r="AS77" s="333" t="s">
        <v>10746</v>
      </c>
      <c r="AT77" s="333" t="s">
        <v>10747</v>
      </c>
      <c r="AU77" s="333" t="s">
        <v>10748</v>
      </c>
      <c r="AV77" s="1474" t="str">
        <f t="shared" si="1"/>
        <v>3:32</v>
      </c>
      <c r="AW77" s="1723" t="s">
        <v>10749</v>
      </c>
    </row>
    <row r="78" ht="15.75" customHeight="1">
      <c r="A78" s="1681" t="s">
        <v>10750</v>
      </c>
      <c r="B78" s="1650" t="s">
        <v>9191</v>
      </c>
      <c r="C78" s="1691">
        <v>0.05201388888888889</v>
      </c>
      <c r="D78" s="998" t="s">
        <v>10751</v>
      </c>
      <c r="E78" s="793" t="s">
        <v>10752</v>
      </c>
      <c r="F78" s="333" t="s">
        <v>10753</v>
      </c>
      <c r="G78" s="333" t="s">
        <v>10754</v>
      </c>
      <c r="H78" s="333" t="s">
        <v>129</v>
      </c>
      <c r="I78" s="333" t="s">
        <v>10755</v>
      </c>
      <c r="J78" s="333" t="s">
        <v>10756</v>
      </c>
      <c r="K78" s="333" t="s">
        <v>4222</v>
      </c>
      <c r="L78" s="333" t="s">
        <v>10757</v>
      </c>
      <c r="M78" s="333" t="s">
        <v>10758</v>
      </c>
      <c r="N78" s="333" t="s">
        <v>10759</v>
      </c>
      <c r="O78" s="333" t="s">
        <v>10760</v>
      </c>
      <c r="P78" s="333" t="s">
        <v>161</v>
      </c>
      <c r="Q78" s="333" t="s">
        <v>10761</v>
      </c>
      <c r="R78" s="333" t="s">
        <v>6942</v>
      </c>
      <c r="S78" s="333" t="s">
        <v>10762</v>
      </c>
      <c r="T78" s="333" t="s">
        <v>10763</v>
      </c>
      <c r="U78" s="333" t="s">
        <v>10764</v>
      </c>
      <c r="V78" s="333" t="s">
        <v>8512</v>
      </c>
      <c r="W78" s="333" t="s">
        <v>10765</v>
      </c>
      <c r="X78" s="333" t="s">
        <v>10232</v>
      </c>
      <c r="Y78" s="333" t="s">
        <v>209</v>
      </c>
      <c r="Z78" s="333" t="s">
        <v>2380</v>
      </c>
      <c r="AA78" s="333" t="s">
        <v>5964</v>
      </c>
      <c r="AB78" s="333" t="s">
        <v>9555</v>
      </c>
      <c r="AC78" s="333" t="s">
        <v>927</v>
      </c>
      <c r="AD78" s="333" t="s">
        <v>10766</v>
      </c>
      <c r="AE78" s="333" t="s">
        <v>1165</v>
      </c>
      <c r="AF78" s="333" t="s">
        <v>10767</v>
      </c>
      <c r="AG78" s="333" t="s">
        <v>2981</v>
      </c>
      <c r="AH78" s="333" t="s">
        <v>6220</v>
      </c>
      <c r="AI78" s="333" t="s">
        <v>1569</v>
      </c>
      <c r="AJ78" s="333" t="s">
        <v>10768</v>
      </c>
      <c r="AK78" s="333" t="s">
        <v>3629</v>
      </c>
      <c r="AL78" s="333" t="s">
        <v>3901</v>
      </c>
      <c r="AM78" s="333" t="s">
        <v>841</v>
      </c>
      <c r="AN78" s="333" t="s">
        <v>4543</v>
      </c>
      <c r="AO78" s="333" t="s">
        <v>2257</v>
      </c>
      <c r="AP78" s="333" t="s">
        <v>10769</v>
      </c>
      <c r="AQ78" s="333" t="s">
        <v>1072</v>
      </c>
      <c r="AR78" s="333" t="s">
        <v>9232</v>
      </c>
      <c r="AS78" s="333" t="s">
        <v>9172</v>
      </c>
      <c r="AT78" s="333" t="s">
        <v>10770</v>
      </c>
      <c r="AU78" s="333" t="s">
        <v>10771</v>
      </c>
      <c r="AV78" s="1474" t="str">
        <f t="shared" si="1"/>
        <v>2:58</v>
      </c>
      <c r="AW78" s="1724" t="s">
        <v>10772</v>
      </c>
    </row>
    <row r="79" ht="15.75" customHeight="1">
      <c r="A79" s="1554" t="s">
        <v>7159</v>
      </c>
      <c r="B79" s="1650" t="s">
        <v>9191</v>
      </c>
      <c r="C79" s="1691">
        <v>0.05207175925925926</v>
      </c>
      <c r="D79" s="998" t="s">
        <v>10773</v>
      </c>
      <c r="E79" s="333" t="s">
        <v>10774</v>
      </c>
      <c r="F79" s="333" t="s">
        <v>10775</v>
      </c>
      <c r="G79" s="333" t="s">
        <v>10776</v>
      </c>
      <c r="H79" s="333" t="s">
        <v>9414</v>
      </c>
      <c r="I79" s="333" t="s">
        <v>4928</v>
      </c>
      <c r="J79" s="333" t="s">
        <v>9784</v>
      </c>
      <c r="K79" s="333" t="s">
        <v>10421</v>
      </c>
      <c r="L79" s="333" t="s">
        <v>10777</v>
      </c>
      <c r="M79" s="333" t="s">
        <v>2820</v>
      </c>
      <c r="N79" s="333" t="s">
        <v>10778</v>
      </c>
      <c r="O79" s="333" t="s">
        <v>10779</v>
      </c>
      <c r="P79" s="333" t="s">
        <v>767</v>
      </c>
      <c r="Q79" s="333" t="s">
        <v>10780</v>
      </c>
      <c r="R79" s="333" t="s">
        <v>4961</v>
      </c>
      <c r="S79" s="333" t="s">
        <v>6197</v>
      </c>
      <c r="T79" s="333" t="s">
        <v>5901</v>
      </c>
      <c r="U79" s="333" t="s">
        <v>10781</v>
      </c>
      <c r="V79" s="333" t="s">
        <v>2422</v>
      </c>
      <c r="W79" s="333" t="s">
        <v>9236</v>
      </c>
      <c r="X79" s="333" t="s">
        <v>10782</v>
      </c>
      <c r="Y79" s="333" t="s">
        <v>1410</v>
      </c>
      <c r="Z79" s="333" t="s">
        <v>6912</v>
      </c>
      <c r="AA79" s="333" t="s">
        <v>1484</v>
      </c>
      <c r="AB79" s="333" t="s">
        <v>10783</v>
      </c>
      <c r="AC79" s="333" t="s">
        <v>239</v>
      </c>
      <c r="AD79" s="333" t="s">
        <v>4272</v>
      </c>
      <c r="AE79" s="333" t="s">
        <v>6157</v>
      </c>
      <c r="AF79" s="333" t="s">
        <v>10784</v>
      </c>
      <c r="AG79" s="333" t="s">
        <v>10232</v>
      </c>
      <c r="AH79" s="333" t="s">
        <v>8340</v>
      </c>
      <c r="AI79" s="333" t="s">
        <v>10577</v>
      </c>
      <c r="AJ79" s="333" t="s">
        <v>10785</v>
      </c>
      <c r="AK79" s="333" t="s">
        <v>10786</v>
      </c>
      <c r="AL79" s="333" t="s">
        <v>4367</v>
      </c>
      <c r="AM79" s="333" t="s">
        <v>10339</v>
      </c>
      <c r="AN79" s="333" t="s">
        <v>3901</v>
      </c>
      <c r="AO79" s="333" t="s">
        <v>4222</v>
      </c>
      <c r="AP79" s="333" t="s">
        <v>10064</v>
      </c>
      <c r="AQ79" s="333" t="s">
        <v>10787</v>
      </c>
      <c r="AR79" s="333" t="s">
        <v>1483</v>
      </c>
      <c r="AS79" s="333" t="s">
        <v>6318</v>
      </c>
      <c r="AT79" s="333" t="s">
        <v>7285</v>
      </c>
      <c r="AU79" s="333" t="s">
        <v>10788</v>
      </c>
      <c r="AV79" s="1474" t="str">
        <f t="shared" si="1"/>
        <v>3:10</v>
      </c>
      <c r="AW79" s="1724" t="s">
        <v>10789</v>
      </c>
    </row>
    <row r="80">
      <c r="A80" s="974" t="s">
        <v>3906</v>
      </c>
      <c r="B80" s="1710" t="s">
        <v>9217</v>
      </c>
      <c r="C80" s="1654">
        <v>0.052141203703703703</v>
      </c>
      <c r="D80" s="998" t="s">
        <v>10790</v>
      </c>
      <c r="E80" s="1640" t="s">
        <v>3008</v>
      </c>
      <c r="F80" s="1640" t="s">
        <v>10791</v>
      </c>
      <c r="G80" s="1678" t="s">
        <v>10792</v>
      </c>
      <c r="H80" s="1678" t="s">
        <v>10793</v>
      </c>
      <c r="I80" s="1678" t="s">
        <v>2434</v>
      </c>
      <c r="J80" s="1678" t="s">
        <v>8156</v>
      </c>
      <c r="K80" s="1729" t="s">
        <v>6349</v>
      </c>
      <c r="L80" s="1730" t="s">
        <v>8337</v>
      </c>
      <c r="M80" s="1678" t="s">
        <v>10794</v>
      </c>
      <c r="N80" s="1678" t="s">
        <v>5901</v>
      </c>
      <c r="O80" s="1678" t="s">
        <v>5642</v>
      </c>
      <c r="P80" s="1678" t="s">
        <v>1916</v>
      </c>
      <c r="Q80" s="1678" t="s">
        <v>10795</v>
      </c>
      <c r="R80" s="1678" t="s">
        <v>10796</v>
      </c>
      <c r="S80" s="1731" t="s">
        <v>2269</v>
      </c>
      <c r="T80" s="1678" t="s">
        <v>9488</v>
      </c>
      <c r="U80" s="1678" t="s">
        <v>3551</v>
      </c>
      <c r="V80" s="1678" t="s">
        <v>10797</v>
      </c>
      <c r="W80" s="1678" t="s">
        <v>10798</v>
      </c>
      <c r="X80" s="1678" t="s">
        <v>4471</v>
      </c>
      <c r="Y80" s="1678" t="s">
        <v>3693</v>
      </c>
      <c r="Z80" s="1678" t="s">
        <v>4191</v>
      </c>
      <c r="AA80" s="1678" t="s">
        <v>174</v>
      </c>
      <c r="AB80" s="1678" t="s">
        <v>627</v>
      </c>
      <c r="AC80" s="1678" t="s">
        <v>6157</v>
      </c>
      <c r="AD80" s="1562" t="s">
        <v>9620</v>
      </c>
      <c r="AE80" s="1678" t="s">
        <v>479</v>
      </c>
      <c r="AF80" s="1678" t="s">
        <v>10799</v>
      </c>
      <c r="AG80" s="1678" t="s">
        <v>10800</v>
      </c>
      <c r="AH80" s="1678" t="s">
        <v>4591</v>
      </c>
      <c r="AI80" s="1678" t="s">
        <v>10801</v>
      </c>
      <c r="AJ80" s="1678" t="s">
        <v>10802</v>
      </c>
      <c r="AK80" s="1678" t="s">
        <v>10803</v>
      </c>
      <c r="AL80" s="1678" t="s">
        <v>5052</v>
      </c>
      <c r="AM80" s="1678" t="s">
        <v>10462</v>
      </c>
      <c r="AN80" s="1678" t="s">
        <v>4334</v>
      </c>
      <c r="AO80" s="1678" t="s">
        <v>9602</v>
      </c>
      <c r="AP80" s="1678" t="s">
        <v>10804</v>
      </c>
      <c r="AQ80" s="1729" t="s">
        <v>9244</v>
      </c>
      <c r="AR80" s="1678" t="s">
        <v>10805</v>
      </c>
      <c r="AS80" s="1732" t="s">
        <v>756</v>
      </c>
      <c r="AT80" s="1678" t="s">
        <v>10806</v>
      </c>
      <c r="AU80" s="1607" t="s">
        <v>10807</v>
      </c>
      <c r="AV80" s="1474" t="str">
        <f t="shared" si="1"/>
        <v>4:08</v>
      </c>
      <c r="AW80" s="1666" t="s">
        <v>10808</v>
      </c>
    </row>
    <row r="81">
      <c r="A81" s="1617" t="s">
        <v>3972</v>
      </c>
      <c r="B81" s="1605" t="s">
        <v>9164</v>
      </c>
      <c r="C81" s="1556">
        <v>0.0522337962962963</v>
      </c>
      <c r="D81" s="1697" t="s">
        <v>10809</v>
      </c>
      <c r="E81" s="793" t="s">
        <v>10810</v>
      </c>
      <c r="F81" s="793" t="s">
        <v>10811</v>
      </c>
      <c r="G81" s="793" t="s">
        <v>10812</v>
      </c>
      <c r="H81" s="793" t="s">
        <v>10813</v>
      </c>
      <c r="I81" s="793" t="s">
        <v>1976</v>
      </c>
      <c r="J81" s="793" t="s">
        <v>8891</v>
      </c>
      <c r="K81" s="793" t="s">
        <v>4446</v>
      </c>
      <c r="L81" s="793" t="s">
        <v>5833</v>
      </c>
      <c r="M81" s="793" t="s">
        <v>10814</v>
      </c>
      <c r="N81" s="793" t="s">
        <v>10209</v>
      </c>
      <c r="O81" s="793" t="s">
        <v>10815</v>
      </c>
      <c r="P81" s="793" t="s">
        <v>5220</v>
      </c>
      <c r="Q81" s="793" t="s">
        <v>10816</v>
      </c>
      <c r="R81" s="793" t="s">
        <v>6347</v>
      </c>
      <c r="S81" s="793" t="s">
        <v>609</v>
      </c>
      <c r="T81" s="793" t="s">
        <v>10620</v>
      </c>
      <c r="U81" s="793" t="s">
        <v>9644</v>
      </c>
      <c r="V81" s="793" t="s">
        <v>10817</v>
      </c>
      <c r="W81" s="793" t="s">
        <v>10818</v>
      </c>
      <c r="X81" s="793" t="s">
        <v>10819</v>
      </c>
      <c r="Y81" s="793" t="s">
        <v>761</v>
      </c>
      <c r="Z81" s="793" t="s">
        <v>10820</v>
      </c>
      <c r="AA81" s="998" t="s">
        <v>10821</v>
      </c>
      <c r="AB81" s="793" t="s">
        <v>8283</v>
      </c>
      <c r="AC81" s="793" t="s">
        <v>10600</v>
      </c>
      <c r="AD81" s="793" t="s">
        <v>7101</v>
      </c>
      <c r="AE81" s="793" t="s">
        <v>2165</v>
      </c>
      <c r="AF81" s="1038" t="s">
        <v>10822</v>
      </c>
      <c r="AG81" s="793" t="s">
        <v>10823</v>
      </c>
      <c r="AH81" s="793" t="s">
        <v>5100</v>
      </c>
      <c r="AI81" s="793" t="s">
        <v>7828</v>
      </c>
      <c r="AJ81" s="793" t="s">
        <v>10824</v>
      </c>
      <c r="AK81" s="793" t="s">
        <v>10825</v>
      </c>
      <c r="AL81" s="793" t="s">
        <v>10538</v>
      </c>
      <c r="AM81" s="793" t="s">
        <v>10211</v>
      </c>
      <c r="AN81" s="793" t="s">
        <v>999</v>
      </c>
      <c r="AO81" s="793" t="s">
        <v>6528</v>
      </c>
      <c r="AP81" s="793" t="s">
        <v>5692</v>
      </c>
      <c r="AQ81" s="793" t="s">
        <v>10826</v>
      </c>
      <c r="AR81" s="793" t="s">
        <v>694</v>
      </c>
      <c r="AS81" s="1038" t="s">
        <v>2828</v>
      </c>
      <c r="AT81" s="793" t="s">
        <v>10827</v>
      </c>
      <c r="AU81" s="793" t="s">
        <v>10828</v>
      </c>
      <c r="AV81" s="1474" t="str">
        <f t="shared" si="1"/>
        <v>4:32</v>
      </c>
      <c r="AW81" s="1720" t="s">
        <v>10829</v>
      </c>
    </row>
    <row r="82">
      <c r="A82" s="1617" t="s">
        <v>5306</v>
      </c>
      <c r="B82" s="1615" t="s">
        <v>9191</v>
      </c>
      <c r="C82" s="1556">
        <v>0.05232638888888889</v>
      </c>
      <c r="D82" s="1697" t="s">
        <v>10830</v>
      </c>
      <c r="E82" s="793" t="s">
        <v>1233</v>
      </c>
      <c r="F82" s="793" t="s">
        <v>10831</v>
      </c>
      <c r="G82" s="793" t="s">
        <v>10832</v>
      </c>
      <c r="H82" s="793" t="s">
        <v>10833</v>
      </c>
      <c r="I82" s="793" t="s">
        <v>1352</v>
      </c>
      <c r="J82" s="793" t="s">
        <v>7443</v>
      </c>
      <c r="K82" s="793" t="s">
        <v>10432</v>
      </c>
      <c r="L82" s="793" t="s">
        <v>10834</v>
      </c>
      <c r="M82" s="793" t="s">
        <v>7089</v>
      </c>
      <c r="N82" s="793" t="s">
        <v>10835</v>
      </c>
      <c r="O82" s="793" t="s">
        <v>10836</v>
      </c>
      <c r="P82" s="793" t="s">
        <v>520</v>
      </c>
      <c r="Q82" s="793" t="s">
        <v>10272</v>
      </c>
      <c r="R82" s="793" t="s">
        <v>5273</v>
      </c>
      <c r="S82" s="793" t="s">
        <v>10073</v>
      </c>
      <c r="T82" s="793" t="s">
        <v>10837</v>
      </c>
      <c r="U82" s="793" t="s">
        <v>10838</v>
      </c>
      <c r="V82" s="793" t="s">
        <v>10839</v>
      </c>
      <c r="W82" s="793" t="s">
        <v>6439</v>
      </c>
      <c r="X82" s="793" t="s">
        <v>312</v>
      </c>
      <c r="Y82" s="793" t="s">
        <v>7625</v>
      </c>
      <c r="Z82" s="793" t="s">
        <v>782</v>
      </c>
      <c r="AA82" s="333" t="s">
        <v>10073</v>
      </c>
      <c r="AB82" s="793" t="s">
        <v>10840</v>
      </c>
      <c r="AC82" s="793" t="s">
        <v>6343</v>
      </c>
      <c r="AD82" s="793" t="s">
        <v>10841</v>
      </c>
      <c r="AE82" s="793" t="s">
        <v>225</v>
      </c>
      <c r="AF82" s="793" t="s">
        <v>9748</v>
      </c>
      <c r="AG82" s="793" t="s">
        <v>4084</v>
      </c>
      <c r="AH82" s="793" t="s">
        <v>1956</v>
      </c>
      <c r="AI82" s="793" t="s">
        <v>419</v>
      </c>
      <c r="AJ82" s="793" t="s">
        <v>10842</v>
      </c>
      <c r="AK82" s="793" t="s">
        <v>10843</v>
      </c>
      <c r="AL82" s="793" t="s">
        <v>10578</v>
      </c>
      <c r="AM82" s="793" t="s">
        <v>2981</v>
      </c>
      <c r="AN82" s="793" t="s">
        <v>6071</v>
      </c>
      <c r="AO82" s="793" t="s">
        <v>3728</v>
      </c>
      <c r="AP82" s="793" t="s">
        <v>10844</v>
      </c>
      <c r="AQ82" s="793" t="s">
        <v>7088</v>
      </c>
      <c r="AR82" s="793" t="s">
        <v>6342</v>
      </c>
      <c r="AS82" s="793" t="s">
        <v>10845</v>
      </c>
      <c r="AT82" s="793" t="s">
        <v>10846</v>
      </c>
      <c r="AU82" s="793" t="s">
        <v>10847</v>
      </c>
      <c r="AV82" s="1474" t="str">
        <f t="shared" si="1"/>
        <v>3:48</v>
      </c>
      <c r="AW82" s="1724"/>
    </row>
    <row r="83" ht="15.75" customHeight="1">
      <c r="A83" s="1554" t="s">
        <v>10848</v>
      </c>
      <c r="B83" s="1555" t="s">
        <v>9164</v>
      </c>
      <c r="C83" s="1691">
        <v>0.05240740740740741</v>
      </c>
      <c r="D83" s="998" t="s">
        <v>10849</v>
      </c>
      <c r="E83" s="333" t="s">
        <v>1746</v>
      </c>
      <c r="F83" s="333" t="s">
        <v>7451</v>
      </c>
      <c r="G83" s="333" t="s">
        <v>10559</v>
      </c>
      <c r="H83" s="333" t="s">
        <v>10850</v>
      </c>
      <c r="I83" s="333" t="s">
        <v>10851</v>
      </c>
      <c r="J83" s="333" t="s">
        <v>10852</v>
      </c>
      <c r="K83" s="333" t="s">
        <v>10853</v>
      </c>
      <c r="L83" s="333" t="s">
        <v>4476</v>
      </c>
      <c r="M83" s="333" t="s">
        <v>3301</v>
      </c>
      <c r="N83" s="333" t="s">
        <v>4883</v>
      </c>
      <c r="O83" s="333" t="s">
        <v>10854</v>
      </c>
      <c r="P83" s="333" t="s">
        <v>10855</v>
      </c>
      <c r="Q83" s="333" t="s">
        <v>4248</v>
      </c>
      <c r="R83" s="333" t="s">
        <v>10179</v>
      </c>
      <c r="S83" s="333" t="s">
        <v>10341</v>
      </c>
      <c r="T83" s="333" t="s">
        <v>5101</v>
      </c>
      <c r="U83" s="333" t="s">
        <v>10856</v>
      </c>
      <c r="V83" s="333" t="s">
        <v>10857</v>
      </c>
      <c r="W83" s="333" t="s">
        <v>10858</v>
      </c>
      <c r="X83" s="333" t="s">
        <v>10859</v>
      </c>
      <c r="Y83" s="333" t="s">
        <v>6627</v>
      </c>
      <c r="Z83" s="333" t="s">
        <v>10720</v>
      </c>
      <c r="AA83" s="333" t="s">
        <v>1936</v>
      </c>
      <c r="AB83" s="333" t="s">
        <v>7000</v>
      </c>
      <c r="AC83" s="333" t="s">
        <v>1538</v>
      </c>
      <c r="AD83" s="333" t="s">
        <v>10860</v>
      </c>
      <c r="AE83" s="333" t="s">
        <v>1538</v>
      </c>
      <c r="AF83" s="333" t="s">
        <v>10861</v>
      </c>
      <c r="AG83" s="333" t="s">
        <v>10498</v>
      </c>
      <c r="AH83" s="333" t="s">
        <v>2115</v>
      </c>
      <c r="AI83" s="333" t="s">
        <v>3372</v>
      </c>
      <c r="AJ83" s="333" t="s">
        <v>10862</v>
      </c>
      <c r="AK83" s="333" t="s">
        <v>8284</v>
      </c>
      <c r="AL83" s="333" t="s">
        <v>10863</v>
      </c>
      <c r="AM83" s="333" t="s">
        <v>1190</v>
      </c>
      <c r="AN83" s="333" t="s">
        <v>3009</v>
      </c>
      <c r="AO83" s="333" t="s">
        <v>10864</v>
      </c>
      <c r="AP83" s="333" t="s">
        <v>3662</v>
      </c>
      <c r="AQ83" s="333" t="s">
        <v>10865</v>
      </c>
      <c r="AR83" s="333" t="s">
        <v>10866</v>
      </c>
      <c r="AS83" s="333" t="s">
        <v>9270</v>
      </c>
      <c r="AT83" s="333" t="s">
        <v>9886</v>
      </c>
      <c r="AU83" s="333" t="s">
        <v>10867</v>
      </c>
      <c r="AV83" s="1474" t="str">
        <f t="shared" si="1"/>
        <v>3:40</v>
      </c>
      <c r="AW83" s="1723" t="s">
        <v>10868</v>
      </c>
    </row>
    <row r="84" ht="15.75" customHeight="1">
      <c r="A84" s="1681" t="s">
        <v>10869</v>
      </c>
      <c r="B84" s="1555" t="s">
        <v>9164</v>
      </c>
      <c r="C84" s="1691">
        <v>0.05263888888888889</v>
      </c>
      <c r="D84" s="998" t="s">
        <v>10870</v>
      </c>
      <c r="E84" s="333" t="s">
        <v>7692</v>
      </c>
      <c r="F84" s="333" t="s">
        <v>10871</v>
      </c>
      <c r="G84" s="333" t="s">
        <v>10872</v>
      </c>
      <c r="H84" s="333" t="s">
        <v>10873</v>
      </c>
      <c r="I84" s="333" t="s">
        <v>10874</v>
      </c>
      <c r="J84" s="333" t="s">
        <v>10875</v>
      </c>
      <c r="K84" s="333" t="s">
        <v>4154</v>
      </c>
      <c r="L84" s="333" t="s">
        <v>4227</v>
      </c>
      <c r="M84" s="333" t="s">
        <v>9906</v>
      </c>
      <c r="N84" s="333" t="s">
        <v>10876</v>
      </c>
      <c r="O84" s="333" t="s">
        <v>9205</v>
      </c>
      <c r="P84" s="333" t="s">
        <v>483</v>
      </c>
      <c r="Q84" s="333" t="s">
        <v>10877</v>
      </c>
      <c r="R84" s="333" t="s">
        <v>5639</v>
      </c>
      <c r="S84" s="333" t="s">
        <v>6580</v>
      </c>
      <c r="T84" s="333" t="s">
        <v>10878</v>
      </c>
      <c r="U84" s="333" t="s">
        <v>10879</v>
      </c>
      <c r="V84" s="333" t="s">
        <v>10880</v>
      </c>
      <c r="W84" s="333" t="s">
        <v>10881</v>
      </c>
      <c r="X84" s="333" t="s">
        <v>10882</v>
      </c>
      <c r="Y84" s="333" t="s">
        <v>1538</v>
      </c>
      <c r="Z84" s="333" t="s">
        <v>7607</v>
      </c>
      <c r="AA84" s="793" t="s">
        <v>6524</v>
      </c>
      <c r="AB84" s="333" t="s">
        <v>9803</v>
      </c>
      <c r="AC84" s="333" t="s">
        <v>10615</v>
      </c>
      <c r="AD84" s="333" t="s">
        <v>3046</v>
      </c>
      <c r="AE84" s="333" t="s">
        <v>4791</v>
      </c>
      <c r="AF84" s="333" t="s">
        <v>10883</v>
      </c>
      <c r="AG84" s="333" t="s">
        <v>2890</v>
      </c>
      <c r="AH84" s="333" t="s">
        <v>7821</v>
      </c>
      <c r="AI84" s="333" t="s">
        <v>10884</v>
      </c>
      <c r="AJ84" s="333" t="s">
        <v>10885</v>
      </c>
      <c r="AK84" s="333" t="s">
        <v>10228</v>
      </c>
      <c r="AL84" s="333" t="s">
        <v>10886</v>
      </c>
      <c r="AM84" s="333" t="s">
        <v>10887</v>
      </c>
      <c r="AN84" s="333" t="s">
        <v>3900</v>
      </c>
      <c r="AO84" s="333" t="s">
        <v>9602</v>
      </c>
      <c r="AP84" s="333" t="s">
        <v>10888</v>
      </c>
      <c r="AQ84" s="333" t="s">
        <v>10889</v>
      </c>
      <c r="AR84" s="333" t="s">
        <v>1382</v>
      </c>
      <c r="AS84" s="333" t="s">
        <v>1009</v>
      </c>
      <c r="AT84" s="333" t="s">
        <v>10890</v>
      </c>
      <c r="AU84" s="333" t="s">
        <v>10891</v>
      </c>
      <c r="AV84" s="1474" t="str">
        <f t="shared" si="1"/>
        <v>4:28</v>
      </c>
      <c r="AW84" s="1723" t="s">
        <v>10892</v>
      </c>
    </row>
    <row r="85">
      <c r="A85" s="1617" t="s">
        <v>3625</v>
      </c>
      <c r="B85" s="1698" t="s">
        <v>9217</v>
      </c>
      <c r="C85" s="1556">
        <v>0.052662037037037035</v>
      </c>
      <c r="D85" s="998" t="s">
        <v>10893</v>
      </c>
      <c r="E85" s="998" t="s">
        <v>533</v>
      </c>
      <c r="F85" s="998" t="s">
        <v>10894</v>
      </c>
      <c r="G85" s="998" t="s">
        <v>10895</v>
      </c>
      <c r="H85" s="998" t="s">
        <v>9434</v>
      </c>
      <c r="I85" s="998" t="s">
        <v>10896</v>
      </c>
      <c r="J85" s="998" t="s">
        <v>1592</v>
      </c>
      <c r="K85" s="998" t="s">
        <v>10897</v>
      </c>
      <c r="L85" s="998" t="s">
        <v>2883</v>
      </c>
      <c r="M85" s="998" t="s">
        <v>270</v>
      </c>
      <c r="N85" s="998" t="s">
        <v>9720</v>
      </c>
      <c r="O85" s="998" t="s">
        <v>10898</v>
      </c>
      <c r="P85" s="998" t="s">
        <v>10899</v>
      </c>
      <c r="Q85" s="998" t="s">
        <v>3474</v>
      </c>
      <c r="R85" s="998" t="s">
        <v>10900</v>
      </c>
      <c r="S85" s="998" t="s">
        <v>6155</v>
      </c>
      <c r="T85" s="998" t="s">
        <v>10901</v>
      </c>
      <c r="U85" s="998" t="s">
        <v>10902</v>
      </c>
      <c r="V85" s="998" t="s">
        <v>10903</v>
      </c>
      <c r="W85" s="998" t="s">
        <v>10904</v>
      </c>
      <c r="X85" s="998" t="s">
        <v>2808</v>
      </c>
      <c r="Y85" s="998" t="s">
        <v>2841</v>
      </c>
      <c r="Z85" s="998" t="s">
        <v>6445</v>
      </c>
      <c r="AA85" s="793" t="s">
        <v>10905</v>
      </c>
      <c r="AB85" s="998" t="s">
        <v>9248</v>
      </c>
      <c r="AC85" s="998" t="s">
        <v>7624</v>
      </c>
      <c r="AD85" s="1733" t="s">
        <v>9236</v>
      </c>
      <c r="AE85" s="998" t="s">
        <v>335</v>
      </c>
      <c r="AF85" s="998" t="s">
        <v>10906</v>
      </c>
      <c r="AG85" s="998" t="s">
        <v>7068</v>
      </c>
      <c r="AH85" s="998" t="s">
        <v>3832</v>
      </c>
      <c r="AI85" s="998" t="s">
        <v>10907</v>
      </c>
      <c r="AJ85" s="998" t="s">
        <v>10908</v>
      </c>
      <c r="AK85" s="998" t="s">
        <v>10909</v>
      </c>
      <c r="AL85" s="998" t="s">
        <v>4615</v>
      </c>
      <c r="AM85" s="998" t="s">
        <v>5842</v>
      </c>
      <c r="AN85" s="1733" t="s">
        <v>9241</v>
      </c>
      <c r="AO85" s="998" t="s">
        <v>10910</v>
      </c>
      <c r="AP85" s="998" t="s">
        <v>10911</v>
      </c>
      <c r="AQ85" s="998" t="s">
        <v>10912</v>
      </c>
      <c r="AR85" s="998" t="s">
        <v>6109</v>
      </c>
      <c r="AS85" s="998" t="s">
        <v>8216</v>
      </c>
      <c r="AT85" s="998" t="s">
        <v>10913</v>
      </c>
      <c r="AU85" s="1734" t="s">
        <v>10914</v>
      </c>
      <c r="AV85" s="1474" t="str">
        <f t="shared" si="1"/>
        <v>4:43</v>
      </c>
      <c r="AW85" s="1705" t="s">
        <v>10915</v>
      </c>
    </row>
    <row r="86" ht="15.75" customHeight="1">
      <c r="A86" s="1617" t="s">
        <v>10916</v>
      </c>
      <c r="B86" s="1615" t="s">
        <v>9164</v>
      </c>
      <c r="C86" s="1556">
        <v>0.05267361111111111</v>
      </c>
      <c r="D86" s="1697" t="s">
        <v>10306</v>
      </c>
      <c r="E86" s="793" t="s">
        <v>175</v>
      </c>
      <c r="F86" s="793" t="s">
        <v>10917</v>
      </c>
      <c r="G86" s="793" t="s">
        <v>10918</v>
      </c>
      <c r="H86" s="793" t="s">
        <v>10919</v>
      </c>
      <c r="I86" s="793" t="s">
        <v>5685</v>
      </c>
      <c r="J86" s="998" t="s">
        <v>10920</v>
      </c>
      <c r="K86" s="793" t="s">
        <v>10921</v>
      </c>
      <c r="L86" s="793" t="s">
        <v>3832</v>
      </c>
      <c r="M86" s="793" t="s">
        <v>7050</v>
      </c>
      <c r="N86" s="793" t="s">
        <v>10922</v>
      </c>
      <c r="O86" s="793" t="s">
        <v>10923</v>
      </c>
      <c r="P86" s="793" t="s">
        <v>10275</v>
      </c>
      <c r="Q86" s="793" t="s">
        <v>10924</v>
      </c>
      <c r="R86" s="793" t="s">
        <v>5702</v>
      </c>
      <c r="S86" s="793" t="s">
        <v>10925</v>
      </c>
      <c r="T86" s="793" t="s">
        <v>10926</v>
      </c>
      <c r="U86" s="793" t="s">
        <v>10927</v>
      </c>
      <c r="V86" s="793" t="s">
        <v>3925</v>
      </c>
      <c r="W86" s="793" t="s">
        <v>10928</v>
      </c>
      <c r="X86" s="793" t="s">
        <v>2416</v>
      </c>
      <c r="Y86" s="793" t="s">
        <v>9870</v>
      </c>
      <c r="Z86" s="793" t="s">
        <v>9394</v>
      </c>
      <c r="AA86" s="793" t="s">
        <v>10929</v>
      </c>
      <c r="AB86" s="793" t="s">
        <v>10490</v>
      </c>
      <c r="AC86" s="793" t="s">
        <v>9758</v>
      </c>
      <c r="AD86" s="793" t="s">
        <v>10930</v>
      </c>
      <c r="AE86" s="793" t="s">
        <v>2386</v>
      </c>
      <c r="AF86" s="793" t="s">
        <v>10931</v>
      </c>
      <c r="AG86" s="793" t="s">
        <v>10932</v>
      </c>
      <c r="AH86" s="793" t="s">
        <v>4227</v>
      </c>
      <c r="AI86" s="793" t="s">
        <v>10933</v>
      </c>
      <c r="AJ86" s="793" t="s">
        <v>10934</v>
      </c>
      <c r="AK86" s="793" t="s">
        <v>1775</v>
      </c>
      <c r="AL86" s="793" t="s">
        <v>2610</v>
      </c>
      <c r="AM86" s="793" t="s">
        <v>1775</v>
      </c>
      <c r="AN86" s="793" t="s">
        <v>2610</v>
      </c>
      <c r="AO86" s="793" t="s">
        <v>6274</v>
      </c>
      <c r="AP86" s="793" t="s">
        <v>10935</v>
      </c>
      <c r="AQ86" s="793" t="s">
        <v>2208</v>
      </c>
      <c r="AR86" s="793" t="s">
        <v>10744</v>
      </c>
      <c r="AS86" s="793" t="s">
        <v>10936</v>
      </c>
      <c r="AT86" s="793" t="s">
        <v>10937</v>
      </c>
      <c r="AU86" s="793" t="s">
        <v>10938</v>
      </c>
      <c r="AV86" s="1474" t="str">
        <f t="shared" si="1"/>
        <v>5:58</v>
      </c>
      <c r="AW86" s="1720" t="s">
        <v>10939</v>
      </c>
    </row>
    <row r="87" ht="15.75" customHeight="1">
      <c r="A87" s="1554" t="s">
        <v>6128</v>
      </c>
      <c r="B87" s="1650" t="s">
        <v>9191</v>
      </c>
      <c r="C87" s="1691">
        <v>0.05275462962962963</v>
      </c>
      <c r="D87" s="998" t="s">
        <v>10940</v>
      </c>
      <c r="E87" s="333" t="s">
        <v>6035</v>
      </c>
      <c r="F87" s="333" t="s">
        <v>10941</v>
      </c>
      <c r="G87" s="333" t="s">
        <v>9358</v>
      </c>
      <c r="H87" s="333" t="s">
        <v>6856</v>
      </c>
      <c r="I87" s="333" t="s">
        <v>2285</v>
      </c>
      <c r="J87" s="333" t="s">
        <v>4168</v>
      </c>
      <c r="K87" s="333" t="s">
        <v>10635</v>
      </c>
      <c r="L87" s="333" t="s">
        <v>5397</v>
      </c>
      <c r="M87" s="333" t="s">
        <v>4153</v>
      </c>
      <c r="N87" s="333" t="s">
        <v>10942</v>
      </c>
      <c r="O87" s="333" t="s">
        <v>10943</v>
      </c>
      <c r="P87" s="333" t="s">
        <v>6393</v>
      </c>
      <c r="Q87" s="333" t="s">
        <v>10944</v>
      </c>
      <c r="R87" s="333" t="s">
        <v>10945</v>
      </c>
      <c r="S87" s="333" t="s">
        <v>9179</v>
      </c>
      <c r="T87" s="333" t="s">
        <v>2615</v>
      </c>
      <c r="U87" s="333" t="s">
        <v>498</v>
      </c>
      <c r="V87" s="333" t="s">
        <v>10946</v>
      </c>
      <c r="W87" s="333" t="s">
        <v>10947</v>
      </c>
      <c r="X87" s="333" t="s">
        <v>9361</v>
      </c>
      <c r="Y87" s="333" t="s">
        <v>5870</v>
      </c>
      <c r="Z87" s="333" t="s">
        <v>9555</v>
      </c>
      <c r="AA87" s="333" t="s">
        <v>10948</v>
      </c>
      <c r="AB87" s="333" t="s">
        <v>491</v>
      </c>
      <c r="AC87" s="333" t="s">
        <v>9416</v>
      </c>
      <c r="AD87" s="333" t="s">
        <v>10949</v>
      </c>
      <c r="AE87" s="333" t="s">
        <v>10950</v>
      </c>
      <c r="AF87" s="333" t="s">
        <v>10032</v>
      </c>
      <c r="AG87" s="333" t="s">
        <v>8150</v>
      </c>
      <c r="AH87" s="333" t="s">
        <v>725</v>
      </c>
      <c r="AI87" s="333" t="s">
        <v>5427</v>
      </c>
      <c r="AJ87" s="333" t="s">
        <v>10951</v>
      </c>
      <c r="AK87" s="333" t="s">
        <v>9495</v>
      </c>
      <c r="AL87" s="333" t="s">
        <v>5282</v>
      </c>
      <c r="AM87" s="333" t="s">
        <v>2726</v>
      </c>
      <c r="AN87" s="333" t="s">
        <v>6593</v>
      </c>
      <c r="AO87" s="333" t="s">
        <v>6294</v>
      </c>
      <c r="AP87" s="333" t="s">
        <v>10952</v>
      </c>
      <c r="AQ87" s="333" t="s">
        <v>10953</v>
      </c>
      <c r="AR87" s="333" t="s">
        <v>10572</v>
      </c>
      <c r="AS87" s="333" t="s">
        <v>9564</v>
      </c>
      <c r="AT87" s="333" t="s">
        <v>10954</v>
      </c>
      <c r="AU87" s="333" t="s">
        <v>10955</v>
      </c>
      <c r="AV87" s="1474" t="str">
        <f t="shared" si="1"/>
        <v>3:59</v>
      </c>
      <c r="AW87" s="1724" t="s">
        <v>10956</v>
      </c>
    </row>
    <row r="88" ht="15.75" customHeight="1">
      <c r="A88" s="1681" t="s">
        <v>10957</v>
      </c>
      <c r="B88" s="1710" t="s">
        <v>9217</v>
      </c>
      <c r="C88" s="1691">
        <v>0.05291666666666667</v>
      </c>
      <c r="D88" s="998" t="s">
        <v>10958</v>
      </c>
      <c r="E88" s="333" t="s">
        <v>10959</v>
      </c>
      <c r="F88" s="333" t="s">
        <v>5967</v>
      </c>
      <c r="G88" s="333" t="s">
        <v>10166</v>
      </c>
      <c r="H88" s="333" t="s">
        <v>10509</v>
      </c>
      <c r="I88" s="333" t="s">
        <v>3121</v>
      </c>
      <c r="J88" s="333" t="s">
        <v>10960</v>
      </c>
      <c r="K88" s="333" t="s">
        <v>5524</v>
      </c>
      <c r="L88" s="333" t="s">
        <v>7429</v>
      </c>
      <c r="M88" s="333" t="s">
        <v>10961</v>
      </c>
      <c r="N88" s="333" t="s">
        <v>10962</v>
      </c>
      <c r="O88" s="333" t="s">
        <v>10963</v>
      </c>
      <c r="P88" s="333" t="s">
        <v>10377</v>
      </c>
      <c r="Q88" s="333" t="s">
        <v>10964</v>
      </c>
      <c r="R88" s="333" t="s">
        <v>5941</v>
      </c>
      <c r="S88" s="333" t="s">
        <v>2667</v>
      </c>
      <c r="T88" s="333" t="s">
        <v>9568</v>
      </c>
      <c r="U88" s="333" t="s">
        <v>5599</v>
      </c>
      <c r="V88" s="333" t="s">
        <v>1148</v>
      </c>
      <c r="W88" s="333" t="s">
        <v>1898</v>
      </c>
      <c r="X88" s="333" t="s">
        <v>3364</v>
      </c>
      <c r="Y88" s="333" t="s">
        <v>663</v>
      </c>
      <c r="Z88" s="333" t="s">
        <v>10965</v>
      </c>
      <c r="AA88" s="793" t="s">
        <v>7296</v>
      </c>
      <c r="AB88" s="333" t="s">
        <v>3679</v>
      </c>
      <c r="AC88" s="333" t="s">
        <v>2449</v>
      </c>
      <c r="AD88" s="333" t="s">
        <v>10966</v>
      </c>
      <c r="AE88" s="333" t="s">
        <v>10967</v>
      </c>
      <c r="AF88" s="333" t="s">
        <v>10968</v>
      </c>
      <c r="AG88" s="333" t="s">
        <v>2756</v>
      </c>
      <c r="AH88" s="333" t="s">
        <v>10202</v>
      </c>
      <c r="AI88" s="333" t="s">
        <v>10969</v>
      </c>
      <c r="AJ88" s="333" t="s">
        <v>10970</v>
      </c>
      <c r="AK88" s="333" t="s">
        <v>10971</v>
      </c>
      <c r="AL88" s="333" t="s">
        <v>1749</v>
      </c>
      <c r="AM88" s="333" t="s">
        <v>2557</v>
      </c>
      <c r="AN88" s="333" t="s">
        <v>10972</v>
      </c>
      <c r="AO88" s="333" t="s">
        <v>10973</v>
      </c>
      <c r="AP88" s="333" t="s">
        <v>8996</v>
      </c>
      <c r="AQ88" s="333" t="s">
        <v>10974</v>
      </c>
      <c r="AR88" s="333" t="s">
        <v>10878</v>
      </c>
      <c r="AS88" s="333" t="s">
        <v>4375</v>
      </c>
      <c r="AT88" s="333" t="s">
        <v>10975</v>
      </c>
      <c r="AU88" s="333" t="s">
        <v>10976</v>
      </c>
      <c r="AV88" s="1474" t="str">
        <f t="shared" si="1"/>
        <v>2:38</v>
      </c>
      <c r="AW88" s="1724"/>
    </row>
    <row r="89" ht="15.75" customHeight="1">
      <c r="A89" s="1617" t="s">
        <v>6463</v>
      </c>
      <c r="B89" s="1605" t="s">
        <v>9164</v>
      </c>
      <c r="C89" s="1556">
        <v>0.05324074074074074</v>
      </c>
      <c r="D89" s="998" t="s">
        <v>10977</v>
      </c>
      <c r="E89" s="998" t="s">
        <v>10978</v>
      </c>
      <c r="F89" s="998" t="s">
        <v>10979</v>
      </c>
      <c r="G89" s="998" t="s">
        <v>9912</v>
      </c>
      <c r="H89" s="998" t="s">
        <v>10980</v>
      </c>
      <c r="I89" s="998" t="s">
        <v>6157</v>
      </c>
      <c r="J89" s="998" t="s">
        <v>1708</v>
      </c>
      <c r="K89" s="998" t="s">
        <v>4290</v>
      </c>
      <c r="L89" s="998" t="s">
        <v>10981</v>
      </c>
      <c r="M89" s="998" t="s">
        <v>10982</v>
      </c>
      <c r="N89" s="998" t="s">
        <v>10983</v>
      </c>
      <c r="O89" s="998" t="s">
        <v>10984</v>
      </c>
      <c r="P89" s="998" t="s">
        <v>10985</v>
      </c>
      <c r="Q89" s="998" t="s">
        <v>10986</v>
      </c>
      <c r="R89" s="998" t="s">
        <v>10987</v>
      </c>
      <c r="S89" s="998" t="s">
        <v>10859</v>
      </c>
      <c r="T89" s="998" t="s">
        <v>10988</v>
      </c>
      <c r="U89" s="998" t="s">
        <v>10989</v>
      </c>
      <c r="V89" s="998" t="s">
        <v>2902</v>
      </c>
      <c r="W89" s="998" t="s">
        <v>10990</v>
      </c>
      <c r="X89" s="998" t="s">
        <v>10991</v>
      </c>
      <c r="Y89" s="998" t="s">
        <v>5685</v>
      </c>
      <c r="Z89" s="998" t="s">
        <v>3575</v>
      </c>
      <c r="AA89" s="793" t="s">
        <v>10992</v>
      </c>
      <c r="AB89" s="998" t="s">
        <v>10312</v>
      </c>
      <c r="AC89" s="998" t="s">
        <v>5638</v>
      </c>
      <c r="AD89" s="998" t="s">
        <v>10993</v>
      </c>
      <c r="AE89" s="998" t="s">
        <v>10103</v>
      </c>
      <c r="AF89" s="998" t="s">
        <v>10994</v>
      </c>
      <c r="AG89" s="998" t="s">
        <v>10800</v>
      </c>
      <c r="AH89" s="998" t="s">
        <v>5845</v>
      </c>
      <c r="AI89" s="998" t="s">
        <v>10995</v>
      </c>
      <c r="AJ89" s="998" t="s">
        <v>10996</v>
      </c>
      <c r="AK89" s="793" t="s">
        <v>10997</v>
      </c>
      <c r="AL89" s="998" t="s">
        <v>10618</v>
      </c>
      <c r="AM89" s="998" t="s">
        <v>8580</v>
      </c>
      <c r="AN89" s="998" t="s">
        <v>10457</v>
      </c>
      <c r="AO89" s="998" t="s">
        <v>4550</v>
      </c>
      <c r="AP89" s="998" t="s">
        <v>10998</v>
      </c>
      <c r="AQ89" s="998" t="s">
        <v>10999</v>
      </c>
      <c r="AR89" s="793" t="s">
        <v>3831</v>
      </c>
      <c r="AS89" s="998" t="s">
        <v>11000</v>
      </c>
      <c r="AT89" s="998" t="s">
        <v>11001</v>
      </c>
      <c r="AU89" s="793" t="s">
        <v>10914</v>
      </c>
      <c r="AV89" s="1474" t="str">
        <f t="shared" si="1"/>
        <v>3:53</v>
      </c>
      <c r="AW89" s="1720" t="s">
        <v>11002</v>
      </c>
    </row>
    <row r="90">
      <c r="A90" s="1617" t="s">
        <v>4804</v>
      </c>
      <c r="B90" s="1615" t="s">
        <v>9217</v>
      </c>
      <c r="C90" s="1556">
        <v>0.05331018518518518</v>
      </c>
      <c r="D90" s="793" t="s">
        <v>11003</v>
      </c>
      <c r="E90" s="793" t="s">
        <v>7502</v>
      </c>
      <c r="F90" s="793" t="s">
        <v>10775</v>
      </c>
      <c r="G90" s="793" t="s">
        <v>11004</v>
      </c>
      <c r="H90" s="998" t="s">
        <v>11005</v>
      </c>
      <c r="I90" s="793" t="s">
        <v>11006</v>
      </c>
      <c r="J90" s="793" t="s">
        <v>10550</v>
      </c>
      <c r="K90" s="793" t="s">
        <v>9354</v>
      </c>
      <c r="L90" s="793" t="s">
        <v>4483</v>
      </c>
      <c r="M90" s="793" t="s">
        <v>11007</v>
      </c>
      <c r="N90" s="793" t="s">
        <v>10339</v>
      </c>
      <c r="O90" s="793" t="s">
        <v>11008</v>
      </c>
      <c r="P90" s="793" t="s">
        <v>6343</v>
      </c>
      <c r="Q90" s="793" t="s">
        <v>11009</v>
      </c>
      <c r="R90" s="793" t="s">
        <v>2151</v>
      </c>
      <c r="S90" s="793" t="s">
        <v>7311</v>
      </c>
      <c r="T90" s="793" t="s">
        <v>6838</v>
      </c>
      <c r="U90" s="793" t="s">
        <v>11010</v>
      </c>
      <c r="V90" s="793" t="s">
        <v>10531</v>
      </c>
      <c r="W90" s="793" t="s">
        <v>11011</v>
      </c>
      <c r="X90" s="793" t="s">
        <v>7830</v>
      </c>
      <c r="Y90" s="793" t="s">
        <v>5539</v>
      </c>
      <c r="Z90" s="793" t="s">
        <v>10341</v>
      </c>
      <c r="AA90" s="793" t="s">
        <v>11012</v>
      </c>
      <c r="AB90" s="793" t="s">
        <v>3568</v>
      </c>
      <c r="AC90" s="793" t="s">
        <v>11013</v>
      </c>
      <c r="AD90" s="793" t="s">
        <v>11014</v>
      </c>
      <c r="AE90" s="793" t="s">
        <v>5870</v>
      </c>
      <c r="AF90" s="793" t="s">
        <v>11015</v>
      </c>
      <c r="AG90" s="793" t="s">
        <v>9684</v>
      </c>
      <c r="AH90" s="793" t="s">
        <v>11016</v>
      </c>
      <c r="AI90" s="793" t="s">
        <v>11017</v>
      </c>
      <c r="AJ90" s="793" t="s">
        <v>11018</v>
      </c>
      <c r="AK90" s="793" t="s">
        <v>2230</v>
      </c>
      <c r="AL90" s="793" t="s">
        <v>2199</v>
      </c>
      <c r="AM90" s="793" t="s">
        <v>11019</v>
      </c>
      <c r="AN90" s="793" t="s">
        <v>4689</v>
      </c>
      <c r="AO90" s="793" t="s">
        <v>11020</v>
      </c>
      <c r="AP90" s="793" t="s">
        <v>2814</v>
      </c>
      <c r="AQ90" s="793" t="s">
        <v>11021</v>
      </c>
      <c r="AR90" s="793" t="s">
        <v>1761</v>
      </c>
      <c r="AS90" s="793" t="s">
        <v>973</v>
      </c>
      <c r="AT90" s="793" t="s">
        <v>11022</v>
      </c>
      <c r="AU90" s="793" t="s">
        <v>11023</v>
      </c>
      <c r="AV90" s="1474" t="str">
        <f t="shared" si="1"/>
        <v>4:18</v>
      </c>
      <c r="AW90" s="1724"/>
    </row>
    <row r="91" ht="15.75" customHeight="1">
      <c r="A91" s="1681" t="s">
        <v>11024</v>
      </c>
      <c r="B91" s="1710" t="s">
        <v>9217</v>
      </c>
      <c r="C91" s="1556">
        <v>0.05348379629629629</v>
      </c>
      <c r="D91" s="998" t="s">
        <v>11025</v>
      </c>
      <c r="E91" s="333" t="s">
        <v>10810</v>
      </c>
      <c r="F91" s="333" t="s">
        <v>6592</v>
      </c>
      <c r="G91" s="333" t="s">
        <v>11026</v>
      </c>
      <c r="H91" s="333" t="s">
        <v>11027</v>
      </c>
      <c r="I91" s="333" t="s">
        <v>2352</v>
      </c>
      <c r="J91" s="333" t="s">
        <v>9734</v>
      </c>
      <c r="K91" s="333" t="s">
        <v>9229</v>
      </c>
      <c r="L91" s="333" t="s">
        <v>4881</v>
      </c>
      <c r="M91" s="333" t="s">
        <v>11028</v>
      </c>
      <c r="N91" s="333" t="s">
        <v>11029</v>
      </c>
      <c r="O91" s="333" t="s">
        <v>4336</v>
      </c>
      <c r="P91" s="333" t="s">
        <v>927</v>
      </c>
      <c r="Q91" s="793" t="s">
        <v>11030</v>
      </c>
      <c r="R91" s="333" t="s">
        <v>10595</v>
      </c>
      <c r="S91" s="333" t="s">
        <v>9940</v>
      </c>
      <c r="T91" s="333" t="s">
        <v>10782</v>
      </c>
      <c r="U91" s="333" t="s">
        <v>11031</v>
      </c>
      <c r="V91" s="333" t="s">
        <v>3230</v>
      </c>
      <c r="W91" s="333" t="s">
        <v>11032</v>
      </c>
      <c r="X91" s="333" t="s">
        <v>3147</v>
      </c>
      <c r="Y91" s="333" t="s">
        <v>1428</v>
      </c>
      <c r="Z91" s="333" t="s">
        <v>9642</v>
      </c>
      <c r="AA91" s="793" t="s">
        <v>11033</v>
      </c>
      <c r="AB91" s="333" t="s">
        <v>10350</v>
      </c>
      <c r="AC91" s="333" t="s">
        <v>1155</v>
      </c>
      <c r="AD91" s="333" t="s">
        <v>11034</v>
      </c>
      <c r="AE91" s="333" t="s">
        <v>587</v>
      </c>
      <c r="AF91" s="793" t="s">
        <v>11035</v>
      </c>
      <c r="AG91" s="333" t="s">
        <v>5888</v>
      </c>
      <c r="AH91" s="333" t="s">
        <v>9814</v>
      </c>
      <c r="AI91" s="333" t="s">
        <v>2640</v>
      </c>
      <c r="AJ91" s="333" t="s">
        <v>11036</v>
      </c>
      <c r="AK91" s="333" t="s">
        <v>9656</v>
      </c>
      <c r="AL91" s="333" t="s">
        <v>11037</v>
      </c>
      <c r="AM91" s="333" t="s">
        <v>9408</v>
      </c>
      <c r="AN91" s="333" t="s">
        <v>10618</v>
      </c>
      <c r="AO91" s="333" t="s">
        <v>9333</v>
      </c>
      <c r="AP91" s="333" t="s">
        <v>11038</v>
      </c>
      <c r="AQ91" s="333" t="s">
        <v>4473</v>
      </c>
      <c r="AR91" s="333" t="s">
        <v>1382</v>
      </c>
      <c r="AS91" s="333" t="s">
        <v>9430</v>
      </c>
      <c r="AT91" s="333" t="s">
        <v>4746</v>
      </c>
      <c r="AU91" s="333" t="s">
        <v>11039</v>
      </c>
      <c r="AV91" s="1474" t="str">
        <f t="shared" si="1"/>
        <v>3:27</v>
      </c>
      <c r="AW91" s="1720" t="s">
        <v>11040</v>
      </c>
    </row>
    <row r="92">
      <c r="A92" s="1617" t="s">
        <v>5480</v>
      </c>
      <c r="B92" s="1605" t="s">
        <v>9164</v>
      </c>
      <c r="C92" s="1556">
        <v>0.05376157407407407</v>
      </c>
      <c r="D92" s="793" t="s">
        <v>11041</v>
      </c>
      <c r="E92" s="793" t="s">
        <v>11042</v>
      </c>
      <c r="F92" s="793" t="s">
        <v>11043</v>
      </c>
      <c r="G92" s="793" t="s">
        <v>11044</v>
      </c>
      <c r="H92" s="1735" t="s">
        <v>11045</v>
      </c>
      <c r="I92" s="998" t="s">
        <v>239</v>
      </c>
      <c r="J92" s="793" t="s">
        <v>10228</v>
      </c>
      <c r="K92" s="793" t="s">
        <v>11046</v>
      </c>
      <c r="L92" s="793" t="s">
        <v>2521</v>
      </c>
      <c r="M92" s="793" t="s">
        <v>1262</v>
      </c>
      <c r="N92" s="793" t="s">
        <v>11047</v>
      </c>
      <c r="O92" s="793" t="s">
        <v>11048</v>
      </c>
      <c r="P92" s="793" t="s">
        <v>863</v>
      </c>
      <c r="Q92" s="793" t="s">
        <v>4412</v>
      </c>
      <c r="R92" s="793" t="s">
        <v>11049</v>
      </c>
      <c r="S92" s="1736" t="s">
        <v>11050</v>
      </c>
      <c r="T92" s="1736" t="s">
        <v>9779</v>
      </c>
      <c r="U92" s="793" t="s">
        <v>11051</v>
      </c>
      <c r="V92" s="793" t="s">
        <v>11052</v>
      </c>
      <c r="W92" s="793" t="s">
        <v>7143</v>
      </c>
      <c r="X92" s="793" t="s">
        <v>11053</v>
      </c>
      <c r="Y92" s="793" t="s">
        <v>2126</v>
      </c>
      <c r="Z92" s="793" t="s">
        <v>10350</v>
      </c>
      <c r="AA92" s="793" t="s">
        <v>11054</v>
      </c>
      <c r="AB92" s="793" t="s">
        <v>11055</v>
      </c>
      <c r="AC92" s="793" t="s">
        <v>7238</v>
      </c>
      <c r="AD92" s="793" t="s">
        <v>6101</v>
      </c>
      <c r="AE92" s="793" t="s">
        <v>2449</v>
      </c>
      <c r="AF92" s="793" t="s">
        <v>11056</v>
      </c>
      <c r="AG92" s="793" t="s">
        <v>11057</v>
      </c>
      <c r="AH92" s="793" t="s">
        <v>5032</v>
      </c>
      <c r="AI92" s="793" t="s">
        <v>7080</v>
      </c>
      <c r="AJ92" s="793" t="s">
        <v>11058</v>
      </c>
      <c r="AK92" s="793" t="s">
        <v>4874</v>
      </c>
      <c r="AL92" s="793" t="s">
        <v>11059</v>
      </c>
      <c r="AM92" s="793" t="s">
        <v>4884</v>
      </c>
      <c r="AN92" s="793" t="s">
        <v>11060</v>
      </c>
      <c r="AO92" s="793" t="s">
        <v>6635</v>
      </c>
      <c r="AP92" s="793" t="s">
        <v>11061</v>
      </c>
      <c r="AQ92" s="793" t="s">
        <v>11062</v>
      </c>
      <c r="AR92" s="793" t="s">
        <v>5216</v>
      </c>
      <c r="AS92" s="793" t="s">
        <v>9387</v>
      </c>
      <c r="AT92" s="793" t="s">
        <v>11063</v>
      </c>
      <c r="AU92" s="793" t="s">
        <v>11064</v>
      </c>
      <c r="AV92" s="1474" t="str">
        <f t="shared" si="1"/>
        <v>4:58</v>
      </c>
      <c r="AW92" s="1737"/>
    </row>
    <row r="93" ht="15.75" customHeight="1">
      <c r="A93" s="1681" t="s">
        <v>6628</v>
      </c>
      <c r="B93" s="1710" t="s">
        <v>9217</v>
      </c>
      <c r="C93" s="1691">
        <v>0.05386574074074074</v>
      </c>
      <c r="D93" s="333" t="s">
        <v>11065</v>
      </c>
      <c r="E93" s="333" t="s">
        <v>11066</v>
      </c>
      <c r="F93" s="333" t="s">
        <v>11067</v>
      </c>
      <c r="G93" s="333" t="s">
        <v>4298</v>
      </c>
      <c r="H93" s="333" t="s">
        <v>11068</v>
      </c>
      <c r="I93" s="333" t="s">
        <v>11006</v>
      </c>
      <c r="J93" s="333" t="s">
        <v>11069</v>
      </c>
      <c r="K93" s="333" t="s">
        <v>11070</v>
      </c>
      <c r="L93" s="333" t="s">
        <v>1435</v>
      </c>
      <c r="M93" s="333" t="s">
        <v>4570</v>
      </c>
      <c r="N93" s="333" t="s">
        <v>7043</v>
      </c>
      <c r="O93" s="333" t="s">
        <v>11071</v>
      </c>
      <c r="P93" s="333" t="s">
        <v>6343</v>
      </c>
      <c r="Q93" s="333" t="s">
        <v>11072</v>
      </c>
      <c r="R93" s="333" t="s">
        <v>9534</v>
      </c>
      <c r="S93" s="333" t="s">
        <v>11073</v>
      </c>
      <c r="T93" s="333" t="s">
        <v>7421</v>
      </c>
      <c r="U93" s="333" t="s">
        <v>11074</v>
      </c>
      <c r="V93" s="333" t="s">
        <v>11075</v>
      </c>
      <c r="W93" s="333" t="s">
        <v>11076</v>
      </c>
      <c r="X93" s="333" t="s">
        <v>1333</v>
      </c>
      <c r="Y93" s="333" t="s">
        <v>1951</v>
      </c>
      <c r="Z93" s="333" t="s">
        <v>9201</v>
      </c>
      <c r="AA93" s="998" t="s">
        <v>11077</v>
      </c>
      <c r="AB93" s="333" t="s">
        <v>11078</v>
      </c>
      <c r="AC93" s="333" t="s">
        <v>8245</v>
      </c>
      <c r="AD93" s="333" t="s">
        <v>11079</v>
      </c>
      <c r="AE93" s="333" t="s">
        <v>11080</v>
      </c>
      <c r="AF93" s="333" t="s">
        <v>10662</v>
      </c>
      <c r="AG93" s="333" t="s">
        <v>11081</v>
      </c>
      <c r="AH93" s="333" t="s">
        <v>11082</v>
      </c>
      <c r="AI93" s="333" t="s">
        <v>3655</v>
      </c>
      <c r="AJ93" s="333" t="s">
        <v>11083</v>
      </c>
      <c r="AK93" s="333" t="s">
        <v>11084</v>
      </c>
      <c r="AL93" s="333" t="s">
        <v>11085</v>
      </c>
      <c r="AM93" s="333" t="s">
        <v>10321</v>
      </c>
      <c r="AN93" s="333" t="s">
        <v>9851</v>
      </c>
      <c r="AO93" s="793" t="s">
        <v>10022</v>
      </c>
      <c r="AP93" s="333" t="s">
        <v>11086</v>
      </c>
      <c r="AQ93" s="333" t="s">
        <v>11087</v>
      </c>
      <c r="AR93" s="333" t="s">
        <v>11088</v>
      </c>
      <c r="AS93" s="333" t="s">
        <v>9648</v>
      </c>
      <c r="AT93" s="333" t="s">
        <v>11089</v>
      </c>
      <c r="AU93" s="333" t="s">
        <v>11023</v>
      </c>
      <c r="AV93" s="1474" t="str">
        <f t="shared" si="1"/>
        <v>3:30</v>
      </c>
      <c r="AW93" s="1724"/>
    </row>
    <row r="94">
      <c r="A94" s="1617" t="s">
        <v>5377</v>
      </c>
      <c r="B94" s="1605" t="s">
        <v>9217</v>
      </c>
      <c r="C94" s="1556">
        <v>0.05482638888888889</v>
      </c>
      <c r="D94" s="1697" t="s">
        <v>11090</v>
      </c>
      <c r="E94" s="793" t="s">
        <v>9933</v>
      </c>
      <c r="F94" s="793" t="s">
        <v>11091</v>
      </c>
      <c r="G94" s="793" t="s">
        <v>11092</v>
      </c>
      <c r="H94" s="793" t="s">
        <v>11093</v>
      </c>
      <c r="I94" s="793" t="s">
        <v>11094</v>
      </c>
      <c r="J94" s="793" t="s">
        <v>11095</v>
      </c>
      <c r="K94" s="793" t="s">
        <v>10354</v>
      </c>
      <c r="L94" s="793" t="s">
        <v>11096</v>
      </c>
      <c r="M94" s="793" t="s">
        <v>1759</v>
      </c>
      <c r="N94" s="793" t="s">
        <v>6533</v>
      </c>
      <c r="O94" s="793" t="s">
        <v>11097</v>
      </c>
      <c r="P94" s="793" t="s">
        <v>6627</v>
      </c>
      <c r="Q94" s="793" t="s">
        <v>11098</v>
      </c>
      <c r="R94" s="793" t="s">
        <v>9647</v>
      </c>
      <c r="S94" s="793" t="s">
        <v>11099</v>
      </c>
      <c r="T94" s="793" t="s">
        <v>11012</v>
      </c>
      <c r="U94" s="793" t="s">
        <v>11100</v>
      </c>
      <c r="V94" s="793" t="s">
        <v>842</v>
      </c>
      <c r="W94" s="793" t="s">
        <v>6475</v>
      </c>
      <c r="X94" s="793" t="s">
        <v>11101</v>
      </c>
      <c r="Y94" s="793" t="s">
        <v>1679</v>
      </c>
      <c r="Z94" s="793" t="s">
        <v>10370</v>
      </c>
      <c r="AA94" s="793" t="s">
        <v>2392</v>
      </c>
      <c r="AB94" s="793" t="s">
        <v>6870</v>
      </c>
      <c r="AC94" s="793" t="s">
        <v>11102</v>
      </c>
      <c r="AD94" s="793" t="s">
        <v>11103</v>
      </c>
      <c r="AE94" s="793" t="s">
        <v>1538</v>
      </c>
      <c r="AF94" s="793" t="s">
        <v>11104</v>
      </c>
      <c r="AG94" s="793" t="s">
        <v>11105</v>
      </c>
      <c r="AH94" s="793" t="s">
        <v>11106</v>
      </c>
      <c r="AI94" s="793" t="s">
        <v>5821</v>
      </c>
      <c r="AJ94" s="793" t="s">
        <v>11107</v>
      </c>
      <c r="AK94" s="793" t="s">
        <v>246</v>
      </c>
      <c r="AL94" s="793" t="s">
        <v>8337</v>
      </c>
      <c r="AM94" s="793" t="s">
        <v>4303</v>
      </c>
      <c r="AN94" s="793" t="s">
        <v>11108</v>
      </c>
      <c r="AO94" s="793" t="s">
        <v>1708</v>
      </c>
      <c r="AP94" s="793" t="s">
        <v>885</v>
      </c>
      <c r="AQ94" s="793" t="s">
        <v>11109</v>
      </c>
      <c r="AR94" s="793" t="s">
        <v>11110</v>
      </c>
      <c r="AS94" s="793" t="s">
        <v>2225</v>
      </c>
      <c r="AT94" s="793" t="s">
        <v>11111</v>
      </c>
      <c r="AU94" s="793" t="s">
        <v>11112</v>
      </c>
      <c r="AV94" s="1474" t="str">
        <f t="shared" si="1"/>
        <v>3:40</v>
      </c>
      <c r="AW94" s="1720" t="s">
        <v>11113</v>
      </c>
    </row>
    <row r="95">
      <c r="A95" s="1617" t="s">
        <v>5346</v>
      </c>
      <c r="B95" s="1605" t="s">
        <v>9164</v>
      </c>
      <c r="C95" s="1556">
        <v>0.05482638888888889</v>
      </c>
      <c r="D95" s="1594" t="s">
        <v>11114</v>
      </c>
      <c r="E95" s="1594" t="s">
        <v>9791</v>
      </c>
      <c r="F95" s="1594" t="s">
        <v>11115</v>
      </c>
      <c r="G95" s="1594" t="s">
        <v>11116</v>
      </c>
      <c r="H95" s="1594" t="s">
        <v>11117</v>
      </c>
      <c r="I95" s="1594">
        <v>50.26</v>
      </c>
      <c r="J95" s="1594" t="s">
        <v>11095</v>
      </c>
      <c r="K95" s="1594" t="s">
        <v>11118</v>
      </c>
      <c r="L95" s="1594" t="s">
        <v>11119</v>
      </c>
      <c r="M95" s="1594" t="s">
        <v>2254</v>
      </c>
      <c r="N95" s="1594" t="s">
        <v>11120</v>
      </c>
      <c r="O95" s="1594" t="s">
        <v>11121</v>
      </c>
      <c r="P95" s="1594">
        <v>49.15</v>
      </c>
      <c r="Q95" s="1594" t="s">
        <v>11122</v>
      </c>
      <c r="R95" s="1594" t="s">
        <v>3404</v>
      </c>
      <c r="S95" s="1594" t="s">
        <v>11123</v>
      </c>
      <c r="T95" s="1594" t="s">
        <v>5101</v>
      </c>
      <c r="U95" s="1594" t="s">
        <v>3263</v>
      </c>
      <c r="V95" s="1594" t="s">
        <v>11124</v>
      </c>
      <c r="W95" s="1594" t="s">
        <v>11125</v>
      </c>
      <c r="X95" s="1594" t="s">
        <v>11126</v>
      </c>
      <c r="Y95" s="1594">
        <v>51.87</v>
      </c>
      <c r="Z95" s="1594" t="s">
        <v>6342</v>
      </c>
      <c r="AA95" s="1594" t="s">
        <v>6604</v>
      </c>
      <c r="AB95" s="1594" t="s">
        <v>6580</v>
      </c>
      <c r="AC95" s="1594">
        <v>49.75</v>
      </c>
      <c r="AD95" s="1594" t="s">
        <v>11127</v>
      </c>
      <c r="AE95" s="1594">
        <v>50.16</v>
      </c>
      <c r="AF95" s="1594" t="s">
        <v>11128</v>
      </c>
      <c r="AG95" s="1594" t="s">
        <v>11129</v>
      </c>
      <c r="AH95" s="1594" t="s">
        <v>6437</v>
      </c>
      <c r="AI95" s="1594" t="s">
        <v>6731</v>
      </c>
      <c r="AJ95" s="1594" t="s">
        <v>11130</v>
      </c>
      <c r="AK95" s="1594" t="s">
        <v>11047</v>
      </c>
      <c r="AL95" s="1594">
        <v>59.29</v>
      </c>
      <c r="AM95" s="1594" t="s">
        <v>4473</v>
      </c>
      <c r="AN95" s="1594" t="s">
        <v>625</v>
      </c>
      <c r="AO95" s="1594" t="s">
        <v>11131</v>
      </c>
      <c r="AP95" s="1594" t="s">
        <v>11132</v>
      </c>
      <c r="AQ95" s="1594" t="s">
        <v>11133</v>
      </c>
      <c r="AR95" s="1594" t="s">
        <v>6906</v>
      </c>
      <c r="AS95" s="1594">
        <v>47.7</v>
      </c>
      <c r="AT95" s="1594" t="s">
        <v>11134</v>
      </c>
      <c r="AU95" s="1598" t="s">
        <v>11135</v>
      </c>
      <c r="AV95" s="1474" t="str">
        <f t="shared" si="1"/>
        <v>5:51</v>
      </c>
      <c r="AW95" s="1705" t="s">
        <v>11136</v>
      </c>
    </row>
    <row r="96">
      <c r="A96" s="1617" t="s">
        <v>5600</v>
      </c>
      <c r="B96" s="1615" t="s">
        <v>9164</v>
      </c>
      <c r="C96" s="1556">
        <v>0.05559027777777778</v>
      </c>
      <c r="D96" s="1697" t="s">
        <v>11137</v>
      </c>
      <c r="E96" s="793" t="s">
        <v>11138</v>
      </c>
      <c r="F96" s="793" t="s">
        <v>11139</v>
      </c>
      <c r="G96" s="793" t="s">
        <v>11140</v>
      </c>
      <c r="H96" s="793" t="s">
        <v>5978</v>
      </c>
      <c r="I96" s="793" t="s">
        <v>1913</v>
      </c>
      <c r="J96" s="793" t="s">
        <v>11141</v>
      </c>
      <c r="K96" s="793" t="s">
        <v>6346</v>
      </c>
      <c r="L96" s="793" t="s">
        <v>8984</v>
      </c>
      <c r="M96" s="793" t="s">
        <v>6912</v>
      </c>
      <c r="N96" s="793" t="s">
        <v>11142</v>
      </c>
      <c r="O96" s="793" t="s">
        <v>11143</v>
      </c>
      <c r="P96" s="793" t="s">
        <v>190</v>
      </c>
      <c r="Q96" s="793" t="s">
        <v>1668</v>
      </c>
      <c r="R96" s="793" t="s">
        <v>11144</v>
      </c>
      <c r="S96" s="793" t="s">
        <v>5327</v>
      </c>
      <c r="T96" s="793" t="s">
        <v>11145</v>
      </c>
      <c r="U96" s="793" t="s">
        <v>11146</v>
      </c>
      <c r="V96" s="793" t="s">
        <v>6625</v>
      </c>
      <c r="W96" s="793" t="s">
        <v>9267</v>
      </c>
      <c r="X96" s="793" t="s">
        <v>5034</v>
      </c>
      <c r="Y96" s="793" t="s">
        <v>101</v>
      </c>
      <c r="Z96" s="793" t="s">
        <v>11147</v>
      </c>
      <c r="AA96" s="793" t="s">
        <v>10907</v>
      </c>
      <c r="AB96" s="793" t="s">
        <v>3507</v>
      </c>
      <c r="AC96" s="793" t="s">
        <v>4759</v>
      </c>
      <c r="AD96" s="793" t="s">
        <v>6168</v>
      </c>
      <c r="AE96" s="793" t="s">
        <v>860</v>
      </c>
      <c r="AF96" s="793" t="s">
        <v>11148</v>
      </c>
      <c r="AG96" s="793" t="s">
        <v>11149</v>
      </c>
      <c r="AH96" s="793" t="s">
        <v>4097</v>
      </c>
      <c r="AI96" s="793" t="s">
        <v>11150</v>
      </c>
      <c r="AJ96" s="793" t="s">
        <v>11151</v>
      </c>
      <c r="AK96" s="793" t="s">
        <v>4564</v>
      </c>
      <c r="AL96" s="793" t="s">
        <v>572</v>
      </c>
      <c r="AM96" s="793" t="s">
        <v>11152</v>
      </c>
      <c r="AN96" s="793" t="s">
        <v>11153</v>
      </c>
      <c r="AO96" s="793" t="s">
        <v>1105</v>
      </c>
      <c r="AP96" s="793" t="s">
        <v>11154</v>
      </c>
      <c r="AQ96" s="793" t="s">
        <v>11155</v>
      </c>
      <c r="AR96" s="793" t="s">
        <v>11156</v>
      </c>
      <c r="AS96" s="793" t="s">
        <v>830</v>
      </c>
      <c r="AT96" s="793" t="s">
        <v>11157</v>
      </c>
      <c r="AU96" s="793" t="s">
        <v>11158</v>
      </c>
      <c r="AV96" s="1474" t="str">
        <f t="shared" si="1"/>
        <v>5:05</v>
      </c>
      <c r="AW96" s="1720" t="s">
        <v>11159</v>
      </c>
    </row>
    <row r="97">
      <c r="A97" s="1617" t="s">
        <v>4958</v>
      </c>
      <c r="B97" s="1615" t="s">
        <v>9191</v>
      </c>
      <c r="C97" s="1647">
        <v>0.05565972222222222</v>
      </c>
      <c r="D97" s="793" t="s">
        <v>11160</v>
      </c>
      <c r="E97" s="793" t="s">
        <v>3212</v>
      </c>
      <c r="F97" s="793" t="s">
        <v>11161</v>
      </c>
      <c r="G97" s="793" t="s">
        <v>11162</v>
      </c>
      <c r="H97" s="998" t="s">
        <v>9703</v>
      </c>
      <c r="I97" s="793" t="s">
        <v>3504</v>
      </c>
      <c r="J97" s="793" t="s">
        <v>9925</v>
      </c>
      <c r="K97" s="793" t="s">
        <v>806</v>
      </c>
      <c r="L97" s="793" t="s">
        <v>11163</v>
      </c>
      <c r="M97" s="793" t="s">
        <v>11164</v>
      </c>
      <c r="N97" s="793" t="s">
        <v>6455</v>
      </c>
      <c r="O97" s="793" t="s">
        <v>11165</v>
      </c>
      <c r="P97" s="793" t="s">
        <v>10600</v>
      </c>
      <c r="Q97" s="793" t="s">
        <v>11166</v>
      </c>
      <c r="R97" s="793" t="s">
        <v>10372</v>
      </c>
      <c r="S97" s="793" t="s">
        <v>419</v>
      </c>
      <c r="T97" s="793" t="s">
        <v>11167</v>
      </c>
      <c r="U97" s="793" t="s">
        <v>11168</v>
      </c>
      <c r="V97" s="793" t="s">
        <v>11169</v>
      </c>
      <c r="W97" s="793" t="s">
        <v>11170</v>
      </c>
      <c r="X97" s="793" t="s">
        <v>11171</v>
      </c>
      <c r="Y97" s="793" t="s">
        <v>2449</v>
      </c>
      <c r="Z97" s="793" t="s">
        <v>5446</v>
      </c>
      <c r="AA97" s="793" t="s">
        <v>10536</v>
      </c>
      <c r="AB97" s="793" t="s">
        <v>10853</v>
      </c>
      <c r="AC97" s="793" t="s">
        <v>10377</v>
      </c>
      <c r="AD97" s="793" t="s">
        <v>11172</v>
      </c>
      <c r="AE97" s="793" t="s">
        <v>5578</v>
      </c>
      <c r="AF97" s="793" t="s">
        <v>11173</v>
      </c>
      <c r="AG97" s="793" t="s">
        <v>11174</v>
      </c>
      <c r="AH97" s="793" t="s">
        <v>11175</v>
      </c>
      <c r="AI97" s="793" t="s">
        <v>11176</v>
      </c>
      <c r="AJ97" s="793" t="s">
        <v>11177</v>
      </c>
      <c r="AK97" s="793" t="s">
        <v>6838</v>
      </c>
      <c r="AL97" s="793" t="s">
        <v>3763</v>
      </c>
      <c r="AM97" s="793" t="s">
        <v>4884</v>
      </c>
      <c r="AN97" s="793" t="s">
        <v>11178</v>
      </c>
      <c r="AO97" s="793" t="s">
        <v>2058</v>
      </c>
      <c r="AP97" s="793" t="s">
        <v>11179</v>
      </c>
      <c r="AQ97" s="793" t="s">
        <v>11180</v>
      </c>
      <c r="AR97" s="793" t="s">
        <v>11181</v>
      </c>
      <c r="AS97" s="793" t="s">
        <v>2175</v>
      </c>
      <c r="AT97" s="793" t="s">
        <v>11182</v>
      </c>
      <c r="AU97" s="793" t="s">
        <v>11183</v>
      </c>
      <c r="AV97" s="1474" t="str">
        <f t="shared" si="1"/>
        <v>8:24</v>
      </c>
      <c r="AW97" s="1720" t="s">
        <v>10240</v>
      </c>
    </row>
    <row r="98">
      <c r="A98" s="974" t="s">
        <v>5787</v>
      </c>
      <c r="B98" s="1738" t="s">
        <v>11184</v>
      </c>
      <c r="C98" s="1739">
        <v>0.05614583333333333</v>
      </c>
      <c r="D98" s="998" t="s">
        <v>11185</v>
      </c>
      <c r="E98" s="1116" t="s">
        <v>10404</v>
      </c>
      <c r="F98" s="1116" t="s">
        <v>11186</v>
      </c>
      <c r="G98" s="1116" t="s">
        <v>11187</v>
      </c>
      <c r="H98" s="1740" t="s">
        <v>1365</v>
      </c>
      <c r="I98" s="1116" t="s">
        <v>9880</v>
      </c>
      <c r="J98" s="1116" t="s">
        <v>11188</v>
      </c>
      <c r="K98" s="1116" t="s">
        <v>11189</v>
      </c>
      <c r="L98" s="1116" t="s">
        <v>4726</v>
      </c>
      <c r="M98" s="1116" t="s">
        <v>7249</v>
      </c>
      <c r="N98" s="1116" t="s">
        <v>10430</v>
      </c>
      <c r="O98" s="1116" t="s">
        <v>11190</v>
      </c>
      <c r="P98" s="1116" t="s">
        <v>9314</v>
      </c>
      <c r="Q98" s="1116" t="s">
        <v>11191</v>
      </c>
      <c r="R98" s="1116" t="s">
        <v>4018</v>
      </c>
      <c r="S98" s="1116" t="s">
        <v>5451</v>
      </c>
      <c r="T98" s="1116" t="s">
        <v>1651</v>
      </c>
      <c r="U98" s="1116" t="s">
        <v>9453</v>
      </c>
      <c r="V98" s="1116" t="s">
        <v>2753</v>
      </c>
      <c r="W98" s="1116" t="s">
        <v>11192</v>
      </c>
      <c r="X98" s="1116" t="s">
        <v>11193</v>
      </c>
      <c r="Y98" s="1116" t="s">
        <v>11194</v>
      </c>
      <c r="Z98" s="1116" t="s">
        <v>11195</v>
      </c>
      <c r="AA98" s="1180" t="s">
        <v>2132</v>
      </c>
      <c r="AB98" s="1116" t="s">
        <v>10910</v>
      </c>
      <c r="AC98" s="1116" t="s">
        <v>786</v>
      </c>
      <c r="AD98" s="1116" t="s">
        <v>9396</v>
      </c>
      <c r="AE98" s="1116" t="s">
        <v>537</v>
      </c>
      <c r="AF98" s="1116" t="s">
        <v>11196</v>
      </c>
      <c r="AG98" s="1116" t="s">
        <v>11197</v>
      </c>
      <c r="AH98" s="1116" t="s">
        <v>9936</v>
      </c>
      <c r="AI98" s="1116" t="s">
        <v>11198</v>
      </c>
      <c r="AJ98" s="1116" t="s">
        <v>11199</v>
      </c>
      <c r="AK98" s="1116" t="s">
        <v>11200</v>
      </c>
      <c r="AL98" s="1116" t="s">
        <v>10697</v>
      </c>
      <c r="AM98" s="1116" t="s">
        <v>9973</v>
      </c>
      <c r="AN98" s="1116" t="s">
        <v>11201</v>
      </c>
      <c r="AO98" s="1116" t="s">
        <v>11202</v>
      </c>
      <c r="AP98" s="1116" t="s">
        <v>11203</v>
      </c>
      <c r="AQ98" s="1116" t="s">
        <v>2817</v>
      </c>
      <c r="AR98" s="1116" t="s">
        <v>10641</v>
      </c>
      <c r="AS98" s="1116" t="s">
        <v>11204</v>
      </c>
      <c r="AT98" s="1116" t="s">
        <v>11205</v>
      </c>
      <c r="AU98" s="1116" t="s">
        <v>11206</v>
      </c>
      <c r="AV98" s="1097" t="str">
        <f t="shared" si="1"/>
        <v>8:47</v>
      </c>
      <c r="AW98" s="1616" t="s">
        <v>11207</v>
      </c>
    </row>
    <row r="99">
      <c r="A99" s="1681" t="s">
        <v>11208</v>
      </c>
      <c r="B99" s="1650" t="s">
        <v>9191</v>
      </c>
      <c r="C99" s="1691">
        <v>0.057881944444444444</v>
      </c>
      <c r="D99" s="793" t="s">
        <v>11209</v>
      </c>
      <c r="E99" s="333" t="s">
        <v>11210</v>
      </c>
      <c r="F99" s="793" t="s">
        <v>11211</v>
      </c>
      <c r="G99" s="793" t="s">
        <v>11212</v>
      </c>
      <c r="H99" s="333" t="s">
        <v>11213</v>
      </c>
      <c r="I99" s="333" t="s">
        <v>1094</v>
      </c>
      <c r="J99" s="333" t="s">
        <v>11214</v>
      </c>
      <c r="K99" s="333" t="s">
        <v>3717</v>
      </c>
      <c r="L99" s="333" t="s">
        <v>11215</v>
      </c>
      <c r="M99" s="333" t="s">
        <v>7954</v>
      </c>
      <c r="N99" s="333" t="s">
        <v>11216</v>
      </c>
      <c r="O99" s="333" t="s">
        <v>11217</v>
      </c>
      <c r="P99" s="333" t="s">
        <v>3818</v>
      </c>
      <c r="Q99" s="333" t="s">
        <v>11218</v>
      </c>
      <c r="R99" s="333" t="s">
        <v>11219</v>
      </c>
      <c r="S99" s="333" t="s">
        <v>11220</v>
      </c>
      <c r="T99" s="333" t="s">
        <v>1677</v>
      </c>
      <c r="U99" s="333" t="s">
        <v>11221</v>
      </c>
      <c r="V99" s="333" t="s">
        <v>11222</v>
      </c>
      <c r="W99" s="333" t="s">
        <v>11223</v>
      </c>
      <c r="X99" s="333" t="s">
        <v>11224</v>
      </c>
      <c r="Y99" s="333" t="s">
        <v>2978</v>
      </c>
      <c r="Z99" s="333" t="s">
        <v>11225</v>
      </c>
      <c r="AA99" s="793" t="s">
        <v>11226</v>
      </c>
      <c r="AB99" s="333" t="s">
        <v>9734</v>
      </c>
      <c r="AC99" s="333" t="s">
        <v>3471</v>
      </c>
      <c r="AD99" s="333" t="s">
        <v>5406</v>
      </c>
      <c r="AE99" s="333" t="s">
        <v>2617</v>
      </c>
      <c r="AF99" s="333" t="s">
        <v>11227</v>
      </c>
      <c r="AG99" s="333" t="s">
        <v>5891</v>
      </c>
      <c r="AH99" s="333" t="s">
        <v>11228</v>
      </c>
      <c r="AI99" s="333" t="s">
        <v>4905</v>
      </c>
      <c r="AJ99" s="333" t="s">
        <v>11229</v>
      </c>
      <c r="AK99" s="333" t="s">
        <v>11230</v>
      </c>
      <c r="AL99" s="333" t="s">
        <v>4033</v>
      </c>
      <c r="AM99" s="333" t="s">
        <v>4913</v>
      </c>
      <c r="AN99" s="333" t="s">
        <v>11231</v>
      </c>
      <c r="AO99" s="333" t="s">
        <v>10601</v>
      </c>
      <c r="AP99" s="333" t="s">
        <v>11232</v>
      </c>
      <c r="AQ99" s="333" t="s">
        <v>6855</v>
      </c>
      <c r="AR99" s="333" t="s">
        <v>11233</v>
      </c>
      <c r="AS99" s="333" t="s">
        <v>620</v>
      </c>
      <c r="AT99" s="333" t="s">
        <v>11234</v>
      </c>
      <c r="AU99" s="333" t="s">
        <v>11235</v>
      </c>
      <c r="AV99" s="1474" t="str">
        <f t="shared" si="1"/>
        <v>2:11</v>
      </c>
      <c r="AW99" s="1724" t="s">
        <v>11236</v>
      </c>
    </row>
    <row r="100">
      <c r="A100" s="1653" t="s">
        <v>6550</v>
      </c>
      <c r="B100" s="1741" t="s">
        <v>11184</v>
      </c>
      <c r="C100" s="1742">
        <v>0.0609375</v>
      </c>
      <c r="D100" s="1743" t="s">
        <v>11237</v>
      </c>
      <c r="E100" s="1744" t="s">
        <v>3586</v>
      </c>
      <c r="F100" s="1744" t="s">
        <v>11238</v>
      </c>
      <c r="G100" s="1744" t="s">
        <v>11239</v>
      </c>
      <c r="H100" s="1743" t="s">
        <v>11240</v>
      </c>
      <c r="I100" s="1745" t="s">
        <v>9416</v>
      </c>
      <c r="J100" s="1746" t="s">
        <v>11241</v>
      </c>
      <c r="K100" s="1746" t="s">
        <v>1673</v>
      </c>
      <c r="L100" s="1746" t="s">
        <v>6959</v>
      </c>
      <c r="M100" s="1746" t="s">
        <v>11242</v>
      </c>
      <c r="N100" s="1746" t="s">
        <v>6948</v>
      </c>
      <c r="O100" s="1746" t="s">
        <v>11243</v>
      </c>
      <c r="P100" s="1746" t="s">
        <v>1647</v>
      </c>
      <c r="Q100" s="1747" t="s">
        <v>11244</v>
      </c>
      <c r="R100" s="1747" t="s">
        <v>11245</v>
      </c>
      <c r="S100" s="1747" t="s">
        <v>11246</v>
      </c>
      <c r="T100" s="1747" t="s">
        <v>11247</v>
      </c>
      <c r="U100" s="1747" t="s">
        <v>11248</v>
      </c>
      <c r="V100" s="1747" t="s">
        <v>11249</v>
      </c>
      <c r="W100" s="1748" t="s">
        <v>11250</v>
      </c>
      <c r="X100" s="1748" t="s">
        <v>11226</v>
      </c>
      <c r="Y100" s="1748" t="s">
        <v>10950</v>
      </c>
      <c r="Z100" s="1748" t="s">
        <v>7030</v>
      </c>
      <c r="AA100" s="1749" t="s">
        <v>11156</v>
      </c>
      <c r="AB100" s="1748" t="s">
        <v>11251</v>
      </c>
      <c r="AC100" s="1748" t="s">
        <v>9515</v>
      </c>
      <c r="AD100" s="1744" t="s">
        <v>11252</v>
      </c>
      <c r="AE100" s="1744" t="s">
        <v>1373</v>
      </c>
      <c r="AF100" s="1750" t="s">
        <v>11253</v>
      </c>
      <c r="AG100" s="1750" t="s">
        <v>11254</v>
      </c>
      <c r="AH100" s="1750" t="s">
        <v>11255</v>
      </c>
      <c r="AI100" s="1750" t="s">
        <v>6726</v>
      </c>
      <c r="AJ100" s="1750" t="s">
        <v>11256</v>
      </c>
      <c r="AK100" s="1750" t="s">
        <v>10680</v>
      </c>
      <c r="AL100" s="1750" t="s">
        <v>1887</v>
      </c>
      <c r="AM100" s="1751" t="s">
        <v>8996</v>
      </c>
      <c r="AN100" s="1751" t="s">
        <v>11257</v>
      </c>
      <c r="AO100" s="1751" t="s">
        <v>4494</v>
      </c>
      <c r="AP100" s="1751" t="s">
        <v>11258</v>
      </c>
      <c r="AQ100" s="1751" t="s">
        <v>6452</v>
      </c>
      <c r="AR100" s="1751" t="s">
        <v>11259</v>
      </c>
      <c r="AS100" s="1751" t="s">
        <v>9936</v>
      </c>
      <c r="AT100" s="1746" t="s">
        <v>11260</v>
      </c>
      <c r="AU100" s="1752" t="s">
        <v>11261</v>
      </c>
      <c r="AV100" s="1474" t="str">
        <f t="shared" si="1"/>
        <v>7:58</v>
      </c>
      <c r="AW100" s="1608" t="s">
        <v>11262</v>
      </c>
    </row>
    <row r="101" ht="15.75" customHeight="1">
      <c r="A101" s="1617" t="s">
        <v>6422</v>
      </c>
      <c r="B101" s="1650" t="s">
        <v>9191</v>
      </c>
      <c r="C101" s="1556">
        <v>0.06635416666666667</v>
      </c>
      <c r="D101" s="998" t="s">
        <v>11263</v>
      </c>
      <c r="E101" s="998" t="s">
        <v>9042</v>
      </c>
      <c r="F101" s="998" t="s">
        <v>11264</v>
      </c>
      <c r="G101" s="998" t="s">
        <v>11265</v>
      </c>
      <c r="H101" s="998" t="s">
        <v>11266</v>
      </c>
      <c r="I101" s="998" t="s">
        <v>3480</v>
      </c>
      <c r="J101" s="998" t="s">
        <v>11267</v>
      </c>
      <c r="K101" s="998" t="s">
        <v>4003</v>
      </c>
      <c r="L101" s="998" t="s">
        <v>6913</v>
      </c>
      <c r="M101" s="998" t="s">
        <v>936</v>
      </c>
      <c r="N101" s="998" t="s">
        <v>11268</v>
      </c>
      <c r="O101" s="998" t="s">
        <v>11269</v>
      </c>
      <c r="P101" s="998" t="s">
        <v>11270</v>
      </c>
      <c r="Q101" s="998" t="s">
        <v>11271</v>
      </c>
      <c r="R101" s="998" t="s">
        <v>4580</v>
      </c>
      <c r="S101" s="998" t="s">
        <v>11272</v>
      </c>
      <c r="T101" s="998" t="s">
        <v>6475</v>
      </c>
      <c r="U101" s="998" t="s">
        <v>11273</v>
      </c>
      <c r="V101" s="998" t="s">
        <v>7502</v>
      </c>
      <c r="W101" s="998" t="s">
        <v>11274</v>
      </c>
      <c r="X101" s="998" t="s">
        <v>11275</v>
      </c>
      <c r="Y101" s="998" t="s">
        <v>758</v>
      </c>
      <c r="Z101" s="998" t="s">
        <v>11276</v>
      </c>
      <c r="AA101" s="333"/>
      <c r="AB101" s="998" t="s">
        <v>11277</v>
      </c>
      <c r="AC101" s="998" t="s">
        <v>177</v>
      </c>
      <c r="AD101" s="998" t="s">
        <v>11278</v>
      </c>
      <c r="AE101" s="998" t="s">
        <v>11279</v>
      </c>
      <c r="AF101" s="998" t="s">
        <v>11280</v>
      </c>
      <c r="AG101" s="998" t="s">
        <v>11281</v>
      </c>
      <c r="AH101" s="998" t="s">
        <v>11282</v>
      </c>
      <c r="AI101" s="998" t="s">
        <v>11283</v>
      </c>
      <c r="AJ101" s="998" t="s">
        <v>11284</v>
      </c>
      <c r="AK101" s="998" t="s">
        <v>11285</v>
      </c>
      <c r="AL101" s="998" t="s">
        <v>11286</v>
      </c>
      <c r="AM101" s="998" t="s">
        <v>11287</v>
      </c>
      <c r="AN101" s="998" t="s">
        <v>9796</v>
      </c>
      <c r="AO101" s="998" t="s">
        <v>2332</v>
      </c>
      <c r="AP101" s="998" t="s">
        <v>11288</v>
      </c>
      <c r="AQ101" s="998" t="s">
        <v>132</v>
      </c>
      <c r="AR101" s="998" t="s">
        <v>11289</v>
      </c>
      <c r="AS101" s="998" t="s">
        <v>4085</v>
      </c>
      <c r="AT101" s="998" t="s">
        <v>11290</v>
      </c>
      <c r="AU101" s="1408" t="s">
        <v>11291</v>
      </c>
      <c r="AV101" s="1474" t="str">
        <f t="shared" si="1"/>
        <v>9:53</v>
      </c>
      <c r="AW101" s="1705" t="s">
        <v>11292</v>
      </c>
    </row>
    <row r="102">
      <c r="A102" s="1617" t="s">
        <v>7044</v>
      </c>
      <c r="B102" s="1615" t="s">
        <v>9191</v>
      </c>
      <c r="C102" s="1691"/>
      <c r="D102" s="1594"/>
      <c r="E102" s="1598"/>
      <c r="F102" s="1594"/>
      <c r="G102" s="1594"/>
      <c r="H102" s="1594"/>
      <c r="I102" s="1594"/>
      <c r="J102" s="1594"/>
      <c r="K102" s="1594"/>
      <c r="L102" s="1594"/>
      <c r="M102" s="1594"/>
      <c r="N102" s="1594"/>
      <c r="O102" s="1594"/>
      <c r="P102" s="1594"/>
      <c r="Q102" s="1594"/>
      <c r="R102" s="1594"/>
      <c r="S102" s="1594"/>
      <c r="T102" s="1594"/>
      <c r="U102" s="1594"/>
      <c r="V102" s="1594"/>
      <c r="W102" s="1562" t="s">
        <v>9696</v>
      </c>
      <c r="X102" s="1594"/>
      <c r="Y102" s="1594"/>
      <c r="Z102" s="1594"/>
      <c r="AA102" s="1594"/>
      <c r="AB102" s="1601" t="s">
        <v>2986</v>
      </c>
      <c r="AC102" s="1594"/>
      <c r="AD102" s="1594"/>
      <c r="AE102" s="1598"/>
      <c r="AF102" s="1594"/>
      <c r="AG102" s="1594"/>
      <c r="AH102" s="1594"/>
      <c r="AI102" s="1594"/>
      <c r="AJ102" s="1594"/>
      <c r="AK102" s="1594"/>
      <c r="AL102" s="1594"/>
      <c r="AM102" s="1601" t="s">
        <v>2403</v>
      </c>
      <c r="AN102" s="1594"/>
      <c r="AO102" s="1594"/>
      <c r="AP102" s="1594"/>
      <c r="AQ102" s="1594"/>
      <c r="AR102" s="1594"/>
      <c r="AS102" s="1594"/>
      <c r="AT102" s="1594"/>
      <c r="AU102" s="1474"/>
      <c r="AV102" s="1474"/>
      <c r="AW102" s="1649"/>
    </row>
    <row r="103">
      <c r="A103" s="1617" t="s">
        <v>4660</v>
      </c>
      <c r="B103" s="1605" t="s">
        <v>9191</v>
      </c>
      <c r="C103" s="1556"/>
      <c r="D103" s="1640"/>
      <c r="E103" s="1640"/>
      <c r="F103" s="1640"/>
      <c r="G103" s="1640"/>
      <c r="H103" s="998"/>
      <c r="I103" s="862"/>
      <c r="J103" s="1623"/>
      <c r="K103" s="1623"/>
      <c r="L103" s="1623"/>
      <c r="M103" s="1623"/>
      <c r="N103" s="1623"/>
      <c r="O103" s="1623"/>
      <c r="P103" s="1623"/>
      <c r="Q103" s="1626"/>
      <c r="R103" s="1626"/>
      <c r="S103" s="1626"/>
      <c r="T103" s="1626"/>
      <c r="U103" s="1626"/>
      <c r="V103" s="1626"/>
      <c r="W103" s="1642"/>
      <c r="X103" s="1642"/>
      <c r="Y103" s="1642"/>
      <c r="Z103" s="1642"/>
      <c r="AA103" s="1586"/>
      <c r="AB103" s="1642"/>
      <c r="AC103" s="1642"/>
      <c r="AD103" s="1640"/>
      <c r="AE103" s="1640"/>
      <c r="AF103" s="1632" t="s">
        <v>9207</v>
      </c>
      <c r="AG103" s="1643"/>
      <c r="AH103" s="1643"/>
      <c r="AI103" s="1643"/>
      <c r="AJ103" s="1643"/>
      <c r="AK103" s="1643"/>
      <c r="AL103" s="1643"/>
      <c r="AM103" s="1645"/>
      <c r="AN103" s="1645"/>
      <c r="AO103" s="1645"/>
      <c r="AP103" s="1645"/>
      <c r="AQ103" s="1645"/>
      <c r="AR103" s="1645"/>
      <c r="AS103" s="1645"/>
      <c r="AT103" s="1623"/>
      <c r="AU103" s="1607"/>
      <c r="AV103" s="1607"/>
      <c r="AW103" s="1608"/>
    </row>
    <row r="104">
      <c r="A104" s="1753"/>
      <c r="B104" s="1754"/>
      <c r="C104" s="1755"/>
      <c r="D104" s="1725"/>
      <c r="E104" s="1097"/>
      <c r="F104" s="1097"/>
      <c r="G104" s="1097"/>
      <c r="H104" s="1756"/>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9"/>
    </row>
    <row r="105">
      <c r="A105" s="1757"/>
      <c r="B105" s="1758"/>
      <c r="C105" s="1759"/>
      <c r="D105" s="1725"/>
      <c r="E105" s="1091"/>
      <c r="F105" s="1091"/>
      <c r="G105" s="1091"/>
      <c r="H105" s="1756"/>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60"/>
      <c r="AV105" s="1760"/>
      <c r="AW105" s="1668"/>
    </row>
    <row r="106">
      <c r="A106" s="1753"/>
      <c r="B106" s="1754"/>
      <c r="C106" s="1755"/>
      <c r="D106" s="1725"/>
      <c r="E106" s="1097"/>
      <c r="F106" s="1097"/>
      <c r="G106" s="1097"/>
      <c r="H106" s="1756"/>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9"/>
    </row>
    <row r="107">
      <c r="A107" s="1757"/>
      <c r="B107" s="1758"/>
      <c r="C107" s="1759"/>
      <c r="D107" s="1725"/>
      <c r="E107" s="1091"/>
      <c r="F107" s="1091"/>
      <c r="G107" s="1091"/>
      <c r="H107" s="1756"/>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60"/>
      <c r="AV107" s="1760"/>
      <c r="AW107" s="1668"/>
    </row>
    <row r="108">
      <c r="A108" s="1753"/>
      <c r="B108" s="1754"/>
      <c r="C108" s="1755"/>
      <c r="D108" s="1725"/>
      <c r="E108" s="1097"/>
      <c r="F108" s="1097"/>
      <c r="G108" s="1097"/>
      <c r="H108" s="1756"/>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9"/>
    </row>
    <row r="109">
      <c r="A109" s="1757"/>
      <c r="B109" s="1758"/>
      <c r="C109" s="1759"/>
      <c r="D109" s="1725"/>
      <c r="E109" s="1091"/>
      <c r="F109" s="1091"/>
      <c r="G109" s="1091"/>
      <c r="H109" s="1756"/>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60"/>
      <c r="AV109" s="1760"/>
      <c r="AW109" s="1668"/>
    </row>
    <row r="110">
      <c r="A110" s="1753"/>
      <c r="B110" s="1754"/>
      <c r="C110" s="1755"/>
      <c r="D110" s="1725"/>
      <c r="E110" s="1097"/>
      <c r="F110" s="1097"/>
      <c r="G110" s="1097"/>
      <c r="H110" s="1756"/>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9"/>
    </row>
    <row r="111">
      <c r="A111" s="1757"/>
      <c r="B111" s="1758"/>
      <c r="C111" s="1759"/>
      <c r="D111" s="1725"/>
      <c r="E111" s="1091"/>
      <c r="F111" s="1091"/>
      <c r="G111" s="1091"/>
      <c r="H111" s="1756"/>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60"/>
      <c r="AV111" s="1760"/>
      <c r="AW111" s="1668"/>
    </row>
    <row r="112">
      <c r="A112" s="1753"/>
      <c r="B112" s="1754"/>
      <c r="C112" s="1755"/>
      <c r="D112" s="1725"/>
      <c r="E112" s="1097"/>
      <c r="F112" s="1097"/>
      <c r="G112" s="1097"/>
      <c r="H112" s="1756"/>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9"/>
    </row>
    <row r="113">
      <c r="A113" s="1757"/>
      <c r="B113" s="1758"/>
      <c r="C113" s="1759"/>
      <c r="D113" s="1725"/>
      <c r="E113" s="1091"/>
      <c r="F113" s="1091"/>
      <c r="G113" s="1091"/>
      <c r="H113" s="1756"/>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60"/>
      <c r="AV113" s="1760"/>
      <c r="AW113" s="1668"/>
    </row>
    <row r="114">
      <c r="A114" s="1753"/>
      <c r="B114" s="1754"/>
      <c r="C114" s="1755"/>
      <c r="D114" s="1725"/>
      <c r="E114" s="1097"/>
      <c r="F114" s="1097"/>
      <c r="G114" s="1097"/>
      <c r="H114" s="1756"/>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9"/>
    </row>
    <row r="115">
      <c r="A115" s="1757"/>
      <c r="B115" s="1758"/>
      <c r="C115" s="1759"/>
      <c r="D115" s="1725"/>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60"/>
      <c r="AV115" s="1760"/>
      <c r="AW115" s="1668"/>
    </row>
    <row r="116">
      <c r="A116" s="1753"/>
      <c r="B116" s="1754"/>
      <c r="C116" s="1755"/>
      <c r="D116" s="1725"/>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9"/>
    </row>
    <row r="117">
      <c r="A117" s="1757"/>
      <c r="B117" s="1758"/>
      <c r="C117" s="1759"/>
      <c r="D117" s="1725"/>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60"/>
      <c r="AV117" s="1760"/>
      <c r="AW117" s="1668"/>
    </row>
    <row r="118">
      <c r="A118" s="1753"/>
      <c r="B118" s="1754"/>
      <c r="C118" s="1755"/>
      <c r="D118" s="1725"/>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9"/>
    </row>
    <row r="119">
      <c r="A119" s="1757"/>
      <c r="B119" s="1758"/>
      <c r="C119" s="1759"/>
      <c r="D119" s="1725"/>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60"/>
      <c r="AV119" s="1760"/>
      <c r="AW119" s="1668"/>
    </row>
    <row r="120">
      <c r="A120" s="1753"/>
      <c r="B120" s="1754"/>
      <c r="C120" s="1755"/>
      <c r="D120" s="1725"/>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9"/>
    </row>
    <row r="121">
      <c r="A121" s="1757"/>
      <c r="B121" s="1758"/>
      <c r="C121" s="1759"/>
      <c r="D121" s="1725"/>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60"/>
      <c r="AV121" s="1760"/>
      <c r="AW121" s="1668"/>
    </row>
    <row r="122">
      <c r="A122" s="1753"/>
      <c r="B122" s="1754"/>
      <c r="C122" s="1755"/>
      <c r="D122" s="1725"/>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9"/>
    </row>
    <row r="123">
      <c r="A123" s="1757"/>
      <c r="B123" s="1758"/>
      <c r="C123" s="1759"/>
      <c r="D123" s="1725"/>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60"/>
      <c r="AV123" s="1760"/>
      <c r="AW123" s="1668"/>
    </row>
    <row r="124">
      <c r="A124" s="1753"/>
      <c r="B124" s="1754"/>
      <c r="C124" s="1755"/>
      <c r="D124" s="1725"/>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9"/>
    </row>
    <row r="125">
      <c r="A125" s="1757"/>
      <c r="B125" s="1758"/>
      <c r="C125" s="1759"/>
      <c r="D125" s="1725"/>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60"/>
      <c r="AV125" s="1760"/>
      <c r="AW125" s="1668"/>
    </row>
    <row r="126">
      <c r="A126" s="1753"/>
      <c r="B126" s="1754"/>
      <c r="C126" s="1755"/>
      <c r="D126" s="1725"/>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9"/>
    </row>
    <row r="127">
      <c r="A127" s="1757"/>
      <c r="B127" s="1758"/>
      <c r="C127" s="1759"/>
      <c r="D127" s="1725"/>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60"/>
      <c r="AV127" s="1760"/>
      <c r="AW127" s="1668"/>
    </row>
    <row r="128">
      <c r="A128" s="1753"/>
      <c r="B128" s="1754"/>
      <c r="C128" s="1755"/>
      <c r="D128" s="1725"/>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9"/>
    </row>
    <row r="129">
      <c r="A129" s="1757"/>
      <c r="B129" s="1758"/>
      <c r="C129" s="1759"/>
      <c r="D129" s="1725"/>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60"/>
      <c r="AV129" s="1760"/>
      <c r="AW129" s="1668"/>
    </row>
    <row r="130">
      <c r="A130" s="1753"/>
      <c r="B130" s="1754"/>
      <c r="C130" s="1755"/>
      <c r="D130" s="1725"/>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9"/>
    </row>
    <row r="131">
      <c r="A131" s="1757"/>
      <c r="B131" s="1758"/>
      <c r="C131" s="1759"/>
      <c r="D131" s="1725"/>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60"/>
      <c r="AV131" s="1760"/>
      <c r="AW131" s="1668"/>
    </row>
    <row r="132">
      <c r="A132" s="1753"/>
      <c r="B132" s="1754"/>
      <c r="C132" s="1755"/>
      <c r="D132" s="1725"/>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9"/>
    </row>
    <row r="133">
      <c r="A133" s="1757"/>
      <c r="B133" s="1758"/>
      <c r="C133" s="1759"/>
      <c r="D133" s="1725"/>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60"/>
      <c r="AV133" s="1760"/>
      <c r="AW133" s="1668"/>
    </row>
    <row r="134">
      <c r="A134" s="1753"/>
      <c r="B134" s="1754"/>
      <c r="C134" s="1755"/>
      <c r="D134" s="1725"/>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9"/>
    </row>
    <row r="135">
      <c r="A135" s="1757"/>
      <c r="B135" s="1758"/>
      <c r="C135" s="1759"/>
      <c r="D135" s="1725"/>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60"/>
      <c r="AV135" s="1760"/>
      <c r="AW135" s="1668"/>
    </row>
    <row r="136">
      <c r="A136" s="1753"/>
      <c r="B136" s="1754"/>
      <c r="C136" s="1755"/>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9"/>
    </row>
    <row r="137">
      <c r="A137" s="1757"/>
      <c r="B137" s="1758"/>
      <c r="C137" s="1759"/>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60"/>
      <c r="AV137" s="1760"/>
      <c r="AW137" s="1668"/>
    </row>
    <row r="138">
      <c r="A138" s="1753"/>
      <c r="B138" s="1754"/>
      <c r="C138" s="1755"/>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9"/>
    </row>
    <row r="139">
      <c r="A139" s="1757"/>
      <c r="B139" s="1758"/>
      <c r="C139" s="1759"/>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60"/>
      <c r="AV139" s="1760"/>
      <c r="AW139" s="1668"/>
    </row>
    <row r="140">
      <c r="A140" s="1753"/>
      <c r="B140" s="1754"/>
      <c r="C140" s="1755"/>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9"/>
    </row>
    <row r="141">
      <c r="A141" s="1757"/>
      <c r="B141" s="1758"/>
      <c r="C141" s="1759"/>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60"/>
      <c r="AV141" s="1760"/>
      <c r="AW141" s="1668"/>
    </row>
    <row r="142">
      <c r="A142" s="1753"/>
      <c r="B142" s="1754"/>
      <c r="C142" s="1755"/>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9"/>
    </row>
    <row r="143">
      <c r="A143" s="1757"/>
      <c r="B143" s="1758"/>
      <c r="C143" s="1759"/>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60"/>
      <c r="AV143" s="1760"/>
      <c r="AW143" s="1668"/>
    </row>
    <row r="144">
      <c r="A144" s="1753"/>
      <c r="B144" s="1754"/>
      <c r="C144" s="1755"/>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9"/>
    </row>
    <row r="145">
      <c r="A145" s="1757"/>
      <c r="B145" s="1758"/>
      <c r="C145" s="1759"/>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60"/>
      <c r="AV145" s="1760"/>
      <c r="AW145" s="1668"/>
    </row>
    <row r="146">
      <c r="A146" s="1753"/>
      <c r="B146" s="1754"/>
      <c r="C146" s="1755"/>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9"/>
    </row>
    <row r="147">
      <c r="A147" s="1757"/>
      <c r="B147" s="1758"/>
      <c r="C147" s="1759"/>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60"/>
      <c r="AV147" s="1760"/>
      <c r="AW147" s="1668"/>
    </row>
    <row r="148">
      <c r="A148" s="1753"/>
      <c r="B148" s="1754"/>
      <c r="C148" s="1755"/>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9"/>
    </row>
    <row r="149">
      <c r="A149" s="1757"/>
      <c r="B149" s="1758"/>
      <c r="C149" s="1759"/>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60"/>
      <c r="AV149" s="1760"/>
      <c r="AW149" s="1668"/>
    </row>
    <row r="150">
      <c r="A150" s="1753"/>
      <c r="B150" s="1754"/>
      <c r="C150" s="1755"/>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9"/>
    </row>
    <row r="151">
      <c r="A151" s="1757"/>
      <c r="B151" s="1758"/>
      <c r="C151" s="1759"/>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60"/>
      <c r="AV151" s="1760"/>
      <c r="AW151" s="1668"/>
    </row>
    <row r="152">
      <c r="A152" s="1753"/>
      <c r="B152" s="1754"/>
      <c r="C152" s="1755"/>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9"/>
    </row>
    <row r="153">
      <c r="A153" s="1757"/>
      <c r="B153" s="1758"/>
      <c r="C153" s="1759"/>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60"/>
      <c r="AV153" s="1760"/>
      <c r="AW153" s="1668"/>
    </row>
    <row r="154">
      <c r="A154" s="1753"/>
      <c r="B154" s="1754"/>
      <c r="C154" s="1755"/>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9"/>
    </row>
    <row r="155">
      <c r="A155" s="1757"/>
      <c r="B155" s="1758"/>
      <c r="C155" s="1759"/>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60"/>
      <c r="AV155" s="1760"/>
      <c r="AW155" s="1668"/>
    </row>
    <row r="156">
      <c r="A156" s="1753"/>
      <c r="B156" s="1754"/>
      <c r="C156" s="1755"/>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9"/>
    </row>
    <row r="157">
      <c r="A157" s="1757"/>
      <c r="B157" s="1758"/>
      <c r="C157" s="1759"/>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60"/>
      <c r="AV157" s="1760"/>
      <c r="AW157" s="1668"/>
    </row>
    <row r="158">
      <c r="A158" s="1753"/>
      <c r="B158" s="1754"/>
      <c r="C158" s="1755"/>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9"/>
    </row>
    <row r="159">
      <c r="A159" s="1757"/>
      <c r="B159" s="1758"/>
      <c r="C159" s="1759"/>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60"/>
      <c r="AV159" s="1760"/>
      <c r="AW159" s="1668"/>
    </row>
    <row r="160">
      <c r="A160" s="1753"/>
      <c r="B160" s="1754"/>
      <c r="C160" s="1755"/>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9"/>
    </row>
    <row r="161">
      <c r="A161" s="1757"/>
      <c r="B161" s="1758"/>
      <c r="C161" s="1759"/>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60"/>
      <c r="AV161" s="1760"/>
      <c r="AW161" s="1668"/>
    </row>
    <row r="162">
      <c r="A162" s="1753"/>
      <c r="B162" s="1754"/>
      <c r="C162" s="1755"/>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9"/>
    </row>
    <row r="163">
      <c r="A163" s="1757"/>
      <c r="B163" s="1758"/>
      <c r="C163" s="1759"/>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60"/>
      <c r="AV163" s="1760"/>
      <c r="AW163" s="1668"/>
    </row>
    <row r="164">
      <c r="A164" s="1753"/>
      <c r="B164" s="1754"/>
      <c r="C164" s="1755"/>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9"/>
    </row>
    <row r="165">
      <c r="A165" s="1757"/>
      <c r="B165" s="1758"/>
      <c r="C165" s="1759"/>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60"/>
      <c r="AV165" s="1760"/>
      <c r="AW165" s="1668"/>
    </row>
    <row r="166">
      <c r="A166" s="1753"/>
      <c r="B166" s="1754"/>
      <c r="C166" s="1755"/>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9"/>
    </row>
    <row r="167">
      <c r="A167" s="1757"/>
      <c r="B167" s="1758"/>
      <c r="C167" s="1759"/>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60"/>
      <c r="AV167" s="1760"/>
      <c r="AW167" s="1668"/>
    </row>
    <row r="168">
      <c r="A168" s="1753"/>
      <c r="B168" s="1754"/>
      <c r="C168" s="1755"/>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9"/>
    </row>
    <row r="169">
      <c r="A169" s="1757"/>
      <c r="B169" s="1758"/>
      <c r="C169" s="1759"/>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60"/>
      <c r="AV169" s="1760"/>
      <c r="AW169" s="1668"/>
    </row>
    <row r="170">
      <c r="A170" s="1753"/>
      <c r="B170" s="1754"/>
      <c r="C170" s="1755"/>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9"/>
    </row>
    <row r="171">
      <c r="A171" s="1757"/>
      <c r="B171" s="1758"/>
      <c r="C171" s="1759"/>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60"/>
      <c r="AV171" s="1760"/>
      <c r="AW171" s="1668"/>
    </row>
    <row r="172">
      <c r="A172" s="1753"/>
      <c r="B172" s="1754"/>
      <c r="C172" s="1755"/>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9"/>
    </row>
    <row r="173">
      <c r="A173" s="1757"/>
      <c r="B173" s="1758"/>
      <c r="C173" s="1759"/>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60"/>
      <c r="AV173" s="1760"/>
      <c r="AW173" s="1668"/>
    </row>
    <row r="174">
      <c r="A174" s="1753"/>
      <c r="B174" s="1754"/>
      <c r="C174" s="1755"/>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9"/>
    </row>
    <row r="175">
      <c r="A175" s="1757"/>
      <c r="B175" s="1758"/>
      <c r="C175" s="1759"/>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60"/>
      <c r="AV175" s="1760"/>
      <c r="AW175" s="1668"/>
    </row>
    <row r="176">
      <c r="A176" s="1753"/>
      <c r="B176" s="1754"/>
      <c r="C176" s="1755"/>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9"/>
    </row>
    <row r="177">
      <c r="A177" s="1757"/>
      <c r="B177" s="1758"/>
      <c r="C177" s="1759"/>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60"/>
      <c r="AV177" s="1760"/>
      <c r="AW177" s="1668"/>
    </row>
    <row r="178">
      <c r="A178" s="1753"/>
      <c r="B178" s="1754"/>
      <c r="C178" s="1755"/>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9"/>
    </row>
    <row r="179">
      <c r="A179" s="1757"/>
      <c r="B179" s="1758"/>
      <c r="C179" s="1759"/>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60"/>
      <c r="AV179" s="1760"/>
      <c r="AW179" s="1668"/>
    </row>
    <row r="180">
      <c r="A180" s="1753"/>
      <c r="B180" s="1754"/>
      <c r="C180" s="1755"/>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9"/>
    </row>
    <row r="181">
      <c r="A181" s="1757"/>
      <c r="B181" s="1758"/>
      <c r="C181" s="1759"/>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60"/>
      <c r="AV181" s="1760"/>
      <c r="AW181" s="1668"/>
    </row>
    <row r="182">
      <c r="A182" s="1753"/>
      <c r="B182" s="1754"/>
      <c r="C182" s="1755"/>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9"/>
    </row>
    <row r="183">
      <c r="A183" s="1757"/>
      <c r="B183" s="1758"/>
      <c r="C183" s="1759"/>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60"/>
      <c r="AV183" s="1760"/>
      <c r="AW183" s="1668"/>
    </row>
    <row r="184">
      <c r="A184" s="1753"/>
      <c r="B184" s="1754"/>
      <c r="C184" s="1755"/>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9"/>
    </row>
    <row r="185">
      <c r="A185" s="1757"/>
      <c r="B185" s="1758"/>
      <c r="C185" s="1759"/>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60"/>
      <c r="AV185" s="1760"/>
      <c r="AW185" s="1668"/>
    </row>
    <row r="186">
      <c r="A186" s="1753"/>
      <c r="B186" s="1754"/>
      <c r="C186" s="1755"/>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9"/>
    </row>
    <row r="187">
      <c r="A187" s="1757"/>
      <c r="B187" s="1758"/>
      <c r="C187" s="1759"/>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60"/>
      <c r="AV187" s="1760"/>
      <c r="AW187" s="1668"/>
    </row>
    <row r="188">
      <c r="A188" s="1753"/>
      <c r="B188" s="1754"/>
      <c r="C188" s="1755"/>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9"/>
    </row>
    <row r="189">
      <c r="A189" s="1757"/>
      <c r="B189" s="1758"/>
      <c r="C189" s="1759"/>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60"/>
      <c r="AV189" s="1760"/>
      <c r="AW189" s="1668"/>
    </row>
    <row r="190">
      <c r="A190" s="1753"/>
      <c r="B190" s="1754"/>
      <c r="C190" s="1755"/>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9"/>
    </row>
    <row r="191">
      <c r="A191" s="1757"/>
      <c r="B191" s="1758"/>
      <c r="C191" s="1759"/>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60"/>
      <c r="AV191" s="1760"/>
      <c r="AW191" s="1668"/>
    </row>
    <row r="192">
      <c r="A192" s="1753"/>
      <c r="B192" s="1754"/>
      <c r="C192" s="1755"/>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9"/>
    </row>
    <row r="193">
      <c r="A193" s="1757"/>
      <c r="B193" s="1758"/>
      <c r="C193" s="1759"/>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60"/>
      <c r="AV193" s="1760"/>
      <c r="AW193" s="1668"/>
    </row>
    <row r="194">
      <c r="A194" s="1753"/>
      <c r="B194" s="1754"/>
      <c r="C194" s="1755"/>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9"/>
    </row>
    <row r="195">
      <c r="A195" s="1757"/>
      <c r="B195" s="1758"/>
      <c r="C195" s="1759"/>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60"/>
      <c r="AV195" s="1760"/>
      <c r="AW195" s="1668"/>
    </row>
    <row r="196">
      <c r="A196" s="1753"/>
      <c r="B196" s="1754"/>
      <c r="C196" s="1755"/>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9"/>
    </row>
    <row r="197">
      <c r="A197" s="1757"/>
      <c r="B197" s="1758"/>
      <c r="C197" s="1759"/>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60"/>
      <c r="AV197" s="1760"/>
      <c r="AW197" s="1668"/>
    </row>
    <row r="198">
      <c r="A198" s="1753"/>
      <c r="B198" s="1754"/>
      <c r="C198" s="1755"/>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9126</v>
      </c>
      <c r="C1" s="1487" t="s">
        <v>9127</v>
      </c>
      <c r="D1" s="1761" t="s">
        <v>11293</v>
      </c>
      <c r="E1" s="1762" t="s">
        <v>7525</v>
      </c>
      <c r="F1" s="1763" t="s">
        <v>7527</v>
      </c>
      <c r="G1" s="1764" t="s">
        <v>38</v>
      </c>
      <c r="H1" s="1765" t="s">
        <v>36</v>
      </c>
      <c r="I1" s="1761" t="s">
        <v>11294</v>
      </c>
      <c r="J1" s="1766" t="s">
        <v>39</v>
      </c>
      <c r="K1" s="1767" t="s">
        <v>7526</v>
      </c>
      <c r="L1" s="1495" t="s">
        <v>9159</v>
      </c>
      <c r="M1" s="1496" t="s">
        <v>9160</v>
      </c>
      <c r="N1" s="1768" t="s">
        <v>9161</v>
      </c>
      <c r="O1" s="1769" t="s">
        <v>9162</v>
      </c>
    </row>
    <row r="2" ht="15.75" customHeight="1">
      <c r="A2" s="1770" t="s">
        <v>9163</v>
      </c>
      <c r="B2" s="1771" t="s">
        <v>9164</v>
      </c>
      <c r="C2" s="1772">
        <v>0.0496875</v>
      </c>
      <c r="D2" s="1773" t="s">
        <v>11295</v>
      </c>
      <c r="E2" s="1774" t="s">
        <v>11296</v>
      </c>
      <c r="F2" s="1775" t="s">
        <v>11297</v>
      </c>
      <c r="G2" s="1776" t="s">
        <v>11298</v>
      </c>
      <c r="H2" s="1777" t="s">
        <v>11299</v>
      </c>
      <c r="I2" s="1778" t="s">
        <v>11300</v>
      </c>
      <c r="J2" s="1779" t="s">
        <v>11301</v>
      </c>
      <c r="K2" s="1780" t="s">
        <v>11302</v>
      </c>
      <c r="L2" s="1781" t="s">
        <v>9188</v>
      </c>
      <c r="M2" s="1772">
        <v>0.05042824074074074</v>
      </c>
      <c r="N2" s="1782" t="str">
        <f t="shared" ref="N2:N41" si="1">TEXT(M2-C2, "m:ss")</f>
        <v>1:04</v>
      </c>
      <c r="O2" s="1783"/>
    </row>
    <row r="3" ht="15.75" customHeight="1">
      <c r="A3" s="1784" t="s">
        <v>9190</v>
      </c>
      <c r="B3" s="1785" t="s">
        <v>9191</v>
      </c>
      <c r="C3" s="1786">
        <v>0.051458333333333335</v>
      </c>
      <c r="D3" s="1525" t="s">
        <v>11303</v>
      </c>
      <c r="E3" s="1526" t="s">
        <v>11304</v>
      </c>
      <c r="F3" s="1527" t="s">
        <v>11305</v>
      </c>
      <c r="G3" s="1528" t="s">
        <v>11306</v>
      </c>
      <c r="H3" s="1530" t="s">
        <v>11307</v>
      </c>
      <c r="I3" s="1525" t="s">
        <v>11308</v>
      </c>
      <c r="J3" s="1532" t="s">
        <v>11309</v>
      </c>
      <c r="K3" s="1535" t="s">
        <v>11310</v>
      </c>
      <c r="L3" s="1527" t="s">
        <v>5047</v>
      </c>
      <c r="M3" s="1786">
        <v>0.05236111111111111</v>
      </c>
      <c r="N3" s="1787" t="str">
        <f t="shared" si="1"/>
        <v>1:18</v>
      </c>
      <c r="O3" s="1788"/>
    </row>
    <row r="4" ht="15.75" customHeight="1">
      <c r="A4" s="1789" t="s">
        <v>9216</v>
      </c>
      <c r="B4" s="1790" t="s">
        <v>9217</v>
      </c>
      <c r="C4" s="1791">
        <f>C26</f>
        <v>0.05158564815</v>
      </c>
      <c r="D4" s="1792" t="s">
        <v>11311</v>
      </c>
      <c r="E4" s="1793" t="s">
        <v>11312</v>
      </c>
      <c r="F4" s="1794" t="s">
        <v>11313</v>
      </c>
      <c r="G4" s="1795" t="s">
        <v>11314</v>
      </c>
      <c r="H4" s="1796" t="s">
        <v>11315</v>
      </c>
      <c r="I4" s="1792" t="s">
        <v>11316</v>
      </c>
      <c r="J4" s="1797" t="s">
        <v>11317</v>
      </c>
      <c r="K4" s="1798" t="s">
        <v>11318</v>
      </c>
      <c r="L4" s="1799" t="s">
        <v>9245</v>
      </c>
      <c r="M4" s="1800">
        <f>M26</f>
        <v>0.0521412037</v>
      </c>
      <c r="N4" s="1800" t="str">
        <f t="shared" si="1"/>
        <v>0:48</v>
      </c>
      <c r="O4" s="1783"/>
    </row>
    <row r="5" ht="15.75" customHeight="1">
      <c r="A5" s="974" t="s">
        <v>981</v>
      </c>
      <c r="B5" s="1706" t="s">
        <v>9164</v>
      </c>
      <c r="C5" s="1801">
        <v>0.04980324074074074</v>
      </c>
      <c r="D5" s="1802" t="s">
        <v>11295</v>
      </c>
      <c r="E5" s="1595" t="s">
        <v>11319</v>
      </c>
      <c r="F5" s="1802" t="s">
        <v>11297</v>
      </c>
      <c r="G5" s="1802" t="s">
        <v>11298</v>
      </c>
      <c r="H5" s="1802" t="s">
        <v>11299</v>
      </c>
      <c r="I5" s="1802" t="s">
        <v>11300</v>
      </c>
      <c r="J5" s="1803" t="s">
        <v>11320</v>
      </c>
      <c r="K5" s="1804" t="s">
        <v>11321</v>
      </c>
      <c r="L5" s="1558" t="s">
        <v>9253</v>
      </c>
      <c r="M5" s="1805">
        <v>0.05032407407407408</v>
      </c>
      <c r="N5" s="1806" t="str">
        <f t="shared" si="1"/>
        <v>0:45</v>
      </c>
      <c r="O5" s="1646" t="s">
        <v>11322</v>
      </c>
    </row>
    <row r="6">
      <c r="A6" s="1807" t="s">
        <v>2545</v>
      </c>
      <c r="B6" s="1808" t="s">
        <v>9164</v>
      </c>
      <c r="C6" s="1809">
        <v>0.049953125</v>
      </c>
      <c r="D6" s="1810" t="s">
        <v>11323</v>
      </c>
      <c r="E6" s="1811" t="s">
        <v>11324</v>
      </c>
      <c r="F6" s="1803" t="s">
        <v>11325</v>
      </c>
      <c r="G6" s="1803" t="s">
        <v>11326</v>
      </c>
      <c r="H6" s="1592" t="s">
        <v>11327</v>
      </c>
      <c r="I6" s="1803" t="s">
        <v>8698</v>
      </c>
      <c r="J6" s="1803" t="s">
        <v>11328</v>
      </c>
      <c r="K6" s="1812" t="s">
        <v>11302</v>
      </c>
      <c r="L6" s="1803" t="s">
        <v>9280</v>
      </c>
      <c r="M6" s="1813">
        <v>0.05068287037037037</v>
      </c>
      <c r="N6" s="1813" t="str">
        <f t="shared" si="1"/>
        <v>1:03</v>
      </c>
      <c r="O6" s="1646"/>
    </row>
    <row r="7" ht="15.75" customHeight="1">
      <c r="A7" s="1753" t="s">
        <v>1878</v>
      </c>
      <c r="B7" s="1555" t="s">
        <v>9164</v>
      </c>
      <c r="C7" s="1814">
        <v>0.0499537037037037</v>
      </c>
      <c r="D7" s="1592" t="s">
        <v>11329</v>
      </c>
      <c r="E7" s="1592" t="s">
        <v>11330</v>
      </c>
      <c r="F7" s="1592" t="s">
        <v>11331</v>
      </c>
      <c r="G7" s="1592" t="s">
        <v>11332</v>
      </c>
      <c r="H7" s="1592" t="s">
        <v>11333</v>
      </c>
      <c r="I7" s="1592" t="s">
        <v>11334</v>
      </c>
      <c r="J7" s="1592" t="s">
        <v>11335</v>
      </c>
      <c r="K7" s="1815" t="s">
        <v>11336</v>
      </c>
      <c r="L7" s="1559" t="s">
        <v>9188</v>
      </c>
      <c r="M7" s="1813">
        <v>0.05056712962962963</v>
      </c>
      <c r="N7" s="1816" t="str">
        <f t="shared" si="1"/>
        <v>0:53</v>
      </c>
      <c r="O7" s="1646" t="s">
        <v>11337</v>
      </c>
    </row>
    <row r="8" ht="15.75" customHeight="1">
      <c r="A8" s="1817" t="s">
        <v>436</v>
      </c>
      <c r="B8" s="1555" t="s">
        <v>9164</v>
      </c>
      <c r="C8" s="1809">
        <v>0.04998842592592593</v>
      </c>
      <c r="D8" s="1592" t="s">
        <v>11338</v>
      </c>
      <c r="E8" s="1818" t="s">
        <v>11296</v>
      </c>
      <c r="F8" s="1592" t="s">
        <v>11339</v>
      </c>
      <c r="G8" s="1592" t="s">
        <v>11340</v>
      </c>
      <c r="H8" s="1592" t="s">
        <v>11341</v>
      </c>
      <c r="I8" s="1592" t="s">
        <v>11342</v>
      </c>
      <c r="J8" s="1819" t="s">
        <v>11301</v>
      </c>
      <c r="K8" s="1592" t="s">
        <v>11343</v>
      </c>
      <c r="L8" s="1592" t="s">
        <v>9301</v>
      </c>
      <c r="M8" s="1813">
        <v>0.0508912037037037</v>
      </c>
      <c r="N8" s="1816" t="str">
        <f t="shared" si="1"/>
        <v>1:18</v>
      </c>
      <c r="O8" s="1646" t="s">
        <v>11337</v>
      </c>
    </row>
    <row r="9" ht="15.75" customHeight="1">
      <c r="A9" s="1817" t="s">
        <v>6619</v>
      </c>
      <c r="B9" s="1618" t="s">
        <v>9164</v>
      </c>
      <c r="C9" s="1814">
        <v>0.05025462962962963</v>
      </c>
      <c r="D9" s="1090" t="s">
        <v>11344</v>
      </c>
      <c r="E9" s="1593" t="s">
        <v>11345</v>
      </c>
      <c r="F9" s="1592" t="s">
        <v>11346</v>
      </c>
      <c r="G9" s="1592" t="s">
        <v>11347</v>
      </c>
      <c r="H9" s="1592" t="s">
        <v>11348</v>
      </c>
      <c r="I9" s="1592" t="s">
        <v>11072</v>
      </c>
      <c r="J9" s="1592" t="s">
        <v>11349</v>
      </c>
      <c r="K9" s="1592" t="s">
        <v>11350</v>
      </c>
      <c r="L9" s="1592" t="s">
        <v>9410</v>
      </c>
      <c r="M9" s="1813">
        <v>0.0506712962962963</v>
      </c>
      <c r="N9" s="1816" t="str">
        <f t="shared" si="1"/>
        <v>0:36</v>
      </c>
      <c r="O9" s="1646"/>
    </row>
    <row r="10" ht="15.75" customHeight="1">
      <c r="A10" s="1753" t="s">
        <v>6781</v>
      </c>
      <c r="B10" s="1555" t="s">
        <v>9164</v>
      </c>
      <c r="C10" s="1814">
        <v>0.050416666666666665</v>
      </c>
      <c r="D10" s="1592" t="s">
        <v>11351</v>
      </c>
      <c r="E10" s="1593" t="s">
        <v>11352</v>
      </c>
      <c r="F10" s="1595" t="s">
        <v>11353</v>
      </c>
      <c r="G10" s="1595" t="s">
        <v>11354</v>
      </c>
      <c r="H10" s="1592" t="s">
        <v>11355</v>
      </c>
      <c r="I10" s="1592" t="s">
        <v>11356</v>
      </c>
      <c r="J10" s="1592" t="s">
        <v>11357</v>
      </c>
      <c r="K10" s="1592" t="s">
        <v>11358</v>
      </c>
      <c r="L10" s="1595" t="s">
        <v>11359</v>
      </c>
      <c r="M10" s="1813">
        <v>0.0512037037037037</v>
      </c>
      <c r="N10" s="1816" t="str">
        <f t="shared" si="1"/>
        <v>1:08</v>
      </c>
      <c r="O10" s="1646" t="s">
        <v>11337</v>
      </c>
    </row>
    <row r="11">
      <c r="A11" s="1820" t="s">
        <v>827</v>
      </c>
      <c r="B11" s="1821" t="s">
        <v>9164</v>
      </c>
      <c r="C11" s="1814">
        <v>0.05047453703703704</v>
      </c>
      <c r="D11" s="1116" t="s">
        <v>11360</v>
      </c>
      <c r="E11" s="1593" t="s">
        <v>11361</v>
      </c>
      <c r="F11" s="1803" t="s">
        <v>11362</v>
      </c>
      <c r="G11" s="1803" t="s">
        <v>11363</v>
      </c>
      <c r="H11" s="1803" t="s">
        <v>11364</v>
      </c>
      <c r="I11" s="1592" t="s">
        <v>11365</v>
      </c>
      <c r="J11" s="1592" t="s">
        <v>11366</v>
      </c>
      <c r="K11" s="1803" t="s">
        <v>11367</v>
      </c>
      <c r="L11" s="1592" t="s">
        <v>3677</v>
      </c>
      <c r="M11" s="1813">
        <v>0.051076388888888886</v>
      </c>
      <c r="N11" s="1816" t="str">
        <f t="shared" si="1"/>
        <v>0:52</v>
      </c>
      <c r="O11" s="1646" t="s">
        <v>11368</v>
      </c>
    </row>
    <row r="12">
      <c r="A12" s="1653" t="s">
        <v>1808</v>
      </c>
      <c r="B12" s="1821" t="s">
        <v>9164</v>
      </c>
      <c r="C12" s="1809">
        <v>0.05059429398148148</v>
      </c>
      <c r="D12" s="1090" t="s">
        <v>11369</v>
      </c>
      <c r="E12" s="1593" t="s">
        <v>11370</v>
      </c>
      <c r="F12" s="1592" t="s">
        <v>11371</v>
      </c>
      <c r="G12" s="1592" t="s">
        <v>11372</v>
      </c>
      <c r="H12" s="1592" t="s">
        <v>11373</v>
      </c>
      <c r="I12" s="1592" t="s">
        <v>11374</v>
      </c>
      <c r="J12" s="1592" t="s">
        <v>11375</v>
      </c>
      <c r="K12" s="1592" t="s">
        <v>11376</v>
      </c>
      <c r="L12" s="1592" t="s">
        <v>11377</v>
      </c>
      <c r="M12" s="1813">
        <v>0.051319444444444445</v>
      </c>
      <c r="N12" s="1816" t="str">
        <f t="shared" si="1"/>
        <v>1:03</v>
      </c>
      <c r="O12" s="1646"/>
    </row>
    <row r="13" ht="15.75" customHeight="1">
      <c r="A13" s="974" t="s">
        <v>1550</v>
      </c>
      <c r="B13" s="1822" t="s">
        <v>9164</v>
      </c>
      <c r="C13" s="1814">
        <v>0.05061342592592592</v>
      </c>
      <c r="D13" s="1823" t="s">
        <v>11378</v>
      </c>
      <c r="E13" s="1593" t="s">
        <v>11379</v>
      </c>
      <c r="F13" s="1824" t="s">
        <v>11380</v>
      </c>
      <c r="G13" s="1592" t="s">
        <v>11381</v>
      </c>
      <c r="H13" s="1824" t="s">
        <v>11382</v>
      </c>
      <c r="I13" s="1824" t="s">
        <v>11383</v>
      </c>
      <c r="J13" s="1592" t="s">
        <v>11384</v>
      </c>
      <c r="K13" s="1592" t="s">
        <v>11385</v>
      </c>
      <c r="L13" s="1592" t="s">
        <v>3514</v>
      </c>
      <c r="M13" s="1813">
        <v>0.05122685185185185</v>
      </c>
      <c r="N13" s="1816" t="str">
        <f t="shared" si="1"/>
        <v>0:53</v>
      </c>
      <c r="O13" s="1646" t="s">
        <v>11386</v>
      </c>
    </row>
    <row r="14" ht="15.75" customHeight="1">
      <c r="A14" s="1757" t="s">
        <v>2088</v>
      </c>
      <c r="B14" s="1555" t="s">
        <v>9164</v>
      </c>
      <c r="C14" s="1809">
        <v>0.05061342592592592</v>
      </c>
      <c r="D14" s="1116" t="s">
        <v>11387</v>
      </c>
      <c r="E14" s="1825" t="s">
        <v>11388</v>
      </c>
      <c r="F14" s="1592" t="s">
        <v>11389</v>
      </c>
      <c r="G14" s="1592" t="s">
        <v>11390</v>
      </c>
      <c r="H14" s="1592" t="s">
        <v>11391</v>
      </c>
      <c r="I14" s="1592" t="s">
        <v>11392</v>
      </c>
      <c r="J14" s="1592" t="s">
        <v>11393</v>
      </c>
      <c r="K14" s="1592" t="s">
        <v>11394</v>
      </c>
      <c r="L14" s="1592" t="s">
        <v>6599</v>
      </c>
      <c r="M14" s="1813">
        <v>0.05153935185185185</v>
      </c>
      <c r="N14" s="1816" t="str">
        <f t="shared" si="1"/>
        <v>1:20</v>
      </c>
      <c r="O14" s="1646" t="s">
        <v>11337</v>
      </c>
    </row>
    <row r="15" ht="15.75" customHeight="1">
      <c r="A15" s="1817" t="s">
        <v>330</v>
      </c>
      <c r="B15" s="1555" t="s">
        <v>9164</v>
      </c>
      <c r="C15" s="1809">
        <v>0.05068287037037037</v>
      </c>
      <c r="D15" s="1592" t="s">
        <v>11395</v>
      </c>
      <c r="E15" s="1825" t="s">
        <v>11396</v>
      </c>
      <c r="F15" s="1592" t="s">
        <v>11397</v>
      </c>
      <c r="G15" s="1592" t="s">
        <v>11398</v>
      </c>
      <c r="H15" s="1592" t="s">
        <v>11399</v>
      </c>
      <c r="I15" s="1592" t="s">
        <v>6543</v>
      </c>
      <c r="J15" s="1592" t="s">
        <v>11400</v>
      </c>
      <c r="K15" s="1592" t="s">
        <v>11401</v>
      </c>
      <c r="L15" s="1592" t="s">
        <v>9388</v>
      </c>
      <c r="M15" s="1813">
        <v>0.05164351851851852</v>
      </c>
      <c r="N15" s="1816" t="str">
        <f t="shared" si="1"/>
        <v>1:23</v>
      </c>
      <c r="O15" s="1646" t="s">
        <v>11337</v>
      </c>
    </row>
    <row r="16" ht="15.75" customHeight="1">
      <c r="A16" s="1653" t="s">
        <v>2650</v>
      </c>
      <c r="B16" s="1706" t="s">
        <v>9191</v>
      </c>
      <c r="C16" s="1826">
        <v>0.050729166666666665</v>
      </c>
      <c r="D16" s="1090" t="s">
        <v>11402</v>
      </c>
      <c r="E16" s="1804" t="s">
        <v>11403</v>
      </c>
      <c r="F16" s="1827" t="s">
        <v>11404</v>
      </c>
      <c r="G16" s="1827" t="s">
        <v>11405</v>
      </c>
      <c r="H16" s="1827" t="s">
        <v>11406</v>
      </c>
      <c r="I16" s="1827" t="s">
        <v>11407</v>
      </c>
      <c r="J16" s="1827" t="s">
        <v>11408</v>
      </c>
      <c r="K16" s="1827" t="s">
        <v>11409</v>
      </c>
      <c r="L16" s="1336" t="s">
        <v>9548</v>
      </c>
      <c r="M16" s="1813">
        <v>0.05143506944444444</v>
      </c>
      <c r="N16" s="1828" t="str">
        <f t="shared" si="1"/>
        <v>1:01</v>
      </c>
      <c r="O16" s="1646"/>
    </row>
    <row r="17" ht="15.75" customHeight="1">
      <c r="A17" s="1653" t="s">
        <v>2154</v>
      </c>
      <c r="B17" s="1706" t="s">
        <v>9191</v>
      </c>
      <c r="C17" s="1814">
        <v>0.05085648148148148</v>
      </c>
      <c r="D17" s="1090" t="s">
        <v>11410</v>
      </c>
      <c r="E17" s="1829" t="s">
        <v>11411</v>
      </c>
      <c r="F17" s="1830" t="s">
        <v>11305</v>
      </c>
      <c r="G17" s="1830" t="s">
        <v>11412</v>
      </c>
      <c r="H17" s="1830" t="s">
        <v>11413</v>
      </c>
      <c r="I17" s="1830" t="s">
        <v>11308</v>
      </c>
      <c r="J17" s="1830" t="s">
        <v>11414</v>
      </c>
      <c r="K17" s="1830" t="s">
        <v>11415</v>
      </c>
      <c r="L17" s="1831" t="s">
        <v>5047</v>
      </c>
      <c r="M17" s="1813">
        <v>0.05197916666666667</v>
      </c>
      <c r="N17" s="1816" t="str">
        <f t="shared" si="1"/>
        <v>1:37</v>
      </c>
      <c r="O17" s="1646" t="s">
        <v>11337</v>
      </c>
    </row>
    <row r="18" ht="15.75" customHeight="1">
      <c r="A18" s="1832" t="s">
        <v>2772</v>
      </c>
      <c r="B18" s="1555" t="s">
        <v>9164</v>
      </c>
      <c r="C18" s="1833">
        <v>0.05103009259259259</v>
      </c>
      <c r="D18" s="1592" t="s">
        <v>11416</v>
      </c>
      <c r="E18" s="1825" t="s">
        <v>10883</v>
      </c>
      <c r="F18" s="1592" t="s">
        <v>11417</v>
      </c>
      <c r="G18" s="1592" t="s">
        <v>11418</v>
      </c>
      <c r="H18" s="1803" t="s">
        <v>11419</v>
      </c>
      <c r="I18" s="1592" t="s">
        <v>8798</v>
      </c>
      <c r="J18" s="1592" t="s">
        <v>11420</v>
      </c>
      <c r="K18" s="1592" t="s">
        <v>11421</v>
      </c>
      <c r="L18" s="1592" t="s">
        <v>11422</v>
      </c>
      <c r="M18" s="1813">
        <v>0.051909722222222225</v>
      </c>
      <c r="N18" s="1816" t="str">
        <f t="shared" si="1"/>
        <v>1:16</v>
      </c>
      <c r="O18" s="1646" t="s">
        <v>11337</v>
      </c>
    </row>
    <row r="19" ht="15.75" customHeight="1">
      <c r="A19" s="1653" t="s">
        <v>2266</v>
      </c>
      <c r="B19" s="1618" t="s">
        <v>9164</v>
      </c>
      <c r="C19" s="1809">
        <v>0.051145833333333335</v>
      </c>
      <c r="D19" s="1116" t="s">
        <v>11423</v>
      </c>
      <c r="E19" s="1593" t="s">
        <v>11424</v>
      </c>
      <c r="F19" s="1592" t="s">
        <v>11425</v>
      </c>
      <c r="G19" s="1592" t="s">
        <v>11426</v>
      </c>
      <c r="H19" s="1592" t="s">
        <v>11427</v>
      </c>
      <c r="I19" s="1592" t="s">
        <v>11428</v>
      </c>
      <c r="J19" s="1592" t="s">
        <v>11429</v>
      </c>
      <c r="K19" s="1592" t="s">
        <v>11430</v>
      </c>
      <c r="L19" s="1592" t="s">
        <v>3122</v>
      </c>
      <c r="M19" s="1813">
        <v>0.05228009259259259</v>
      </c>
      <c r="N19" s="1816" t="str">
        <f t="shared" si="1"/>
        <v>1:38</v>
      </c>
      <c r="O19" s="1646" t="s">
        <v>11431</v>
      </c>
    </row>
    <row r="20" ht="15.75" customHeight="1">
      <c r="A20" s="1817" t="s">
        <v>1415</v>
      </c>
      <c r="B20" s="1555" t="s">
        <v>9164</v>
      </c>
      <c r="C20" s="1809">
        <v>0.05122685185185185</v>
      </c>
      <c r="D20" s="1592" t="s">
        <v>11432</v>
      </c>
      <c r="E20" s="1825" t="s">
        <v>9221</v>
      </c>
      <c r="F20" s="1592" t="s">
        <v>11433</v>
      </c>
      <c r="G20" s="1592" t="s">
        <v>11434</v>
      </c>
      <c r="H20" s="1592" t="s">
        <v>11435</v>
      </c>
      <c r="I20" s="1592" t="s">
        <v>11436</v>
      </c>
      <c r="J20" s="1592" t="s">
        <v>11437</v>
      </c>
      <c r="K20" s="1592" t="s">
        <v>11438</v>
      </c>
      <c r="L20" s="1592" t="s">
        <v>11439</v>
      </c>
      <c r="M20" s="1813">
        <v>0.052037037037037034</v>
      </c>
      <c r="N20" s="1816" t="str">
        <f t="shared" si="1"/>
        <v>1:10</v>
      </c>
      <c r="O20" s="1646" t="s">
        <v>11337</v>
      </c>
    </row>
    <row r="21" ht="15.75" customHeight="1">
      <c r="A21" s="1653" t="s">
        <v>1632</v>
      </c>
      <c r="B21" s="1618" t="s">
        <v>9164</v>
      </c>
      <c r="C21" s="1809">
        <v>0.05122685185185185</v>
      </c>
      <c r="D21" s="1090" t="s">
        <v>11440</v>
      </c>
      <c r="E21" s="1593" t="s">
        <v>11441</v>
      </c>
      <c r="F21" s="1592" t="s">
        <v>11442</v>
      </c>
      <c r="G21" s="1592" t="s">
        <v>11443</v>
      </c>
      <c r="H21" s="1592" t="s">
        <v>11444</v>
      </c>
      <c r="I21" s="1592" t="s">
        <v>11445</v>
      </c>
      <c r="J21" s="1592" t="s">
        <v>11446</v>
      </c>
      <c r="K21" s="1592" t="s">
        <v>11447</v>
      </c>
      <c r="L21" s="1592" t="s">
        <v>6122</v>
      </c>
      <c r="M21" s="1813">
        <v>0.05224537037037037</v>
      </c>
      <c r="N21" s="1816" t="str">
        <f t="shared" si="1"/>
        <v>1:28</v>
      </c>
      <c r="O21" s="1646" t="s">
        <v>11448</v>
      </c>
    </row>
    <row r="22" ht="15.75" customHeight="1">
      <c r="A22" s="1653" t="s">
        <v>7044</v>
      </c>
      <c r="B22" s="1618" t="s">
        <v>9164</v>
      </c>
      <c r="C22" s="1809">
        <v>0.05133101851851852</v>
      </c>
      <c r="D22" s="1592" t="s">
        <v>11449</v>
      </c>
      <c r="E22" s="1593" t="s">
        <v>11450</v>
      </c>
      <c r="F22" s="1592" t="s">
        <v>11451</v>
      </c>
      <c r="G22" s="1595" t="s">
        <v>11452</v>
      </c>
      <c r="H22" s="1595" t="s">
        <v>11453</v>
      </c>
      <c r="I22" s="1592" t="s">
        <v>11454</v>
      </c>
      <c r="J22" s="1592" t="s">
        <v>11455</v>
      </c>
      <c r="K22" s="1592" t="s">
        <v>11456</v>
      </c>
      <c r="L22" s="1592" t="s">
        <v>11457</v>
      </c>
      <c r="M22" s="1813">
        <v>0.05197916666666667</v>
      </c>
      <c r="N22" s="1816" t="str">
        <f t="shared" si="1"/>
        <v>0:56</v>
      </c>
      <c r="O22" s="1646" t="s">
        <v>11458</v>
      </c>
    </row>
    <row r="23" ht="15.75" customHeight="1">
      <c r="A23" s="1753" t="s">
        <v>9638</v>
      </c>
      <c r="B23" s="1555" t="s">
        <v>9164</v>
      </c>
      <c r="C23" s="1814">
        <v>0.05144675925925926</v>
      </c>
      <c r="D23" s="1592" t="s">
        <v>11459</v>
      </c>
      <c r="E23" s="1825" t="s">
        <v>11460</v>
      </c>
      <c r="F23" s="1592" t="s">
        <v>11461</v>
      </c>
      <c r="G23" s="1592" t="s">
        <v>11462</v>
      </c>
      <c r="H23" s="1592" t="s">
        <v>11463</v>
      </c>
      <c r="I23" s="1592" t="s">
        <v>11464</v>
      </c>
      <c r="J23" s="1592" t="s">
        <v>11465</v>
      </c>
      <c r="K23" s="1592" t="s">
        <v>11466</v>
      </c>
      <c r="L23" s="1313" t="s">
        <v>9514</v>
      </c>
      <c r="M23" s="1813">
        <v>0.05258101851851852</v>
      </c>
      <c r="N23" s="1816" t="str">
        <f t="shared" si="1"/>
        <v>1:38</v>
      </c>
      <c r="O23" s="1646" t="s">
        <v>11337</v>
      </c>
    </row>
    <row r="24" ht="15.75" customHeight="1">
      <c r="A24" s="1653" t="s">
        <v>9771</v>
      </c>
      <c r="B24" s="1618" t="s">
        <v>9191</v>
      </c>
      <c r="C24" s="1809">
        <v>0.05146990740740741</v>
      </c>
      <c r="D24" s="1829" t="s">
        <v>11303</v>
      </c>
      <c r="E24" s="1593" t="s">
        <v>10712</v>
      </c>
      <c r="F24" s="1593" t="s">
        <v>11467</v>
      </c>
      <c r="G24" s="1593" t="s">
        <v>11468</v>
      </c>
      <c r="H24" s="1593" t="s">
        <v>11469</v>
      </c>
      <c r="I24" s="1592" t="s">
        <v>11470</v>
      </c>
      <c r="J24" s="1116" t="s">
        <v>11471</v>
      </c>
      <c r="K24" s="1592" t="s">
        <v>11472</v>
      </c>
      <c r="L24" s="1116" t="s">
        <v>9787</v>
      </c>
      <c r="M24" s="1834">
        <v>0.05236111111111111</v>
      </c>
      <c r="N24" s="1816" t="str">
        <f t="shared" si="1"/>
        <v>1:17</v>
      </c>
      <c r="O24" s="1646" t="s">
        <v>11337</v>
      </c>
    </row>
    <row r="25" ht="15.75" customHeight="1">
      <c r="A25" s="1817" t="s">
        <v>899</v>
      </c>
      <c r="B25" s="1555" t="s">
        <v>9164</v>
      </c>
      <c r="C25" s="1814">
        <v>0.051550925925925924</v>
      </c>
      <c r="D25" s="1592" t="s">
        <v>11473</v>
      </c>
      <c r="E25" s="1825" t="s">
        <v>10696</v>
      </c>
      <c r="F25" s="1592" t="s">
        <v>11474</v>
      </c>
      <c r="G25" s="1592" t="s">
        <v>11475</v>
      </c>
      <c r="H25" s="1592" t="s">
        <v>11476</v>
      </c>
      <c r="I25" s="1592" t="s">
        <v>11477</v>
      </c>
      <c r="J25" s="1592" t="s">
        <v>11478</v>
      </c>
      <c r="K25" s="1592" t="s">
        <v>11479</v>
      </c>
      <c r="L25" s="1313" t="s">
        <v>11480</v>
      </c>
      <c r="M25" s="1813">
        <v>0.05229166666666667</v>
      </c>
      <c r="N25" s="1816" t="str">
        <f t="shared" si="1"/>
        <v>1:04</v>
      </c>
      <c r="O25" s="1646" t="s">
        <v>11337</v>
      </c>
    </row>
    <row r="26">
      <c r="A26" s="1807" t="s">
        <v>1878</v>
      </c>
      <c r="B26" s="1706" t="s">
        <v>9217</v>
      </c>
      <c r="C26" s="1835">
        <v>0.05158564814814815</v>
      </c>
      <c r="D26" s="1836" t="s">
        <v>11311</v>
      </c>
      <c r="E26" s="1837" t="s">
        <v>11312</v>
      </c>
      <c r="F26" s="1836" t="s">
        <v>11313</v>
      </c>
      <c r="G26" s="1836" t="s">
        <v>11314</v>
      </c>
      <c r="H26" s="1836" t="s">
        <v>11315</v>
      </c>
      <c r="I26" s="1836" t="s">
        <v>11316</v>
      </c>
      <c r="J26" s="1836" t="s">
        <v>11317</v>
      </c>
      <c r="K26" s="1836" t="s">
        <v>11318</v>
      </c>
      <c r="L26" s="1836" t="s">
        <v>9245</v>
      </c>
      <c r="M26" s="1838">
        <v>0.052141203703703703</v>
      </c>
      <c r="N26" s="1816" t="str">
        <f t="shared" si="1"/>
        <v>0:48</v>
      </c>
      <c r="O26" s="1646" t="s">
        <v>11481</v>
      </c>
    </row>
    <row r="27" ht="15.75" customHeight="1">
      <c r="A27" s="974" t="s">
        <v>2824</v>
      </c>
      <c r="B27" s="1618" t="s">
        <v>9164</v>
      </c>
      <c r="C27" s="1814">
        <v>0.051706365740740744</v>
      </c>
      <c r="D27" s="1116" t="s">
        <v>11482</v>
      </c>
      <c r="E27" s="1593" t="s">
        <v>11483</v>
      </c>
      <c r="F27" s="1592" t="s">
        <v>11484</v>
      </c>
      <c r="G27" s="1592" t="s">
        <v>11485</v>
      </c>
      <c r="H27" s="1592" t="s">
        <v>11486</v>
      </c>
      <c r="I27" s="1592" t="s">
        <v>11487</v>
      </c>
      <c r="J27" s="1592" t="s">
        <v>11488</v>
      </c>
      <c r="K27" s="1592" t="s">
        <v>11489</v>
      </c>
      <c r="L27" s="1592" t="s">
        <v>10077</v>
      </c>
      <c r="M27" s="1813">
        <v>0.0525</v>
      </c>
      <c r="N27" s="1813" t="str">
        <f t="shared" si="1"/>
        <v>1:09</v>
      </c>
      <c r="O27" s="1646"/>
    </row>
    <row r="28" ht="15.75" customHeight="1">
      <c r="A28" s="1839" t="s">
        <v>2106</v>
      </c>
      <c r="B28" s="1698" t="s">
        <v>9164</v>
      </c>
      <c r="C28" s="1814">
        <v>0.05171296296296296</v>
      </c>
      <c r="D28" s="1322" t="s">
        <v>11490</v>
      </c>
      <c r="E28" s="1322" t="s">
        <v>11491</v>
      </c>
      <c r="F28" s="1322" t="s">
        <v>11492</v>
      </c>
      <c r="G28" s="1322" t="s">
        <v>11493</v>
      </c>
      <c r="H28" s="1116" t="s">
        <v>11494</v>
      </c>
      <c r="I28" s="1322" t="s">
        <v>11495</v>
      </c>
      <c r="J28" s="1116" t="s">
        <v>11496</v>
      </c>
      <c r="K28" s="1322" t="s">
        <v>11497</v>
      </c>
      <c r="L28" s="1116" t="s">
        <v>9614</v>
      </c>
      <c r="M28" s="1813">
        <v>0.054375</v>
      </c>
      <c r="N28" s="1816" t="str">
        <f t="shared" si="1"/>
        <v>3:50</v>
      </c>
      <c r="O28" s="1646" t="s">
        <v>11498</v>
      </c>
    </row>
    <row r="29" ht="15.75" customHeight="1">
      <c r="A29" s="1653" t="s">
        <v>3097</v>
      </c>
      <c r="B29" s="1618" t="s">
        <v>9164</v>
      </c>
      <c r="C29" s="1809">
        <v>0.05180160879629629</v>
      </c>
      <c r="D29" s="1116" t="s">
        <v>11499</v>
      </c>
      <c r="E29" s="1593" t="s">
        <v>11500</v>
      </c>
      <c r="F29" s="1592" t="s">
        <v>11501</v>
      </c>
      <c r="G29" s="1592" t="s">
        <v>11502</v>
      </c>
      <c r="H29" s="1592" t="s">
        <v>11503</v>
      </c>
      <c r="I29" s="1592" t="s">
        <v>11504</v>
      </c>
      <c r="J29" s="1592" t="s">
        <v>11505</v>
      </c>
      <c r="K29" s="1592" t="s">
        <v>11506</v>
      </c>
      <c r="L29" s="1592" t="s">
        <v>11507</v>
      </c>
      <c r="M29" s="1813">
        <v>0.05303240740740741</v>
      </c>
      <c r="N29" s="1816" t="str">
        <f t="shared" si="1"/>
        <v>1:46</v>
      </c>
      <c r="O29" s="1646"/>
    </row>
    <row r="30" ht="15.75" customHeight="1">
      <c r="A30" s="974" t="s">
        <v>1348</v>
      </c>
      <c r="B30" s="1706" t="s">
        <v>9217</v>
      </c>
      <c r="C30" s="1814">
        <v>0.052088194444444444</v>
      </c>
      <c r="D30" s="1116" t="s">
        <v>11508</v>
      </c>
      <c r="E30" s="1593" t="s">
        <v>11509</v>
      </c>
      <c r="F30" s="1592" t="s">
        <v>11510</v>
      </c>
      <c r="G30" s="1592" t="s">
        <v>11511</v>
      </c>
      <c r="H30" s="1592" t="s">
        <v>11512</v>
      </c>
      <c r="I30" s="1592" t="s">
        <v>11513</v>
      </c>
      <c r="J30" s="1592" t="s">
        <v>11514</v>
      </c>
      <c r="K30" s="1592" t="s">
        <v>11515</v>
      </c>
      <c r="L30" s="1592" t="s">
        <v>10382</v>
      </c>
      <c r="M30" s="1813">
        <v>0.053043981481481484</v>
      </c>
      <c r="N30" s="1816" t="str">
        <f t="shared" si="1"/>
        <v>1:23</v>
      </c>
      <c r="O30" s="1646" t="s">
        <v>11337</v>
      </c>
    </row>
    <row r="31" ht="15.75" customHeight="1">
      <c r="A31" s="974" t="s">
        <v>2583</v>
      </c>
      <c r="B31" s="1618" t="s">
        <v>9191</v>
      </c>
      <c r="C31" s="1814">
        <v>0.05215277777777778</v>
      </c>
      <c r="D31" s="1592" t="s">
        <v>11516</v>
      </c>
      <c r="E31" s="1592" t="s">
        <v>6048</v>
      </c>
      <c r="F31" s="1592" t="s">
        <v>11517</v>
      </c>
      <c r="G31" s="1592" t="s">
        <v>11518</v>
      </c>
      <c r="H31" s="1592" t="s">
        <v>11519</v>
      </c>
      <c r="I31" s="1592" t="s">
        <v>11379</v>
      </c>
      <c r="J31" s="1592" t="s">
        <v>11520</v>
      </c>
      <c r="K31" s="1592" t="s">
        <v>11521</v>
      </c>
      <c r="L31" s="1592" t="s">
        <v>10124</v>
      </c>
      <c r="M31" s="1813">
        <v>0.05399305555555556</v>
      </c>
      <c r="N31" s="1816" t="str">
        <f t="shared" si="1"/>
        <v>2:39</v>
      </c>
      <c r="O31" s="1646" t="s">
        <v>11522</v>
      </c>
    </row>
    <row r="32" ht="15.75" customHeight="1">
      <c r="A32" s="1653" t="s">
        <v>2992</v>
      </c>
      <c r="B32" s="1618" t="s">
        <v>9164</v>
      </c>
      <c r="C32" s="1809">
        <v>0.05216435185185185</v>
      </c>
      <c r="D32" s="1592" t="s">
        <v>11523</v>
      </c>
      <c r="E32" s="1593" t="s">
        <v>11524</v>
      </c>
      <c r="F32" s="1592" t="s">
        <v>11525</v>
      </c>
      <c r="G32" s="1592" t="s">
        <v>11526</v>
      </c>
      <c r="H32" s="1592" t="s">
        <v>11527</v>
      </c>
      <c r="I32" s="1592" t="s">
        <v>11528</v>
      </c>
      <c r="J32" s="1592" t="s">
        <v>11529</v>
      </c>
      <c r="K32" s="1592" t="s">
        <v>11530</v>
      </c>
      <c r="L32" s="1592" t="s">
        <v>11531</v>
      </c>
      <c r="M32" s="1813">
        <v>0.05337962962962963</v>
      </c>
      <c r="N32" s="1816" t="str">
        <f t="shared" si="1"/>
        <v>1:45</v>
      </c>
      <c r="O32" s="1646" t="s">
        <v>11532</v>
      </c>
    </row>
    <row r="33" ht="15.75" customHeight="1">
      <c r="A33" s="974" t="s">
        <v>741</v>
      </c>
      <c r="B33" s="1618" t="s">
        <v>9191</v>
      </c>
      <c r="C33" s="1814">
        <v>0.05224537037037037</v>
      </c>
      <c r="D33" s="1592" t="s">
        <v>11533</v>
      </c>
      <c r="E33" s="1840" t="s">
        <v>11534</v>
      </c>
      <c r="F33" s="1592" t="s">
        <v>11535</v>
      </c>
      <c r="G33" s="1592" t="s">
        <v>11536</v>
      </c>
      <c r="H33" s="1592" t="s">
        <v>11537</v>
      </c>
      <c r="I33" s="1592" t="s">
        <v>11538</v>
      </c>
      <c r="J33" s="1592" t="s">
        <v>11539</v>
      </c>
      <c r="K33" s="1595" t="s">
        <v>11540</v>
      </c>
      <c r="L33" s="1592" t="s">
        <v>11541</v>
      </c>
      <c r="M33" s="1813">
        <v>0.053043981481481484</v>
      </c>
      <c r="N33" s="1816" t="str">
        <f t="shared" si="1"/>
        <v>1:09</v>
      </c>
      <c r="O33" s="1646" t="s">
        <v>11542</v>
      </c>
    </row>
    <row r="34" ht="15.75" customHeight="1">
      <c r="A34" s="1653" t="s">
        <v>3097</v>
      </c>
      <c r="B34" s="1706" t="s">
        <v>9191</v>
      </c>
      <c r="C34" s="1809">
        <v>0.052316898148148154</v>
      </c>
      <c r="D34" s="1116" t="s">
        <v>11543</v>
      </c>
      <c r="E34" s="1593" t="s">
        <v>11544</v>
      </c>
      <c r="F34" s="1592" t="s">
        <v>11545</v>
      </c>
      <c r="G34" s="1592" t="s">
        <v>11546</v>
      </c>
      <c r="H34" s="1592" t="s">
        <v>11547</v>
      </c>
      <c r="I34" s="1592" t="s">
        <v>11548</v>
      </c>
      <c r="J34" s="1592" t="s">
        <v>11549</v>
      </c>
      <c r="K34" s="1592" t="s">
        <v>11550</v>
      </c>
      <c r="L34" s="1592" t="s">
        <v>9861</v>
      </c>
      <c r="M34" s="1813">
        <v>0.05376157407407407</v>
      </c>
      <c r="N34" s="1816" t="str">
        <f t="shared" si="1"/>
        <v>2:05</v>
      </c>
      <c r="O34" s="1646" t="s">
        <v>11337</v>
      </c>
    </row>
    <row r="35" ht="15.75" customHeight="1">
      <c r="A35" s="974" t="s">
        <v>4054</v>
      </c>
      <c r="B35" s="1618" t="s">
        <v>9164</v>
      </c>
      <c r="C35" s="1814">
        <v>0.05238425925925926</v>
      </c>
      <c r="D35" s="1090" t="s">
        <v>11551</v>
      </c>
      <c r="E35" s="1593" t="s">
        <v>11524</v>
      </c>
      <c r="F35" s="1592" t="s">
        <v>11552</v>
      </c>
      <c r="G35" s="1815" t="s">
        <v>11553</v>
      </c>
      <c r="H35" s="1592" t="s">
        <v>11554</v>
      </c>
      <c r="I35" s="1592" t="s">
        <v>11555</v>
      </c>
      <c r="J35" s="1592" t="s">
        <v>11556</v>
      </c>
      <c r="K35" s="1592" t="s">
        <v>11557</v>
      </c>
      <c r="L35" s="1592" t="s">
        <v>10400</v>
      </c>
      <c r="M35" s="1813">
        <v>0.05340277777777778</v>
      </c>
      <c r="N35" s="1816" t="str">
        <f t="shared" si="1"/>
        <v>1:28</v>
      </c>
      <c r="O35" s="1646" t="s">
        <v>11558</v>
      </c>
    </row>
    <row r="36" ht="15.75" customHeight="1">
      <c r="A36" s="974" t="s">
        <v>2715</v>
      </c>
      <c r="B36" s="1618" t="s">
        <v>9164</v>
      </c>
      <c r="C36" s="1814">
        <v>0.0525</v>
      </c>
      <c r="D36" s="1116" t="s">
        <v>11559</v>
      </c>
      <c r="E36" s="1593" t="s">
        <v>11560</v>
      </c>
      <c r="F36" s="1592" t="s">
        <v>11561</v>
      </c>
      <c r="G36" s="1592" t="s">
        <v>11562</v>
      </c>
      <c r="H36" s="1592" t="s">
        <v>11563</v>
      </c>
      <c r="I36" s="1592" t="s">
        <v>11564</v>
      </c>
      <c r="J36" s="1592" t="s">
        <v>11565</v>
      </c>
      <c r="K36" s="1592" t="s">
        <v>11566</v>
      </c>
      <c r="L36" s="1592" t="s">
        <v>702</v>
      </c>
      <c r="M36" s="1813">
        <v>0.053773148148148146</v>
      </c>
      <c r="N36" s="1816" t="str">
        <f t="shared" si="1"/>
        <v>1:50</v>
      </c>
      <c r="O36" s="1646" t="s">
        <v>11567</v>
      </c>
    </row>
    <row r="37" ht="15.75" customHeight="1">
      <c r="A37" s="1653" t="s">
        <v>10427</v>
      </c>
      <c r="B37" s="1618" t="s">
        <v>9164</v>
      </c>
      <c r="C37" s="1809">
        <v>0.05268518518518518</v>
      </c>
      <c r="D37" s="1116" t="s">
        <v>11568</v>
      </c>
      <c r="E37" s="1593" t="s">
        <v>11569</v>
      </c>
      <c r="F37" s="1592" t="s">
        <v>11570</v>
      </c>
      <c r="G37" s="1592" t="s">
        <v>11571</v>
      </c>
      <c r="H37" s="1592" t="s">
        <v>11572</v>
      </c>
      <c r="I37" s="1592" t="s">
        <v>7483</v>
      </c>
      <c r="J37" s="1592" t="s">
        <v>11573</v>
      </c>
      <c r="K37" s="1592" t="s">
        <v>11574</v>
      </c>
      <c r="L37" s="1592" t="s">
        <v>10445</v>
      </c>
      <c r="M37" s="1813">
        <v>0.05331018518518518</v>
      </c>
      <c r="N37" s="1816" t="str">
        <f t="shared" si="1"/>
        <v>0:54</v>
      </c>
      <c r="O37" s="1646" t="s">
        <v>11575</v>
      </c>
    </row>
    <row r="38" ht="15.75" customHeight="1">
      <c r="A38" s="1653" t="s">
        <v>3751</v>
      </c>
      <c r="B38" s="1821" t="s">
        <v>9164</v>
      </c>
      <c r="C38" s="1809">
        <v>0.05270034722222223</v>
      </c>
      <c r="D38" s="1090" t="s">
        <v>11576</v>
      </c>
      <c r="E38" s="1593" t="s">
        <v>11577</v>
      </c>
      <c r="F38" s="1592" t="s">
        <v>11578</v>
      </c>
      <c r="G38" s="1592" t="s">
        <v>11579</v>
      </c>
      <c r="H38" s="1592" t="s">
        <v>11580</v>
      </c>
      <c r="I38" s="1592" t="s">
        <v>11581</v>
      </c>
      <c r="J38" s="1592" t="s">
        <v>11582</v>
      </c>
      <c r="K38" s="1592" t="s">
        <v>11583</v>
      </c>
      <c r="L38" s="1592" t="s">
        <v>11584</v>
      </c>
      <c r="M38" s="1813">
        <v>0.05425925925925926</v>
      </c>
      <c r="N38" s="1816" t="str">
        <f t="shared" si="1"/>
        <v>2:15</v>
      </c>
      <c r="O38" s="1646" t="s">
        <v>11337</v>
      </c>
    </row>
    <row r="39">
      <c r="A39" s="1841" t="s">
        <v>3441</v>
      </c>
      <c r="B39" s="1821" t="s">
        <v>9164</v>
      </c>
      <c r="C39" s="1809">
        <v>0.053009259259259256</v>
      </c>
      <c r="D39" s="1090" t="s">
        <v>11585</v>
      </c>
      <c r="E39" s="1593" t="s">
        <v>11586</v>
      </c>
      <c r="F39" s="1592" t="s">
        <v>11587</v>
      </c>
      <c r="G39" s="1592" t="s">
        <v>11588</v>
      </c>
      <c r="H39" s="1592" t="s">
        <v>11589</v>
      </c>
      <c r="I39" s="1592" t="s">
        <v>11590</v>
      </c>
      <c r="J39" s="1592" t="s">
        <v>11591</v>
      </c>
      <c r="K39" s="1592" t="s">
        <v>11592</v>
      </c>
      <c r="L39" s="1592" t="s">
        <v>11593</v>
      </c>
      <c r="M39" s="1813">
        <v>0.05372685185185185</v>
      </c>
      <c r="N39" s="1816" t="str">
        <f t="shared" si="1"/>
        <v>1:02</v>
      </c>
      <c r="O39" s="1646" t="s">
        <v>11337</v>
      </c>
    </row>
    <row r="40" ht="15.75" customHeight="1">
      <c r="A40" s="974" t="s">
        <v>1052</v>
      </c>
      <c r="B40" s="1785" t="s">
        <v>9191</v>
      </c>
      <c r="C40" s="1814">
        <v>0.05378472222222222</v>
      </c>
      <c r="D40" s="1116" t="s">
        <v>11594</v>
      </c>
      <c r="E40" s="1593" t="s">
        <v>11595</v>
      </c>
      <c r="F40" s="1592" t="s">
        <v>11596</v>
      </c>
      <c r="G40" s="1592" t="s">
        <v>11597</v>
      </c>
      <c r="H40" s="1592" t="s">
        <v>11598</v>
      </c>
      <c r="I40" s="1592" t="s">
        <v>9748</v>
      </c>
      <c r="J40" s="1592" t="s">
        <v>11599</v>
      </c>
      <c r="K40" s="1592" t="s">
        <v>11600</v>
      </c>
      <c r="L40" s="1592" t="s">
        <v>10172</v>
      </c>
      <c r="M40" s="1813">
        <v>0.054560185185185184</v>
      </c>
      <c r="N40" s="1816" t="str">
        <f t="shared" si="1"/>
        <v>1:07</v>
      </c>
      <c r="O40" s="1646"/>
    </row>
    <row r="41" ht="15.75" customHeight="1">
      <c r="A41" s="974" t="s">
        <v>4958</v>
      </c>
      <c r="B41" s="1706" t="s">
        <v>9191</v>
      </c>
      <c r="C41" s="1814">
        <v>0.05748842592592593</v>
      </c>
      <c r="D41" s="1593" t="s">
        <v>11601</v>
      </c>
      <c r="E41" s="1593" t="s">
        <v>11602</v>
      </c>
      <c r="F41" s="1592" t="s">
        <v>11603</v>
      </c>
      <c r="G41" s="1592" t="s">
        <v>11604</v>
      </c>
      <c r="H41" s="1592" t="s">
        <v>11605</v>
      </c>
      <c r="I41" s="1592" t="s">
        <v>11606</v>
      </c>
      <c r="J41" s="1592" t="s">
        <v>11607</v>
      </c>
      <c r="K41" s="1592" t="s">
        <v>11608</v>
      </c>
      <c r="L41" s="1592" t="s">
        <v>11182</v>
      </c>
      <c r="M41" s="1813">
        <v>0.06149305555555556</v>
      </c>
      <c r="N41" s="1816" t="str">
        <f t="shared" si="1"/>
        <v>5:46</v>
      </c>
      <c r="O41" s="1646" t="s">
        <v>11337</v>
      </c>
    </row>
    <row r="42" ht="15.75" customHeight="1">
      <c r="A42" s="974" t="s">
        <v>6550</v>
      </c>
      <c r="B42" s="1741" t="s">
        <v>11184</v>
      </c>
      <c r="C42" s="1842">
        <v>0.0609375</v>
      </c>
      <c r="D42" s="1749" t="s">
        <v>11609</v>
      </c>
      <c r="E42" s="1843" t="s">
        <v>9061</v>
      </c>
      <c r="F42" s="1843" t="s">
        <v>11610</v>
      </c>
      <c r="G42" s="1843" t="s">
        <v>11611</v>
      </c>
      <c r="H42" s="1843" t="s">
        <v>11612</v>
      </c>
      <c r="I42" s="1843" t="s">
        <v>8603</v>
      </c>
      <c r="J42" s="1843" t="s">
        <v>11613</v>
      </c>
      <c r="K42" s="1843" t="s">
        <v>11614</v>
      </c>
      <c r="L42" s="1843" t="s">
        <v>11615</v>
      </c>
      <c r="M42" s="1844">
        <v>0.06646990740740741</v>
      </c>
      <c r="N42" s="1843" t="s">
        <v>11616</v>
      </c>
      <c r="O42" s="1646" t="s">
        <v>11617</v>
      </c>
    </row>
    <row r="43" ht="15.75" customHeight="1">
      <c r="A43" s="1653"/>
      <c r="B43" s="1618"/>
      <c r="C43" s="1845"/>
      <c r="D43" s="1090"/>
      <c r="E43" s="1825"/>
      <c r="F43" s="1592"/>
      <c r="G43" s="1592"/>
      <c r="H43" s="1592"/>
      <c r="I43" s="1592"/>
      <c r="J43" s="1592"/>
      <c r="K43" s="1592"/>
      <c r="L43" s="1592"/>
      <c r="M43" s="1592"/>
      <c r="N43" s="1813"/>
      <c r="O43" s="1646"/>
    </row>
    <row r="44">
      <c r="A44" s="1807"/>
      <c r="B44" s="1808"/>
      <c r="C44" s="1845"/>
      <c r="D44" s="1097"/>
      <c r="E44" s="1825"/>
      <c r="F44" s="1592"/>
      <c r="G44" s="1592"/>
      <c r="H44" s="1592"/>
      <c r="I44" s="1592"/>
      <c r="J44" s="1592"/>
      <c r="K44" s="1592"/>
      <c r="L44" s="1592"/>
      <c r="M44" s="1592"/>
      <c r="N44" s="1813"/>
      <c r="O44" s="1646"/>
    </row>
    <row r="45" ht="15.75" customHeight="1">
      <c r="A45" s="1653"/>
      <c r="B45" s="1618"/>
      <c r="C45" s="1845"/>
      <c r="D45" s="1091"/>
      <c r="E45" s="1825"/>
      <c r="F45" s="1592"/>
      <c r="G45" s="1592"/>
      <c r="H45" s="1592"/>
      <c r="I45" s="1592"/>
      <c r="J45" s="1592"/>
      <c r="K45" s="1592"/>
      <c r="L45" s="1592"/>
      <c r="M45" s="1592"/>
      <c r="N45" s="1813"/>
      <c r="O45" s="1646"/>
    </row>
    <row r="46" ht="15.75" customHeight="1">
      <c r="A46" s="1757"/>
      <c r="B46" s="1710"/>
      <c r="C46" s="1846"/>
      <c r="D46" s="1097"/>
      <c r="E46" s="1825"/>
      <c r="F46" s="1592"/>
      <c r="G46" s="1592"/>
      <c r="H46" s="1592"/>
      <c r="I46" s="1592"/>
      <c r="J46" s="1592"/>
      <c r="K46" s="1592"/>
      <c r="L46" s="1592"/>
      <c r="M46" s="1592"/>
      <c r="N46" s="1813"/>
      <c r="O46" s="1646"/>
    </row>
    <row r="47">
      <c r="A47" s="1841"/>
      <c r="B47" s="1821"/>
      <c r="C47" s="1847"/>
      <c r="D47" s="1091"/>
      <c r="E47" s="1825"/>
      <c r="F47" s="1592"/>
      <c r="G47" s="1592"/>
      <c r="H47" s="1592"/>
      <c r="I47" s="1592"/>
      <c r="J47" s="1592"/>
      <c r="K47" s="1592"/>
      <c r="L47" s="1592"/>
      <c r="M47" s="1592"/>
      <c r="N47" s="1813"/>
      <c r="O47" s="1646"/>
    </row>
    <row r="48" ht="15.75" customHeight="1">
      <c r="A48" s="1753"/>
      <c r="B48" s="1555"/>
      <c r="C48" s="1848"/>
      <c r="D48" s="1097"/>
      <c r="E48" s="1825"/>
      <c r="F48" s="1592"/>
      <c r="G48" s="1592"/>
      <c r="H48" s="1592"/>
      <c r="I48" s="1592"/>
      <c r="J48" s="1592"/>
      <c r="K48" s="1592"/>
      <c r="L48" s="1592"/>
      <c r="M48" s="1592"/>
      <c r="N48" s="1813"/>
      <c r="O48" s="1646"/>
    </row>
    <row r="49" ht="15.75" customHeight="1">
      <c r="A49" s="1757"/>
      <c r="B49" s="1555"/>
      <c r="C49" s="1846"/>
      <c r="D49" s="1091"/>
      <c r="E49" s="1825"/>
      <c r="F49" s="1592"/>
      <c r="G49" s="1592"/>
      <c r="H49" s="1592"/>
      <c r="I49" s="1592"/>
      <c r="J49" s="1592"/>
      <c r="K49" s="1592"/>
      <c r="L49" s="1592"/>
      <c r="M49" s="1592"/>
      <c r="N49" s="1813"/>
      <c r="O49" s="1646"/>
    </row>
    <row r="50" ht="15.75" customHeight="1">
      <c r="A50" s="1807"/>
      <c r="B50" s="1808"/>
      <c r="C50" s="1845"/>
      <c r="D50" s="1097"/>
      <c r="E50" s="1825"/>
      <c r="F50" s="1592"/>
      <c r="G50" s="1592"/>
      <c r="H50" s="1592"/>
      <c r="I50" s="1592"/>
      <c r="J50" s="1592"/>
      <c r="K50" s="1592"/>
      <c r="L50" s="1592"/>
      <c r="M50" s="1592"/>
      <c r="N50" s="1813"/>
      <c r="O50" s="1646"/>
    </row>
    <row r="51" ht="15.75" customHeight="1">
      <c r="A51" s="1753"/>
      <c r="B51" s="1650"/>
      <c r="C51" s="1848"/>
      <c r="D51" s="1091"/>
      <c r="E51" s="1825"/>
      <c r="F51" s="1592"/>
      <c r="G51" s="1592"/>
      <c r="H51" s="1592"/>
      <c r="I51" s="1592"/>
      <c r="J51" s="1592"/>
      <c r="K51" s="1592"/>
      <c r="L51" s="1592"/>
      <c r="M51" s="1592"/>
      <c r="N51" s="1813"/>
      <c r="O51" s="1646"/>
    </row>
    <row r="52" ht="15.75" customHeight="1">
      <c r="A52" s="1757"/>
      <c r="B52" s="1710"/>
      <c r="C52" s="1846"/>
      <c r="D52" s="1097"/>
      <c r="E52" s="1825"/>
      <c r="F52" s="1592"/>
      <c r="G52" s="1592"/>
      <c r="H52" s="1592"/>
      <c r="I52" s="1592"/>
      <c r="J52" s="1592"/>
      <c r="K52" s="1592"/>
      <c r="L52" s="1592"/>
      <c r="M52" s="1592"/>
      <c r="N52" s="1813"/>
      <c r="O52" s="1646"/>
    </row>
    <row r="53" ht="15.75" customHeight="1">
      <c r="A53" s="1807"/>
      <c r="B53" s="1618"/>
      <c r="C53" s="1845"/>
      <c r="D53" s="1091"/>
      <c r="E53" s="1825"/>
      <c r="F53" s="1592"/>
      <c r="G53" s="1592"/>
      <c r="H53" s="1592"/>
      <c r="I53" s="1592"/>
      <c r="J53" s="1592"/>
      <c r="K53" s="1592"/>
      <c r="L53" s="1592"/>
      <c r="M53" s="1592"/>
      <c r="N53" s="1813"/>
      <c r="O53" s="1646"/>
    </row>
    <row r="54" ht="15.75" customHeight="1">
      <c r="A54" s="1653"/>
      <c r="B54" s="1706"/>
      <c r="C54" s="1845"/>
      <c r="D54" s="1097"/>
      <c r="E54" s="1825"/>
      <c r="F54" s="1592"/>
      <c r="G54" s="1592"/>
      <c r="H54" s="1592"/>
      <c r="I54" s="1592"/>
      <c r="J54" s="1592"/>
      <c r="K54" s="1592"/>
      <c r="L54" s="1592"/>
      <c r="M54" s="1592"/>
      <c r="N54" s="1813"/>
      <c r="O54" s="1646"/>
    </row>
    <row r="55" ht="15.75" customHeight="1">
      <c r="A55" s="1807"/>
      <c r="B55" s="1808"/>
      <c r="C55" s="1845"/>
      <c r="D55" s="1091"/>
      <c r="E55" s="1825"/>
      <c r="F55" s="1592"/>
      <c r="G55" s="1592"/>
      <c r="H55" s="1592"/>
      <c r="I55" s="1592"/>
      <c r="J55" s="1592"/>
      <c r="K55" s="1592"/>
      <c r="L55" s="1592"/>
      <c r="M55" s="1592"/>
      <c r="N55" s="1813"/>
      <c r="O55" s="1646"/>
    </row>
    <row r="56" ht="15.75" customHeight="1">
      <c r="A56" s="1757"/>
      <c r="B56" s="1710"/>
      <c r="C56" s="1846"/>
      <c r="D56" s="1097"/>
      <c r="E56" s="1825"/>
      <c r="F56" s="1592"/>
      <c r="G56" s="1592"/>
      <c r="H56" s="1592"/>
      <c r="I56" s="1592"/>
      <c r="J56" s="1592"/>
      <c r="K56" s="1592"/>
      <c r="L56" s="1592"/>
      <c r="M56" s="1592"/>
      <c r="N56" s="1813"/>
      <c r="O56" s="1646"/>
    </row>
    <row r="57" ht="16.5" customHeight="1">
      <c r="A57" s="1753"/>
      <c r="B57" s="1710"/>
      <c r="C57" s="1848"/>
      <c r="D57" s="1091"/>
      <c r="E57" s="1825"/>
      <c r="F57" s="1592"/>
      <c r="G57" s="1592"/>
      <c r="H57" s="1592"/>
      <c r="I57" s="1592"/>
      <c r="J57" s="1592"/>
      <c r="K57" s="1592"/>
      <c r="L57" s="1592"/>
      <c r="M57" s="1592"/>
      <c r="N57" s="1813"/>
      <c r="O57" s="1646"/>
    </row>
    <row r="58">
      <c r="A58" s="1807"/>
      <c r="B58" s="1808"/>
      <c r="C58" s="1849"/>
      <c r="D58" s="1097"/>
      <c r="E58" s="1825"/>
      <c r="F58" s="1592"/>
      <c r="G58" s="1592"/>
      <c r="H58" s="1592"/>
      <c r="I58" s="1592"/>
      <c r="J58" s="1592"/>
      <c r="K58" s="1592"/>
      <c r="L58" s="1592"/>
      <c r="M58" s="1592"/>
      <c r="N58" s="1813"/>
      <c r="O58" s="1646"/>
    </row>
    <row r="59">
      <c r="A59" s="1841"/>
      <c r="B59" s="1698"/>
      <c r="C59" s="1849"/>
      <c r="D59" s="1097"/>
      <c r="E59" s="1825"/>
      <c r="F59" s="1592"/>
      <c r="G59" s="1592"/>
      <c r="H59" s="1592"/>
      <c r="I59" s="1592"/>
      <c r="J59" s="1592"/>
      <c r="K59" s="1592"/>
      <c r="L59" s="1592"/>
      <c r="M59" s="1592"/>
      <c r="N59" s="1813"/>
      <c r="O59" s="1646"/>
    </row>
    <row r="60">
      <c r="A60" s="1807"/>
      <c r="B60" s="1808"/>
      <c r="C60" s="1845"/>
      <c r="D60" s="1592"/>
      <c r="E60" s="1825"/>
      <c r="F60" s="1592"/>
      <c r="G60" s="1592"/>
      <c r="H60" s="1592"/>
      <c r="I60" s="1592"/>
      <c r="J60" s="1592"/>
      <c r="K60" s="1592"/>
      <c r="L60" s="1592"/>
      <c r="M60" s="1592"/>
      <c r="N60" s="1813"/>
      <c r="O60" s="1646"/>
    </row>
    <row r="61">
      <c r="A61" s="1757"/>
      <c r="B61" s="1650"/>
      <c r="C61" s="1846"/>
      <c r="D61" s="1592"/>
      <c r="E61" s="1825"/>
      <c r="F61" s="1592"/>
      <c r="G61" s="1592"/>
      <c r="H61" s="1592"/>
      <c r="I61" s="1592"/>
      <c r="J61" s="1592"/>
      <c r="K61" s="1592"/>
      <c r="L61" s="1592"/>
      <c r="M61" s="1592"/>
      <c r="N61" s="1813"/>
      <c r="O61" s="1646"/>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97"/>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97"/>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97"/>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97"/>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97"/>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97"/>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97"/>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97"/>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97"/>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97"/>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97"/>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97"/>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97"/>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97"/>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97"/>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97"/>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97"/>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97"/>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97"/>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97"/>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97"/>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97"/>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97"/>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97"/>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97"/>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97"/>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97"/>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97"/>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97"/>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97"/>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97"/>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97"/>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97"/>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97"/>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97"/>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97"/>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97"/>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97"/>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97"/>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97"/>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97"/>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97"/>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97"/>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97"/>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97"/>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97"/>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97"/>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97"/>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97"/>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97"/>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97"/>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97"/>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97"/>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97"/>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97"/>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97"/>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97"/>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97"/>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97"/>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97"/>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97"/>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97"/>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97"/>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97"/>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97"/>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97"/>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97"/>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97"/>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97"/>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97"/>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97"/>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97"/>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97"/>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97"/>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97"/>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97"/>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97"/>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97"/>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97"/>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97"/>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97"/>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97"/>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97"/>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97"/>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97"/>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97"/>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97"/>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97"/>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97"/>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97"/>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97"/>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97"/>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97"/>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97"/>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97"/>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97"/>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97"/>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97"/>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97"/>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97"/>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97"/>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97"/>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97"/>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97"/>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97"/>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97"/>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97"/>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97"/>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97"/>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97"/>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97"/>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97"/>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97"/>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97"/>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97"/>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97"/>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97"/>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97"/>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97"/>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97"/>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97"/>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97"/>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97"/>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97"/>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97"/>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97"/>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97"/>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97"/>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97"/>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97"/>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97"/>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97"/>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97"/>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97"/>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97"/>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97"/>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97"/>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97"/>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97"/>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97"/>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97"/>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97"/>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97"/>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97"/>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97"/>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97"/>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97"/>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97"/>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97"/>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97"/>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97"/>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97"/>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97"/>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97"/>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97"/>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97"/>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97"/>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97"/>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97"/>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97"/>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97"/>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97"/>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97"/>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97"/>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97"/>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97"/>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97"/>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97"/>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97"/>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97"/>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97"/>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97"/>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97"/>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97"/>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97"/>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97"/>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97"/>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97"/>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97"/>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97"/>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97"/>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97"/>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97"/>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97"/>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97"/>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97"/>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97"/>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97"/>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97"/>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97"/>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97"/>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97"/>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97"/>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97"/>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97"/>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97"/>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97"/>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97"/>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97"/>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97"/>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97"/>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97"/>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97"/>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97"/>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97"/>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97"/>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97"/>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97"/>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97"/>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97"/>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97"/>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97"/>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97"/>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97"/>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97"/>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97"/>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97"/>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97"/>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97"/>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97"/>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97"/>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97"/>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97"/>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97"/>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97"/>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97"/>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97"/>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97"/>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97"/>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97"/>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97"/>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97"/>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97"/>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97"/>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97"/>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97"/>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97"/>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97"/>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97"/>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97"/>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97"/>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97"/>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97"/>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97"/>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97"/>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97"/>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97"/>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97"/>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97"/>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97"/>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97"/>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97"/>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97"/>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97"/>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97"/>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97"/>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97"/>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97"/>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97"/>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97"/>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97"/>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97"/>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97"/>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97"/>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97"/>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97"/>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97"/>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97"/>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97"/>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97"/>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97"/>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97"/>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97"/>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97"/>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97"/>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97"/>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97"/>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97"/>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97"/>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97"/>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97"/>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97"/>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97"/>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97"/>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97"/>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97"/>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97"/>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97"/>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97"/>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97"/>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97"/>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97"/>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97"/>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97"/>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97"/>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97"/>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97"/>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97"/>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97"/>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97"/>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97"/>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97"/>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97"/>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97"/>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97"/>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97"/>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97"/>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97"/>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97"/>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97"/>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97"/>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97"/>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97"/>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97"/>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97"/>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97"/>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97"/>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97"/>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97"/>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97"/>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97"/>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97"/>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97"/>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97"/>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97"/>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97"/>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97"/>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97"/>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97"/>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97"/>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97"/>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97"/>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97"/>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97"/>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97"/>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97"/>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97"/>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97"/>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97"/>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97"/>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97"/>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97"/>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97"/>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97"/>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97"/>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97"/>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97"/>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97"/>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97"/>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97"/>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97"/>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97"/>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97"/>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97"/>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97"/>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97"/>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97"/>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97"/>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97"/>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97"/>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97"/>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97"/>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97"/>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97"/>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97"/>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97"/>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97"/>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97"/>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97"/>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97"/>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97"/>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97"/>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97"/>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97"/>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97"/>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97"/>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97"/>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97"/>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97"/>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97"/>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97"/>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97"/>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97"/>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97"/>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97"/>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97"/>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97"/>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97"/>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97"/>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97"/>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97"/>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97"/>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97"/>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97"/>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97"/>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97"/>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97"/>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97"/>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97"/>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97"/>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97"/>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97"/>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97"/>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97"/>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97"/>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97"/>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97"/>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97"/>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97"/>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97"/>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97"/>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97"/>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97"/>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97"/>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97"/>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97"/>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97"/>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97"/>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97"/>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97"/>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97"/>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97"/>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97"/>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97"/>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97"/>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97"/>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97"/>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97"/>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97"/>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97"/>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97"/>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97"/>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97"/>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97"/>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97"/>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97"/>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97"/>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97"/>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97"/>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97"/>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97"/>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97"/>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97"/>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97"/>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97"/>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97"/>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97"/>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97"/>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97"/>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97"/>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97"/>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97"/>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97"/>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97"/>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97"/>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97"/>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97"/>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97"/>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97"/>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97"/>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97"/>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97"/>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97"/>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97"/>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97"/>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97"/>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9126</v>
      </c>
      <c r="C1" s="1870" t="s">
        <v>11293</v>
      </c>
      <c r="D1" s="1871" t="s">
        <v>7525</v>
      </c>
      <c r="E1" s="1872" t="s">
        <v>7527</v>
      </c>
      <c r="F1" s="1873" t="s">
        <v>38</v>
      </c>
      <c r="G1" s="1874" t="s">
        <v>36</v>
      </c>
      <c r="H1" s="1870" t="s">
        <v>11294</v>
      </c>
      <c r="I1" s="1875" t="s">
        <v>39</v>
      </c>
      <c r="J1" s="1767" t="s">
        <v>7526</v>
      </c>
      <c r="K1" s="1496" t="s">
        <v>9160</v>
      </c>
      <c r="L1" s="1769" t="s">
        <v>9162</v>
      </c>
    </row>
    <row r="2" ht="15.75" customHeight="1">
      <c r="A2" s="1770" t="s">
        <v>9163</v>
      </c>
      <c r="B2" s="1771" t="s">
        <v>9164</v>
      </c>
      <c r="C2" s="1773" t="s">
        <v>11618</v>
      </c>
      <c r="D2" s="1876" t="s">
        <v>11619</v>
      </c>
      <c r="E2" s="1877" t="s">
        <v>11620</v>
      </c>
      <c r="F2" s="1878" t="s">
        <v>11621</v>
      </c>
      <c r="G2" s="1777" t="s">
        <v>11622</v>
      </c>
      <c r="H2" s="1773" t="s">
        <v>11623</v>
      </c>
      <c r="I2" s="1879" t="s">
        <v>11624</v>
      </c>
      <c r="J2" s="1780" t="s">
        <v>11625</v>
      </c>
      <c r="K2" s="1880" t="s">
        <v>11626</v>
      </c>
      <c r="L2" s="1881"/>
    </row>
    <row r="3" ht="15.75" customHeight="1">
      <c r="A3" s="1784" t="s">
        <v>9190</v>
      </c>
      <c r="B3" s="1785" t="s">
        <v>9191</v>
      </c>
      <c r="C3" s="1525" t="s">
        <v>11516</v>
      </c>
      <c r="D3" s="1533" t="s">
        <v>11627</v>
      </c>
      <c r="E3" s="1527" t="s">
        <v>11628</v>
      </c>
      <c r="F3" s="1528" t="s">
        <v>11629</v>
      </c>
      <c r="G3" s="1530" t="s">
        <v>11630</v>
      </c>
      <c r="H3" s="1525" t="s">
        <v>11631</v>
      </c>
      <c r="I3" s="1532" t="s">
        <v>11632</v>
      </c>
      <c r="J3" s="1535" t="s">
        <v>11633</v>
      </c>
      <c r="K3" s="1786">
        <v>0.053043981481481484</v>
      </c>
      <c r="L3" s="1882"/>
    </row>
    <row r="4" ht="15.75" customHeight="1">
      <c r="A4" s="1789" t="s">
        <v>9216</v>
      </c>
      <c r="B4" s="1790" t="s">
        <v>9217</v>
      </c>
      <c r="C4" s="1792" t="s">
        <v>11508</v>
      </c>
      <c r="D4" s="1883" t="s">
        <v>11634</v>
      </c>
      <c r="E4" s="1794" t="s">
        <v>11635</v>
      </c>
      <c r="F4" s="1795" t="s">
        <v>11636</v>
      </c>
      <c r="G4" s="1796" t="s">
        <v>11637</v>
      </c>
      <c r="H4" s="1792" t="s">
        <v>11638</v>
      </c>
      <c r="I4" s="1797" t="s">
        <v>11639</v>
      </c>
      <c r="J4" s="1798" t="s">
        <v>11640</v>
      </c>
      <c r="K4" s="1791">
        <v>0.053043981481481484</v>
      </c>
      <c r="L4" s="1881"/>
    </row>
    <row r="5" ht="15.75" customHeight="1">
      <c r="A5" s="974" t="s">
        <v>981</v>
      </c>
      <c r="B5" s="1618" t="s">
        <v>9164</v>
      </c>
      <c r="C5" s="1802" t="s">
        <v>11618</v>
      </c>
      <c r="D5" s="1802" t="s">
        <v>11619</v>
      </c>
      <c r="E5" s="1802" t="s">
        <v>11620</v>
      </c>
      <c r="F5" s="1802" t="s">
        <v>11621</v>
      </c>
      <c r="G5" s="1884" t="s">
        <v>11622</v>
      </c>
      <c r="H5" s="1884" t="s">
        <v>11623</v>
      </c>
      <c r="I5" s="1884" t="s">
        <v>11624</v>
      </c>
      <c r="J5" s="1884" t="s">
        <v>11625</v>
      </c>
      <c r="K5" s="1885" t="s">
        <v>9254</v>
      </c>
      <c r="L5" s="1646" t="s">
        <v>11641</v>
      </c>
    </row>
    <row r="6" ht="15.75" customHeight="1">
      <c r="A6" s="1753" t="s">
        <v>1878</v>
      </c>
      <c r="B6" s="1886" t="s">
        <v>9164</v>
      </c>
      <c r="C6" s="1887" t="s">
        <v>11329</v>
      </c>
      <c r="D6" s="1888" t="s">
        <v>11642</v>
      </c>
      <c r="E6" s="1889" t="s">
        <v>11643</v>
      </c>
      <c r="F6" s="1890" t="s">
        <v>11644</v>
      </c>
      <c r="G6" s="1891" t="s">
        <v>11645</v>
      </c>
      <c r="H6" s="1892" t="s">
        <v>11646</v>
      </c>
      <c r="I6" s="1893" t="s">
        <v>11647</v>
      </c>
      <c r="J6" s="1894" t="s">
        <v>11648</v>
      </c>
      <c r="K6" s="1592" t="s">
        <v>9342</v>
      </c>
      <c r="L6" s="1895" t="s">
        <v>11649</v>
      </c>
    </row>
    <row r="7" ht="15.75" customHeight="1">
      <c r="A7" s="1896" t="s">
        <v>6619</v>
      </c>
      <c r="B7" s="1618" t="s">
        <v>9164</v>
      </c>
      <c r="C7" s="1730" t="s">
        <v>11344</v>
      </c>
      <c r="D7" s="1592" t="s">
        <v>11650</v>
      </c>
      <c r="E7" s="1592" t="s">
        <v>11651</v>
      </c>
      <c r="F7" s="1592" t="s">
        <v>11652</v>
      </c>
      <c r="G7" s="1897" t="s">
        <v>11653</v>
      </c>
      <c r="H7" s="1897" t="s">
        <v>11654</v>
      </c>
      <c r="I7" s="1897" t="s">
        <v>11655</v>
      </c>
      <c r="J7" s="1897" t="s">
        <v>11656</v>
      </c>
      <c r="K7" s="1592" t="s">
        <v>9411</v>
      </c>
      <c r="L7" s="1646"/>
    </row>
    <row r="8" ht="15.75" customHeight="1">
      <c r="A8" s="974" t="s">
        <v>2545</v>
      </c>
      <c r="B8" s="1618" t="s">
        <v>9164</v>
      </c>
      <c r="C8" s="1810" t="s">
        <v>11323</v>
      </c>
      <c r="D8" s="1803" t="s">
        <v>11657</v>
      </c>
      <c r="E8" s="1803" t="s">
        <v>11658</v>
      </c>
      <c r="F8" s="1803" t="s">
        <v>11659</v>
      </c>
      <c r="G8" s="1898" t="s">
        <v>11660</v>
      </c>
      <c r="H8" s="1899" t="s">
        <v>11661</v>
      </c>
      <c r="I8" s="1900" t="s">
        <v>11662</v>
      </c>
      <c r="J8" s="1901" t="s">
        <v>11663</v>
      </c>
      <c r="K8" s="1803" t="s">
        <v>9281</v>
      </c>
      <c r="L8" s="1646"/>
    </row>
    <row r="9" ht="15.75" customHeight="1">
      <c r="A9" s="1817" t="s">
        <v>436</v>
      </c>
      <c r="B9" s="1555" t="s">
        <v>9164</v>
      </c>
      <c r="C9" s="1730" t="s">
        <v>11338</v>
      </c>
      <c r="D9" s="1592" t="s">
        <v>11664</v>
      </c>
      <c r="E9" s="1592" t="s">
        <v>11665</v>
      </c>
      <c r="F9" s="1592" t="s">
        <v>11666</v>
      </c>
      <c r="G9" s="1897" t="s">
        <v>11667</v>
      </c>
      <c r="H9" s="1897" t="s">
        <v>11668</v>
      </c>
      <c r="I9" s="1897" t="s">
        <v>11669</v>
      </c>
      <c r="J9" s="1897" t="s">
        <v>11670</v>
      </c>
      <c r="K9" s="1592" t="s">
        <v>9302</v>
      </c>
      <c r="L9" s="1646"/>
    </row>
    <row r="10" ht="15.75" customHeight="1">
      <c r="A10" s="1753" t="s">
        <v>6781</v>
      </c>
      <c r="B10" s="1555" t="s">
        <v>9164</v>
      </c>
      <c r="C10" s="1592" t="s">
        <v>11671</v>
      </c>
      <c r="D10" s="1592" t="s">
        <v>11672</v>
      </c>
      <c r="E10" s="1592" t="s">
        <v>11673</v>
      </c>
      <c r="F10" s="1595" t="s">
        <v>11674</v>
      </c>
      <c r="G10" s="1902" t="s">
        <v>11675</v>
      </c>
      <c r="H10" s="1903" t="s">
        <v>11676</v>
      </c>
      <c r="I10" s="1904" t="s">
        <v>11677</v>
      </c>
      <c r="J10" s="837" t="s">
        <v>11678</v>
      </c>
      <c r="K10" s="1592" t="s">
        <v>9323</v>
      </c>
      <c r="L10" s="1646"/>
    </row>
    <row r="11" ht="15.75" customHeight="1">
      <c r="A11" s="974" t="s">
        <v>1550</v>
      </c>
      <c r="B11" s="1618" t="s">
        <v>9164</v>
      </c>
      <c r="C11" s="1905" t="s">
        <v>11378</v>
      </c>
      <c r="D11" s="1824" t="s">
        <v>11679</v>
      </c>
      <c r="E11" s="1824" t="s">
        <v>11680</v>
      </c>
      <c r="F11" s="1592" t="s">
        <v>11681</v>
      </c>
      <c r="G11" s="1906" t="s">
        <v>11682</v>
      </c>
      <c r="H11" s="1906" t="s">
        <v>11683</v>
      </c>
      <c r="I11" s="1906" t="s">
        <v>11684</v>
      </c>
      <c r="J11" s="1906" t="s">
        <v>11685</v>
      </c>
      <c r="K11" s="1815" t="s">
        <v>9594</v>
      </c>
      <c r="L11" s="1646" t="s">
        <v>11686</v>
      </c>
    </row>
    <row r="12" ht="15.75" customHeight="1">
      <c r="A12" s="1653" t="s">
        <v>827</v>
      </c>
      <c r="B12" s="1706" t="s">
        <v>9164</v>
      </c>
      <c r="C12" s="1907" t="s">
        <v>11360</v>
      </c>
      <c r="D12" s="1592" t="s">
        <v>11687</v>
      </c>
      <c r="E12" s="1592" t="s">
        <v>11688</v>
      </c>
      <c r="F12" s="1592" t="s">
        <v>11689</v>
      </c>
      <c r="G12" s="847" t="s">
        <v>11690</v>
      </c>
      <c r="H12" s="1887" t="s">
        <v>11691</v>
      </c>
      <c r="I12" s="1893" t="s">
        <v>11692</v>
      </c>
      <c r="J12" s="1894" t="s">
        <v>11693</v>
      </c>
      <c r="K12" s="1592" t="s">
        <v>11694</v>
      </c>
      <c r="L12" s="1646" t="s">
        <v>11695</v>
      </c>
    </row>
    <row r="13" ht="15.75" customHeight="1">
      <c r="A13" s="1757" t="s">
        <v>2088</v>
      </c>
      <c r="B13" s="1555" t="s">
        <v>9164</v>
      </c>
      <c r="C13" s="1905" t="s">
        <v>11387</v>
      </c>
      <c r="D13" s="1592" t="s">
        <v>11696</v>
      </c>
      <c r="E13" s="1592" t="s">
        <v>11697</v>
      </c>
      <c r="F13" s="1592" t="s">
        <v>11698</v>
      </c>
      <c r="G13" s="1897" t="s">
        <v>11699</v>
      </c>
      <c r="H13" s="1897" t="s">
        <v>11700</v>
      </c>
      <c r="I13" s="1897" t="s">
        <v>11701</v>
      </c>
      <c r="J13" s="1897" t="s">
        <v>11702</v>
      </c>
      <c r="K13" s="1592" t="s">
        <v>9573</v>
      </c>
      <c r="L13" s="1646"/>
    </row>
    <row r="14" ht="15.75" customHeight="1">
      <c r="A14" s="1817" t="s">
        <v>330</v>
      </c>
      <c r="B14" s="1555" t="s">
        <v>9164</v>
      </c>
      <c r="C14" s="1592" t="s">
        <v>11703</v>
      </c>
      <c r="D14" s="1592" t="s">
        <v>11704</v>
      </c>
      <c r="E14" s="1592" t="s">
        <v>11705</v>
      </c>
      <c r="F14" s="1592" t="s">
        <v>11706</v>
      </c>
      <c r="G14" s="847" t="s">
        <v>11707</v>
      </c>
      <c r="H14" s="1887" t="s">
        <v>11708</v>
      </c>
      <c r="I14" s="1893" t="s">
        <v>11709</v>
      </c>
      <c r="J14" s="1894" t="s">
        <v>11710</v>
      </c>
      <c r="K14" s="1592" t="s">
        <v>9389</v>
      </c>
      <c r="L14" s="1646"/>
    </row>
    <row r="15" ht="16.5" customHeight="1">
      <c r="A15" s="1832" t="s">
        <v>2772</v>
      </c>
      <c r="B15" s="1555" t="s">
        <v>9164</v>
      </c>
      <c r="C15" s="1592" t="s">
        <v>11416</v>
      </c>
      <c r="D15" s="1592" t="s">
        <v>11711</v>
      </c>
      <c r="E15" s="1592" t="s">
        <v>11712</v>
      </c>
      <c r="F15" s="1592" t="s">
        <v>11713</v>
      </c>
      <c r="G15" s="1897" t="s">
        <v>11714</v>
      </c>
      <c r="H15" s="1897" t="s">
        <v>11715</v>
      </c>
      <c r="I15" s="1897" t="s">
        <v>11716</v>
      </c>
      <c r="J15" s="1897" t="s">
        <v>11717</v>
      </c>
      <c r="K15" s="1592" t="s">
        <v>11718</v>
      </c>
      <c r="L15" s="1646" t="s">
        <v>11719</v>
      </c>
    </row>
    <row r="16" ht="15.0" customHeight="1">
      <c r="A16" s="1839" t="s">
        <v>1722</v>
      </c>
      <c r="B16" s="1698" t="s">
        <v>9164</v>
      </c>
      <c r="C16" s="1907" t="s">
        <v>11720</v>
      </c>
      <c r="D16" s="1592" t="s">
        <v>11721</v>
      </c>
      <c r="E16" s="1592" t="s">
        <v>11722</v>
      </c>
      <c r="F16" s="1592" t="s">
        <v>11723</v>
      </c>
      <c r="G16" s="847" t="s">
        <v>11724</v>
      </c>
      <c r="H16" s="1887" t="s">
        <v>11725</v>
      </c>
      <c r="I16" s="1893" t="s">
        <v>11726</v>
      </c>
      <c r="J16" s="1894" t="s">
        <v>11727</v>
      </c>
      <c r="K16" s="1592" t="s">
        <v>9841</v>
      </c>
      <c r="L16" s="1646"/>
    </row>
    <row r="17" ht="15.75" customHeight="1">
      <c r="A17" s="974" t="s">
        <v>7044</v>
      </c>
      <c r="B17" s="1555" t="s">
        <v>9164</v>
      </c>
      <c r="C17" s="1592" t="s">
        <v>11449</v>
      </c>
      <c r="D17" s="1592" t="s">
        <v>11728</v>
      </c>
      <c r="E17" s="1592" t="s">
        <v>11729</v>
      </c>
      <c r="F17" s="1592" t="s">
        <v>11730</v>
      </c>
      <c r="G17" s="1897" t="s">
        <v>11731</v>
      </c>
      <c r="H17" s="1897" t="s">
        <v>11732</v>
      </c>
      <c r="I17" s="1897" t="s">
        <v>11733</v>
      </c>
      <c r="J17" s="1897" t="s">
        <v>11734</v>
      </c>
      <c r="K17" s="1592" t="s">
        <v>9743</v>
      </c>
      <c r="L17" s="1646" t="s">
        <v>11735</v>
      </c>
    </row>
    <row r="18" ht="15.75" customHeight="1">
      <c r="A18" s="1817" t="s">
        <v>1415</v>
      </c>
      <c r="B18" s="1555" t="s">
        <v>9164</v>
      </c>
      <c r="C18" s="1592" t="s">
        <v>11736</v>
      </c>
      <c r="D18" s="1592" t="s">
        <v>11737</v>
      </c>
      <c r="E18" s="1592" t="s">
        <v>11738</v>
      </c>
      <c r="F18" s="1592" t="s">
        <v>11739</v>
      </c>
      <c r="G18" s="847" t="s">
        <v>11740</v>
      </c>
      <c r="H18" s="1887" t="s">
        <v>11741</v>
      </c>
      <c r="I18" s="1893" t="s">
        <v>11742</v>
      </c>
      <c r="J18" s="1894" t="s">
        <v>11743</v>
      </c>
      <c r="K18" s="1592" t="s">
        <v>9722</v>
      </c>
      <c r="L18" s="1646"/>
    </row>
    <row r="19" ht="15.75" customHeight="1">
      <c r="A19" s="974" t="s">
        <v>2266</v>
      </c>
      <c r="B19" s="1706" t="s">
        <v>9164</v>
      </c>
      <c r="C19" s="1907" t="s">
        <v>11423</v>
      </c>
      <c r="D19" s="1592" t="s">
        <v>11744</v>
      </c>
      <c r="E19" s="1592" t="s">
        <v>11745</v>
      </c>
      <c r="F19" s="1592" t="s">
        <v>11746</v>
      </c>
      <c r="G19" s="1897" t="s">
        <v>11747</v>
      </c>
      <c r="H19" s="1897" t="s">
        <v>11748</v>
      </c>
      <c r="I19" s="1897" t="s">
        <v>11749</v>
      </c>
      <c r="J19" s="1897" t="s">
        <v>11750</v>
      </c>
      <c r="K19" s="1592" t="s">
        <v>9636</v>
      </c>
      <c r="L19" s="1646" t="s">
        <v>11751</v>
      </c>
    </row>
    <row r="20" ht="15.75" customHeight="1">
      <c r="A20" s="1817" t="s">
        <v>899</v>
      </c>
      <c r="B20" s="1555" t="s">
        <v>9164</v>
      </c>
      <c r="C20" s="1592" t="s">
        <v>11752</v>
      </c>
      <c r="D20" s="1592" t="s">
        <v>11753</v>
      </c>
      <c r="E20" s="1592" t="s">
        <v>11754</v>
      </c>
      <c r="F20" s="1592" t="s">
        <v>11755</v>
      </c>
      <c r="G20" s="847" t="s">
        <v>11756</v>
      </c>
      <c r="H20" s="1887" t="s">
        <v>11757</v>
      </c>
      <c r="I20" s="1893" t="s">
        <v>11758</v>
      </c>
      <c r="J20" s="1894" t="s">
        <v>11759</v>
      </c>
      <c r="K20" s="1592" t="s">
        <v>9987</v>
      </c>
      <c r="L20" s="1646"/>
    </row>
    <row r="21" ht="15.75" customHeight="1">
      <c r="A21" s="974" t="s">
        <v>1632</v>
      </c>
      <c r="B21" s="1618" t="s">
        <v>9164</v>
      </c>
      <c r="C21" s="1592" t="s">
        <v>11760</v>
      </c>
      <c r="D21" s="1592" t="s">
        <v>11761</v>
      </c>
      <c r="E21" s="1815" t="s">
        <v>11762</v>
      </c>
      <c r="F21" s="1592" t="s">
        <v>11763</v>
      </c>
      <c r="G21" s="1897" t="s">
        <v>11764</v>
      </c>
      <c r="H21" s="1897" t="s">
        <v>11765</v>
      </c>
      <c r="I21" s="1897" t="s">
        <v>11766</v>
      </c>
      <c r="J21" s="1897" t="s">
        <v>11767</v>
      </c>
      <c r="K21" s="1592" t="s">
        <v>9769</v>
      </c>
      <c r="L21" s="1646"/>
    </row>
    <row r="22" ht="15.75" customHeight="1">
      <c r="A22" s="1753" t="s">
        <v>9638</v>
      </c>
      <c r="B22" s="1555" t="s">
        <v>9164</v>
      </c>
      <c r="C22" s="1592" t="s">
        <v>11459</v>
      </c>
      <c r="D22" s="1592" t="s">
        <v>11768</v>
      </c>
      <c r="E22" s="1592" t="s">
        <v>11769</v>
      </c>
      <c r="F22" s="1592" t="s">
        <v>11770</v>
      </c>
      <c r="G22" s="847" t="s">
        <v>11771</v>
      </c>
      <c r="H22" s="1887" t="s">
        <v>11772</v>
      </c>
      <c r="I22" s="1893" t="s">
        <v>11773</v>
      </c>
      <c r="J22" s="1894" t="s">
        <v>11774</v>
      </c>
      <c r="K22" s="1592" t="s">
        <v>9652</v>
      </c>
      <c r="L22" s="1646"/>
    </row>
    <row r="23">
      <c r="A23" s="1807" t="s">
        <v>2154</v>
      </c>
      <c r="B23" s="1706" t="s">
        <v>9191</v>
      </c>
      <c r="C23" s="1592" t="s">
        <v>11410</v>
      </c>
      <c r="D23" s="1592" t="s">
        <v>11775</v>
      </c>
      <c r="E23" s="1592" t="s">
        <v>11776</v>
      </c>
      <c r="F23" s="1592" t="s">
        <v>11777</v>
      </c>
      <c r="G23" s="1897" t="s">
        <v>11778</v>
      </c>
      <c r="H23" s="1897" t="s">
        <v>11779</v>
      </c>
      <c r="I23" s="1897" t="s">
        <v>11780</v>
      </c>
      <c r="J23" s="1897" t="s">
        <v>11781</v>
      </c>
      <c r="K23" s="1592" t="s">
        <v>11782</v>
      </c>
      <c r="L23" s="1646" t="s">
        <v>11783</v>
      </c>
    </row>
    <row r="24" ht="15.75" customHeight="1">
      <c r="A24" s="974" t="s">
        <v>741</v>
      </c>
      <c r="B24" s="1618" t="s">
        <v>9191</v>
      </c>
      <c r="C24" s="1592" t="s">
        <v>11784</v>
      </c>
      <c r="D24" s="1829" t="s">
        <v>11627</v>
      </c>
      <c r="E24" s="1829" t="s">
        <v>11628</v>
      </c>
      <c r="F24" s="1829" t="s">
        <v>11629</v>
      </c>
      <c r="G24" s="1908" t="s">
        <v>11630</v>
      </c>
      <c r="H24" s="1909" t="s">
        <v>11631</v>
      </c>
      <c r="I24" s="1910" t="s">
        <v>11632</v>
      </c>
      <c r="J24" s="1911" t="s">
        <v>11633</v>
      </c>
      <c r="K24" s="1829" t="s">
        <v>9615</v>
      </c>
      <c r="L24" s="1646" t="s">
        <v>11785</v>
      </c>
    </row>
    <row r="25" ht="15.75" customHeight="1">
      <c r="A25" s="1653" t="s">
        <v>1348</v>
      </c>
      <c r="B25" s="1618" t="s">
        <v>9217</v>
      </c>
      <c r="C25" s="1700" t="s">
        <v>11508</v>
      </c>
      <c r="D25" s="1700" t="s">
        <v>11634</v>
      </c>
      <c r="E25" s="1700" t="s">
        <v>11635</v>
      </c>
      <c r="F25" s="1700" t="s">
        <v>11636</v>
      </c>
      <c r="G25" s="1912" t="s">
        <v>11637</v>
      </c>
      <c r="H25" s="1912" t="s">
        <v>11638</v>
      </c>
      <c r="I25" s="1912" t="s">
        <v>11639</v>
      </c>
      <c r="J25" s="1912" t="s">
        <v>11640</v>
      </c>
      <c r="K25" s="1700" t="s">
        <v>9615</v>
      </c>
      <c r="L25" s="1646"/>
    </row>
    <row r="26" ht="16.5" customHeight="1">
      <c r="A26" s="1653" t="s">
        <v>11786</v>
      </c>
      <c r="B26" s="1618" t="s">
        <v>9164</v>
      </c>
      <c r="C26" s="1322" t="s">
        <v>11490</v>
      </c>
      <c r="D26" s="1592" t="s">
        <v>11787</v>
      </c>
      <c r="E26" s="1592" t="s">
        <v>11788</v>
      </c>
      <c r="F26" s="1592" t="s">
        <v>11789</v>
      </c>
      <c r="G26" s="847" t="s">
        <v>11771</v>
      </c>
      <c r="H26" s="1887" t="s">
        <v>11790</v>
      </c>
      <c r="I26" s="1893" t="s">
        <v>11791</v>
      </c>
      <c r="J26" s="1894" t="s">
        <v>11792</v>
      </c>
      <c r="K26" s="1592" t="s">
        <v>10147</v>
      </c>
      <c r="L26" s="1646"/>
    </row>
    <row r="27" ht="15.75" customHeight="1">
      <c r="A27" s="1653" t="s">
        <v>2992</v>
      </c>
      <c r="B27" s="1618" t="s">
        <v>9164</v>
      </c>
      <c r="C27" s="1592" t="s">
        <v>11793</v>
      </c>
      <c r="D27" s="1592" t="s">
        <v>11794</v>
      </c>
      <c r="E27" s="1592" t="s">
        <v>11795</v>
      </c>
      <c r="F27" s="1592" t="s">
        <v>11796</v>
      </c>
      <c r="G27" s="1897" t="s">
        <v>11797</v>
      </c>
      <c r="H27" s="1897" t="s">
        <v>11798</v>
      </c>
      <c r="I27" s="1897" t="s">
        <v>11799</v>
      </c>
      <c r="J27" s="1897" t="s">
        <v>11800</v>
      </c>
      <c r="K27" s="1592" t="s">
        <v>11801</v>
      </c>
      <c r="L27" s="1646" t="s">
        <v>11802</v>
      </c>
    </row>
    <row r="28">
      <c r="A28" s="1841" t="s">
        <v>3097</v>
      </c>
      <c r="B28" s="1821" t="s">
        <v>9191</v>
      </c>
      <c r="C28" s="1907" t="s">
        <v>11803</v>
      </c>
      <c r="D28" s="1592"/>
      <c r="E28" s="1592" t="s">
        <v>11804</v>
      </c>
      <c r="F28" s="1592" t="s">
        <v>11805</v>
      </c>
      <c r="G28" s="847"/>
      <c r="H28" s="1887"/>
      <c r="I28" s="1893"/>
      <c r="J28" s="1894"/>
      <c r="K28" s="1592" t="s">
        <v>10283</v>
      </c>
      <c r="L28" s="1646"/>
    </row>
    <row r="29" ht="15.75" customHeight="1">
      <c r="A29" s="1653" t="s">
        <v>2715</v>
      </c>
      <c r="B29" s="1618" t="s">
        <v>9164</v>
      </c>
      <c r="C29" s="1907" t="s">
        <v>11806</v>
      </c>
      <c r="D29" s="1592" t="s">
        <v>11807</v>
      </c>
      <c r="E29" s="1592" t="s">
        <v>11808</v>
      </c>
      <c r="F29" s="1592" t="s">
        <v>11809</v>
      </c>
      <c r="G29" s="1897" t="s">
        <v>11810</v>
      </c>
      <c r="H29" s="1897" t="s">
        <v>11811</v>
      </c>
      <c r="I29" s="1897" t="s">
        <v>11812</v>
      </c>
      <c r="J29" s="1897" t="s">
        <v>11813</v>
      </c>
      <c r="K29" s="1592" t="s">
        <v>10214</v>
      </c>
      <c r="L29" s="1646" t="s">
        <v>11814</v>
      </c>
    </row>
    <row r="30" ht="15.75" customHeight="1">
      <c r="A30" s="974" t="s">
        <v>2583</v>
      </c>
      <c r="B30" s="1698" t="s">
        <v>9191</v>
      </c>
      <c r="C30" s="1829" t="s">
        <v>11516</v>
      </c>
      <c r="D30" s="1592" t="s">
        <v>11815</v>
      </c>
      <c r="E30" s="1592" t="s">
        <v>11816</v>
      </c>
      <c r="F30" s="1592" t="s">
        <v>11817</v>
      </c>
      <c r="G30" s="847" t="s">
        <v>11818</v>
      </c>
      <c r="H30" s="1887" t="s">
        <v>11819</v>
      </c>
      <c r="I30" s="1893" t="s">
        <v>11820</v>
      </c>
      <c r="J30" s="1894" t="s">
        <v>11821</v>
      </c>
      <c r="K30" s="1592" t="s">
        <v>10125</v>
      </c>
      <c r="L30" s="1646"/>
    </row>
    <row r="31" ht="15.75" customHeight="1">
      <c r="A31" s="1653" t="s">
        <v>5346</v>
      </c>
      <c r="B31" s="1618" t="s">
        <v>9164</v>
      </c>
      <c r="C31" s="1907" t="s">
        <v>11822</v>
      </c>
      <c r="D31" s="1592" t="s">
        <v>11823</v>
      </c>
      <c r="E31" s="1592" t="s">
        <v>11824</v>
      </c>
      <c r="F31" s="1592" t="s">
        <v>11825</v>
      </c>
      <c r="G31" s="1897" t="s">
        <v>11826</v>
      </c>
      <c r="H31" s="1897" t="s">
        <v>11827</v>
      </c>
      <c r="I31" s="1897" t="s">
        <v>11828</v>
      </c>
      <c r="J31" s="1897" t="s">
        <v>11829</v>
      </c>
      <c r="K31" s="1592" t="s">
        <v>11830</v>
      </c>
      <c r="L31" s="1646" t="s">
        <v>11831</v>
      </c>
    </row>
    <row r="32" ht="15.75" customHeight="1">
      <c r="A32" s="1653" t="s">
        <v>4958</v>
      </c>
      <c r="B32" s="1618" t="s">
        <v>9191</v>
      </c>
      <c r="C32" s="1907" t="s">
        <v>11601</v>
      </c>
      <c r="D32" s="1592" t="s">
        <v>11832</v>
      </c>
      <c r="E32" s="1592" t="s">
        <v>11833</v>
      </c>
      <c r="F32" s="1592" t="s">
        <v>11834</v>
      </c>
      <c r="G32" s="847" t="s">
        <v>11835</v>
      </c>
      <c r="H32" s="1887" t="s">
        <v>11836</v>
      </c>
      <c r="I32" s="1893" t="s">
        <v>11837</v>
      </c>
      <c r="J32" s="1894" t="s">
        <v>11838</v>
      </c>
      <c r="K32" s="1592" t="s">
        <v>11183</v>
      </c>
      <c r="L32" s="1646" t="s">
        <v>11839</v>
      </c>
    </row>
    <row r="33" ht="15.75" customHeight="1">
      <c r="A33" s="974" t="s">
        <v>5787</v>
      </c>
      <c r="B33" s="1741" t="s">
        <v>11184</v>
      </c>
      <c r="C33" s="1913" t="s">
        <v>11840</v>
      </c>
      <c r="D33" s="1843" t="s">
        <v>11841</v>
      </c>
      <c r="E33" s="1843" t="s">
        <v>11842</v>
      </c>
      <c r="F33" s="1843" t="s">
        <v>11843</v>
      </c>
      <c r="G33" s="1914" t="s">
        <v>11844</v>
      </c>
      <c r="H33" s="1914" t="s">
        <v>11845</v>
      </c>
      <c r="I33" s="1914" t="s">
        <v>11846</v>
      </c>
      <c r="J33" s="1914" t="s">
        <v>11847</v>
      </c>
      <c r="K33" s="1843" t="s">
        <v>11848</v>
      </c>
      <c r="L33" s="1646" t="s">
        <v>11849</v>
      </c>
    </row>
    <row r="34" ht="15.75" customHeight="1">
      <c r="A34" s="1653" t="s">
        <v>6550</v>
      </c>
      <c r="B34" s="1741" t="s">
        <v>11184</v>
      </c>
      <c r="C34" s="1915" t="s">
        <v>11850</v>
      </c>
      <c r="D34" s="1830" t="s">
        <v>11851</v>
      </c>
      <c r="E34" s="1830" t="s">
        <v>11852</v>
      </c>
      <c r="F34" s="1830" t="s">
        <v>11853</v>
      </c>
      <c r="G34" s="1916" t="s">
        <v>11854</v>
      </c>
      <c r="K34" s="1830" t="s">
        <v>11261</v>
      </c>
      <c r="L34" s="1646" t="s">
        <v>11855</v>
      </c>
    </row>
    <row r="35" ht="15.75" customHeight="1">
      <c r="A35" s="1753"/>
      <c r="B35" s="1555"/>
      <c r="C35" s="1917"/>
      <c r="D35" s="1592"/>
      <c r="E35" s="1592"/>
      <c r="F35" s="1592"/>
      <c r="G35" s="1897"/>
      <c r="H35" s="1897"/>
      <c r="I35" s="1897"/>
      <c r="J35" s="1897"/>
      <c r="K35" s="1592"/>
      <c r="L35" s="1646"/>
    </row>
    <row r="36">
      <c r="A36" s="1807"/>
      <c r="B36" s="1808"/>
      <c r="C36" s="1917"/>
      <c r="D36" s="1592"/>
      <c r="E36" s="1592"/>
      <c r="F36" s="1592"/>
      <c r="G36" s="847"/>
      <c r="H36" s="1887"/>
      <c r="I36" s="1893"/>
      <c r="J36" s="1894"/>
      <c r="K36" s="1592"/>
      <c r="L36" s="1646"/>
    </row>
    <row r="37" ht="15.75" customHeight="1">
      <c r="A37" s="1653"/>
      <c r="B37" s="1710"/>
      <c r="C37" s="1917"/>
      <c r="D37" s="1592"/>
      <c r="E37" s="1592"/>
      <c r="F37" s="1592"/>
      <c r="G37" s="1897"/>
      <c r="H37" s="1897"/>
      <c r="I37" s="1897"/>
      <c r="J37" s="1897"/>
      <c r="K37" s="1592"/>
      <c r="L37" s="1646"/>
    </row>
    <row r="38" ht="15.75" customHeight="1">
      <c r="A38" s="974"/>
      <c r="B38" s="1650"/>
      <c r="C38" s="1917"/>
      <c r="D38" s="1592"/>
      <c r="E38" s="1592"/>
      <c r="F38" s="1592"/>
      <c r="G38" s="847"/>
      <c r="H38" s="1887"/>
      <c r="I38" s="1893"/>
      <c r="J38" s="1894"/>
      <c r="K38" s="1592"/>
      <c r="L38" s="1646"/>
    </row>
    <row r="39">
      <c r="A39" s="1841"/>
      <c r="B39" s="1821"/>
      <c r="C39" s="1917"/>
      <c r="D39" s="1592"/>
      <c r="E39" s="1592"/>
      <c r="F39" s="1592"/>
      <c r="G39" s="1897"/>
      <c r="H39" s="1897"/>
      <c r="I39" s="1897"/>
      <c r="J39" s="1897"/>
      <c r="K39" s="1592"/>
      <c r="L39" s="1646"/>
    </row>
    <row r="40" ht="15.75" customHeight="1">
      <c r="A40" s="1757"/>
      <c r="B40" s="1650"/>
      <c r="C40" s="1917"/>
      <c r="D40" s="1592"/>
      <c r="E40" s="1592"/>
      <c r="F40" s="1592"/>
      <c r="G40" s="847"/>
      <c r="H40" s="1887"/>
      <c r="I40" s="1893"/>
      <c r="J40" s="1894"/>
      <c r="K40" s="1592"/>
      <c r="L40" s="1646"/>
    </row>
    <row r="41">
      <c r="A41" s="1653"/>
      <c r="B41" s="1918"/>
      <c r="C41" s="1917"/>
      <c r="D41" s="1592"/>
      <c r="E41" s="1592"/>
      <c r="F41" s="1592"/>
      <c r="G41" s="1897"/>
      <c r="H41" s="1897"/>
      <c r="I41" s="1897"/>
      <c r="J41" s="1897"/>
      <c r="K41" s="1592"/>
      <c r="L41" s="1646"/>
    </row>
    <row r="42" ht="15.75" customHeight="1">
      <c r="A42" s="1753"/>
      <c r="B42" s="1650"/>
      <c r="C42" s="1917"/>
      <c r="D42" s="1592"/>
      <c r="E42" s="1592"/>
      <c r="F42" s="1592"/>
      <c r="G42" s="847"/>
      <c r="H42" s="1887"/>
      <c r="I42" s="1893"/>
      <c r="J42" s="1894"/>
      <c r="K42" s="1592"/>
      <c r="L42" s="1646"/>
    </row>
    <row r="43" ht="15.75" customHeight="1">
      <c r="A43" s="1757"/>
      <c r="B43" s="1555"/>
      <c r="C43" s="1917"/>
      <c r="D43" s="1592"/>
      <c r="E43" s="1592"/>
      <c r="F43" s="1592"/>
      <c r="G43" s="1897"/>
      <c r="H43" s="1897"/>
      <c r="I43" s="1897"/>
      <c r="J43" s="1897"/>
      <c r="K43" s="1592"/>
      <c r="L43" s="1646"/>
    </row>
    <row r="44">
      <c r="A44" s="1807"/>
      <c r="B44" s="1808"/>
      <c r="C44" s="1917"/>
      <c r="D44" s="1592"/>
      <c r="E44" s="1592"/>
      <c r="F44" s="1592"/>
      <c r="G44" s="847"/>
      <c r="H44" s="1887"/>
      <c r="I44" s="1893"/>
      <c r="J44" s="1894"/>
      <c r="K44" s="1592"/>
      <c r="L44" s="1646"/>
    </row>
    <row r="45" ht="15.75" customHeight="1">
      <c r="A45" s="1757"/>
      <c r="B45" s="1555"/>
      <c r="C45" s="1917"/>
      <c r="D45" s="1592"/>
      <c r="E45" s="1592"/>
      <c r="F45" s="1592"/>
      <c r="G45" s="1897"/>
      <c r="H45" s="1897"/>
      <c r="I45" s="1897"/>
      <c r="J45" s="1897"/>
      <c r="K45" s="1592"/>
      <c r="L45" s="1646"/>
    </row>
    <row r="46" ht="15.75" customHeight="1">
      <c r="A46" s="1753"/>
      <c r="B46" s="1555"/>
      <c r="C46" s="1917"/>
      <c r="D46" s="1592"/>
      <c r="E46" s="1592"/>
      <c r="F46" s="1592"/>
      <c r="G46" s="847"/>
      <c r="H46" s="1887"/>
      <c r="I46" s="1893"/>
      <c r="J46" s="1894"/>
      <c r="K46" s="1592"/>
      <c r="L46" s="1646"/>
    </row>
    <row r="47" ht="15.75" customHeight="1">
      <c r="A47" s="1757"/>
      <c r="B47" s="1650"/>
      <c r="C47" s="1917"/>
      <c r="D47" s="1592"/>
      <c r="E47" s="1592"/>
      <c r="F47" s="1592"/>
      <c r="G47" s="1897"/>
      <c r="H47" s="1897"/>
      <c r="I47" s="1897"/>
      <c r="J47" s="1897"/>
      <c r="K47" s="1592"/>
      <c r="L47" s="1646"/>
    </row>
    <row r="48" ht="15.0" customHeight="1">
      <c r="A48" s="1753"/>
      <c r="B48" s="1650"/>
      <c r="C48" s="1917"/>
      <c r="D48" s="1592"/>
      <c r="E48" s="1592"/>
      <c r="F48" s="1592"/>
      <c r="G48" s="847"/>
      <c r="H48" s="1887"/>
      <c r="I48" s="1893"/>
      <c r="J48" s="1894"/>
      <c r="K48" s="1592"/>
      <c r="L48" s="1646"/>
    </row>
    <row r="49" ht="15.75" customHeight="1">
      <c r="A49" s="1653"/>
      <c r="B49" s="1618"/>
      <c r="C49" s="1917"/>
      <c r="D49" s="1592"/>
      <c r="E49" s="1592"/>
      <c r="F49" s="1592"/>
      <c r="G49" s="1897"/>
      <c r="H49" s="1897"/>
      <c r="I49" s="1897"/>
      <c r="J49" s="1897"/>
      <c r="K49" s="1592"/>
      <c r="L49" s="1646"/>
    </row>
    <row r="50" ht="15.75" customHeight="1">
      <c r="A50" s="1757"/>
      <c r="B50" s="1710"/>
      <c r="C50" s="1917"/>
      <c r="D50" s="1592"/>
      <c r="E50" s="1592"/>
      <c r="F50" s="1592"/>
      <c r="G50" s="847"/>
      <c r="H50" s="1887"/>
      <c r="I50" s="1893"/>
      <c r="J50" s="1894"/>
      <c r="K50" s="1592"/>
      <c r="L50" s="1646"/>
    </row>
    <row r="51">
      <c r="A51" s="1841"/>
      <c r="B51" s="1821"/>
      <c r="C51" s="1917"/>
      <c r="D51" s="1592"/>
      <c r="E51" s="1592"/>
      <c r="F51" s="1592"/>
      <c r="G51" s="1897"/>
      <c r="H51" s="1897"/>
      <c r="I51" s="1897"/>
      <c r="J51" s="1897"/>
      <c r="K51" s="1592"/>
      <c r="L51" s="1646"/>
    </row>
    <row r="52" ht="15.75" customHeight="1">
      <c r="A52" s="1753"/>
      <c r="B52" s="1555"/>
      <c r="C52" s="1917"/>
      <c r="D52" s="1592"/>
      <c r="E52" s="1592"/>
      <c r="F52" s="1592"/>
      <c r="G52" s="847"/>
      <c r="H52" s="1887"/>
      <c r="I52" s="1893"/>
      <c r="J52" s="1894"/>
      <c r="K52" s="1592"/>
      <c r="L52" s="1646"/>
    </row>
    <row r="53" ht="15.75" customHeight="1">
      <c r="A53" s="1757"/>
      <c r="B53" s="1555"/>
      <c r="C53" s="1917"/>
      <c r="D53" s="1592"/>
      <c r="E53" s="1592"/>
      <c r="F53" s="1592"/>
      <c r="G53" s="1897"/>
      <c r="H53" s="1897"/>
      <c r="I53" s="1897"/>
      <c r="J53" s="1897"/>
      <c r="K53" s="1592"/>
      <c r="L53" s="1646"/>
    </row>
    <row r="54" ht="15.75" customHeight="1">
      <c r="A54" s="1807"/>
      <c r="B54" s="1808"/>
      <c r="C54" s="1917"/>
      <c r="D54" s="1592"/>
      <c r="E54" s="1592"/>
      <c r="F54" s="1592"/>
      <c r="G54" s="847"/>
      <c r="H54" s="1887"/>
      <c r="I54" s="1893"/>
      <c r="J54" s="1894"/>
      <c r="K54" s="1592"/>
      <c r="L54" s="1646"/>
    </row>
    <row r="55" ht="15.75" customHeight="1">
      <c r="A55" s="1753"/>
      <c r="B55" s="1650"/>
      <c r="C55" s="1917"/>
      <c r="D55" s="1592"/>
      <c r="E55" s="1592"/>
      <c r="F55" s="1592"/>
      <c r="G55" s="1897"/>
      <c r="H55" s="1897"/>
      <c r="I55" s="1897"/>
      <c r="J55" s="1897"/>
      <c r="K55" s="1592"/>
      <c r="L55" s="1646"/>
    </row>
    <row r="56" ht="15.75" customHeight="1">
      <c r="A56" s="1757"/>
      <c r="B56" s="1710"/>
      <c r="C56" s="1917"/>
      <c r="D56" s="1592"/>
      <c r="E56" s="1592"/>
      <c r="F56" s="1592"/>
      <c r="G56" s="847"/>
      <c r="H56" s="1887"/>
      <c r="I56" s="1893"/>
      <c r="J56" s="1894"/>
      <c r="K56" s="1592"/>
      <c r="L56" s="1646"/>
    </row>
    <row r="57" ht="15.75" customHeight="1">
      <c r="A57" s="1807"/>
      <c r="B57" s="1618"/>
      <c r="C57" s="1917"/>
      <c r="D57" s="1592"/>
      <c r="E57" s="1592"/>
      <c r="F57" s="1592"/>
      <c r="G57" s="1897"/>
      <c r="H57" s="1897"/>
      <c r="I57" s="1897"/>
      <c r="J57" s="1897"/>
      <c r="K57" s="1592"/>
      <c r="L57" s="1646"/>
    </row>
    <row r="58" ht="15.75" customHeight="1">
      <c r="A58" s="1653"/>
      <c r="B58" s="1706"/>
      <c r="C58" s="1917"/>
      <c r="D58" s="1592"/>
      <c r="E58" s="1592"/>
      <c r="F58" s="1592"/>
      <c r="G58" s="847"/>
      <c r="H58" s="1887"/>
      <c r="I58" s="1893"/>
      <c r="J58" s="1894"/>
      <c r="K58" s="1592"/>
      <c r="L58" s="1646"/>
    </row>
    <row r="59" ht="15.75" customHeight="1">
      <c r="A59" s="1807"/>
      <c r="B59" s="1808"/>
      <c r="C59" s="1917"/>
      <c r="D59" s="1592"/>
      <c r="E59" s="1592"/>
      <c r="F59" s="1592"/>
      <c r="G59" s="1897"/>
      <c r="H59" s="1897"/>
      <c r="I59" s="1897"/>
      <c r="J59" s="1897"/>
      <c r="K59" s="1592"/>
      <c r="L59" s="1646"/>
    </row>
    <row r="60" ht="15.75" customHeight="1">
      <c r="A60" s="1757"/>
      <c r="B60" s="1710"/>
      <c r="C60" s="1917"/>
      <c r="D60" s="1592"/>
      <c r="E60" s="1592"/>
      <c r="F60" s="1592"/>
      <c r="G60" s="847"/>
      <c r="H60" s="1887"/>
      <c r="I60" s="1893"/>
      <c r="J60" s="1894"/>
      <c r="K60" s="1592"/>
      <c r="L60" s="1646"/>
    </row>
    <row r="61" ht="16.5" customHeight="1">
      <c r="A61" s="1753"/>
      <c r="B61" s="1710"/>
      <c r="C61" s="1917"/>
      <c r="D61" s="1592"/>
      <c r="E61" s="1592"/>
      <c r="F61" s="1592"/>
      <c r="G61" s="1897"/>
      <c r="H61" s="1897"/>
      <c r="I61" s="1897"/>
      <c r="J61" s="1897"/>
      <c r="K61" s="1592"/>
      <c r="L61" s="1646"/>
    </row>
    <row r="62">
      <c r="A62" s="1807"/>
      <c r="B62" s="1808"/>
      <c r="C62" s="1592"/>
      <c r="D62" s="1592"/>
      <c r="E62" s="1592"/>
      <c r="F62" s="1592"/>
      <c r="G62" s="847"/>
      <c r="H62" s="1887"/>
      <c r="I62" s="1893"/>
      <c r="J62" s="1894"/>
      <c r="K62" s="1592"/>
      <c r="L62" s="1646"/>
    </row>
    <row r="63" ht="17.25" customHeight="1">
      <c r="A63" s="974"/>
      <c r="B63" s="1706"/>
      <c r="C63" s="1592"/>
      <c r="D63" s="1592"/>
      <c r="E63" s="1592"/>
      <c r="F63" s="1592"/>
      <c r="G63" s="1897"/>
      <c r="H63" s="1897"/>
      <c r="I63" s="1897"/>
      <c r="J63" s="1897"/>
      <c r="K63" s="1592"/>
      <c r="L63" s="1646"/>
    </row>
    <row r="64">
      <c r="A64" s="1841"/>
      <c r="B64" s="1698"/>
      <c r="C64" s="1592"/>
      <c r="D64" s="1592"/>
      <c r="E64" s="1592"/>
      <c r="F64" s="1592"/>
      <c r="G64" s="847"/>
      <c r="H64" s="1887"/>
      <c r="I64" s="1893"/>
      <c r="J64" s="1894"/>
      <c r="K64" s="1592"/>
      <c r="L64" s="1646"/>
    </row>
    <row r="65">
      <c r="A65" s="1807"/>
      <c r="B65" s="1808"/>
      <c r="C65" s="1592"/>
      <c r="D65" s="1592"/>
      <c r="E65" s="1592"/>
      <c r="F65" s="1592"/>
      <c r="G65" s="1897"/>
      <c r="H65" s="1897"/>
      <c r="I65" s="1897"/>
      <c r="J65" s="1897"/>
      <c r="K65" s="1592"/>
      <c r="L65" s="1646"/>
    </row>
    <row r="66">
      <c r="A66" s="1757"/>
      <c r="B66" s="1650"/>
      <c r="C66" s="1592"/>
      <c r="D66" s="1592"/>
      <c r="E66" s="1592"/>
      <c r="F66" s="1592"/>
      <c r="G66" s="847"/>
      <c r="H66" s="1887"/>
      <c r="I66" s="1893"/>
      <c r="J66" s="1894"/>
      <c r="K66" s="1592"/>
      <c r="L66" s="1646"/>
    </row>
    <row r="67">
      <c r="A67" s="1653"/>
      <c r="B67" s="1698"/>
      <c r="C67" s="1592"/>
      <c r="D67" s="1592"/>
      <c r="E67" s="1592"/>
      <c r="F67" s="1592"/>
      <c r="G67" s="1897"/>
      <c r="H67" s="1897"/>
      <c r="I67" s="1897"/>
      <c r="J67" s="1897"/>
      <c r="K67" s="1592"/>
      <c r="L67" s="1646"/>
    </row>
    <row r="68" ht="17.25" customHeight="1">
      <c r="A68" s="1841"/>
      <c r="B68" s="1650"/>
      <c r="C68" s="1592"/>
      <c r="D68" s="1592"/>
      <c r="E68" s="1592"/>
      <c r="F68" s="1592"/>
      <c r="G68" s="847"/>
      <c r="H68" s="1887"/>
      <c r="I68" s="1893"/>
      <c r="J68" s="1894"/>
      <c r="K68" s="1592"/>
      <c r="L68" s="1646"/>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11856</v>
      </c>
      <c r="C1" s="1927" t="s">
        <v>43</v>
      </c>
      <c r="D1" s="1928" t="s">
        <v>11857</v>
      </c>
      <c r="E1" s="1927" t="s">
        <v>11858</v>
      </c>
      <c r="F1" s="1929" t="s">
        <v>11859</v>
      </c>
    </row>
    <row r="2">
      <c r="A2" s="1930"/>
      <c r="B2" s="1931"/>
      <c r="C2" s="1931"/>
      <c r="D2" s="1931"/>
      <c r="E2" s="1931"/>
      <c r="F2" s="1931"/>
    </row>
    <row r="3">
      <c r="A3" s="1930"/>
      <c r="B3" s="1931"/>
      <c r="C3" s="1931"/>
      <c r="D3" s="1931"/>
      <c r="E3" s="1931"/>
      <c r="F3" s="1931"/>
    </row>
    <row r="4">
      <c r="A4" s="1932" t="s">
        <v>11860</v>
      </c>
      <c r="B4" s="1933" t="s">
        <v>11861</v>
      </c>
      <c r="C4" s="1934"/>
      <c r="D4" s="1934"/>
      <c r="E4" s="1934"/>
      <c r="F4" s="1935"/>
    </row>
    <row r="5">
      <c r="A5" s="1931"/>
      <c r="B5" s="1936"/>
      <c r="C5" s="1937"/>
      <c r="D5" s="1937"/>
      <c r="E5" s="1937"/>
      <c r="F5" s="1938"/>
    </row>
    <row r="6">
      <c r="A6" s="1939" t="s">
        <v>11861</v>
      </c>
      <c r="B6" s="1940" t="s">
        <v>11862</v>
      </c>
      <c r="C6" s="1941" t="s">
        <v>4352</v>
      </c>
      <c r="D6" s="1942" t="s">
        <v>11863</v>
      </c>
      <c r="E6" s="1941" t="s">
        <v>11864</v>
      </c>
      <c r="F6" s="1943">
        <v>44233.0</v>
      </c>
    </row>
    <row r="7">
      <c r="A7" s="1939" t="s">
        <v>11865</v>
      </c>
      <c r="B7" s="1944" t="s">
        <v>11866</v>
      </c>
      <c r="C7" s="1941" t="s">
        <v>899</v>
      </c>
      <c r="D7" s="1942" t="s">
        <v>11867</v>
      </c>
      <c r="E7" s="1941" t="s">
        <v>11864</v>
      </c>
      <c r="F7" s="1943">
        <v>43878.0</v>
      </c>
    </row>
    <row r="8">
      <c r="A8" s="1939" t="s">
        <v>11868</v>
      </c>
      <c r="B8" s="1945" t="s">
        <v>11869</v>
      </c>
      <c r="C8" s="1941" t="s">
        <v>330</v>
      </c>
      <c r="D8" s="1942" t="s">
        <v>11870</v>
      </c>
      <c r="E8" s="1941" t="s">
        <v>11864</v>
      </c>
      <c r="F8" s="1943">
        <v>43879.0</v>
      </c>
    </row>
    <row r="9">
      <c r="A9" s="1939" t="s">
        <v>11871</v>
      </c>
      <c r="B9" s="1946" t="s">
        <v>11872</v>
      </c>
      <c r="C9" s="1941" t="s">
        <v>4054</v>
      </c>
      <c r="D9" s="1942" t="s">
        <v>11873</v>
      </c>
      <c r="E9" s="1941" t="s">
        <v>11874</v>
      </c>
      <c r="F9" s="1943">
        <v>44084.0</v>
      </c>
    </row>
    <row r="10">
      <c r="A10" s="1939" t="s">
        <v>11875</v>
      </c>
      <c r="B10" s="1946" t="s">
        <v>11876</v>
      </c>
      <c r="C10" s="1947"/>
      <c r="D10" s="1948"/>
      <c r="E10" s="1947"/>
      <c r="F10" s="1947"/>
    </row>
    <row r="11">
      <c r="A11" s="1939" t="s">
        <v>11877</v>
      </c>
      <c r="B11" s="1933" t="s">
        <v>11865</v>
      </c>
      <c r="C11" s="1934"/>
      <c r="D11" s="1934"/>
      <c r="E11" s="1934"/>
      <c r="F11" s="1935"/>
    </row>
    <row r="12">
      <c r="A12" s="1939" t="s">
        <v>11878</v>
      </c>
      <c r="B12" s="1936"/>
      <c r="C12" s="1937"/>
      <c r="D12" s="1937"/>
      <c r="E12" s="1937"/>
      <c r="F12" s="1938"/>
    </row>
    <row r="13">
      <c r="A13" s="1939" t="s">
        <v>11879</v>
      </c>
      <c r="B13" s="1940" t="s">
        <v>11862</v>
      </c>
      <c r="C13" s="1941" t="s">
        <v>4352</v>
      </c>
      <c r="D13" s="1942" t="s">
        <v>11880</v>
      </c>
      <c r="E13" s="1941" t="s">
        <v>11864</v>
      </c>
      <c r="F13" s="1943">
        <v>44250.0</v>
      </c>
    </row>
    <row r="14" ht="15.75" customHeight="1">
      <c r="A14" s="1939" t="s">
        <v>11881</v>
      </c>
      <c r="B14" s="1944" t="s">
        <v>11866</v>
      </c>
      <c r="C14" s="1941" t="s">
        <v>4266</v>
      </c>
      <c r="D14" s="1942" t="s">
        <v>11882</v>
      </c>
      <c r="E14" s="1941" t="s">
        <v>11864</v>
      </c>
      <c r="F14" s="1943">
        <v>43364.0</v>
      </c>
    </row>
    <row r="15">
      <c r="A15" s="1939" t="s">
        <v>11883</v>
      </c>
      <c r="B15" s="1945" t="s">
        <v>11869</v>
      </c>
      <c r="C15" s="1941" t="s">
        <v>11884</v>
      </c>
      <c r="D15" s="1942" t="s">
        <v>11885</v>
      </c>
      <c r="E15" s="1941" t="s">
        <v>11874</v>
      </c>
      <c r="F15" s="1943">
        <v>43757.0</v>
      </c>
    </row>
    <row r="16">
      <c r="A16" s="1939" t="s">
        <v>11886</v>
      </c>
      <c r="B16" s="1946" t="s">
        <v>11872</v>
      </c>
      <c r="C16" s="1941" t="s">
        <v>11887</v>
      </c>
      <c r="D16" s="1942" t="s">
        <v>11888</v>
      </c>
      <c r="E16" s="1941" t="s">
        <v>11874</v>
      </c>
      <c r="F16" s="1943">
        <v>43438.0</v>
      </c>
    </row>
    <row r="17">
      <c r="A17" s="1939" t="s">
        <v>11889</v>
      </c>
      <c r="B17" s="1946" t="s">
        <v>11876</v>
      </c>
      <c r="C17" s="1947"/>
      <c r="D17" s="1948"/>
      <c r="E17" s="1947"/>
      <c r="F17" s="1947"/>
    </row>
    <row r="18">
      <c r="A18" s="1939" t="s">
        <v>11890</v>
      </c>
      <c r="B18" s="1949" t="s">
        <v>11868</v>
      </c>
      <c r="C18" s="1934"/>
      <c r="D18" s="1934"/>
      <c r="E18" s="1934"/>
      <c r="F18" s="1935"/>
    </row>
    <row r="19">
      <c r="A19" s="1939" t="s">
        <v>11891</v>
      </c>
      <c r="B19" s="1937"/>
      <c r="C19" s="1937"/>
      <c r="D19" s="1937"/>
      <c r="E19" s="1937"/>
      <c r="F19" s="1938"/>
    </row>
    <row r="20">
      <c r="A20" s="1950"/>
      <c r="B20" s="1940" t="s">
        <v>11862</v>
      </c>
      <c r="C20" s="1941" t="s">
        <v>11892</v>
      </c>
      <c r="D20" s="1942" t="s">
        <v>11893</v>
      </c>
      <c r="E20" s="1941" t="s">
        <v>11864</v>
      </c>
      <c r="F20" s="1943">
        <v>44021.0</v>
      </c>
    </row>
    <row r="21">
      <c r="A21" s="1950"/>
      <c r="B21" s="1944" t="s">
        <v>11866</v>
      </c>
      <c r="C21" s="1941" t="s">
        <v>5377</v>
      </c>
      <c r="D21" s="1942" t="s">
        <v>11894</v>
      </c>
      <c r="E21" s="1941" t="s">
        <v>11874</v>
      </c>
      <c r="F21" s="1943">
        <v>44022.0</v>
      </c>
    </row>
    <row r="22">
      <c r="A22" s="1951"/>
      <c r="B22" s="1945" t="s">
        <v>11869</v>
      </c>
      <c r="C22" s="1941" t="s">
        <v>11895</v>
      </c>
      <c r="D22" s="1942" t="s">
        <v>11896</v>
      </c>
      <c r="E22" s="1941" t="s">
        <v>11897</v>
      </c>
      <c r="F22" s="1943">
        <v>43884.0</v>
      </c>
    </row>
    <row r="23">
      <c r="A23" s="1951"/>
      <c r="B23" s="1946" t="s">
        <v>11872</v>
      </c>
      <c r="C23" s="1941" t="s">
        <v>5346</v>
      </c>
      <c r="D23" s="1942" t="s">
        <v>11898</v>
      </c>
      <c r="E23" s="1941" t="s">
        <v>11864</v>
      </c>
      <c r="F23" s="1943">
        <v>43892.0</v>
      </c>
    </row>
    <row r="24">
      <c r="A24" s="1951"/>
      <c r="B24" s="1946" t="s">
        <v>11876</v>
      </c>
      <c r="C24" s="1947"/>
      <c r="D24" s="1948"/>
      <c r="E24" s="1947"/>
      <c r="F24" s="1947"/>
    </row>
    <row r="25">
      <c r="A25" s="1951"/>
      <c r="B25" s="1933" t="s">
        <v>11871</v>
      </c>
      <c r="C25" s="1934"/>
      <c r="D25" s="1934"/>
      <c r="E25" s="1934"/>
      <c r="F25" s="1935"/>
    </row>
    <row r="26">
      <c r="A26" s="1951"/>
      <c r="B26" s="1936"/>
      <c r="C26" s="1937"/>
      <c r="D26" s="1937"/>
      <c r="E26" s="1937"/>
      <c r="F26" s="1938"/>
    </row>
    <row r="27">
      <c r="A27" s="1951"/>
      <c r="B27" s="1952" t="s">
        <v>11899</v>
      </c>
      <c r="C27" s="1934"/>
      <c r="D27" s="1934"/>
      <c r="E27" s="1934"/>
      <c r="F27" s="1935"/>
    </row>
    <row r="28">
      <c r="A28" s="1951"/>
      <c r="B28" s="1936"/>
      <c r="C28" s="1937"/>
      <c r="D28" s="1937"/>
      <c r="E28" s="1937"/>
      <c r="F28" s="1938"/>
    </row>
    <row r="29">
      <c r="A29" s="1951"/>
      <c r="B29" s="1940" t="s">
        <v>11862</v>
      </c>
      <c r="C29" s="1953" t="s">
        <v>436</v>
      </c>
      <c r="D29" s="1942" t="s">
        <v>11900</v>
      </c>
      <c r="E29" s="1941" t="s">
        <v>11864</v>
      </c>
      <c r="F29" s="1943">
        <v>43659.0</v>
      </c>
    </row>
    <row r="30">
      <c r="A30" s="1951"/>
      <c r="B30" s="1944" t="s">
        <v>11866</v>
      </c>
      <c r="C30" s="1941" t="s">
        <v>1722</v>
      </c>
      <c r="D30" s="1942" t="s">
        <v>11901</v>
      </c>
      <c r="E30" s="1941" t="s">
        <v>11864</v>
      </c>
      <c r="F30" s="1943">
        <v>43228.0</v>
      </c>
    </row>
    <row r="31">
      <c r="A31" s="1951"/>
      <c r="B31" s="1945" t="s">
        <v>11869</v>
      </c>
      <c r="C31" s="1947"/>
      <c r="D31" s="1954"/>
      <c r="E31" s="1947"/>
      <c r="F31" s="1947"/>
    </row>
    <row r="32">
      <c r="A32" s="1951"/>
      <c r="B32" s="1946" t="s">
        <v>11872</v>
      </c>
      <c r="C32" s="1947"/>
      <c r="D32" s="1954"/>
      <c r="E32" s="1947"/>
      <c r="F32" s="1947"/>
    </row>
    <row r="33">
      <c r="A33" s="1951"/>
      <c r="B33" s="1946" t="s">
        <v>11876</v>
      </c>
      <c r="C33" s="1947"/>
      <c r="D33" s="1954"/>
      <c r="E33" s="1947"/>
      <c r="F33" s="1947"/>
    </row>
    <row r="34">
      <c r="A34" s="1951"/>
      <c r="B34" s="1952" t="s">
        <v>11902</v>
      </c>
      <c r="C34" s="1934"/>
      <c r="D34" s="1934"/>
      <c r="E34" s="1934"/>
      <c r="F34" s="1935"/>
    </row>
    <row r="35">
      <c r="A35" s="1951"/>
      <c r="B35" s="1936"/>
      <c r="C35" s="1937"/>
      <c r="D35" s="1937"/>
      <c r="E35" s="1937"/>
      <c r="F35" s="1938"/>
    </row>
    <row r="36">
      <c r="A36" s="1951"/>
      <c r="B36" s="1940" t="s">
        <v>11862</v>
      </c>
      <c r="C36" s="1941" t="s">
        <v>1722</v>
      </c>
      <c r="D36" s="1942" t="s">
        <v>11903</v>
      </c>
      <c r="E36" s="1941" t="s">
        <v>11864</v>
      </c>
      <c r="F36" s="1943">
        <v>43352.0</v>
      </c>
    </row>
    <row r="37">
      <c r="A37" s="1951"/>
      <c r="B37" s="1944" t="s">
        <v>11866</v>
      </c>
      <c r="C37" s="1941" t="s">
        <v>11904</v>
      </c>
      <c r="D37" s="1942" t="s">
        <v>11905</v>
      </c>
      <c r="E37" s="1941" t="s">
        <v>11864</v>
      </c>
      <c r="F37" s="1943">
        <v>43799.0</v>
      </c>
    </row>
    <row r="38">
      <c r="A38" s="1951"/>
      <c r="B38" s="1945" t="s">
        <v>11869</v>
      </c>
      <c r="C38" s="1947"/>
      <c r="D38" s="1948"/>
      <c r="E38" s="1947"/>
      <c r="F38" s="1947"/>
    </row>
    <row r="39">
      <c r="A39" s="1951"/>
      <c r="B39" s="1946" t="s">
        <v>11872</v>
      </c>
      <c r="C39" s="1947"/>
      <c r="D39" s="1948"/>
      <c r="E39" s="1947"/>
      <c r="F39" s="1947"/>
    </row>
    <row r="40">
      <c r="A40" s="1951"/>
      <c r="B40" s="1946" t="s">
        <v>11876</v>
      </c>
      <c r="C40" s="1947"/>
      <c r="D40" s="1948"/>
      <c r="E40" s="1947"/>
      <c r="F40" s="1947"/>
    </row>
    <row r="41">
      <c r="A41" s="1951"/>
      <c r="B41" s="1933" t="s">
        <v>11875</v>
      </c>
      <c r="C41" s="1934"/>
      <c r="D41" s="1934"/>
      <c r="E41" s="1934"/>
      <c r="F41" s="1935"/>
    </row>
    <row r="42">
      <c r="A42" s="1951"/>
      <c r="B42" s="1936"/>
      <c r="C42" s="1937"/>
      <c r="D42" s="1937"/>
      <c r="E42" s="1937"/>
      <c r="F42" s="1938"/>
    </row>
    <row r="43">
      <c r="A43" s="1951"/>
      <c r="B43" s="1940" t="s">
        <v>11862</v>
      </c>
      <c r="C43" s="1941" t="s">
        <v>6751</v>
      </c>
      <c r="D43" s="1955" t="s">
        <v>11906</v>
      </c>
      <c r="E43" s="1941" t="s">
        <v>11864</v>
      </c>
      <c r="F43" s="1956">
        <v>44511.0</v>
      </c>
    </row>
    <row r="44">
      <c r="A44" s="1951"/>
      <c r="B44" s="1944" t="s">
        <v>11866</v>
      </c>
      <c r="C44" s="1941" t="s">
        <v>11904</v>
      </c>
      <c r="D44" s="1955" t="s">
        <v>11907</v>
      </c>
      <c r="E44" s="1941" t="s">
        <v>11864</v>
      </c>
      <c r="F44" s="1956">
        <v>43740.0</v>
      </c>
    </row>
    <row r="45">
      <c r="A45" s="1951"/>
      <c r="B45" s="1945" t="s">
        <v>11869</v>
      </c>
      <c r="C45" s="1941" t="s">
        <v>10869</v>
      </c>
      <c r="D45" s="1955" t="s">
        <v>11908</v>
      </c>
      <c r="E45" s="1941" t="s">
        <v>11864</v>
      </c>
      <c r="F45" s="1956">
        <v>42098.0</v>
      </c>
    </row>
    <row r="46">
      <c r="A46" s="1951"/>
      <c r="B46" s="1946" t="s">
        <v>11872</v>
      </c>
      <c r="C46" s="1941"/>
      <c r="D46" s="1955"/>
      <c r="E46" s="1941"/>
      <c r="F46" s="1956"/>
    </row>
    <row r="47">
      <c r="A47" s="1951"/>
      <c r="B47" s="1946" t="s">
        <v>11876</v>
      </c>
      <c r="C47" s="1947"/>
      <c r="D47" s="1957"/>
      <c r="E47" s="1947"/>
      <c r="F47" s="1951"/>
    </row>
    <row r="48">
      <c r="A48" s="1951"/>
      <c r="B48" s="1933" t="s">
        <v>11877</v>
      </c>
      <c r="C48" s="1934"/>
      <c r="D48" s="1934"/>
      <c r="E48" s="1934"/>
      <c r="F48" s="1935"/>
    </row>
    <row r="49">
      <c r="A49" s="1951"/>
      <c r="B49" s="1936"/>
      <c r="C49" s="1937"/>
      <c r="D49" s="1937"/>
      <c r="E49" s="1937"/>
      <c r="F49" s="1938"/>
    </row>
    <row r="50">
      <c r="A50" s="1951"/>
      <c r="B50" s="1940" t="s">
        <v>11862</v>
      </c>
      <c r="C50" s="1941" t="s">
        <v>11909</v>
      </c>
      <c r="D50" s="1955" t="s">
        <v>11910</v>
      </c>
      <c r="E50" s="1941" t="s">
        <v>11911</v>
      </c>
      <c r="F50" s="1956">
        <v>43395.0</v>
      </c>
    </row>
    <row r="51">
      <c r="A51" s="1951"/>
      <c r="B51" s="1944" t="s">
        <v>11866</v>
      </c>
      <c r="C51" s="1941" t="s">
        <v>2266</v>
      </c>
      <c r="D51" s="1955" t="s">
        <v>11912</v>
      </c>
      <c r="E51" s="1941" t="s">
        <v>11874</v>
      </c>
      <c r="F51" s="1956">
        <v>43376.0</v>
      </c>
    </row>
    <row r="52">
      <c r="A52" s="1951"/>
      <c r="B52" s="1945" t="s">
        <v>11869</v>
      </c>
      <c r="C52" s="1947"/>
      <c r="D52" s="1957"/>
      <c r="E52" s="1947"/>
      <c r="F52" s="1951"/>
    </row>
    <row r="53">
      <c r="A53" s="1951"/>
      <c r="B53" s="1946" t="s">
        <v>11872</v>
      </c>
      <c r="C53" s="1947"/>
      <c r="D53" s="1957"/>
      <c r="E53" s="1947"/>
      <c r="F53" s="1951"/>
    </row>
    <row r="54">
      <c r="A54" s="1951"/>
      <c r="B54" s="1946" t="s">
        <v>11876</v>
      </c>
      <c r="C54" s="1947"/>
      <c r="D54" s="1957"/>
      <c r="E54" s="1947"/>
      <c r="F54" s="1951"/>
    </row>
    <row r="55">
      <c r="A55" s="1951"/>
      <c r="B55" s="1933" t="s">
        <v>11878</v>
      </c>
      <c r="C55" s="1934"/>
      <c r="D55" s="1934"/>
      <c r="E55" s="1934"/>
      <c r="F55" s="1935"/>
    </row>
    <row r="56">
      <c r="A56" s="1951"/>
      <c r="B56" s="1936"/>
      <c r="C56" s="1937"/>
      <c r="D56" s="1937"/>
      <c r="E56" s="1937"/>
      <c r="F56" s="1938"/>
    </row>
    <row r="57">
      <c r="A57" s="1951"/>
      <c r="B57" s="1958" t="s">
        <v>11913</v>
      </c>
      <c r="C57" s="1934"/>
      <c r="D57" s="1934"/>
      <c r="E57" s="1934"/>
      <c r="F57" s="1935"/>
    </row>
    <row r="58">
      <c r="A58" s="1951"/>
      <c r="B58" s="1936"/>
      <c r="C58" s="1937"/>
      <c r="D58" s="1937"/>
      <c r="E58" s="1937"/>
      <c r="F58" s="1938"/>
    </row>
    <row r="59">
      <c r="A59" s="1951"/>
      <c r="B59" s="1940" t="s">
        <v>11862</v>
      </c>
      <c r="C59" s="1959" t="s">
        <v>436</v>
      </c>
      <c r="D59" s="1955" t="s">
        <v>11914</v>
      </c>
      <c r="E59" s="1941" t="s">
        <v>11864</v>
      </c>
      <c r="F59" s="1956">
        <v>43758.0</v>
      </c>
    </row>
    <row r="60">
      <c r="A60" s="1951"/>
      <c r="B60" s="1944" t="s">
        <v>11866</v>
      </c>
      <c r="C60" s="1947"/>
      <c r="D60" s="1957"/>
      <c r="E60" s="1947"/>
      <c r="F60" s="1951"/>
    </row>
    <row r="61">
      <c r="A61" s="1951"/>
      <c r="B61" s="1945" t="s">
        <v>11869</v>
      </c>
      <c r="C61" s="1947"/>
      <c r="D61" s="1957"/>
      <c r="E61" s="1947"/>
      <c r="F61" s="1951"/>
    </row>
    <row r="62">
      <c r="A62" s="1951"/>
      <c r="B62" s="1946" t="s">
        <v>11872</v>
      </c>
      <c r="C62" s="1947"/>
      <c r="D62" s="1957"/>
      <c r="E62" s="1947"/>
      <c r="F62" s="1951"/>
    </row>
    <row r="63">
      <c r="A63" s="1951"/>
      <c r="B63" s="1946" t="s">
        <v>11876</v>
      </c>
      <c r="C63" s="1947"/>
      <c r="D63" s="1957"/>
      <c r="E63" s="1947"/>
      <c r="F63" s="1951"/>
    </row>
    <row r="64">
      <c r="A64" s="1951"/>
      <c r="B64" s="1958" t="s">
        <v>11902</v>
      </c>
      <c r="C64" s="1934"/>
      <c r="D64" s="1934"/>
      <c r="E64" s="1934"/>
      <c r="F64" s="1935"/>
    </row>
    <row r="65">
      <c r="A65" s="1951"/>
      <c r="B65" s="1936"/>
      <c r="C65" s="1937"/>
      <c r="D65" s="1937"/>
      <c r="E65" s="1937"/>
      <c r="F65" s="1938"/>
    </row>
    <row r="66">
      <c r="A66" s="1951"/>
      <c r="B66" s="1940" t="s">
        <v>11862</v>
      </c>
      <c r="C66" s="1941" t="s">
        <v>11915</v>
      </c>
      <c r="D66" s="1960" t="s">
        <v>11916</v>
      </c>
      <c r="E66" s="1941" t="s">
        <v>11864</v>
      </c>
      <c r="F66" s="1956">
        <v>44805.0</v>
      </c>
    </row>
    <row r="67">
      <c r="A67" s="1951"/>
      <c r="B67" s="1944" t="s">
        <v>11866</v>
      </c>
      <c r="C67" s="1941" t="s">
        <v>11917</v>
      </c>
      <c r="D67" s="1955" t="s">
        <v>11918</v>
      </c>
      <c r="E67" s="1941" t="s">
        <v>11864</v>
      </c>
      <c r="F67" s="1956">
        <v>43307.0</v>
      </c>
    </row>
    <row r="68">
      <c r="A68" s="1951"/>
      <c r="B68" s="1945" t="s">
        <v>11869</v>
      </c>
      <c r="C68" s="1947"/>
      <c r="D68" s="1957"/>
      <c r="E68" s="1947"/>
      <c r="F68" s="1951"/>
    </row>
    <row r="69">
      <c r="A69" s="1951"/>
      <c r="B69" s="1946" t="s">
        <v>11872</v>
      </c>
      <c r="C69" s="1947"/>
      <c r="D69" s="1957"/>
      <c r="E69" s="1947"/>
      <c r="F69" s="1951"/>
    </row>
    <row r="70">
      <c r="A70" s="1951"/>
      <c r="B70" s="1946" t="s">
        <v>11876</v>
      </c>
      <c r="C70" s="1947"/>
      <c r="D70" s="1957"/>
      <c r="E70" s="1947"/>
      <c r="F70" s="1951"/>
    </row>
    <row r="71">
      <c r="A71" s="1951"/>
      <c r="B71" s="1933" t="s">
        <v>11879</v>
      </c>
      <c r="C71" s="1934"/>
      <c r="D71" s="1934"/>
      <c r="E71" s="1934"/>
      <c r="F71" s="1935"/>
    </row>
    <row r="72">
      <c r="A72" s="1951"/>
      <c r="B72" s="1936"/>
      <c r="C72" s="1937"/>
      <c r="D72" s="1937"/>
      <c r="E72" s="1937"/>
      <c r="F72" s="1938"/>
    </row>
    <row r="73">
      <c r="A73" s="1951"/>
      <c r="B73" s="1958" t="s">
        <v>11919</v>
      </c>
      <c r="C73" s="1934"/>
      <c r="D73" s="1934"/>
      <c r="E73" s="1934"/>
      <c r="F73" s="1935"/>
    </row>
    <row r="74">
      <c r="A74" s="1951"/>
      <c r="B74" s="1936"/>
      <c r="C74" s="1937"/>
      <c r="D74" s="1937"/>
      <c r="E74" s="1937"/>
      <c r="F74" s="1938"/>
    </row>
    <row r="75">
      <c r="A75" s="1951"/>
      <c r="B75" s="1940" t="s">
        <v>11862</v>
      </c>
      <c r="C75" s="1941" t="s">
        <v>4352</v>
      </c>
      <c r="D75" s="1955" t="s">
        <v>11920</v>
      </c>
      <c r="E75" s="1941" t="s">
        <v>11864</v>
      </c>
      <c r="F75" s="1956">
        <v>44246.0</v>
      </c>
    </row>
    <row r="76">
      <c r="A76" s="1951"/>
      <c r="B76" s="1944" t="s">
        <v>11866</v>
      </c>
      <c r="C76" s="1941" t="s">
        <v>11909</v>
      </c>
      <c r="D76" s="1955" t="s">
        <v>11921</v>
      </c>
      <c r="E76" s="1941" t="s">
        <v>11911</v>
      </c>
      <c r="F76" s="1956">
        <v>43637.0</v>
      </c>
    </row>
    <row r="77">
      <c r="A77" s="1951"/>
      <c r="B77" s="1945" t="s">
        <v>11869</v>
      </c>
      <c r="C77" s="1947"/>
      <c r="D77" s="1957"/>
      <c r="E77" s="1947"/>
      <c r="F77" s="1951"/>
    </row>
    <row r="78">
      <c r="A78" s="1951"/>
      <c r="B78" s="1946" t="s">
        <v>11872</v>
      </c>
      <c r="C78" s="1947"/>
      <c r="D78" s="1957"/>
      <c r="E78" s="1947"/>
      <c r="F78" s="1951"/>
    </row>
    <row r="79">
      <c r="A79" s="1951"/>
      <c r="B79" s="1946" t="s">
        <v>11876</v>
      </c>
      <c r="C79" s="1947"/>
      <c r="D79" s="1957"/>
      <c r="E79" s="1947"/>
      <c r="F79" s="1951"/>
    </row>
    <row r="80">
      <c r="A80" s="1951"/>
      <c r="B80" s="1958" t="s">
        <v>11922</v>
      </c>
      <c r="C80" s="1934"/>
      <c r="D80" s="1934"/>
      <c r="E80" s="1934"/>
      <c r="F80" s="1935"/>
    </row>
    <row r="81">
      <c r="A81" s="1951"/>
      <c r="B81" s="1936"/>
      <c r="C81" s="1937"/>
      <c r="D81" s="1937"/>
      <c r="E81" s="1937"/>
      <c r="F81" s="1938"/>
    </row>
    <row r="82">
      <c r="A82" s="1951"/>
      <c r="B82" s="1940" t="s">
        <v>11862</v>
      </c>
      <c r="C82" s="1941" t="s">
        <v>6418</v>
      </c>
      <c r="D82" s="1955" t="s">
        <v>11923</v>
      </c>
      <c r="E82" s="1941" t="s">
        <v>11864</v>
      </c>
      <c r="F82" s="1956">
        <v>43592.0</v>
      </c>
    </row>
    <row r="83">
      <c r="A83" s="1951"/>
      <c r="B83" s="1944" t="s">
        <v>11866</v>
      </c>
      <c r="C83" s="1941" t="s">
        <v>11924</v>
      </c>
      <c r="D83" s="1955" t="s">
        <v>11925</v>
      </c>
      <c r="E83" s="1941" t="s">
        <v>11864</v>
      </c>
      <c r="F83" s="1956">
        <v>43396.0</v>
      </c>
    </row>
    <row r="84">
      <c r="A84" s="1951"/>
      <c r="B84" s="1945" t="s">
        <v>11869</v>
      </c>
      <c r="C84" s="1947"/>
      <c r="D84" s="1957"/>
      <c r="E84" s="1947"/>
      <c r="F84" s="1951"/>
    </row>
    <row r="85">
      <c r="A85" s="1951"/>
      <c r="B85" s="1946" t="s">
        <v>11872</v>
      </c>
      <c r="C85" s="1947"/>
      <c r="D85" s="1957"/>
      <c r="E85" s="1947"/>
      <c r="F85" s="1951"/>
    </row>
    <row r="86">
      <c r="A86" s="1951"/>
      <c r="B86" s="1946" t="s">
        <v>11876</v>
      </c>
      <c r="C86" s="1947"/>
      <c r="D86" s="1957"/>
      <c r="E86" s="1947"/>
      <c r="F86" s="1951"/>
    </row>
    <row r="87">
      <c r="A87" s="1951"/>
      <c r="B87" s="1933" t="s">
        <v>11881</v>
      </c>
      <c r="C87" s="1934"/>
      <c r="D87" s="1934"/>
      <c r="E87" s="1934"/>
      <c r="F87" s="1935"/>
    </row>
    <row r="88">
      <c r="A88" s="1951"/>
      <c r="B88" s="1936"/>
      <c r="C88" s="1937"/>
      <c r="D88" s="1937"/>
      <c r="E88" s="1937"/>
      <c r="F88" s="1938"/>
    </row>
    <row r="89">
      <c r="A89" s="1951"/>
      <c r="B89" s="1940" t="s">
        <v>11862</v>
      </c>
      <c r="C89" s="1959" t="s">
        <v>436</v>
      </c>
      <c r="D89" s="1955" t="s">
        <v>11926</v>
      </c>
      <c r="E89" s="1941" t="s">
        <v>11864</v>
      </c>
      <c r="F89" s="1956">
        <v>43457.0</v>
      </c>
    </row>
    <row r="90">
      <c r="A90" s="1951"/>
      <c r="B90" s="1944" t="s">
        <v>11866</v>
      </c>
      <c r="C90" s="1941" t="s">
        <v>2461</v>
      </c>
      <c r="D90" s="1960" t="s">
        <v>11927</v>
      </c>
      <c r="E90" s="1941" t="s">
        <v>11864</v>
      </c>
      <c r="F90" s="1956">
        <v>43925.0</v>
      </c>
    </row>
    <row r="91">
      <c r="A91" s="1951"/>
      <c r="B91" s="1945" t="s">
        <v>11869</v>
      </c>
      <c r="C91" s="1941" t="s">
        <v>4804</v>
      </c>
      <c r="D91" s="1955" t="s">
        <v>11928</v>
      </c>
      <c r="E91" s="1941" t="s">
        <v>11897</v>
      </c>
      <c r="F91" s="1956">
        <v>43433.0</v>
      </c>
    </row>
    <row r="92">
      <c r="A92" s="1951"/>
      <c r="B92" s="1946" t="s">
        <v>11872</v>
      </c>
      <c r="C92" s="1947"/>
      <c r="D92" s="1957"/>
      <c r="E92" s="1947"/>
      <c r="F92" s="1951"/>
    </row>
    <row r="93">
      <c r="A93" s="1951"/>
      <c r="B93" s="1946" t="s">
        <v>11876</v>
      </c>
      <c r="C93" s="1947"/>
      <c r="D93" s="1957"/>
      <c r="E93" s="1947"/>
      <c r="F93" s="1951"/>
    </row>
    <row r="94">
      <c r="A94" s="1951"/>
      <c r="B94" s="1933" t="s">
        <v>11883</v>
      </c>
      <c r="C94" s="1934"/>
      <c r="D94" s="1934"/>
      <c r="E94" s="1934"/>
      <c r="F94" s="1935"/>
    </row>
    <row r="95">
      <c r="A95" s="1951"/>
      <c r="B95" s="1936"/>
      <c r="C95" s="1937"/>
      <c r="D95" s="1937"/>
      <c r="E95" s="1937"/>
      <c r="F95" s="1938"/>
    </row>
    <row r="96">
      <c r="A96" s="1951"/>
      <c r="B96" s="1958" t="s">
        <v>11929</v>
      </c>
      <c r="C96" s="1934"/>
      <c r="D96" s="1934"/>
      <c r="E96" s="1934"/>
      <c r="F96" s="1935"/>
    </row>
    <row r="97">
      <c r="A97" s="1951"/>
      <c r="B97" s="1936"/>
      <c r="C97" s="1937"/>
      <c r="D97" s="1937"/>
      <c r="E97" s="1937"/>
      <c r="F97" s="1938"/>
    </row>
    <row r="98">
      <c r="A98" s="1951"/>
      <c r="B98" s="1940" t="s">
        <v>11862</v>
      </c>
      <c r="C98" s="1941" t="s">
        <v>11904</v>
      </c>
      <c r="D98" s="1955" t="s">
        <v>11930</v>
      </c>
      <c r="E98" s="1941" t="s">
        <v>11864</v>
      </c>
      <c r="F98" s="1956">
        <v>43862.0</v>
      </c>
    </row>
    <row r="99">
      <c r="A99" s="1951"/>
      <c r="B99" s="1944" t="s">
        <v>11866</v>
      </c>
      <c r="C99" s="1947"/>
      <c r="D99" s="1957"/>
      <c r="E99" s="1947"/>
      <c r="F99" s="1951"/>
    </row>
    <row r="100">
      <c r="A100" s="1951"/>
      <c r="B100" s="1945" t="s">
        <v>11869</v>
      </c>
      <c r="C100" s="1947"/>
      <c r="D100" s="1957"/>
      <c r="E100" s="1947"/>
      <c r="F100" s="1951"/>
    </row>
    <row r="101">
      <c r="A101" s="1951"/>
      <c r="B101" s="1946" t="s">
        <v>11872</v>
      </c>
      <c r="C101" s="1947"/>
      <c r="D101" s="1957"/>
      <c r="E101" s="1947"/>
      <c r="F101" s="1951"/>
    </row>
    <row r="102">
      <c r="A102" s="1951"/>
      <c r="B102" s="1946" t="s">
        <v>11876</v>
      </c>
      <c r="C102" s="1947"/>
      <c r="D102" s="1957"/>
      <c r="E102" s="1947"/>
      <c r="F102" s="1951"/>
    </row>
    <row r="103">
      <c r="A103" s="1951"/>
      <c r="B103" s="1958" t="s">
        <v>11931</v>
      </c>
      <c r="C103" s="1934"/>
      <c r="D103" s="1934"/>
      <c r="E103" s="1934"/>
      <c r="F103" s="1935"/>
    </row>
    <row r="104">
      <c r="A104" s="1951"/>
      <c r="B104" s="1936"/>
      <c r="C104" s="1937"/>
      <c r="D104" s="1937"/>
      <c r="E104" s="1937"/>
      <c r="F104" s="1938"/>
    </row>
    <row r="105">
      <c r="A105" s="1951"/>
      <c r="B105" s="1940" t="s">
        <v>11862</v>
      </c>
      <c r="C105" s="1941" t="s">
        <v>11904</v>
      </c>
      <c r="D105" s="1955" t="s">
        <v>11932</v>
      </c>
      <c r="E105" s="1941" t="s">
        <v>11864</v>
      </c>
      <c r="F105" s="1956">
        <v>43862.0</v>
      </c>
    </row>
    <row r="106">
      <c r="A106" s="1951"/>
      <c r="B106" s="1944" t="s">
        <v>11866</v>
      </c>
      <c r="C106" s="1961" t="s">
        <v>6335</v>
      </c>
      <c r="D106" s="1955" t="s">
        <v>11933</v>
      </c>
      <c r="E106" s="1941" t="s">
        <v>11911</v>
      </c>
      <c r="F106" s="1956">
        <v>43630.0</v>
      </c>
    </row>
    <row r="107">
      <c r="A107" s="1951"/>
      <c r="B107" s="1945" t="s">
        <v>11869</v>
      </c>
      <c r="C107" s="1947"/>
      <c r="D107" s="1957"/>
      <c r="E107" s="1947"/>
      <c r="F107" s="1951"/>
    </row>
    <row r="108">
      <c r="A108" s="1951"/>
      <c r="B108" s="1946" t="s">
        <v>11872</v>
      </c>
      <c r="C108" s="1947"/>
      <c r="D108" s="1957"/>
      <c r="E108" s="1947"/>
      <c r="F108" s="1951"/>
    </row>
    <row r="109">
      <c r="A109" s="1951"/>
      <c r="B109" s="1946" t="s">
        <v>11876</v>
      </c>
      <c r="C109" s="1947"/>
      <c r="D109" s="1957"/>
      <c r="E109" s="1947"/>
      <c r="F109" s="1951"/>
    </row>
    <row r="110">
      <c r="A110" s="1951"/>
      <c r="B110" s="1933" t="s">
        <v>11886</v>
      </c>
      <c r="C110" s="1934"/>
      <c r="D110" s="1934"/>
      <c r="E110" s="1934"/>
      <c r="F110" s="1935"/>
    </row>
    <row r="111">
      <c r="A111" s="1951"/>
      <c r="B111" s="1936"/>
      <c r="C111" s="1937"/>
      <c r="D111" s="1937"/>
      <c r="E111" s="1937"/>
      <c r="F111" s="1938"/>
    </row>
    <row r="112">
      <c r="A112" s="1951"/>
      <c r="B112" s="1940" t="s">
        <v>11862</v>
      </c>
      <c r="C112" s="1941" t="s">
        <v>5377</v>
      </c>
      <c r="D112" s="1955" t="s">
        <v>11934</v>
      </c>
      <c r="E112" s="1941" t="s">
        <v>11874</v>
      </c>
      <c r="F112" s="1956">
        <v>44132.0</v>
      </c>
    </row>
    <row r="113">
      <c r="A113" s="1951"/>
      <c r="B113" s="1944" t="s">
        <v>11866</v>
      </c>
      <c r="C113" s="1947"/>
      <c r="D113" s="1957"/>
      <c r="E113" s="1947"/>
      <c r="F113" s="1951"/>
    </row>
    <row r="114">
      <c r="A114" s="1951"/>
      <c r="B114" s="1945" t="s">
        <v>11869</v>
      </c>
      <c r="C114" s="1947"/>
      <c r="D114" s="1957"/>
      <c r="E114" s="1947"/>
      <c r="F114" s="1951"/>
    </row>
    <row r="115">
      <c r="A115" s="1951"/>
      <c r="B115" s="1946" t="s">
        <v>11872</v>
      </c>
      <c r="C115" s="1947"/>
      <c r="D115" s="1957"/>
      <c r="E115" s="1947"/>
      <c r="F115" s="1951"/>
    </row>
    <row r="116">
      <c r="A116" s="1951"/>
      <c r="B116" s="1946" t="s">
        <v>11876</v>
      </c>
      <c r="C116" s="1947"/>
      <c r="D116" s="1957"/>
      <c r="E116" s="1947"/>
      <c r="F116" s="1951"/>
    </row>
    <row r="117">
      <c r="A117" s="1951"/>
      <c r="B117" s="1933" t="s">
        <v>11889</v>
      </c>
      <c r="C117" s="1934"/>
      <c r="D117" s="1934"/>
      <c r="E117" s="1934"/>
      <c r="F117" s="1935"/>
    </row>
    <row r="118">
      <c r="A118" s="1951"/>
      <c r="B118" s="1936"/>
      <c r="C118" s="1937"/>
      <c r="D118" s="1937"/>
      <c r="E118" s="1937"/>
      <c r="F118" s="1938"/>
    </row>
    <row r="119">
      <c r="A119" s="1951"/>
      <c r="B119" s="1940" t="s">
        <v>11862</v>
      </c>
      <c r="C119" s="1941" t="s">
        <v>6397</v>
      </c>
      <c r="D119" s="1955" t="s">
        <v>11935</v>
      </c>
      <c r="E119" s="1941" t="s">
        <v>11864</v>
      </c>
      <c r="F119" s="1956">
        <v>43741.0</v>
      </c>
    </row>
    <row r="120">
      <c r="A120" s="1951"/>
      <c r="B120" s="1944" t="s">
        <v>11866</v>
      </c>
      <c r="C120" s="1941" t="s">
        <v>11936</v>
      </c>
      <c r="D120" s="1955" t="s">
        <v>11937</v>
      </c>
      <c r="E120" s="1941" t="s">
        <v>11897</v>
      </c>
      <c r="F120" s="1956">
        <v>43748.0</v>
      </c>
    </row>
    <row r="121">
      <c r="A121" s="1951"/>
      <c r="B121" s="1945" t="s">
        <v>11869</v>
      </c>
      <c r="C121" s="1941" t="s">
        <v>2191</v>
      </c>
      <c r="D121" s="1955" t="s">
        <v>11938</v>
      </c>
      <c r="E121" s="1941" t="s">
        <v>11911</v>
      </c>
      <c r="F121" s="1956">
        <v>43729.0</v>
      </c>
    </row>
    <row r="122">
      <c r="A122" s="1951"/>
      <c r="B122" s="1946" t="s">
        <v>11872</v>
      </c>
      <c r="C122" s="1959" t="s">
        <v>436</v>
      </c>
      <c r="D122" s="1955" t="s">
        <v>11939</v>
      </c>
      <c r="E122" s="1941" t="s">
        <v>11864</v>
      </c>
      <c r="F122" s="1956">
        <v>44470.0</v>
      </c>
    </row>
    <row r="123">
      <c r="A123" s="1951"/>
      <c r="B123" s="1946" t="s">
        <v>11876</v>
      </c>
      <c r="C123" s="1941" t="s">
        <v>5377</v>
      </c>
      <c r="D123" s="1955" t="s">
        <v>11940</v>
      </c>
      <c r="E123" s="1941" t="s">
        <v>11874</v>
      </c>
      <c r="F123" s="1956">
        <v>44020.0</v>
      </c>
    </row>
    <row r="124">
      <c r="A124" s="1962" t="s">
        <v>11941</v>
      </c>
      <c r="B124" s="1933" t="s">
        <v>11890</v>
      </c>
      <c r="C124" s="1934"/>
      <c r="D124" s="1934"/>
      <c r="E124" s="1934"/>
      <c r="F124" s="1935"/>
    </row>
    <row r="125">
      <c r="A125" s="1962" t="s">
        <v>11942</v>
      </c>
      <c r="B125" s="1936"/>
      <c r="C125" s="1937"/>
      <c r="D125" s="1937"/>
      <c r="E125" s="1937"/>
      <c r="F125" s="1938"/>
    </row>
    <row r="126">
      <c r="A126" s="1963"/>
      <c r="B126" s="1940" t="s">
        <v>11862</v>
      </c>
      <c r="C126" s="1941" t="s">
        <v>1052</v>
      </c>
      <c r="D126" s="1964">
        <v>0.06525462962962963</v>
      </c>
      <c r="E126" s="1941" t="s">
        <v>11874</v>
      </c>
      <c r="F126" s="1943">
        <v>44652.0</v>
      </c>
    </row>
    <row r="127">
      <c r="A127" s="1963"/>
      <c r="B127" s="1944" t="s">
        <v>11866</v>
      </c>
      <c r="C127" s="1941" t="s">
        <v>4134</v>
      </c>
      <c r="D127" s="1964">
        <v>0.06892361111111112</v>
      </c>
      <c r="E127" s="1941" t="s">
        <v>11874</v>
      </c>
      <c r="F127" s="1943">
        <v>44652.0</v>
      </c>
    </row>
    <row r="128">
      <c r="A128" s="1963"/>
      <c r="B128" s="1945" t="s">
        <v>11869</v>
      </c>
      <c r="C128" s="1950" t="s">
        <v>5480</v>
      </c>
      <c r="D128" s="1965">
        <v>0.07195601851851852</v>
      </c>
      <c r="E128" s="1950" t="s">
        <v>11874</v>
      </c>
      <c r="F128" s="1956">
        <v>44652.0</v>
      </c>
    </row>
    <row r="129">
      <c r="A129" s="1963"/>
      <c r="B129" s="1946" t="s">
        <v>11872</v>
      </c>
      <c r="C129" s="1947" t="s">
        <v>11943</v>
      </c>
      <c r="D129" s="1966">
        <v>0.07211805555555556</v>
      </c>
      <c r="E129" s="1967" t="s">
        <v>11944</v>
      </c>
      <c r="F129" s="1956">
        <v>44652.0</v>
      </c>
    </row>
    <row r="130">
      <c r="A130" s="1963"/>
      <c r="B130" s="1946" t="s">
        <v>11876</v>
      </c>
      <c r="C130" s="1947"/>
      <c r="D130" s="1947"/>
      <c r="E130" s="1947"/>
      <c r="F130" s="1947"/>
    </row>
    <row r="131">
      <c r="A131" s="1968"/>
      <c r="B131" s="1933" t="s">
        <v>11891</v>
      </c>
      <c r="C131" s="1934"/>
      <c r="D131" s="1934"/>
      <c r="E131" s="1934"/>
      <c r="F131" s="1935"/>
    </row>
    <row r="132">
      <c r="A132" s="1963"/>
      <c r="B132" s="1936"/>
      <c r="C132" s="1937"/>
      <c r="D132" s="1937"/>
      <c r="E132" s="1937"/>
      <c r="F132" s="1938"/>
    </row>
    <row r="133">
      <c r="A133" s="1963"/>
      <c r="B133" s="1940" t="s">
        <v>11862</v>
      </c>
      <c r="C133" s="1941" t="s">
        <v>2461</v>
      </c>
      <c r="D133" s="1969" t="s">
        <v>11945</v>
      </c>
      <c r="E133" s="1941" t="s">
        <v>11864</v>
      </c>
      <c r="F133" s="1943">
        <v>45152.0</v>
      </c>
    </row>
    <row r="134">
      <c r="A134" s="1963"/>
      <c r="B134" s="1944" t="s">
        <v>11866</v>
      </c>
      <c r="C134" s="1941" t="s">
        <v>4266</v>
      </c>
      <c r="D134" s="1969" t="s">
        <v>11946</v>
      </c>
      <c r="E134" s="1941" t="s">
        <v>11864</v>
      </c>
      <c r="F134" s="1943">
        <v>44866.0</v>
      </c>
    </row>
    <row r="135">
      <c r="A135" s="1963"/>
      <c r="B135" s="1945" t="s">
        <v>11869</v>
      </c>
      <c r="C135" s="1947"/>
      <c r="D135" s="1966"/>
      <c r="E135" s="1967"/>
      <c r="F135" s="1956"/>
    </row>
    <row r="136">
      <c r="A136" s="1963"/>
      <c r="B136" s="1946" t="s">
        <v>11872</v>
      </c>
      <c r="C136" s="1947"/>
      <c r="D136" s="1966"/>
      <c r="E136" s="1967"/>
      <c r="F136" s="1956"/>
    </row>
    <row r="137">
      <c r="A137" s="1963"/>
      <c r="B137" s="1946" t="s">
        <v>11876</v>
      </c>
      <c r="C137" s="1947"/>
      <c r="D137" s="1947"/>
      <c r="E137" s="1947"/>
      <c r="F137" s="1947"/>
    </row>
    <row r="138">
      <c r="A138" s="1963"/>
      <c r="B138" s="1933" t="s">
        <v>11947</v>
      </c>
      <c r="C138" s="1934"/>
      <c r="D138" s="1934"/>
      <c r="E138" s="1934"/>
      <c r="F138" s="1935"/>
    </row>
    <row r="139">
      <c r="A139" s="1963"/>
      <c r="B139" s="1936"/>
      <c r="C139" s="1937"/>
      <c r="D139" s="1937"/>
      <c r="E139" s="1937"/>
      <c r="F139" s="1938"/>
    </row>
    <row r="140">
      <c r="A140" s="1963"/>
      <c r="B140" s="1940" t="s">
        <v>11862</v>
      </c>
      <c r="C140" s="1941" t="s">
        <v>2461</v>
      </c>
      <c r="D140" s="1970">
        <v>0.1396990740740741</v>
      </c>
      <c r="E140" s="1941" t="s">
        <v>11864</v>
      </c>
      <c r="F140" s="1943">
        <v>45998.0</v>
      </c>
    </row>
    <row r="141">
      <c r="A141" s="1963"/>
      <c r="B141" s="1944" t="s">
        <v>11866</v>
      </c>
      <c r="C141" s="1941"/>
      <c r="D141" s="1971"/>
      <c r="E141" s="1941"/>
      <c r="F141" s="1943"/>
    </row>
    <row r="142">
      <c r="A142" s="1963"/>
      <c r="B142" s="1945" t="s">
        <v>11869</v>
      </c>
      <c r="C142" s="1947"/>
      <c r="D142" s="1966"/>
      <c r="E142" s="1967"/>
      <c r="F142" s="1956"/>
    </row>
    <row r="143">
      <c r="A143" s="1963"/>
      <c r="B143" s="1946" t="s">
        <v>11872</v>
      </c>
      <c r="C143" s="1947"/>
      <c r="D143" s="1966"/>
      <c r="E143" s="1967"/>
      <c r="F143" s="1956"/>
    </row>
    <row r="144">
      <c r="A144" s="1963"/>
      <c r="B144" s="1946" t="s">
        <v>11876</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