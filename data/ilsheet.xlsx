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<sst xmlns="http://schemas.openxmlformats.org/spreadsheetml/2006/main" count="28431" uniqueCount="11982">
  <si>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</si>
  <si>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</si>
  <si>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</si>
  <si>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</si>
  <si>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</si>
  <si>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</si>
  <si>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</si>
  <si>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</si>
  <si>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</si>
  <si>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</si>
  <si>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</si>
  <si>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</si>
  <si>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</si>
  <si>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</si>
  <si>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</si>
  <si>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</si>
  <si>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</si>
  <si>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</si>
  <si>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</si>
  <si>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</si>
  <si>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</si>
  <si>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</si>
  <si>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</si>
  <si>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</si>
  <si>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</si>
  <si>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</si>
  <si>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</si>
  <si>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</si>
  <si>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</si>
  <si>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</si>
  <si>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</si>
  <si>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</si>
  <si>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</si>
  <si>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</si>
  <si>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</si>
  <si>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</si>
  <si>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</si>
  <si>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</si>
  <si>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</si>
  <si>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</si>
  <si>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</si>
  <si>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</si>
  <si>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</si>
  <si>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</si>
  <si>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</si>
  <si>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</si>
  <si>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</si>
  <si>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</si>
  <si>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</si>
  <si>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</si>
  <si>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</si>
  <si>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</si>
  <si>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</si>
  <si>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</si>
  <si>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</si>
  <si>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</si>
  <si>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</si>
  <si>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</si>
  <si>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</si>
  <si>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</si>
  <si>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</si>
  <si>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</si>
  <si>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</si>
  <si>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</si>
  <si>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</si>
  <si>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</si>
  <si>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</si>
  <si>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</si>
  <si>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</si>
  <si>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</si>
  <si>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</si>
  <si>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</si>
  <si>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</si>
  <si>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</si>
  <si>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</si>
  <si>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</si>
  <si>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</si>
  <si>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</si>
  <si>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</si>
  <si>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</si>
  <si>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</si>
  <si>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</si>
  <si>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</si>
  <si>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</si>
  <si>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</si>
  <si>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</si>
  <si>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</si>
  <si>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</si>
  <si>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</si>
  <si>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</si>
  <si>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</si>
  <si>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</si>
  <si>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</si>
  <si>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</si>
  <si>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</si>
  <si>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</si>
  <si>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</si>
  <si>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</si>
  <si>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</si>
  <si>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</si>
  <si>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</si>
  <si>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</si>
  <si>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</si>
  <si>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</si>
  <si>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</si>
  <si>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</si>
  <si>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</si>
  <si>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</si>
  <si>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</si>
  <si>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</si>
  <si>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</si>
  <si>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</si>
  <si>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</si>
  <si>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</si>
  <si>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</si>
  <si>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</si>
  <si>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</si>
  <si>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</si>
  <si>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</si>
  <si>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</si>
  <si>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</si>
  <si>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</si>
  <si>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</si>
  <si>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</si>
  <si>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</si>
  <si>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</si>
  <si>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</si>
  <si>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</si>
  <si>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</si>
  <si>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</si>
  <si>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</si>
  <si>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</si>
  <si>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</si>
  <si>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</si>
  <si>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</si>
  <si>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</si>
  <si>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</si>
  <si>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</si>
  <si>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</si>
  <si>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</si>
  <si>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</si>
  <si>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</si>
  <si>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</si>
  <si>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</si>
  <si>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</si>
  <si>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</si>
  <si>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</si>
  <si>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</si>
  <si>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</si>
  <si>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</si>
  <si>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</si>
  <si>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</si>
  <si>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</si>
  <si>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</si>
  <si>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</si>
  <si>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</si>
  <si>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</si>
  <si>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</si>
  <si>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</si>
  <si>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</si>
  <si>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</si>
  <si>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</si>
  <si>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</si>
  <si>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</si>
  <si>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</si>
  <si>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</si>
  <si>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</si>
  <si>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</si>
  <si>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</si>
  <si>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</si>
  <si>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</si>
  <si>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</si>
  <si>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</si>
  <si>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</si>
  <si>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</si>
  <si>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</si>
  <si>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</si>
  <si>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</si>
  <si>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</si>
  <si>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</si>
  <si>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</si>
  <si>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</si>
  <si>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</si>
  <si>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</si>
  <si>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</si>
  <si>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</si>
  <si>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</si>
  <si>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</si>
  <si>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</si>
  <si>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</si>
  <si>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</si>
  <si>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</si>
  <si>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</si>
  <si>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</si>
  <si>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</si>
  <si>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</si>
  <si>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</si>
  <si>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</si>
  <si>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</si>
  <si>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</si>
  <si>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</si>
  <si>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</si>
  <si>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</si>
  <si>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</si>
  <si>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</si>
  <si>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</si>
  <si>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</si>
  <si>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</si>
  <si>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</si>
  <si>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</si>
  <si>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</si>
  <si>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</si>
  <si>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</si>
  <si>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</si>
  <si>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</si>
  <si>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</si>
  <si>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</si>
  <si>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</si>
  <si>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</si>
  <si>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</si>
  <si>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</si>
  <si>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</si>
  <si>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</si>
  <si>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</si>
  <si>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</si>
  <si>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</si>
  <si>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</si>
  <si>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</si>
  <si>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</si>
  <si>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</si>
  <si>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</si>
  <si>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</si>
  <si>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</si>
  <si>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</si>
  <si>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</si>
  <si>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</si>
  <si>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</si>
  <si>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</si>
  <si>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</si>
  <si>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</si>
  <si>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</si>
  <si>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</si>
  <si>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</si>
  <si>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</si>
  <si>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</si>
  <si>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</si>
  <si>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</si>
  <si>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</si>
  <si>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</si>
  <si>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</si>
  <si>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</si>
  <si>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</si>
  <si>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</si>
  <si>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</si>
  <si>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</si>
  <si>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</si>
  <si>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</si>
  <si>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</si>
  <si>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</si>
  <si>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</si>
  <si>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</si>
  <si>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</si>
  <si>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</si>
  <si>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</si>
  <si>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</si>
  <si>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</si>
  <si>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</si>
  <si>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</si>
  <si>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</si>
  <si>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</si>
  <si>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</si>
  <si>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</si>
  <si>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</si>
  <si>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</si>
  <si>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</si>
  <si>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</si>
  <si>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</si>
  <si>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</si>
  <si>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</si>
  <si>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</si>
  <si>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</si>
  <si>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</si>
  <si>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</si>
  <si>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</si>
  <si>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</si>
  <si>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</si>
  <si>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</si>
  <si>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</si>
  <si>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</si>
  <si>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</si>
  <si>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</si>
  <si>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</si>
  <si>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</si>
  <si>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</si>
  <si>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</si>
  <si>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</si>
  <si>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</si>
  <si>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</si>
  <si>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</si>
  <si>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</si>
  <si>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</si>
  <si>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</si>
  <si>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</si>
  <si>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</si>
  <si>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</si>
  <si>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</si>
  <si>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</si>
  <si>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</si>
  <si>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</si>
  <si>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</si>
  <si>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</si>
  <si>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</si>
  <si>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</si>
  <si>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</si>
  <si>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</si>
  <si>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</si>
  <si>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</si>
  <si>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</si>
  <si>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</si>
  <si>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</si>
  <si>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</si>
  <si>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</si>
  <si>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</si>
  <si>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</si>
  <si>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</si>
  <si>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</si>
  <si>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</si>
  <si>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</si>
  <si>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</si>
  <si>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</si>
  <si>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</si>
  <si>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10043</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</si>
  <si>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</si>
  <si>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</si>
  <si>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</si>
  <si>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</si>
  <si>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</si>
  <si>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</si>
  <si>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</si>
  <si>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</si>
  <si>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</si>
  <si>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</si>
  <si>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</si>
  <si>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</si>
  <si>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</si>
  <si>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</si>
  <si>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</si>
  <si>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</si>
  <si>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</si>
  <si>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</si>
  <si>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</si>
  <si>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</si>
  <si>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</si>
  <si>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</si>
  <si>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</si>
  <si>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</si>
  <si>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</si>
  <si>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</si>
  <si>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</si>
  <si>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</si>
  <si>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</si>
  <si>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</si>
  <si>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</si>
  <si>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</si>
  <si>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</si>
  <si>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</si>
  <si>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</si>
  <si>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</si>
  <si>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</si>
  <si>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</si>
  <si>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</si>
  <si>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</si>
  <si>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</si>
  <si>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</si>
  <si>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</si>
  <si>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</si>
  <si>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</si>
  <si>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</si>
  <si>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</si>
  <si>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</si>
  <si>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</si>
  <si>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</si>
  <si>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</si>
  <si>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</si>
  <si>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</si>
  <si>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</si>
  <si>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</si>
  <si>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</si>
  <si>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</si>
  <si>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</si>
  <si>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</si>
  <si>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</si>
  <si>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</si>
  <si>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</si>
  <si>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</si>
  <si>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</si>
  <si>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</si>
  <si>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</si>
  <si>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</si>
  <si>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</si>
  <si>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</si>
  <si>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</si>
  <si>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</si>
  <si>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</si>
  <si>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</si>
  <si>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</si>
  <si>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</si>
  <si>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</si>
  <si>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</si>
  <si>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</si>
  <si>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</si>
  <si>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</si>
  <si>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</si>
  <si>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</si>
  <si>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</si>
  <si>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</si>
  <si>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</si>
  <si>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</si>
  <si>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</si>
  <si>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</si>
  <si>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</si>
  <si>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</si>
  <si>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</si>
  <si>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</si>
  <si>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</si>
  <si>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</si>
  <si>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</si>
  <si>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</si>
  <si>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</si>
  <si>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</si>
  <si>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</si>
  <si>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</si>
  <si>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</si>
  <si>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</si>
  <si>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</si>
  <si>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</si>
  <si>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</si>
  <si>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</si>
  <si>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</si>
  <si>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</si>
  <si>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</si>
  <si>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</si>
  <si>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</si>
  <si>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</si>
  <si>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</si>
  <si>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</si>
  <si>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</si>
  <si>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</si>
  <si>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</si>
  <si>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</si>
  <si>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</si>
  <si>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</si>
  <si>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</si>
  <si>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</si>
  <si>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</si>
  <si>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</si>
  <si>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</si>
  <si>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</si>
  <si>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</si>
  <si>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</si>
  <si>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</si>
  <si>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</si>
  <si>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</si>
  <si>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</si>
  <si>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</si>
  <si>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</si>
  <si>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</si>
  <si>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</si>
  <si>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</si>
  <si>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</si>
  <si>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</si>
  <si>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</si>
  <si>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</si>
  <si>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</si>
  <si>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</si>
  <si>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</si>
  <si>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</si>
  <si>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</si>
  <si>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</si>
  <si>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</si>
  <si>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</si>
  <si>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</si>
  <si>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</si>
  <si>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</si>
  <si>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</si>
  <si>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</si>
  <si>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</si>
  <si>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</si>
  <si>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</si>
  <si>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</si>
  <si>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</si>
  <si>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</si>
  <si>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</si>
  <si>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</si>
  <si>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</si>
  <si>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</si>
  <si>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</si>
  <si>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</si>
  <si>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</si>
  <si>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</si>
  <si>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</si>
  <si>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</si>
  <si>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</si>
  <si>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</si>
  <si>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</si>
  <si>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</si>
  <si>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</si>
  <si>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</si>
  <si>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</si>
  <si>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</si>
  <si>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</si>
  <si>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</si>
  <si>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</si>
  <si>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</si>
  <si>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</si>
  <si>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</si>
  <si>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</si>
  <si>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</si>
  <si>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</si>
  <si>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</si>
  <si>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</si>
  <si>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</si>
  <si>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</si>
  <si>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</si>
  <si>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</si>
  <si>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</si>
  <si>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</si>
  <si>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</si>
  <si>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</si>
  <si>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</si>
  <si>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</si>
  <si>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</si>
  <si>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</si>
  <si>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</si>
  <si>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</si>
  <si>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</si>
  <si>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</si>
  <si>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</si>
  <si>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</si>
  <si>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</si>
  <si>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</si>
  <si>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</si>
  <si>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</si>
  <si>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</si>
  <si>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</si>
  <si>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</si>
  <si>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</si>
  <si>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</si>
  <si>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</si>
  <si>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</si>
  <si>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</si>
  <si>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</si>
  <si>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</si>
  <si>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</si>
  <si>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</si>
  <si>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</si>
  <si>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</si>
  <si>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</si>
  <si>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</si>
  <si>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</si>
  <si>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</si>
  <si>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</si>
  <si>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</si>
  <si>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</si>
  <si>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</si>
  <si>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</si>
  <si>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</si>
  <si>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</si>
  <si>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</si>
  <si>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</si>
  <si>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</si>
  <si>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</si>
  <si>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</si>
  <si>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</si>
  <si>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</si>
  <si>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</si>
  <si>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</si>
  <si>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</si>
  <si>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</si>
  <si>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</si>
  <si>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</si>
  <si>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</si>
  <si>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</si>
  <si>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</si>
  <si>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</si>
  <si>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</si>
  <si>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</si>
  <si>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</si>
  <si>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</si>
  <si>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</si>
  <si>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</si>
  <si>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</si>
  <si>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</si>
  <si>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</si>
  <si>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</si>
  <si>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</si>
  <si>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</si>
  <si>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</si>
  <si>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</si>
  <si>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</si>
  <si>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</si>
  <si>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</si>
  <si>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</si>
  <si>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</si>
  <si>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</si>
  <si>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</si>
  <si>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</si>
  <si>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</si>
  <si>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</si>
  <si>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</si>
  <si>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</si>
  <si>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</si>
  <si>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</si>
  <si>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</si>
  <si>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</si>
  <si>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</si>
  <si>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</si>
  <si>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</si>
  <si>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</si>
  <si>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</si>
  <si>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</si>
  <si>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</si>
  <si>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</si>
  <si>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</si>
  <si>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</si>
  <si>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</si>
  <si>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</si>
  <si>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</si>
  <si>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</si>
  <si>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</si>
  <si>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</si>
  <si>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</si>
  <si>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</si>
  <si>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</si>
  <si>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</si>
  <si>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</si>
  <si>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</si>
  <si>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</si>
  <si>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</si>
  <si>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</si>
  <si>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</si>
  <si>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</si>
  <si>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</si>
  <si>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</si>
  <si>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</si>
  <si>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</si>
  <si>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</si>
  <si>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</si>
  <si>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</si>
  <si>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</si>
  <si>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</si>
  <si>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</si>
  <si>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</si>
  <si>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</si>
  <si>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</si>
  <si>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</si>
  <si>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</si>
  <si>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</si>
  <si>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</si>
  <si>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</si>
  <si>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</si>
  <si>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</si>
  <si>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</si>
  <si>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</si>
  <si>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</si>
  <si>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</si>
  <si>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</si>
  <si>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</si>
  <si>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</si>
  <si>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</si>
  <si>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</si>
  <si>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</si>
  <si>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</si>
  <si>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</si>
  <si>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</si>
  <si>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</si>
  <si>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</si>
  <si>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</si>
  <si>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</si>
  <si>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</si>
  <si>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</si>
  <si>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</si>
  <si>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</si>
  <si>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</si>
  <si>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</si>
  <si>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</si>
  <si>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</si>
  <si>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</si>
  <si>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</si>
  <si>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</si>
  <si>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</si>
  <si>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</si>
  <si>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</si>
  <si>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</si>
  <si>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</si>
  <si>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</si>
  <si>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</si>
  <si>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</si>
  <si>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</si>
  <si>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</si>
  <si>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</si>
  <si>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</si>
  <si>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</si>
  <si>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</si>
  <si>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</si>
  <si>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</si>
  <si>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</si>
  <si>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</si>
  <si>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</si>
  <si>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</si>
  <si>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</si>
  <si>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</si>
  <si>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</si>
  <si>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</si>
  <si>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</si>
  <si>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</si>
  <si>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</si>
  <si>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</si>
  <si>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</si>
  <si>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</si>
  <si>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</si>
  <si>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</si>
  <si>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</si>
  <si>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</si>
  <si>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</si>
  <si>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</si>
  <si>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</si>
  <si>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</si>
  <si>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</si>
  <si>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</si>
  <si>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</si>
  <si>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</si>
  <si>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</si>
  <si>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</si>
  <si>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</si>
  <si>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</si>
  <si>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</si>
  <si>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</si>
  <si>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</si>
  <si>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</si>
  <si>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</si>
  <si>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</si>
  <si>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</si>
  <si>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</si>
  <si>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</si>
  <si>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</si>
  <si>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</si>
  <si>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</si>
  <si>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</si>
  <si>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</si>
  <si>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</si>
  <si>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</si>
  <si>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</si>
  <si>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</si>
  <si>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</si>
  <si>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</si>
  <si>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</si>
  <si>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</si>
  <si>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</si>
  <si>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</si>
  <si>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</si>
  <si>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</si>
  <si>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</si>
  <si>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</si>
  <si>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</si>
  <si>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</si>
  <si>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</si>
  <si>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</si>
  <si>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</si>
  <si>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</si>
  <si>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</si>
  <si>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</si>
  <si>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</si>
  <si>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</si>
  <si>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</si>
  <si>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</si>
  <si>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</si>
  <si>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</si>
  <si>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</si>
  <si>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</si>
  <si>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</si>
  <si>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</si>
  <si>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</si>
  <si>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</si>
  <si>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</si>
  <si>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</si>
  <si>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</si>
  <si>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</si>
  <si>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</si>
  <si>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</si>
  <si>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</si>
  <si>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</si>
  <si>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</si>
  <si>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</si>
  <si>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</si>
  <si>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</si>
  <si>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</si>
  <si>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</si>
  <si>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</si>
  <si>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</si>
  <si>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</si>
  <si>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</si>
  <si>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</si>
  <si>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</si>
  <si>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</si>
  <si>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</si>
  <si>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</si>
  <si>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</si>
  <si>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</si>
  <si>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</si>
  <si>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</si>
  <si>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</si>
  <si>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</si>
  <si>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</si>
  <si>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</si>
  <si>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</si>
  <si>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</si>
  <si>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</si>
  <si>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</si>
  <si>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</si>
  <si>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</si>
  <si>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</si>
  <si>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</si>
  <si>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</si>
  <si>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</si>
  <si>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</si>
  <si>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</si>
  <si>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</si>
  <si>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</si>
  <si>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</si>
  <si>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</si>
  <si>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</si>
  <si>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</si>
  <si>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</si>
  <si>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</si>
  <si>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</si>
  <si>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</si>
  <si>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</si>
  <si>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</si>
  <si>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</si>
  <si>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</si>
  <si>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</si>
  <si>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</si>
  <si>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</si>
  <si>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</si>
  <si>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</si>
  <si>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</si>
  <si>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</si>
  <si>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</si>
  <si>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</si>
  <si>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</si>
  <si>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</si>
  <si>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</si>
  <si>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</si>
  <si>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</si>
  <si>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</si>
  <si>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</si>
  <si>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</si>
  <si>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</si>
  <si>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</si>
  <si>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</si>
  <si>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</si>
  <si>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</si>
  <si>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</si>
  <si>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</si>
  <si>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</si>
  <si>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</si>
  <si>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</si>
  <si>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</si>
  <si>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</si>
  <si>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</si>
  <si>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</si>
  <si>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</si>
  <si>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</si>
  <si>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</si>
  <si>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</si>
  <si>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</si>
  <si>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</si>
  <si>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</si>
  <si>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</si>
  <si>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</si>
  <si>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</si>
  <si>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</si>
  <si>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</si>
  <si>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</si>
  <si>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</si>
  <si>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</si>
  <si>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</si>
  <si>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</si>
  <si>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</si>
  <si>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</si>
  <si>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</si>
  <si>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</si>
  <si>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</si>
  <si>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</si>
  <si>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</si>
  <si>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</si>
  <si>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</si>
  <si>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</si>
  <si>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</si>
  <si>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</si>
  <si>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</si>
  <si>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</si>
  <si>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</si>
  <si>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</si>
  <si>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</si>
  <si>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</si>
  <si>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</si>
  <si>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</si>
  <si>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</si>
  <si>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</si>
  <si>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</si>
  <si>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</si>
  <si>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</si>
  <si>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</si>
  <si>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</si>
  <si>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</si>
  <si>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</si>
  <si>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</si>
  <si>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</si>
  <si>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</si>
  <si>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</si>
  <si>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</si>
  <si>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</si>
  <si>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</si>
  <si>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</si>
  <si>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</si>
  <si>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</si>
  <si>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</si>
  <si>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</si>
  <si>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</si>
  <si>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</si>
  <si>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</si>
  <si>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</si>
  <si>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</si>
  <si>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</si>
  <si>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</si>
  <si>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</si>
  <si>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</si>
  <si>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</si>
  <si>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</si>
  <si>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</si>
  <si>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</si>
  <si>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</si>
  <si>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</si>
  <si>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</si>
  <si>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</si>
  <si>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</si>
  <si>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</si>
  <si>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</si>
  <si>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</si>
  <si>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</si>
  <si>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</si>
  <si>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</si>
  <si>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</si>
  <si>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</si>
  <si>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</si>
  <si>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</si>
  <si>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</si>
  <si>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</si>
  <si>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</si>
  <si>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</si>
  <si>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</si>
  <si>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</si>
  <si>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</si>
  <si>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</si>
  <si>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</si>
  <si>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</si>
  <si>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</si>
  <si>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</si>
  <si>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</si>
  <si>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</si>
  <si>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</si>
  <si>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</si>
  <si>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</si>
  <si>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</si>
  <si>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</si>
  <si>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</si>
  <si>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</si>
  <si>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</si>
  <si>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</si>
  <si>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</si>
  <si>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</si>
  <si>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</si>
  <si>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</si>
  <si>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</si>
  <si>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</si>
  <si>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</si>
  <si>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</si>
  <si>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</si>
  <si>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</si>
  <si>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</si>
  <si>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</si>
  <si>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</si>
  <si>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</si>
  <si>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</si>
  <si>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</si>
  <si>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</si>
  <si>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</si>
  <si>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</si>
  <si>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</si>
  <si>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</si>
  <si>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</si>
  <si>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</si>
  <si>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</si>
  <si>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</si>
  <si>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</si>
  <si>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</si>
  <si>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</si>
  <si>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</si>
  <si>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</si>
  <si>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</si>
  <si>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</si>
  <si>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</si>
  <si>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</si>
  <si>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</si>
  <si>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</si>
  <si>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</si>
  <si>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</si>
  <si>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</si>
  <si>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</si>
  <si>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</si>
  <si>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</si>
  <si>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</si>
  <si>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</si>
  <si>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</si>
  <si>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</si>
  <si>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</si>
  <si>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</si>
  <si>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</si>
  <si>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</si>
  <si>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</si>
  <si>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</si>
  <si>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</si>
  <si>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</si>
  <si>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</si>
  <si>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</si>
  <si>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</si>
  <si>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</si>
  <si>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</si>
  <si>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</si>
  <si>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</si>
  <si>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</si>
  <si>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</si>
  <si>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</si>
  <si>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</si>
  <si>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</si>
  <si>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</si>
  <si>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</si>
  <si>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</si>
  <si>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</si>
  <si>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</si>
  <si>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</si>
  <si>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</si>
  <si>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</si>
  <si>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</si>
  <si>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</si>
  <si>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</si>
  <si>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</si>
  <si>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</si>
  <si>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</si>
  <si>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</si>
  <si>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</si>
  <si>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</si>
  <si>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</si>
  <si>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</si>
  <si>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</si>
  <si>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</si>
  <si>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</si>
  <si>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</si>
  <si>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</si>
  <si>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</si>
  <si>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</si>
  <si>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</si>
  <si>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</si>
  <si>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</si>
  <si>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</si>
  <si>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</si>
  <si>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</si>
  <si>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</si>
  <si>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</si>
  <si>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</si>
  <si>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</si>
  <si>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</si>
  <si>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</si>
  <si>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</si>
  <si>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</si>
  <si>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</si>
  <si>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</si>
  <si>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</si>
  <si>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</si>
  <si>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</si>
  <si>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</si>
  <si>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</si>
  <si>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</si>
  <si>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</si>
  <si>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</si>
  <si>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</si>
  <si>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</si>
  <si>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</si>
  <si>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</si>
  <si>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</si>
  <si>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</si>
  <si>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</si>
  <si>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</si>
  <si>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</si>
  <si>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</si>
  <si>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</si>
  <si>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</si>
  <si>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</si>
  <si>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</si>
  <si>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</si>
  <si>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</si>
  <si>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</si>
  <si>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</si>
  <si>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</si>
  <si>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</si>
  <si>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</si>
  <si>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</si>
  <si>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</si>
  <si>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</si>
  <si>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</si>
  <si>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</si>
  <si>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</si>
  <si>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</si>
  <si>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</si>
  <si>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</si>
  <si>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</si>
  <si>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</si>
  <si>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</si>
  <si>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</si>
  <si>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</si>
  <si>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</si>
  <si>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</si>
  <si>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</si>
  <si>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</si>
  <si>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</si>
  <si>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</si>
  <si>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</si>
  <si>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</si>
  <si>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</si>
  <si>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</si>
  <si>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</si>
  <si>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</si>
  <si>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</si>
  <si>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</si>
  <si>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</si>
  <si>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</si>
  <si>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</si>
  <si>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</si>
  <si>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</si>
  <si>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</si>
  <si>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</si>
  <si>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</si>
  <si>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</si>
  <si>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</si>
  <si>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</si>
  <si>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</si>
  <si>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</si>
  <si>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</si>
  <si>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</si>
  <si>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</si>
  <si>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</si>
  <si>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</si>
  <si>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</si>
  <si>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</si>
  <si>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</si>
  <si>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</si>
  <si>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</si>
  <si>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</si>
  <si>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</si>
  <si>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</si>
  <si>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</si>
  <si>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</si>
  <si>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</si>
  <si>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</si>
  <si>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</si>
  <si>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</si>
  <si>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</si>
  <si>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</si>
  <si>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</si>
  <si>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</si>
  <si>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</si>
  <si>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</si>
  <si>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</si>
  <si>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</si>
  <si>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</si>
  <si>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</si>
  <si>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</si>
  <si>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</si>
  <si>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</si>
  <si>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</si>
  <si>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</si>
  <si>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</si>
  <si>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</si>
  <si>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</si>
  <si>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</si>
  <si>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</si>
  <si>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</si>
  <si>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</si>
  <si>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</si>
  <si>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</si>
  <si>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</si>
  <si>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</si>
  <si>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</si>
  <si>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</si>
  <si>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</si>
  <si>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</si>
  <si>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</si>
  <si>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</si>
  <si>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</si>
  <si>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</si>
  <si>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</si>
  <si>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</si>
  <si>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</si>
  <si>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</si>
  <si>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</si>
  <si>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</si>
  <si>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</si>
  <si>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</si>
  <si>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</si>
  <si>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</si>
  <si>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</si>
  <si>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</si>
  <si>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</si>
  <si>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</si>
  <si>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</si>
  <si>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</si>
  <si>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</si>
  <si>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</si>
  <si>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</si>
  <si>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</si>
  <si>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</si>
  <si>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</si>
  <si>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</si>
  <si>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</si>
  <si>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</si>
  <si>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</si>
  <si>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</si>
  <si>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</si>
  <si>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</si>
  <si>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</si>
  <si>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</si>
  <si>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</si>
  <si>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</si>
  <si>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</si>
  <si>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</si>
  <si>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</si>
  <si>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</si>
  <si>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</si>
  <si>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</si>
  <si>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</si>
  <si>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</si>
  <si>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</si>
  <si>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</si>
  <si>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</si>
  <si>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</si>
  <si>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</si>
  <si>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</si>
  <si>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</si>
  <si>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</si>
  <si>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</si>
  <si>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</si>
  <si>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</si>
  <si>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</si>
  <si>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</si>
  <si>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</si>
  <si>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</si>
  <si>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</si>
  <si>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</si>
  <si>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</si>
  <si>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</si>
  <si>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</si>
  <si>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</si>
  <si>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</si>
  <si>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</si>
  <si>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</si>
  <si>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</si>
  <si>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</si>
  <si>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</si>
  <si>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</si>
  <si>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</si>
  <si>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</si>
  <si>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</si>
  <si>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</si>
  <si>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</si>
  <si>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</si>
  <si>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</si>
  <si>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</si>
  <si>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</si>
  <si>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</si>
  <si>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</si>
  <si>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</si>
  <si>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</si>
  <si>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</si>
  <si>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</si>
  <si>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</si>
  <si>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</si>
  <si>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</si>
  <si>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</si>
  <si>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</si>
  <si>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</si>
  <si>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</si>
  <si>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</si>
  <si>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</si>
  <si>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</si>
  <si>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</si>
  <si>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</si>
  <si>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</si>
  <si>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</si>
  <si>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</si>
  <si>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</si>
  <si>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</si>
  <si>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</si>
  <si>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</si>
  <si>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</si>
  <si>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</si>
  <si>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</si>
  <si>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</si>
  <si>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</si>
  <si>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</si>
  <si>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</si>
  <si>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</si>
  <si>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</si>
  <si>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</si>
  <si>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</si>
  <si>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</si>
  <si>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</si>
  <si>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</si>
  <si>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</si>
  <si>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</si>
  <si>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</si>
  <si>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</si>
  <si>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</si>
  <si>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</si>
  <si>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</si>
  <si>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</si>
  <si>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</si>
  <si>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</si>
  <si>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</si>
  <si>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</si>
  <si>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</si>
  <si>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</si>
  <si>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</si>
  <si>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</si>
  <si>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</si>
  <si>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</si>
  <si>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</si>
  <si>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</si>
  <si>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</si>
  <si>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</si>
  <si>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</si>
  <si>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</si>
  <si>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</si>
  <si>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</si>
  <si>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</si>
  <si>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</si>
  <si>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</si>
  <si>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</si>
  <si>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</si>
  <si>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</si>
  <si>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</si>
  <si>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</si>
  <si>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</si>
  <si>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</si>
  <si>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</si>
  <si>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</si>
  <si>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</si>
  <si>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</si>
  <si>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</si>
  <si>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</si>
  <si>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</si>
  <si>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</si>
  <si>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</si>
  <si>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</si>
  <si>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</si>
  <si>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</si>
  <si>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</si>
  <si>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</si>
  <si>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</si>
  <si>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</si>
  <si>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</si>
  <si>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</si>
  <si>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</si>
  <si>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</si>
  <si>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</si>
  <si>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</si>
  <si>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</si>
  <si>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</si>
  <si>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</si>
  <si>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</si>
  <si>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</si>
  <si>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</si>
  <si>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</si>
  <si>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</si>
  <si>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</si>
  <si>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</si>
  <si>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</si>
  <si>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</si>
  <si>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</si>
  <si>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</si>
  <si>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</si>
  <si>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</si>
  <si>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</si>
  <si>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</si>
  <si>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</si>
  <si>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</si>
  <si>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</si>
  <si>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</si>
  <si>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</si>
  <si>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</si>
  <si>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</si>
  <si>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</si>
  <si>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</si>
  <si>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</si>
  <si>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</si>
  <si>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</si>
  <si>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</si>
  <si>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</si>
  <si>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</si>
  <si>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</si>
  <si>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</si>
  <si>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</si>
  <si>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</si>
  <si>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</si>
  <si>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</si>
  <si>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</si>
  <si>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</si>
  <si>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</si>
  <si>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</si>
  <si>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</si>
  <si>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</si>
  <si>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</si>
  <si>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</si>
  <si>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</si>
  <si>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</si>
  <si>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</si>
  <si>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</si>
  <si>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</si>
  <si>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</si>
  <si>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</si>
  <si>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</si>
  <si>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</si>
  <si>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</si>
  <si>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</si>
  <si>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</si>
  <si>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</si>
  <si>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</si>
  <si>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</si>
  <si>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</si>
  <si>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</si>
  <si>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</si>
  <si>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</si>
  <si>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</si>
  <si>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</si>
  <si>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</si>
  <si>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</si>
  <si>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</si>
  <si>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</si>
  <si>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</si>
  <si>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</si>
  <si>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</si>
  <si>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</si>
  <si>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</si>
  <si>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</si>
  <si>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</si>
  <si>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</si>
  <si>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</si>
  <si>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</si>
  <si>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</si>
  <si>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</si>
  <si>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</si>
  <si>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</si>
  <si>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</si>
  <si>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</si>
  <si>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</si>
  <si>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</si>
  <si>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</si>
  <si>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</si>
  <si>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</si>
  <si>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</si>
  <si>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</si>
  <si>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</si>
  <si>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</si>
  <si>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</si>
  <si>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</si>
  <si>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</si>
  <si>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</si>
  <si>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</si>
  <si>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</si>
  <si>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</si>
  <si>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</si>
  <si>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</si>
  <si>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</si>
  <si>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</si>
  <si>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</si>
  <si>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</si>
  <si>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</si>
  <si>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</si>
  <si>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</si>
  <si>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</si>
  <si>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</si>
  <si>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</si>
  <si>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</si>
  <si>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</si>
  <si>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</si>
  <si>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</si>
  <si>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</si>
  <si>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</si>
  <si>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</si>
  <si>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</si>
  <si>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</si>
  <si>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</si>
  <si>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</si>
  <si>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</si>
  <si>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</si>
  <si>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</si>
  <si>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</si>
  <si>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</si>
  <si>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</si>
  <si>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</si>
  <si>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</si>
  <si>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</si>
  <si>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</si>
  <si>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</si>
  <si>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</si>
  <si>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</si>
  <si>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</si>
  <si>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</si>
  <si>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</si>
  <si>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</si>
  <si>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</si>
  <si>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</si>
  <si>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</si>
  <si>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</si>
  <si>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</si>
  <si>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</si>
  <si>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</si>
  <si>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</si>
  <si>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</si>
  <si>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</si>
  <si>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</si>
  <si>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</si>
  <si>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</si>
  <si>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</si>
  <si>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</si>
  <si>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</si>
  <si>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</si>
  <si>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</si>
  <si>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</si>
  <si>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</si>
  <si>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</si>
  <si>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</si>
  <si>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</si>
  <si>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</si>
  <si>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</si>
  <si>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</si>
  <si>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</si>
  <si>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</si>
  <si>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</si>
  <si>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</si>
  <si>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</si>
  <si>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</si>
  <si>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</si>
  <si>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</si>
  <si>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</si>
  <si>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</si>
  <si>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</si>
  <si>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</si>
  <si>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</si>
  <si>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</si>
  <si>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</si>
  <si>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</si>
  <si>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</si>
  <si>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</si>
  <si>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</si>
  <si>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</si>
  <si>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</si>
  <si>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</si>
  <si>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</si>
  <si>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</si>
  <si>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</si>
  <si>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</si>
  <si>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</si>
  <si>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</si>
  <si>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</si>
  <si>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</si>
  <si>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</si>
  <si>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</si>
  <si>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</si>
  <si>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</si>
  <si>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</si>
  <si>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</si>
  <si>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</si>
  <si>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</si>
  <si>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</si>
  <si>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</si>
  <si>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</si>
  <si>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</si>
  <si>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</si>
  <si>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</si>
  <si>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</si>
  <si>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</si>
  <si>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</si>
  <si>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</si>
  <si>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</si>
  <si>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</si>
  <si>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</si>
  <si>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</si>
  <si>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</si>
  <si>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</si>
  <si>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</si>
  <si>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</si>
  <si>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</si>
  <si>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</si>
  <si>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</si>
  <si>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</si>
  <si>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</si>
  <si>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</si>
  <si>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</si>
  <si>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</si>
  <si>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</si>
  <si>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</si>
  <si>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</si>
  <si>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</si>
  <si>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</si>
  <si>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</si>
  <si>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</si>
  <si>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</si>
  <si>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</si>
  <si>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</si>
  <si>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</si>
  <si>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</si>
  <si>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</si>
  <si>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</si>
  <si>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</si>
  <si>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</si>
  <si>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</si>
  <si>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</si>
  <si>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</si>
  <si>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</si>
  <si>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</si>
  <si>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</si>
  <si>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</si>
  <si>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</si>
  <si>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</si>
  <si>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</si>
  <si>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</si>
  <si>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</si>
  <si>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</si>
  <si>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</si>
  <si>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</si>
  <si>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</si>
  <si>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</si>
  <si>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</si>
  <si>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</si>
  <si>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</si>
  <si>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</si>
  <si>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</si>
  <si>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</si>
  <si>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</si>
  <si>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</si>
  <si>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</si>
  <si>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</si>
  <si>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</si>
  <si>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</si>
  <si>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</si>
  <si>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</si>
  <si>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</si>
  <si>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</si>
  <si>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</si>
  <si>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</si>
  <si>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</si>
  <si>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</si>
  <si>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</si>
  <si>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</si>
  <si>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</si>
  <si>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</si>
  <si>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</si>
  <si>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</si>
  <si>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</si>
  <si>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</si>
  <si>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</si>
  <si>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</si>
  <si>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</si>
  <si>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</si>
  <si>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</si>
  <si>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</si>
  <si>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</si>
  <si>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</si>
  <si>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</si>
  <si>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</si>
  <si>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</si>
  <si>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</si>
  <si>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</si>
  <si>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</si>
  <si>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</si>
  <si>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</si>
  <si>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</si>
  <si>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</si>
  <si>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</si>
  <si>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</si>
  <si>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</si>
  <si>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</si>
  <si>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</si>
  <si>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</si>
  <si>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</si>
  <si>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</si>
  <si>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</si>
  <si>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</si>
  <si>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</si>
  <si>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</si>
  <si>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</si>
  <si>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</si>
  <si>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</si>
  <si>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</si>
  <si>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</si>
  <si>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</si>
  <si>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</si>
  <si>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</si>
  <si>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</si>
  <si>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</si>
  <si>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</si>
  <si>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</si>
  <si>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</si>
  <si>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</si>
  <si>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</si>
  <si>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</si>
  <si>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</si>
  <si>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</si>
  <si>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</si>
  <si>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</si>
  <si>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</si>
  <si>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</si>
  <si>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</si>
  <si>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</si>
  <si>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</si>
  <si>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</si>
  <si>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</si>
  <si>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</si>
  <si>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</si>
  <si>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</si>
  <si>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</si>
  <si>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</si>
  <si>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</si>
  <si>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</si>
  <si>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</si>
  <si>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</si>
  <si>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</si>
  <si>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</si>
  <si>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</si>
  <si>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</si>
  <si>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</si>
  <si>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</si>
  <si>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</si>
  <si>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</si>
  <si>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</si>
  <si>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</si>
  <si>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</si>
  <si>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</si>
  <si>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</si>
  <si>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</si>
  <si>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</si>
  <si>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</si>
  <si>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</si>
  <si>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</si>
  <si>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</si>
  <si>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</si>
  <si>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</si>
  <si>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</si>
  <si>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</si>
  <si>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</si>
  <si>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</si>
  <si>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</si>
  <si>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</si>
  <si>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</si>
  <si>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</si>
  <si>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</si>
  <si>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</si>
  <si>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</si>
  <si>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</si>
  <si>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</si>
  <si>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</si>
  <si>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</si>
  <si>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</si>
  <si>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</si>
  <si>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</si>
  <si>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</si>
  <si>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</si>
  <si>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</si>
  <si>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</si>
  <si>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</si>
  <si>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</si>
  <si>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</si>
  <si>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</si>
  <si>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</si>
  <si>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</si>
  <si>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</si>
  <si>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</si>
  <si>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</si>
  <si>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</si>
  <si>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</si>
  <si>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</si>
  <si>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</si>
  <si>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</si>
  <si>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</si>
  <si>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</si>
  <si>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</si>
  <si>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7801</t>
  </si>
  <si>
    <t>52</t>
  </si>
  <si>
    <t>97</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</si>
  <si>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</si>
  <si>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</si>
  <si>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</si>
  <si>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</si>
  <si>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</si>
  <si>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</si>
  <si>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</si>
  <si>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</si>
  <si>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</si>
  <si>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</si>
  <si>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</si>
  <si>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</si>
  <si>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</si>
  <si>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</si>
  <si>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</si>
  <si>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</si>
  <si>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</si>
  <si>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</si>
  <si>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</si>
  <si>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</si>
  <si>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</si>
  <si>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</si>
  <si>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</si>
  <si>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</si>
  <si>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</si>
  <si>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</si>
  <si>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</si>
  <si>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</si>
  <si>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</si>
  <si>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</si>
  <si>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</si>
  <si>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</si>
  <si>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</si>
  <si>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</si>
  <si>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</si>
  <si>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</si>
  <si>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</si>
  <si>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</si>
  <si>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</si>
  <si>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</si>
  <si>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</si>
  <si>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</si>
  <si>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</si>
  <si>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</si>
  <si>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</si>
  <si>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</si>
  <si>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</si>
  <si>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</si>
  <si>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</si>
  <si>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</si>
  <si>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</si>
  <si>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</si>
  <si>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</si>
  <si>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</si>
  <si>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</si>
  <si>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</si>
  <si>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</si>
  <si>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</si>
  <si>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</si>
  <si>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</si>
  <si>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</si>
  <si>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</si>
  <si>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</si>
  <si>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</si>
  <si>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</si>
  <si>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</si>
  <si>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</si>
  <si>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</si>
  <si>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</si>
  <si>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</si>
  <si>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</si>
  <si>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</si>
  <si>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</si>
  <si>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</si>
  <si>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</si>
  <si>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</si>
  <si>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</si>
  <si>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</si>
  <si>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</si>
  <si>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</si>
  <si>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</si>
  <si>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</si>
  <si>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</si>
  <si>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</si>
  <si>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</si>
  <si>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</si>
  <si>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</si>
  <si>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</si>
  <si>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</si>
  <si>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</si>
  <si>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</si>
  <si>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</si>
  <si>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</si>
  <si>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</si>
  <si>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</si>
  <si>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</si>
  <si>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</si>
  <si>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</si>
  <si>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</si>
  <si>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</si>
  <si>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</si>
  <si>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</si>
  <si>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</si>
  <si>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</si>
  <si>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</si>
  <si>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</si>
  <si>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</si>
  <si>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</si>
  <si>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</si>
  <si>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</si>
  <si>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</si>
  <si>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</si>
  <si>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</si>
  <si>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</si>
  <si>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</si>
  <si>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</si>
  <si>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</si>
  <si>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</si>
  <si>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</si>
  <si>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</si>
  <si>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</si>
  <si>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</si>
  <si>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</si>
  <si>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</si>
  <si>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</si>
  <si>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</si>
  <si>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</si>
  <si>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</si>
  <si>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</si>
  <si>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</si>
  <si>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</si>
  <si>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</si>
  <si>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</si>
  <si>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</si>
  <si>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</si>
  <si>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</si>
  <si>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</si>
  <si>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</si>
  <si>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</si>
  <si>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</si>
  <si>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</si>
  <si>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</si>
  <si>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</si>
  <si>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</si>
  <si>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</si>
  <si>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</si>
  <si>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</si>
  <si>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</si>
  <si>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</si>
  <si>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</si>
  <si>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</si>
  <si>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</si>
  <si>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</si>
  <si>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</si>
  <si>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</si>
  <si>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</si>
  <si>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</si>
  <si>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</si>
  <si>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</si>
  <si>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</si>
  <si>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</si>
  <si>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</si>
  <si>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</si>
  <si>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</si>
  <si>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</si>
  <si>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</si>
  <si>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</si>
  <si>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</si>
  <si>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</si>
  <si>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</si>
  <si>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</si>
  <si>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</si>
  <si>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</si>
  <si>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</si>
  <si>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</si>
  <si>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</si>
  <si>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</si>
  <si>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</si>
  <si>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</si>
  <si>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</si>
  <si>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</si>
  <si>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</si>
  <si>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</si>
  <si>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</si>
  <si>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</si>
  <si>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</si>
  <si>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</si>
  <si>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</si>
  <si>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</si>
  <si>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</si>
  <si>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</si>
  <si>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</si>
  <si>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</si>
  <si>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</si>
  <si>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</si>
  <si>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</si>
  <si>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</si>
  <si>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</si>
  <si>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</si>
  <si>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</si>
  <si>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</si>
  <si>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</si>
  <si>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</si>
  <si>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</si>
  <si>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</si>
  <si>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</si>
  <si>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</si>
  <si>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</si>
  <si>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</si>
  <si>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</si>
  <si>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</si>
  <si>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</si>
  <si>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</si>
  <si>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</si>
  <si>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</si>
  <si>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</si>
  <si>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</si>
  <si>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</si>
  <si>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</si>
  <si>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</si>
  <si>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</si>
  <si>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</si>
  <si>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</si>
  <si>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</si>
  <si>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</si>
  <si>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</si>
  <si>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</si>
  <si>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</si>
  <si>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</si>
  <si>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</si>
  <si>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</si>
  <si>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</si>
  <si>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</si>
  <si>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</si>
  <si>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</si>
  <si>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</si>
  <si>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</si>
  <si>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</si>
  <si>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</si>
  <si>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</si>
  <si>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</si>
  <si>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</si>
  <si>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</si>
  <si>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</si>
  <si>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</si>
  <si>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</si>
  <si>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</si>
  <si>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</si>
  <si>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</si>
  <si>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</si>
  <si>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</si>
  <si>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</si>
  <si>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</si>
  <si>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</si>
  <si>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</si>
  <si>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</si>
  <si>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</si>
  <si>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</si>
  <si>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</si>
  <si>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</si>
  <si>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</si>
  <si>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</si>
  <si>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</si>
  <si>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</si>
  <si>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</si>
  <si>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</si>
  <si>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</si>
  <si>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</si>
  <si>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</si>
  <si>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</si>
  <si>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</si>
  <si>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</si>
  <si>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</si>
  <si>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</si>
  <si>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</si>
  <si>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</si>
  <si>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</si>
  <si>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7336</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</si>
  <si>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</si>
  <si>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</si>
  <si>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</si>
  <si>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</si>
  <si>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</si>
  <si>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</si>
  <si>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</si>
  <si>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</si>
  <si>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</si>
  <si>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</si>
  <si>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</si>
  <si>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</si>
  <si>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</si>
  <si>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</si>
  <si>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</si>
  <si>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</si>
  <si>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</si>
  <si>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</si>
  <si>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</si>
  <si>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</si>
  <si>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</si>
  <si>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</si>
  <si>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</si>
  <si>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</si>
  <si>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</si>
  <si>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</si>
  <si>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</si>
  <si>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</si>
  <si>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</si>
  <si>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</si>
  <si>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</si>
  <si>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</si>
  <si>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</si>
  <si>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</si>
  <si>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</si>
  <si>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</si>
  <si>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</si>
  <si>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</si>
  <si>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</si>
  <si>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</si>
  <si>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</si>
  <si>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</si>
  <si>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</si>
  <si>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</si>
  <si>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</si>
  <si>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</si>
  <si>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</si>
  <si>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</si>
  <si>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</si>
  <si>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</si>
  <si>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</si>
  <si>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</si>
  <si>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</si>
  <si>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</si>
  <si>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</si>
  <si>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</si>
  <si>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</si>
  <si>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</si>
  <si>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</si>
  <si>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</si>
  <si>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</si>
  <si>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</si>
  <si>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</si>
  <si>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</si>
  <si>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</si>
  <si>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</si>
  <si>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</si>
  <si>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</si>
  <si>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</si>
  <si>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</si>
  <si>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</si>
  <si>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</si>
  <si>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</si>
  <si>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</si>
  <si>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</si>
  <si>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</si>
  <si>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</si>
  <si>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</si>
  <si>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</si>
  <si>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</si>
  <si>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</si>
  <si>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</si>
  <si>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</si>
  <si>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</si>
  <si>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</si>
  <si>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</si>
  <si>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</si>
  <si>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</si>
  <si>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</si>
  <si>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</si>
  <si>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</si>
  <si>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</si>
  <si>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</si>
  <si>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</si>
  <si>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</si>
  <si>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</si>
  <si>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</si>
  <si>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</si>
  <si>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</si>
  <si>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</si>
  <si>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</si>
  <si>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</si>
  <si>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</si>
  <si>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</si>
  <si>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</si>
  <si>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</si>
  <si>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</si>
  <si>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</si>
  <si>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</si>
  <si>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</si>
  <si>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</si>
  <si>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</si>
  <si>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</si>
  <si>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</si>
  <si>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</si>
  <si>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</si>
  <si>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</si>
  <si>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</si>
  <si>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</si>
  <si>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</si>
  <si>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</si>
  <si>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</si>
  <si>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</si>
  <si>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</si>
  <si>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</si>
  <si>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</si>
  <si>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</si>
  <si>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</si>
  <si>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</si>
  <si>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</si>
  <si>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</si>
  <si>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</si>
  <si>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</si>
  <si>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</si>
  <si>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</si>
  <si>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</si>
  <si>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</si>
  <si>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</si>
  <si>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</si>
  <si>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</si>
  <si>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</si>
  <si>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</si>
  <si>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</si>
  <si>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</si>
  <si>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</si>
  <si>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</si>
  <si>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</si>
  <si>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</si>
  <si>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</si>
  <si>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</si>
  <si>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</si>
  <si>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</si>
  <si>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</si>
  <si>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</si>
  <si>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</si>
  <si>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</si>
  <si>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</si>
  <si>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</si>
  <si>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</si>
  <si>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</si>
  <si>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</si>
  <si>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</si>
  <si>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</si>
  <si>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</si>
  <si>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</si>
  <si>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</si>
  <si>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</si>
  <si>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</si>
  <si>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</si>
  <si>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</si>
  <si>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</si>
  <si>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</si>
  <si>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</si>
  <si>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</si>
  <si>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</si>
  <si>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</si>
  <si>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</si>
  <si>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</si>
  <si>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</si>
  <si>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</si>
  <si>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</si>
  <si>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</si>
  <si>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</si>
  <si>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</si>
  <si>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</si>
  <si>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</si>
  <si>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</si>
  <si>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</si>
  <si>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</si>
  <si>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</si>
  <si>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</si>
  <si>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</si>
  <si>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</si>
  <si>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</si>
  <si>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</si>
  <si>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</si>
  <si>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</si>
  <si>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</si>
  <si>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</si>
  <si>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</si>
  <si>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</si>
  <si>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</si>
  <si>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</si>
  <si>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</si>
  <si>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</si>
  <si>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</si>
  <si>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</si>
  <si>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</si>
  <si>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</si>
  <si>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</si>
  <si>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</si>
  <si>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</si>
  <si>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</si>
  <si>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</si>
  <si>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</si>
  <si>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</si>
  <si>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</si>
  <si>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</si>
  <si>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</si>
  <si>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</si>
  <si>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</si>
  <si>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</si>
  <si>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</si>
  <si>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</si>
  <si>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</si>
  <si>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</si>
  <si>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</si>
  <si>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</si>
  <si>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</si>
  <si>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</si>
  <si>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</si>
  <si>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</si>
  <si>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</si>
  <si>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</si>
  <si>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</si>
  <si>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</si>
  <si>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</si>
  <si>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</si>
  <si>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</si>
  <si>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</si>
  <si>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</si>
  <si>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</si>
  <si>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</si>
  <si>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</si>
  <si>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</si>
  <si>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</si>
  <si>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</si>
  <si>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</si>
  <si>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</si>
  <si>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</si>
  <si>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</si>
  <si>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</si>
  <si>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</si>
  <si>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</si>
  <si>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</si>
  <si>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</si>
  <si>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</si>
  <si>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</si>
  <si>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</si>
  <si>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</si>
  <si>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</si>
  <si>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</si>
  <si>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</si>
  <si>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</si>
  <si>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</si>
  <si>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</si>
  <si>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</si>
  <si>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</si>
  <si>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</si>
  <si>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</si>
  <si>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</si>
  <si>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</si>
  <si>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</si>
  <si>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</si>
  <si>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</si>
  <si>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</si>
  <si>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</si>
  <si>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</si>
  <si>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</si>
  <si>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</si>
  <si>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</si>
  <si>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</si>
  <si>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</si>
  <si>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</si>
  <si>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</si>
  <si>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</si>
  <si>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</si>
  <si>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</si>
  <si>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</si>
  <si>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</si>
  <si>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</si>
  <si>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</si>
  <si>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</si>
  <si>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</si>
  <si>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</si>
  <si>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</si>
  <si>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</si>
  <si>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</si>
  <si>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</si>
  <si>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</si>
  <si>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</si>
  <si>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</si>
  <si>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</si>
  <si>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</si>
  <si>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</si>
  <si>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</si>
  <si>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</si>
  <si>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</si>
  <si>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</si>
  <si>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</si>
  <si>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</si>
  <si>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</si>
  <si>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</si>
  <si>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</si>
  <si>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</si>
  <si>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</si>
  <si>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</si>
  <si>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</si>
  <si>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</si>
  <si>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</si>
  <si>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</si>
  <si>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</si>
  <si>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</si>
  <si>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</si>
  <si>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</si>
  <si>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</si>
  <si>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</si>
  <si>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</si>
  <si>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</si>
  <si>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</si>
  <si>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</si>
  <si>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</si>
  <si>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</si>
  <si>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</si>
  <si>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</si>
  <si>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</si>
  <si>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</si>
  <si>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</si>
  <si>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</si>
  <si>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</si>
  <si>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</si>
  <si>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</si>
  <si>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</si>
  <si>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</si>
  <si>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</si>
  <si>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</si>
  <si>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</si>
  <si>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</si>
  <si>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</si>
  <si>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</si>
  <si>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</si>
  <si>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</si>
  <si>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</si>
  <si>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</si>
  <si>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</si>
  <si>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</si>
  <si>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</si>
  <si>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</si>
  <si>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</si>
  <si>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</si>
  <si>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</si>
  <si>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</si>
  <si>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</si>
  <si>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</si>
  <si>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</si>
  <si>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</si>
  <si>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</si>
  <si>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</si>
  <si>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</si>
  <si>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</si>
  <si>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</si>
  <si>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</si>
  <si>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</si>
  <si>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</si>
  <si>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</si>
  <si>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</si>
  <si>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</si>
  <si>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</si>
  <si>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</si>
  <si>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</si>
  <si>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</si>
  <si>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</si>
  <si>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</si>
  <si>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</si>
  <si>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</si>
  <si>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</si>
  <si>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</si>
  <si>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</si>
  <si>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</si>
  <si>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</si>
  <si>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</si>
  <si>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</si>
  <si>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</si>
  <si>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</si>
  <si>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</si>
  <si>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</si>
  <si>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</si>
  <si>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</si>
  <si>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</si>
  <si>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</si>
  <si>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</si>
  <si>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</si>
  <si>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</si>
  <si>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</si>
  <si>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</si>
  <si>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</si>
  <si>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</si>
  <si>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</si>
  <si>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</si>
  <si>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</si>
  <si>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</si>
  <si>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</si>
  <si>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</si>
  <si>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</si>
  <si>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</si>
  <si>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</si>
  <si>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</si>
  <si>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</si>
  <si>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</si>
  <si>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</si>
  <si>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</si>
  <si>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</si>
  <si>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</si>
  <si>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</si>
  <si>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</si>
  <si>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</si>
  <si>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</si>
  <si>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</si>
  <si>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</si>
  <si>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</si>
  <si>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</si>
  <si>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</si>
  <si>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</si>
  <si>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</si>
  <si>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</si>
  <si>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</si>
  <si>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</si>
  <si>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</si>
  <si>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</si>
  <si>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</si>
  <si>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</si>
  <si>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</si>
  <si>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</si>
  <si>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</si>
  <si>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</si>
  <si>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</si>
  <si>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</si>
  <si>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</si>
  <si>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</si>
  <si>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</si>
  <si>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</si>
  <si>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</si>
  <si>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</si>
  <si>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</si>
  <si>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</si>
  <si>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</si>
  <si>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</si>
  <si>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</si>
  <si>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</si>
  <si>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</si>
  <si>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</si>
  <si>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</si>
  <si>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</si>
  <si>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</si>
  <si>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</si>
  <si>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</si>
  <si>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</si>
  <si>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</si>
  <si>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</si>
  <si>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</si>
  <si>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</si>
  <si>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</si>
  <si>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</si>
  <si>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</si>
  <si>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</si>
  <si>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</si>
  <si>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</si>
  <si>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</si>
  <si>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</si>
  <si>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</si>
  <si>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</si>
  <si>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</si>
  <si>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</si>
  <si>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</si>
  <si>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</si>
  <si>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</si>
  <si>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</si>
  <si>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</si>
  <si>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</si>
  <si>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</si>
  <si>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</si>
  <si>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</si>
  <si>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</si>
  <si>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</si>
  <si>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</si>
  <si>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</si>
  <si>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</si>
  <si>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</si>
  <si>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</si>
  <si>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</si>
  <si>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</si>
  <si>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</si>
  <si>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</si>
  <si>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</si>
  <si>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</si>
  <si>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</si>
  <si>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</si>
  <si>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</si>
  <si>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</si>
  <si>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</si>
  <si>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</si>
  <si>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</si>
  <si>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</si>
  <si>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</si>
  <si>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</si>
  <si>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</si>
  <si>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</si>
  <si>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</si>
  <si>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</si>
  <si>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</si>
  <si>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</si>
  <si>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</si>
  <si>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</si>
  <si>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</si>
  <si>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</si>
  <si>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</si>
  <si>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</si>
  <si>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</si>
  <si>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</si>
  <si>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</si>
  <si>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</si>
  <si>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</si>
  <si>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</si>
  <si>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</si>
  <si>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</si>
  <si>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</si>
  <si>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</si>
  <si>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</si>
  <si>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</si>
  <si>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</si>
  <si>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</si>
  <si>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</si>
  <si>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</si>
  <si>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</si>
  <si>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</si>
  <si>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</si>
  <si>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</si>
  <si>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</si>
  <si>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</si>
  <si>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</si>
  <si>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</si>
  <si>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</si>
  <si>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</si>
  <si>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</si>
  <si>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</si>
  <si>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</si>
  <si>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</si>
  <si>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</si>
  <si>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</si>
  <si>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</si>
  <si>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</si>
  <si>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</si>
  <si>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</si>
  <si>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</si>
  <si>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</si>
  <si>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</si>
  <si>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</si>
  <si>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</si>
  <si>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</si>
  <si>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</si>
  <si>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</si>
  <si>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</si>
  <si>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</si>
  <si>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</si>
  <si>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</si>
  <si>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</si>
  <si>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</si>
  <si>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</si>
  <si>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</si>
  <si>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</si>
  <si>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</si>
  <si>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</si>
  <si>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</si>
  <si>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</si>
  <si>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</si>
  <si>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</si>
  <si>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</si>
  <si>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</si>
  <si>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</si>
  <si>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</si>
  <si>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</si>
  <si>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</si>
  <si>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</si>
  <si>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</si>
  <si>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</si>
  <si>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</si>
  <si>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</si>
  <si>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</si>
  <si>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</si>
  <si>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</si>
  <si>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</si>
  <si>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</si>
  <si>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</si>
  <si>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</si>
  <si>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</si>
  <si>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</si>
  <si>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</si>
  <si>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</si>
  <si>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</si>
  <si>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</si>
  <si>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</si>
  <si>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</si>
  <si>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</si>
  <si>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</si>
  <si>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</si>
  <si>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</si>
  <si>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</si>
  <si>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</si>
  <si>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</si>
  <si>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</si>
  <si>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</si>
  <si>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</si>
  <si>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</si>
  <si>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</si>
  <si>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</si>
  <si>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</si>
  <si>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</si>
  <si>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</si>
  <si>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</si>
  <si>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</si>
  <si>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</si>
  <si>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</si>
  <si>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</si>
  <si>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</si>
  <si>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</si>
  <si>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</si>
  <si>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</si>
  <si>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</si>
  <si>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</si>
  <si>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</si>
  <si>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</si>
  <si>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</si>
  <si>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</si>
  <si>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</si>
  <si>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</si>
  <si>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</si>
  <si>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</si>
  <si>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</si>
  <si>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</si>
  <si>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</si>
  <si>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</si>
  <si>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</si>
  <si>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</si>
  <si>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</si>
  <si>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</si>
  <si>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</si>
  <si>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</si>
  <si>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</si>
  <si>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</si>
  <si>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</si>
  <si>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</si>
  <si>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</si>
  <si>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</si>
  <si>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</si>
  <si>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</si>
  <si>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</si>
  <si>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</si>
  <si>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</si>
  <si>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</si>
  <si>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</si>
  <si>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</si>
  <si>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</si>
  <si>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</si>
  <si>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</si>
  <si>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</si>
  <si>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</si>
  <si>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</si>
  <si>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</si>
  <si>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</si>
  <si>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</si>
  <si>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</si>
  <si>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</si>
  <si>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</si>
  <si>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</si>
  <si>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</si>
  <si>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</si>
  <si>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</si>
  <si>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</si>
  <si>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</si>
  <si>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</si>
  <si>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</si>
  <si>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</si>
  <si>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</si>
  <si>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</si>
  <si>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</si>
  <si>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</si>
  <si>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</si>
  <si>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</si>
  <si>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</si>
  <si>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</si>
  <si>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</si>
  <si>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</si>
  <si>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</si>
  <si>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</si>
  <si>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</si>
  <si>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</si>
  <si>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</si>
  <si>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</si>
  <si>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</si>
  <si>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</si>
  <si>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</si>
  <si>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</si>
  <si>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</si>
  <si>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</si>
  <si>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</si>
  <si>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</si>
  <si>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</si>
  <si>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</si>
  <si>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</si>
  <si>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</si>
  <si>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</si>
  <si>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</si>
  <si>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</si>
  <si>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</si>
  <si>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</si>
  <si>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</si>
  <si>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</si>
  <si>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</si>
  <si>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</si>
  <si>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</si>
  <si>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</si>
  <si>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</si>
  <si>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</si>
  <si>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</si>
  <si>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</si>
  <si>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</si>
  <si>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</si>
  <si>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</si>
  <si>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</si>
  <si>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</si>
  <si>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</si>
  <si>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</si>
  <si>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</si>
  <si>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</si>
  <si>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</si>
  <si>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</si>
  <si>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</si>
  <si>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</si>
  <si>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</si>
  <si>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</si>
  <si>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</si>
  <si>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</si>
  <si>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</si>
  <si>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</si>
  <si>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</si>
  <si>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</si>
  <si>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</si>
  <si>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</si>
  <si>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</si>
  <si>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</si>
  <si>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</si>
  <si>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</si>
  <si>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</si>
  <si>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</si>
  <si>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</si>
  <si>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</si>
  <si>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</si>
  <si>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</si>
  <si>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</si>
  <si>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</si>
  <si>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</si>
  <si>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</si>
  <si>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</si>
  <si>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</si>
  <si>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</si>
  <si>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</si>
  <si>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</si>
  <si>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</si>
  <si>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</si>
  <si>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</si>
  <si>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</si>
  <si>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</si>
  <si>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</si>
  <si>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</si>
  <si>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</si>
  <si>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</si>
  <si>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</si>
  <si>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</si>
  <si>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</si>
  <si>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</si>
  <si>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</si>
  <si>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</si>
  <si>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</si>
  <si>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</si>
  <si>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</si>
  <si>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</si>
  <si>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</si>
  <si>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</si>
  <si>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</si>
  <si>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</si>
  <si>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</si>
  <si>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</si>
  <si>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</si>
  <si>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</si>
  <si>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</si>
  <si>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</si>
  <si>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</si>
  <si>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</si>
  <si>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</si>
  <si>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</si>
  <si>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</si>
  <si>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</si>
  <si>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</si>
  <si>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</si>
  <si>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</si>
  <si>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</si>
  <si>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</si>
  <si>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</si>
  <si>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</si>
  <si>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</si>
  <si>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</si>
  <si>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</si>
  <si>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</si>
  <si>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</si>
  <si>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</si>
  <si>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</si>
  <si>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</si>
  <si>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</si>
  <si>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</si>
  <si>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</si>
  <si>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</si>
  <si>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</si>
  <si>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</si>
  <si>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</si>
  <si>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</si>
  <si>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</si>
  <si>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</si>
  <si>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</si>
  <si>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</si>
  <si>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</si>
  <si>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</si>
  <si>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</si>
  <si>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</si>
  <si>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</si>
  <si>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</si>
  <si>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</si>
  <si>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</si>
  <si>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</si>
  <si>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</si>
  <si>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</si>
  <si>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</si>
  <si>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</si>
  <si>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</si>
  <si>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</si>
  <si>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</si>
  <si>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</si>
  <si>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</si>
  <si>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</si>
  <si>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</si>
  <si>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</si>
  <si>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</si>
  <si>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</si>
  <si>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</si>
  <si>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</si>
  <si>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</si>
  <si>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</si>
  <si>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</si>
  <si>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</si>
  <si>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</si>
  <si>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</si>
  <si>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</si>
  <si>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</si>
  <si>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</si>
  <si>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</si>
  <si>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</si>
  <si>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</si>
  <si>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</si>
  <si>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</si>
  <si>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</si>
  <si>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</si>
  <si>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</si>
  <si>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</si>
  <si>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</si>
  <si>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</si>
  <si>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</si>
  <si>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</si>
  <si>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</si>
  <si>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</si>
  <si>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</si>
  <si>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</si>
  <si>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</si>
  <si>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</si>
  <si>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</si>
  <si>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</si>
  <si>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</si>
  <si>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</si>
  <si>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</si>
  <si>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</si>
  <si>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</si>
  <si>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</si>
  <si>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</si>
  <si>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</si>
  <si>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</si>
  <si>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</si>
  <si>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</si>
  <si>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</si>
  <si>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</si>
  <si>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</si>
  <si>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</si>
  <si>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</si>
  <si>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</si>
  <si>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</si>
  <si>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</si>
  <si>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</si>
  <si>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</si>
  <si>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</si>
  <si>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</si>
  <si>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</si>
  <si>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</si>
  <si>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</si>
  <si>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</si>
  <si>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</si>
  <si>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</si>
  <si>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</si>
  <si>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</si>
  <si>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</si>
  <si>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</si>
  <si>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</si>
  <si>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</si>
  <si>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</si>
  <si>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</si>
  <si>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</si>
  <si>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</si>
  <si>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</si>
  <si>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</si>
  <si>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</si>
  <si>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</si>
  <si>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</si>
  <si>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</si>
  <si>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</si>
  <si>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</si>
  <si>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</si>
  <si>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</si>
  <si>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</si>
  <si>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</si>
  <si>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</si>
  <si>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</si>
  <si>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</si>
  <si>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</si>
  <si>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</si>
  <si>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</si>
  <si>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</si>
  <si>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</si>
  <si>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</si>
  <si>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</si>
  <si>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</si>
  <si>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</si>
  <si>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</si>
  <si>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</si>
  <si>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</si>
  <si>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</si>
  <si>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</si>
  <si>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</si>
  <si>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</si>
  <si>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</si>
  <si>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</si>
  <si>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</si>
  <si>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</si>
  <si>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</si>
  <si>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</si>
  <si>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</si>
  <si>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</si>
  <si>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</si>
  <si>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</si>
  <si>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</si>
  <si>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</si>
  <si>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</si>
  <si>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</si>
  <si>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</si>
  <si>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</si>
  <si>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</si>
  <si>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</si>
  <si>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</si>
  <si>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</si>
  <si>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</si>
  <si>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</si>
  <si>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</si>
  <si>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</si>
  <si>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</si>
  <si>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</si>
  <si>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</si>
  <si>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</si>
  <si>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</si>
  <si>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</si>
  <si>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</si>
  <si>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</si>
  <si>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</si>
  <si>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</si>
  <si>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</si>
  <si>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</si>
  <si>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</si>
  <si>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</si>
  <si>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</si>
  <si>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</si>
  <si>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</si>
  <si>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</si>
  <si>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</si>
  <si>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</si>
  <si>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</si>
  <si>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</si>
  <si>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</si>
  <si>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</si>
  <si>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</si>
  <si>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</si>
  <si>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</si>
  <si>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</si>
  <si>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</si>
  <si>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</si>
  <si>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</si>
  <si>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</si>
  <si>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</si>
  <si>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</si>
  <si>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</si>
  <si>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</si>
  <si>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</si>
  <si>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</si>
  <si>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</si>
  <si>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</si>
  <si>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</si>
  <si>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</si>
  <si>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</si>
  <si>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</si>
  <si>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</si>
  <si>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</si>
  <si>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</si>
  <si>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</si>
  <si>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</si>
  <si>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</si>
  <si>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</si>
  <si>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</si>
  <si>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</si>
  <si>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</si>
  <si>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</si>
  <si>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</si>
  <si>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</si>
  <si>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</si>
  <si>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</si>
  <si>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</si>
  <si>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</si>
  <si>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</si>
  <si>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</si>
  <si>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</si>
  <si>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</si>
  <si>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</si>
  <si>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</si>
  <si>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</si>
  <si>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</si>
  <si>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</si>
  <si>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</si>
  <si>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</si>
  <si>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</si>
  <si>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</si>
  <si>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</si>
  <si>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</si>
  <si>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</si>
  <si>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</si>
  <si>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</si>
  <si>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</si>
  <si>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</si>
  <si>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</si>
  <si>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</si>
  <si>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</si>
  <si>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</si>
  <si>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</si>
  <si>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</si>
  <si>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</si>
  <si>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</si>
  <si>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</si>
  <si>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</si>
  <si>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</si>
  <si>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</si>
  <si>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</si>
  <si>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</si>
  <si>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</si>
  <si>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</si>
  <si>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</si>
  <si>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</si>
  <si>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</si>
  <si>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</si>
  <si>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</si>
  <si>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</si>
  <si>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</si>
  <si>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</si>
  <si>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</si>
  <si>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</si>
  <si>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</si>
  <si>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</si>
  <si>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</si>
  <si>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</si>
  <si>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</si>
  <si>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</si>
  <si>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</si>
  <si>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</si>
  <si>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</si>
  <si>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</si>
  <si>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</si>
  <si>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</si>
  <si>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</si>
  <si>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</si>
  <si>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</si>
  <si>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</si>
  <si>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</si>
  <si>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</si>
  <si>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</si>
  <si>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</si>
  <si>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</si>
  <si>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</si>
  <si>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</si>
  <si>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</si>
  <si>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</si>
  <si>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</si>
  <si>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</si>
  <si>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</si>
  <si>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</si>
  <si>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</si>
  <si>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</si>
  <si>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</si>
  <si>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</si>
  <si>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</si>
  <si>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</si>
  <si>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</si>
  <si>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</si>
  <si>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</si>
  <si>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</si>
  <si>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</si>
  <si>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</si>
  <si>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</si>
  <si>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</si>
  <si>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</si>
  <si>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</si>
  <si>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</si>
  <si>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</si>
  <si>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</si>
  <si>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</si>
  <si>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</si>
  <si>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</si>
  <si>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</si>
  <si>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</si>
  <si>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</si>
  <si>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</si>
  <si>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</si>
  <si>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</si>
  <si>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</si>
  <si>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</si>
  <si>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</si>
  <si>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</si>
  <si>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</si>
  <si>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</si>
  <si>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</si>
  <si>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</si>
  <si>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</si>
  <si>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</si>
  <si>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</si>
  <si>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</si>
  <si>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</si>
  <si>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</si>
  <si>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</si>
  <si>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</si>
  <si>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</si>
  <si>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</si>
  <si>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</si>
  <si>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</si>
  <si>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</si>
  <si>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</si>
  <si>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</si>
  <si>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</si>
  <si>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</si>
  <si>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</si>
  <si>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</si>
  <si>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</si>
  <si>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</si>
  <si>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</si>
  <si>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</si>
  <si>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</si>
  <si>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</si>
  <si>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</si>
  <si>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</si>
  <si>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</si>
  <si>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</si>
  <si>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</si>
  <si>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</si>
  <si>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</si>
  <si>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</si>
  <si>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</si>
  <si>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</si>
  <si>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</si>
  <si>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</si>
  <si>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</si>
  <si>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</si>
  <si>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</si>
  <si>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</si>
  <si>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</si>
  <si>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</si>
  <si>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</si>
  <si>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</si>
  <si>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</si>
  <si>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</si>
  <si>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</si>
  <si>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</si>
  <si>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</si>
  <si>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</si>
  <si>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</si>
  <si>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</si>
  <si>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</si>
  <si>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</si>
  <si>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</si>
  <si>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</si>
  <si>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</si>
  <si>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</si>
  <si>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</si>
  <si>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</si>
  <si>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</si>
  <si>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</si>
  <si>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</si>
  <si>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</si>
  <si>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</si>
  <si>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</si>
  <si>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</si>
  <si>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</si>
  <si>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</si>
  <si>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</si>
  <si>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</si>
  <si>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</si>
  <si>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</si>
  <si>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</si>
  <si>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</si>
  <si>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</si>
  <si>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</si>
  <si>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</si>
  <si>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</si>
  <si>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</si>
  <si>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</si>
  <si>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</si>
  <si>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</si>
  <si>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</si>
  <si>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</si>
  <si>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</si>
  <si>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</si>
  <si>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</si>
  <si>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</si>
  <si>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</si>
  <si>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</si>
  <si>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</si>
  <si>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</si>
  <si>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</si>
  <si>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</si>
  <si>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</si>
  <si>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</si>
  <si>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</si>
  <si>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</si>
  <si>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</si>
  <si>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</si>
  <si>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</si>
  <si>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</si>
  <si>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</si>
  <si>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</si>
  <si>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</si>
  <si>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</si>
  <si>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</si>
  <si>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</si>
  <si>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</si>
  <si>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</si>
  <si>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</si>
  <si>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</si>
  <si>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</si>
  <si>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</si>
  <si>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</si>
  <si>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</si>
  <si>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</si>
  <si>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</si>
  <si>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</si>
  <si>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</si>
  <si>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</si>
  <si>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</si>
  <si>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</si>
  <si>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</si>
  <si>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</si>
  <si>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</si>
  <si>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</si>
  <si>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</si>
  <si>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</si>
  <si>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</si>
  <si>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</si>
  <si>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</si>
  <si>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</si>
  <si>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</si>
  <si>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</si>
  <si>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</si>
  <si>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</si>
  <si>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</si>
  <si>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</si>
  <si>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</si>
  <si>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</si>
  <si>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</si>
  <si>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</si>
  <si>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</si>
  <si>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</si>
  <si>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</si>
  <si>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</si>
  <si>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</si>
  <si>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</si>
  <si>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</si>
  <si>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</si>
  <si>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</si>
  <si>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</si>
  <si>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</si>
  <si>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</si>
  <si>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</si>
  <si>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</si>
  <si>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</si>
  <si>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</si>
  <si>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</si>
  <si>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</si>
  <si>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</si>
  <si>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</si>
  <si>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</si>
  <si>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</si>
  <si>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</si>
  <si>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</si>
  <si>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</si>
  <si>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</si>
  <si>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</si>
  <si>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</si>
  <si>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</si>
  <si>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</si>
  <si>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</si>
  <si>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</si>
  <si>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</si>
  <si>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</si>
  <si>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</si>
  <si>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</si>
  <si>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</si>
  <si>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</si>
  <si>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</si>
  <si>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</si>
  <si>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</si>
  <si>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</si>
  <si>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</si>
  <si>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</si>
  <si>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</si>
  <si>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</si>
  <si>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</si>
  <si>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</si>
  <si>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</si>
  <si>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</si>
  <si>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</si>
  <si>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</si>
  <si>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</si>
  <si>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</si>
  <si>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</si>
  <si>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</si>
  <si>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</si>
  <si>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</si>
  <si>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</si>
  <si>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</si>
  <si>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</si>
  <si>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</si>
  <si>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</si>
  <si>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</si>
  <si>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</si>
  <si>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</si>
  <si>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</si>
  <si>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</si>
  <si>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</si>
  <si>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</si>
  <si>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</si>
  <si>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</si>
  <si>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</si>
  <si>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</si>
  <si>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</si>
  <si>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</si>
  <si>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</si>
  <si>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</si>
  <si>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</si>
  <si>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</si>
  <si>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</si>
  <si>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</si>
  <si>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</si>
  <si>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</si>
  <si>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</si>
  <si>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</si>
  <si>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</si>
  <si>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</si>
  <si>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</si>
  <si>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</si>
  <si>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</si>
  <si>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</si>
  <si>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</si>
  <si>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</si>
  <si>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</si>
  <si>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</si>
  <si>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</si>
  <si>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</si>
  <si>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</si>
  <si>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</si>
  <si>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</si>
  <si>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</si>
  <si>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</si>
  <si>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</si>
  <si>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</si>
  <si>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</si>
  <si>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</si>
  <si>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</si>
  <si>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</si>
  <si>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</si>
  <si>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</si>
  <si>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</si>
  <si>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</si>
  <si>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</si>
  <si>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</si>
  <si>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</si>
  <si>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</si>
  <si>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</si>
  <si>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</si>
  <si>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</si>
  <si>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</si>
  <si>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</si>
  <si>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</si>
  <si>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</si>
  <si>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</si>
  <si>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</si>
  <si>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</si>
  <si>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</si>
  <si>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</si>
  <si>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</si>
  <si>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</si>
  <si>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</si>
  <si>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</si>
  <si>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</si>
  <si>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</si>
  <si>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</si>
  <si>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</si>
  <si>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</si>
  <si>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</si>
  <si>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</si>
  <si>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</si>
  <si>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</si>
  <si>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</si>
  <si>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</si>
  <si>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</si>
  <si>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</si>
  <si>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</si>
  <si>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</si>
  <si>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</si>
  <si>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</si>
  <si>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</si>
  <si>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</si>
  <si>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</si>
  <si>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</si>
  <si>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</si>
  <si>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</si>
  <si>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</si>
  <si>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</si>
  <si>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</si>
  <si>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</si>
  <si>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</si>
  <si>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</si>
  <si>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</si>
  <si>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</si>
  <si>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</si>
  <si>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</si>
  <si>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</si>
  <si>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</si>
  <si>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</si>
  <si>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</si>
  <si>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</si>
  <si>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</si>
  <si>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</si>
  <si>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</si>
  <si>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</si>
  <si>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</si>
  <si>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</si>
  <si>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</si>
  <si>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</si>
  <si>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</si>
  <si>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</si>
  <si>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</si>
  <si>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</si>
  <si>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</si>
  <si>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</si>
  <si>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</si>
  <si>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</si>
  <si>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</si>
  <si>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</si>
  <si>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</si>
  <si>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</si>
  <si>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</si>
  <si>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</si>
  <si>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</si>
  <si>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</si>
  <si>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</si>
  <si>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</si>
  <si>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</si>
  <si>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</si>
  <si>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</si>
  <si>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</si>
  <si>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</si>
  <si>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</si>
  <si>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</si>
  <si>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</si>
  <si>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</si>
  <si>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</si>
  <si>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</si>
  <si>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</si>
  <si>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</si>
  <si>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</si>
  <si>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</si>
  <si>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</si>
  <si>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</si>
  <si>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</si>
  <si>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</si>
  <si>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</si>
  <si>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</si>
  <si>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</si>
  <si>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</si>
  <si>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</si>
  <si>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</si>
  <si>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</si>
  <si>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</si>
  <si>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</si>
  <si>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</si>
  <si>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</si>
  <si>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</si>
  <si>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</si>
  <si>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</si>
  <si>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</si>
  <si>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</si>
  <si>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</si>
  <si>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</si>
  <si>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</si>
  <si>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</si>
  <si>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</si>
  <si>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</si>
  <si>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</si>
  <si>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</si>
  <si>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</si>
  <si>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</si>
  <si>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</si>
  <si>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</si>
  <si>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</si>
  <si>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</si>
  <si>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</si>
  <si>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</si>
  <si>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</si>
  <si>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</si>
  <si>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</si>
  <si>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</si>
  <si>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</si>
  <si>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</si>
  <si>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</si>
  <si>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</si>
  <si>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</si>
  <si>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</si>
  <si>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</si>
  <si>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</si>
  <si>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</si>
  <si>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</si>
  <si>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</si>
  <si>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</si>
  <si>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</si>
  <si>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</si>
  <si>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</si>
  <si>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</si>
  <si>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</si>
  <si>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</si>
  <si>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</si>
  <si>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</si>
  <si>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</si>
  <si>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</si>
  <si>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</si>
  <si>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</si>
  <si>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</si>
  <si>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</si>
  <si>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</si>
  <si>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</si>
  <si>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</si>
  <si>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</si>
  <si>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</si>
  <si>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</si>
  <si>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</si>
  <si>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</si>
  <si>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</si>
  <si>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</si>
  <si>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</si>
  <si>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</si>
  <si>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</si>
  <si>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</si>
  <si>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</si>
  <si>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</si>
  <si>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</si>
  <si>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</si>
  <si>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</si>
  <si>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</si>
  <si>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</si>
  <si>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</si>
  <si>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</si>
  <si>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</si>
  <si>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</si>
  <si>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</si>
  <si>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</si>
  <si>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</si>
  <si>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</si>
  <si>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</si>
  <si>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</si>
  <si>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</si>
  <si>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</si>
  <si>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</si>
  <si>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</si>
  <si>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</si>
  <si>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</si>
  <si>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</si>
  <si>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</si>
  <si>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</si>
  <si>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</si>
  <si>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</si>
  <si>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</si>
  <si>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</si>
  <si>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</si>
  <si>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</si>
  <si>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</si>
  <si>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</si>
  <si>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</si>
  <si>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</si>
  <si>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</si>
  <si>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</si>
  <si>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</si>
  <si>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</si>
  <si>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</si>
  <si>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</si>
  <si>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</si>
  <si>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</si>
  <si>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</si>
  <si>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</si>
  <si>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</si>
  <si>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</si>
  <si>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</si>
  <si>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</si>
  <si>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</si>
  <si>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</si>
  <si>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</si>
  <si>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</si>
  <si>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</si>
  <si>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</si>
  <si>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</si>
  <si>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</si>
  <si>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</si>
  <si>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</si>
  <si>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</si>
  <si>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</si>
  <si>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</si>
  <si>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</si>
  <si>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</si>
  <si>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</si>
  <si>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</si>
  <si>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</si>
  <si>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</si>
  <si>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</si>
  <si>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</si>
  <si>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</si>
  <si>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</si>
  <si>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</si>
  <si>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</si>
  <si>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</si>
  <si>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</si>
  <si>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</si>
  <si>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</si>
  <si>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</si>
  <si>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</si>
  <si>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</si>
  <si>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</si>
  <si>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</si>
  <si>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</si>
  <si>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</si>
  <si>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</si>
  <si>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</si>
  <si>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</si>
  <si>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</si>
  <si>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</si>
  <si>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</si>
  <si>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</si>
  <si>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</si>
  <si>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</si>
  <si>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</si>
  <si>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</si>
  <si>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</si>
  <si>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</si>
  <si>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</si>
  <si>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</si>
  <si>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</si>
  <si>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</si>
  <si>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</si>
  <si>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</si>
  <si>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</si>
  <si>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</si>
  <si>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</si>
  <si>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</si>
  <si>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</si>
  <si>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</si>
  <si>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</si>
  <si>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</si>
  <si>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</si>
  <si>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</si>
  <si>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</si>
  <si>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</si>
  <si>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</si>
  <si>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</si>
  <si>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</si>
  <si>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</si>
  <si>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</si>
  <si>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</si>
  <si>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</si>
  <si>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</si>
  <si>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</si>
  <si>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</si>
  <si>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</si>
  <si>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</si>
  <si>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</si>
  <si>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</si>
  <si>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</si>
  <si>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</si>
  <si>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</si>
  <si>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</si>
  <si>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</si>
  <si>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</si>
  <si>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</si>
  <si>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</si>
  <si>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</si>
  <si>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</si>
  <si>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</si>
  <si>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</si>
  <si>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</si>
  <si>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</si>
  <si>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</si>
  <si>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</si>
  <si>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</si>
  <si>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</si>
  <si>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</si>
  <si>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</si>
  <si>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</si>
  <si>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</si>
  <si>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</si>
  <si>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</si>
  <si>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</si>
  <si>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</si>
  <si>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</si>
  <si>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</si>
  <si>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</si>
  <si>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</si>
  <si>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</si>
  <si>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</si>
  <si>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</si>
  <si>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</si>
  <si>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</si>
  <si>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</si>
  <si>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</si>
  <si>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</si>
  <si>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</si>
  <si>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</si>
  <si>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</si>
  <si>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</si>
  <si>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</si>
  <si>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</si>
  <si>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</si>
  <si>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</si>
  <si>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</si>
  <si>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</si>
  <si>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</si>
  <si>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</si>
  <si>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</si>
  <si>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</si>
  <si>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</si>
  <si>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</si>
  <si>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</si>
  <si>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</si>
  <si>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</si>
  <si>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</si>
  <si>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</si>
  <si>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</si>
  <si>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</si>
  <si>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</si>
  <si>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</si>
  <si>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</si>
  <si>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</si>
  <si>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</si>
  <si>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</si>
  <si>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</si>
  <si>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</si>
  <si>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</si>
  <si>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</si>
  <si>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</si>
  <si>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</si>
  <si>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</si>
  <si>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</si>
  <si>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</si>
  <si>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</si>
  <si>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</si>
  <si>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</si>
  <si>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</si>
  <si>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</si>
  <si>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</si>
  <si>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</si>
  <si>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</si>
  <si>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</si>
  <si>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</si>
  <si>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</si>
  <si>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</si>
  <si>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</si>
  <si>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</si>
  <si>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</si>
  <si>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</si>
  <si>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</si>
  <si>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</si>
  <si>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</si>
  <si>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</si>
  <si>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</si>
  <si>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</si>
  <si>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</si>
  <si>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</si>
  <si>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</si>
  <si>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</si>
  <si>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</si>
  <si>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</si>
  <si>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</si>
  <si>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</si>
  <si>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</si>
  <si>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</si>
  <si>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</si>
  <si>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</si>
  <si>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</si>
  <si>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</si>
  <si>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</si>
  <si>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</si>
  <si>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</si>
  <si>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</si>
  <si>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</si>
  <si>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</si>
  <si>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</si>
  <si>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</si>
  <si>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</si>
  <si>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</si>
  <si>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</si>
  <si>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</si>
  <si>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</si>
  <si>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</si>
  <si>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</si>
  <si>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</si>
  <si>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</si>
  <si>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</si>
  <si>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</si>
  <si>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</si>
  <si>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</si>
  <si>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</si>
  <si>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</si>
  <si>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</si>
  <si>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</si>
  <si>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</si>
  <si>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</si>
  <si>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</si>
  <si>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</si>
  <si>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</si>
  <si>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</si>
  <si>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</si>
  <si>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</si>
  <si>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</si>
  <si>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</si>
  <si>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</si>
  <si>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</si>
  <si>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</si>
  <si>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</si>
  <si>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</si>
  <si>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</si>
  <si>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</si>
  <si>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</si>
  <si>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</si>
  <si>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</si>
  <si>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</si>
  <si>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</si>
  <si>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</si>
  <si>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</si>
  <si>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</si>
  <si>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</si>
  <si>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</si>
  <si>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</si>
  <si>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</si>
  <si>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</si>
  <si>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</si>
  <si>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</si>
  <si>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</si>
  <si>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</si>
  <si>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</si>
  <si>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</si>
  <si>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</si>
  <si>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</si>
  <si>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</si>
  <si>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</si>
  <si>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</si>
  <si>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</si>
  <si>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</si>
  <si>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</si>
  <si>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</si>
  <si>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</si>
  <si>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</si>
  <si>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</si>
  <si>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</si>
  <si>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</si>
  <si>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</si>
  <si>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</si>
  <si>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</si>
  <si>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</si>
  <si>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</si>
  <si>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</si>
  <si>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</si>
  <si>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</si>
  <si>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</si>
  <si>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</si>
  <si>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</si>
  <si>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</si>
  <si>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</si>
  <si>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</si>
  <si>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</si>
  <si>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</si>
  <si>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</si>
  <si>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</si>
  <si>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</si>
  <si>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</si>
  <si>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</si>
  <si>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</si>
  <si>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</si>
  <si>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</si>
  <si>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</si>
  <si>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</si>
  <si>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</si>
  <si>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</si>
  <si>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</si>
  <si>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</si>
  <si>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</si>
  <si>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</si>
  <si>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</si>
  <si>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</si>
  <si>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</si>
  <si>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</si>
  <si>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</si>
  <si>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</si>
  <si>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</si>
  <si>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</si>
  <si>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</si>
  <si>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</si>
  <si>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</si>
  <si>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</si>
  <si>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</si>
  <si>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</si>
  <si>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</si>
  <si>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</si>
  <si>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</si>
  <si>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</si>
  <si>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</si>
  <si>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</si>
  <si>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</si>
  <si>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</si>
  <si>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</si>
  <si>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</si>
  <si>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</si>
  <si>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</si>
  <si>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</si>
  <si>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</si>
  <si>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</si>
  <si>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</si>
  <si>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</si>
  <si>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</si>
  <si>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</si>
  <si>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</si>
  <si>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</si>
  <si>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</si>
  <si>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</si>
  <si>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</si>
  <si>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</si>
  <si>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</si>
  <si>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</si>
  <si>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</si>
  <si>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</si>
  <si>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</si>
  <si>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</si>
  <si>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</si>
  <si>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</si>
  <si>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</si>
  <si>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</si>
  <si>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</si>
  <si>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</si>
  <si>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</si>
  <si>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</si>
  <si>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</si>
  <si>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</si>
  <si>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</si>
  <si>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</si>
  <si>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</si>
  <si>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</si>
  <si>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</si>
  <si>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</si>
  <si>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</si>
  <si>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</si>
  <si>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</si>
  <si>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</si>
  <si>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</si>
  <si>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</si>
  <si>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</si>
  <si>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</si>
  <si>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</si>
  <si>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</si>
  <si>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</si>
  <si>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</si>
  <si>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</si>
  <si>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</si>
  <si>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</si>
  <si>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</si>
  <si>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</si>
  <si>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</si>
  <si>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</si>
  <si>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</si>
  <si>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</si>
  <si>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</si>
  <si>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</si>
  <si>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</si>
  <si>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</si>
  <si>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</si>
  <si>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</si>
  <si>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</si>
  <si>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</si>
  <si>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</si>
  <si>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</si>
  <si>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</si>
  <si>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</si>
  <si>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</si>
  <si>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</si>
  <si>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</si>
  <si>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</si>
  <si>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</si>
  <si>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</si>
  <si>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</si>
  <si>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</si>
  <si>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</si>
  <si>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</si>
  <si>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</si>
  <si>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</si>
  <si>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</si>
  <si>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</si>
  <si>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</si>
  <si>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</si>
  <si>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</si>
  <si>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</si>
  <si>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</si>
  <si>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</si>
  <si>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</si>
  <si>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</si>
  <si>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</si>
  <si>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</si>
  <si>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</si>
  <si>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</si>
  <si>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</si>
  <si>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</si>
  <si>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</si>
  <si>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</si>
  <si>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</si>
  <si>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</si>
  <si>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</si>
  <si>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</si>
  <si>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</si>
  <si>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</si>
  <si>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</si>
  <si>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</si>
  <si>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</si>
  <si>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</si>
  <si>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</si>
  <si>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</si>
  <si>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</si>
  <si>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</si>
  <si>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</si>
  <si>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</si>
  <si>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</si>
  <si>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</si>
  <si>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</si>
  <si>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</si>
  <si>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</si>
  <si>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</si>
  <si>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</si>
  <si>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</si>
  <si>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</si>
  <si>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</si>
  <si>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</si>
  <si>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</si>
  <si>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</si>
  <si>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</si>
  <si>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</si>
  <si>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</si>
  <si>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</si>
  <si>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</si>
  <si>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</si>
  <si>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</si>
  <si>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</si>
  <si>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</si>
  <si>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</si>
  <si>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</si>
  <si>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</si>
  <si>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</si>
  <si>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</si>
  <si>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</si>
  <si>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</si>
  <si>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</si>
  <si>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</si>
  <si>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</si>
  <si>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</si>
  <si>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</si>
  <si>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</si>
  <si>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</si>
  <si>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</si>
  <si>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</si>
  <si>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</si>
  <si>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</si>
  <si>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</si>
  <si>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</si>
  <si>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</si>
  <si>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</si>
  <si>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</si>
  <si>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</si>
  <si>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</si>
  <si>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</si>
  <si>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</si>
  <si>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</si>
  <si>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</si>
  <si>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</si>
  <si>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</si>
  <si>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</si>
  <si>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</si>
  <si>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</si>
  <si>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</si>
  <si>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</si>
  <si>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</si>
  <si>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</si>
  <si>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</si>
  <si>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</si>
  <si>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</si>
  <si>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</si>
  <si>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</si>
  <si>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</si>
  <si>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</si>
  <si>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</si>
  <si>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</si>
  <si>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</si>
  <si>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</si>
  <si>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</si>
  <si>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</si>
  <si>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</si>
  <si>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</si>
  <si>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</si>
  <si>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</si>
  <si>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</si>
  <si>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</si>
  <si>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</si>
  <si>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</si>
  <si>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</si>
  <si>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</si>
  <si>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</si>
  <si>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</si>
  <si>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</si>
  <si>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</si>
  <si>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</si>
  <si>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</si>
  <si>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</si>
  <si>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</si>
  <si>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</si>
  <si>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</si>
  <si>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</si>
  <si>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</si>
  <si>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</si>
  <si>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</si>
  <si>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</si>
  <si>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</si>
  <si>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</si>
  <si>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</si>
  <si>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</si>
  <si>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</si>
  <si>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</si>
  <si>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</si>
  <si>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</si>
  <si>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</si>
  <si>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</si>
  <si>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</si>
  <si>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</si>
  <si>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</si>
  <si>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</si>
  <si>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</si>
  <si>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</si>
  <si>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</si>
  <si>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</si>
  <si>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</si>
  <si>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</si>
  <si>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</si>
  <si>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</si>
  <si>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</si>
  <si>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</si>
  <si>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</si>
  <si>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</si>
  <si>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</si>
  <si>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</si>
  <si>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</si>
  <si>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</si>
  <si>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</si>
  <si>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</si>
  <si>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</si>
  <si>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</si>
  <si>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</si>
  <si>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</si>
  <si>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</si>
  <si>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</si>
  <si>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</si>
  <si>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</si>
  <si>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</si>
  <si>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</si>
  <si>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</si>
  <si>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</si>
  <si>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</si>
  <si>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</si>
  <si>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</si>
  <si>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</si>
  <si>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</si>
  <si>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</si>
  <si>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</si>
  <si>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</si>
  <si>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</si>
  <si>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</si>
  <si>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</si>
  <si>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</si>
  <si>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</si>
  <si>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</si>
  <si>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</si>
  <si>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</si>
  <si>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</si>
  <si>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</si>
  <si>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</si>
  <si>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</si>
  <si>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</si>
  <si>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</si>
  <si>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</si>
  <si>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</si>
  <si>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</si>
  <si>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</si>
  <si>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</si>
  <si>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</si>
  <si>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</si>
  <si>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</si>
  <si>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</si>
  <si>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</si>
  <si>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</si>
  <si>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</si>
  <si>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</si>
  <si>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</si>
  <si>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</si>
  <si>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</si>
  <si>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</si>
  <si>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</si>
  <si>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</si>
  <si>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</si>
  <si>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</si>
  <si>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</si>
  <si>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</si>
  <si>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</si>
  <si>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</si>
  <si>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</si>
  <si>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</si>
  <si>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</si>
  <si>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</si>
  <si>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</si>
  <si>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</si>
  <si>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</si>
  <si>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</si>
  <si>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</si>
  <si>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</si>
  <si>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</si>
  <si>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</si>
  <si>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</si>
  <si>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</si>
  <si>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</si>
  <si>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</si>
  <si>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</si>
  <si>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</si>
  <si>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</si>
  <si>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</si>
  <si>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</si>
  <si>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</si>
  <si>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</si>
  <si>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</si>
  <si>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</si>
  <si>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</si>
  <si>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</si>
  <si>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</si>
  <si>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</si>
  <si>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</si>
  <si>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</si>
  <si>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</si>
  <si>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</si>
  <si>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</si>
  <si>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</si>
  <si>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</si>
  <si>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</si>
  <si>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</si>
  <si>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</si>
  <si>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</si>
  <si>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</si>
  <si>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</si>
  <si>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</si>
  <si>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</si>
  <si>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</si>
  <si>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</si>
  <si>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</si>
  <si>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</si>
  <si>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</si>
  <si>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</si>
  <si>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</si>
  <si>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</si>
  <si>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</si>
  <si>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</si>
  <si>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</si>
  <si>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</si>
  <si>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</si>
  <si>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</si>
  <si>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</si>
  <si>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</si>
  <si>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</si>
  <si>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</si>
  <si>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</si>
  <si>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</si>
  <si>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</si>
  <si>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</si>
  <si>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</si>
  <si>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</si>
  <si>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</si>
  <si>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</si>
  <si>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</si>
  <si>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</si>
  <si>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</si>
  <si>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</si>
  <si>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</si>
  <si>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</si>
  <si>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</si>
  <si>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</si>
  <si>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</si>
  <si>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</si>
  <si>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</si>
  <si>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</si>
  <si>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</si>
  <si>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</si>
  <si>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</si>
  <si>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</si>
  <si>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</si>
  <si>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</si>
  <si>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</si>
  <si>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</si>
  <si>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</si>
  <si>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</si>
  <si>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</si>
  <si>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</si>
  <si>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</si>
  <si>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</si>
  <si>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</si>
  <si>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</si>
  <si>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</si>
  <si>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</si>
  <si>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</si>
  <si>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</si>
  <si>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</si>
  <si>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</si>
  <si>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</si>
  <si>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</si>
  <si>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</si>
  <si>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</si>
  <si>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</si>
  <si>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</si>
  <si>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</si>
  <si>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</si>
  <si>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</si>
  <si>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</si>
  <si>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</si>
  <si>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</si>
  <si>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</si>
  <si>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</si>
  <si>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</si>
  <si>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</si>
  <si>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</si>
  <si>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</si>
  <si>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</si>
  <si>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</si>
  <si>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</si>
  <si>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</si>
  <si>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</si>
  <si>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</si>
  <si>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</si>
  <si>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</si>
  <si>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</si>
  <si>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</si>
  <si>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</si>
  <si>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</si>
  <si>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</si>
  <si>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</si>
  <si>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</si>
  <si>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</si>
  <si>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</si>
  <si>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</si>
  <si>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</si>
  <si>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</si>
  <si>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</si>
  <si>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</si>
  <si>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</si>
  <si>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</si>
  <si>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</si>
  <si>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</si>
  <si>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</si>
  <si>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</si>
  <si>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</si>
  <si>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</si>
  <si>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</si>
  <si>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</si>
  <si>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</si>
  <si>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</si>
  <si>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</si>
  <si>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</si>
  <si>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</si>
  <si>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</si>
  <si>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</si>
  <si>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</si>
  <si>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</si>
  <si>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</si>
  <si>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</si>
  <si>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</si>
  <si>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</si>
  <si>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</si>
  <si>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</si>
  <si>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</si>
  <si>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</si>
  <si>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</si>
  <si>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</si>
  <si>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</si>
  <si>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</si>
  <si>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</si>
  <si>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</si>
  <si>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</si>
  <si>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</si>
  <si>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</si>
  <si>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</si>
  <si>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</si>
  <si>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</si>
  <si>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</si>
  <si>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</si>
  <si>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</si>
  <si>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</si>
  <si>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</si>
  <si>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</si>
  <si>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</si>
  <si>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</si>
  <si>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</si>
  <si>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</si>
  <si>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</si>
  <si>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</si>
  <si>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</si>
  <si>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</si>
  <si>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</si>
  <si>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</si>
  <si>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</si>
  <si>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</si>
  <si>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</si>
  <si>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</si>
  <si>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</si>
  <si>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</si>
  <si>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</si>
  <si>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</si>
  <si>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</si>
  <si>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</si>
  <si>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</si>
  <si>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</si>
  <si>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</si>
  <si>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</si>
  <si>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</si>
  <si>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</si>
  <si>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</si>
  <si>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</si>
  <si>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</si>
  <si>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</si>
  <si>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</si>
  <si>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</si>
  <si>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</si>
  <si>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</si>
  <si>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</si>
  <si>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</si>
  <si>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</si>
  <si>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</si>
  <si>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</si>
  <si>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</si>
  <si>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</si>
  <si>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</si>
  <si>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</si>
  <si>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</si>
  <si>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</si>
  <si>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</si>
  <si>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</si>
  <si>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</si>
  <si>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</si>
  <si>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</si>
  <si>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</si>
  <si>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</si>
  <si>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</si>
  <si>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</si>
  <si>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</si>
  <si>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</si>
  <si>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</si>
  <si>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</si>
  <si>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</si>
  <si>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</si>
  <si>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</si>
  <si>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</si>
  <si>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</si>
  <si>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</si>
  <si>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</si>
  <si>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</si>
  <si>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</si>
  <si>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</si>
  <si>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</si>
  <si>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</si>
  <si>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</si>
  <si>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</si>
  <si>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</si>
  <si>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</si>
  <si>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</si>
  <si>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</si>
  <si>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</si>
  <si>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</si>
  <si>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</si>
  <si>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</si>
  <si>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</si>
  <si>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</si>
  <si>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</si>
  <si>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</si>
  <si>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</si>
  <si>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</si>
  <si>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</si>
  <si>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</si>
  <si>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</si>
  <si>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</si>
  <si>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</si>
  <si>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</si>
  <si>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</si>
  <si>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</si>
  <si>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</si>
  <si>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</si>
  <si>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</si>
  <si>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</si>
  <si>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</si>
  <si>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</si>
  <si>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</si>
  <si>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</si>
  <si>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</si>
  <si>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</si>
  <si>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</si>
  <si>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</si>
  <si>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</si>
  <si>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</si>
  <si>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</si>
  <si>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</si>
  <si>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</si>
  <si>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</si>
  <si>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</si>
  <si>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</si>
  <si>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</si>
  <si>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</si>
  <si>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</si>
  <si>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</si>
  <si>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</si>
  <si>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</si>
  <si>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</si>
  <si>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</si>
  <si>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</si>
  <si>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</si>
  <si>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</si>
  <si>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</si>
  <si>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</si>
  <si>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</si>
  <si>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</si>
  <si>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</si>
  <si>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</si>
  <si>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</si>
  <si>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</si>
  <si>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</si>
  <si>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</si>
  <si>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</si>
  <si>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</si>
  <si>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</si>
  <si>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</si>
  <si>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</si>
  <si>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</si>
  <si>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</si>
  <si>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</si>
  <si>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</si>
  <si>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</si>
  <si>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</si>
  <si>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</si>
  <si>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</si>
  <si>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</si>
  <si>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</si>
  <si>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</si>
  <si>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</si>
  <si>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</si>
  <si>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</si>
  <si>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</si>
  <si>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</si>
  <si>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</si>
  <si>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</si>
  <si>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</si>
  <si>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</si>
  <si>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</si>
  <si>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</si>
  <si>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</si>
  <si>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</si>
  <si>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</si>
  <si>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</si>
  <si>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</si>
  <si>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</si>
  <si>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</si>
  <si>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</si>
  <si>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</si>
  <si>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</si>
  <si>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</si>
  <si>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</si>
  <si>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</si>
  <si>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</si>
  <si>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</si>
  <si>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</si>
  <si>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</si>
  <si>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</si>
  <si>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</si>
  <si>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</si>
  <si>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</si>
  <si>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</si>
  <si>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</si>
  <si>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</si>
  <si>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</si>
  <si>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</si>
  <si>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</si>
  <si>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</si>
  <si>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</si>
  <si>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</si>
  <si>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</si>
  <si>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</si>
  <si>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</si>
  <si>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</si>
  <si>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</si>
  <si>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</si>
  <si>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</si>
  <si>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</si>
  <si>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</si>
  <si>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</si>
  <si>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</si>
  <si>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</si>
  <si>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</si>
  <si>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</si>
  <si>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</si>
  <si>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</si>
  <si>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</si>
  <si>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</si>
  <si>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</si>
  <si>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</si>
  <si>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</si>
  <si>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</si>
  <si>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</si>
  <si>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</si>
  <si>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</si>
  <si>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</si>
  <si>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</si>
  <si>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</si>
  <si>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</si>
  <si>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</si>
  <si>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</si>
  <si>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</si>
  <si>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</si>
  <si>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</si>
  <si>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</si>
  <si>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</si>
  <si>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</si>
  <si>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</si>
  <si>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</si>
  <si>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</si>
  <si>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</si>
  <si>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</si>
  <si>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</si>
  <si>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</si>
  <si>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</si>
  <si>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</si>
  <si>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</si>
  <si>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</si>
  <si>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</si>
  <si>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</si>
  <si>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</si>
  <si>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</si>
  <si>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</si>
  <si>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</si>
  <si>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</si>
  <si>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</si>
  <si>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</si>
  <si>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</si>
  <si>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</si>
  <si>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</si>
  <si>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</si>
  <si>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</si>
  <si>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</si>
  <si>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</si>
  <si>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</si>
  <si>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</si>
  <si>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</si>
  <si>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</si>
  <si>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</si>
  <si>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</si>
  <si>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</si>
  <si>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</si>
  <si>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</si>
  <si>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</si>
  <si>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</si>
  <si>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</si>
  <si>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</si>
  <si>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</si>
  <si>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</si>
  <si>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</si>
  <si>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</si>
  <si>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</si>
  <si>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</si>
  <si>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</si>
  <si>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</si>
  <si>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</si>
  <si>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</si>
  <si>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</si>
  <si>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</si>
  <si>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</si>
  <si>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</si>
  <si>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</si>
  <si>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</si>
  <si>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</si>
  <si>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</si>
  <si>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</si>
  <si>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</si>
  <si>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</si>
  <si>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</si>
  <si>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</si>
  <si>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</si>
  <si>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</si>
  <si>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</si>
  <si>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</si>
  <si>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</si>
  <si>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</si>
  <si>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</si>
  <si>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</si>
  <si>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</si>
  <si>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</si>
  <si>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</si>
  <si>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</si>
  <si>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</si>
  <si>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</si>
  <si>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</si>
  <si>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</si>
  <si>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</si>
  <si>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</si>
  <si>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</si>
  <si>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</si>
  <si>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</si>
  <si>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</si>
  <si>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</si>
  <si>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</si>
  <si>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</si>
  <si>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</si>
  <si>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</si>
  <si>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</si>
  <si>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</si>
  <si>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</si>
  <si>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</si>
  <si>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</si>
  <si>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</si>
  <si>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</si>
  <si>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</si>
  <si>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</si>
  <si>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</si>
  <si>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</si>
  <si>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</si>
  <si>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</si>
  <si>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</si>
  <si>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</si>
  <si>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</si>
  <si>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</si>
  <si>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</si>
  <si>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</si>
  <si>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</si>
  <si>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</si>
  <si>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</si>
  <si>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</si>
  <si>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</si>
  <si>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</si>
  <si>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</si>
  <si>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</si>
  <si>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</si>
  <si>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</si>
  <si>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</si>
  <si>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</si>
  <si>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</si>
  <si>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</si>
  <si>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</si>
  <si>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</si>
  <si>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</si>
  <si>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</si>
  <si>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</si>
  <si>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</si>
  <si>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</si>
  <si>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</si>
  <si>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</si>
  <si>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</si>
  <si>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</si>
  <si>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</si>
  <si>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</si>
  <si>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</si>
  <si>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</si>
  <si>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</si>
  <si>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</si>
  <si>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</si>
  <si>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</si>
  <si>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</si>
  <si>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</si>
  <si>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</si>
  <si>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</si>
  <si>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</si>
  <si>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</si>
  <si>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</si>
  <si>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</si>
  <si>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</si>
  <si>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</si>
  <si>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</si>
  <si>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</si>
  <si>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</si>
  <si>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</si>
  <si>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</si>
  <si>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</si>
  <si>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</si>
  <si>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</si>
  <si>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</si>
  <si>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</si>
  <si>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</si>
  <si>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</si>
  <si>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</si>
  <si>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</si>
  <si>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</si>
  <si>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</si>
  <si>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</si>
  <si>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</si>
  <si>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</si>
  <si>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</si>
  <si>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</si>
  <si>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</si>
  <si>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</si>
  <si>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</si>
  <si>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</si>
  <si>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</si>
  <si>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</si>
  <si>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</si>
  <si>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</si>
  <si>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</si>
  <si>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</si>
  <si>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</si>
  <si>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</si>
  <si>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</si>
  <si>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</si>
  <si>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</si>
  <si>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</si>
  <si>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</si>
  <si>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</si>
  <si>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</si>
  <si>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</si>
  <si>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</si>
  <si>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</si>
  <si>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</si>
  <si>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</si>
  <si>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</si>
  <si>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</si>
  <si>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</si>
  <si>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</si>
  <si>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</si>
  <si>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</si>
  <si>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</si>
  <si>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</si>
  <si>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</si>
  <si>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</si>
  <si>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</si>
  <si>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</si>
  <si>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</si>
  <si>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</si>
  <si>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</si>
  <si>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</si>
  <si>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</si>
  <si>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</si>
  <si>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</si>
  <si>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</si>
  <si>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</si>
  <si>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</si>
  <si>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</si>
  <si>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</si>
  <si>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</si>
  <si>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</si>
  <si>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</si>
  <si>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</si>
  <si>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</si>
  <si>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</si>
  <si>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</si>
  <si>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</si>
  <si>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</si>
  <si>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</si>
  <si>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</si>
  <si>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</si>
  <si>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</si>
  <si>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</si>
  <si>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</si>
  <si>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</si>
  <si>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</si>
  <si>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</si>
  <si>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</si>
  <si>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</si>
  <si>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</si>
  <si>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</si>
  <si>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</si>
  <si>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</si>
  <si>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</si>
  <si>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</si>
  <si>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</si>
  <si>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</si>
  <si>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</si>
  <si>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</si>
  <si>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</si>
  <si>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</si>
  <si>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</si>
  <si>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</si>
  <si>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</si>
  <si>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</si>
  <si>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</si>
  <si>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</si>
  <si>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</si>
  <si>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</si>
  <si>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</si>
  <si>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</si>
  <si>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</si>
  <si>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</si>
  <si>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</si>
  <si>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</si>
  <si>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</si>
  <si>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</si>
  <si>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</si>
  <si>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</si>
  <si>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</si>
  <si>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</si>
  <si>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</si>
  <si>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</si>
  <si>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</si>
  <si>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</si>
  <si>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</si>
  <si>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</si>
  <si>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</si>
  <si>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</si>
  <si>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</si>
  <si>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</si>
  <si>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</si>
  <si>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</si>
  <si>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</si>
  <si>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</si>
  <si>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</si>
  <si>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</si>
  <si>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</si>
  <si>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</si>
  <si>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</si>
  <si>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</si>
  <si>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</si>
  <si>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</si>
  <si>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</si>
  <si>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</si>
  <si>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</si>
  <si>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</si>
  <si>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</si>
  <si>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</si>
  <si>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</si>
  <si>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</si>
  <si>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</si>
  <si>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</si>
  <si>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</si>
  <si>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</si>
  <si>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</si>
  <si>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</si>
  <si>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</si>
  <si>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</si>
  <si>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</si>
  <si>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</si>
  <si>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</si>
  <si>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</si>
  <si>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</si>
  <si>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</si>
  <si>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</si>
  <si>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</si>
  <si>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</si>
  <si>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</si>
  <si>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</si>
  <si>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</si>
  <si>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</si>
  <si>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</si>
  <si>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</si>
  <si>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</si>
  <si>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</si>
  <si>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</si>
  <si>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</si>
  <si>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</si>
  <si>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</si>
  <si>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</si>
  <si>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</si>
  <si>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</si>
  <si>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</si>
  <si>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</si>
  <si>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</si>
  <si>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</si>
  <si>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</si>
  <si>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</si>
  <si>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</si>
  <si>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</si>
  <si>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</si>
  <si>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</si>
  <si>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</si>
  <si>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</si>
  <si>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</si>
  <si>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</si>
  <si>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</si>
  <si>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</si>
  <si>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</si>
  <si>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</si>
  <si>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</si>
  <si>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</si>
  <si>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</si>
  <si>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</si>
  <si>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</si>
  <si>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</si>
  <si>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</si>
  <si>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</si>
  <si>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</si>
  <si>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</si>
  <si>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</si>
  <si>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</si>
  <si>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</si>
  <si>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</si>
  <si>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</si>
  <si>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</si>
  <si>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</si>
  <si>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</si>
  <si>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</si>
  <si>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</si>
  <si>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</si>
  <si>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</si>
  <si>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</si>
  <si>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</si>
  <si>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</si>
  <si>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</si>
  <si>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</si>
  <si>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</si>
  <si>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</si>
  <si>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</si>
  <si>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</si>
  <si>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</si>
  <si>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</si>
  <si>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</si>
  <si>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</si>
  <si>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</si>
  <si>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</si>
  <si>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</si>
  <si>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</si>
  <si>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</si>
  <si>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</si>
  <si>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</si>
  <si>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</si>
  <si>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</si>
  <si>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</si>
  <si>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</si>
  <si>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</si>
  <si>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</si>
  <si>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</si>
  <si>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</si>
  <si>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</si>
  <si>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</si>
  <si>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</si>
  <si>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</si>
  <si>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</si>
  <si>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</si>
  <si>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</si>
  <si>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</si>
  <si>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</si>
  <si>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</si>
  <si>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</si>
  <si>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</si>
  <si>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</si>
  <si>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</si>
  <si>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</si>
  <si>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</si>
  <si>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</si>
  <si>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</si>
  <si>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</si>
  <si>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</si>
  <si>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</si>
  <si>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</si>
  <si>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</si>
  <si>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</si>
  <si>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</si>
  <si>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</si>
  <si>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</si>
  <si>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</si>
  <si>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</si>
  <si>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</si>
  <si>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</si>
  <si>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</si>
  <si>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</si>
  <si>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</si>
  <si>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</si>
  <si>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</si>
  <si>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</si>
  <si>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</si>
  <si>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</si>
  <si>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</si>
  <si>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</si>
  <si>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</si>
  <si>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</si>
  <si>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</si>
  <si>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</si>
  <si>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</si>
  <si>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</si>
  <si>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</si>
  <si>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</si>
  <si>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</si>
  <si>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</si>
  <si>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</si>
  <si>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</si>
  <si>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</si>
  <si>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</si>
  <si>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</si>
  <si>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</si>
  <si>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</si>
  <si>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</si>
  <si>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</si>
  <si>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</si>
  <si>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</si>
  <si>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</si>
  <si>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</si>
  <si>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</si>
  <si>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</si>
  <si>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</si>
  <si>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</si>
  <si>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</si>
  <si>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</si>
  <si>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</si>
  <si>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</si>
  <si>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</si>
  <si>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</si>
  <si>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</si>
  <si>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</si>
  <si>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</si>
  <si>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</si>
  <si>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</si>
  <si>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</si>
  <si>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</si>
  <si>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</si>
  <si>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</si>
  <si>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</si>
  <si>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</si>
  <si>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</si>
  <si>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</si>
  <si>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</si>
  <si>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</si>
  <si>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</si>
  <si>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</si>
  <si>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</si>
  <si>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</si>
  <si>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</si>
  <si>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</si>
  <si>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</si>
  <si>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</si>
  <si>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</si>
  <si>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</si>
  <si>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</si>
  <si>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</si>
  <si>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</si>
  <si>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</si>
  <si>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</si>
  <si>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</si>
  <si>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</si>
  <si>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</si>
  <si>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</si>
  <si>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</si>
  <si>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</si>
  <si>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</si>
  <si>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</si>
  <si>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</si>
  <si>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</si>
  <si>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</si>
  <si>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</si>
  <si>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</si>
  <si>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</si>
  <si>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</si>
  <si>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</si>
  <si>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</si>
  <si>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</si>
  <si>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</si>
  <si>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</si>
  <si>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</si>
  <si>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</si>
  <si>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</si>
  <si>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</si>
  <si>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</si>
  <si>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</si>
  <si>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</si>
  <si>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</si>
  <si>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</si>
  <si>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</si>
  <si>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</si>
  <si>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</si>
  <si>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</si>
  <si>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</si>
  <si>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</si>
  <si>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</si>
  <si>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</si>
  <si>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</si>
  <si>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</si>
  <si>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</si>
  <si>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</si>
  <si>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</si>
  <si>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</si>
  <si>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</si>
  <si>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</si>
  <si>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</si>
  <si>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</si>
  <si>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</si>
  <si>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</si>
  <si>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</si>
  <si>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</si>
  <si>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</si>
  <si>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</si>
  <si>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</si>
  <si>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</si>
  <si>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</si>
  <si>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</si>
  <si>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</si>
  <si>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</si>
  <si>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</si>
  <si>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</si>
  <si>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</si>
  <si>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</si>
  <si>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</si>
  <si>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</si>
  <si>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</si>
  <si>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</si>
  <si>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</si>
  <si>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</si>
  <si>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</si>
  <si>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</si>
  <si>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</si>
  <si>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</si>
  <si>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</si>
  <si>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</si>
  <si>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</si>
  <si>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</si>
  <si>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</si>
  <si>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</si>
  <si>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</si>
  <si>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</si>
  <si>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</si>
  <si>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</si>
  <si>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</si>
  <si>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</si>
  <si>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</si>
  <si>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</si>
  <si>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</si>
  <si>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</si>
  <si>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</si>
  <si>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</si>
  <si>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</si>
  <si>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</si>
  <si>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</si>
  <si>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</si>
  <si>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</si>
  <si>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</si>
  <si>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</si>
  <si>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</si>
  <si>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</si>
  <si>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</si>
  <si>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</si>
  <si>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</si>
  <si>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</si>
  <si>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</si>
  <si>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</si>
  <si>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</si>
  <si>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</si>
  <si>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</si>
  <si>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</si>
  <si>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</si>
  <si>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</si>
  <si>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</si>
  <si>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</si>
  <si>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</si>
  <si>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</si>
  <si>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</si>
  <si>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</si>
  <si>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</si>
  <si>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</si>
  <si>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</si>
  <si>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</si>
  <si>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</si>
  <si>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</si>
  <si>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</si>
  <si>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</si>
  <si>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</si>
  <si>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</si>
  <si>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</si>
  <si>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</si>
  <si>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</si>
  <si>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</si>
  <si>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</si>
  <si>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</si>
  <si>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</si>
  <si>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</si>
  <si>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</si>
  <si>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</si>
  <si>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</si>
  <si>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</si>
  <si>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</si>
  <si>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</si>
  <si>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</si>
  <si>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</si>
  <si>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</si>
  <si>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</si>
  <si>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</si>
  <si>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</si>
  <si>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</si>
  <si>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</si>
  <si>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</si>
  <si>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</si>
  <si>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</si>
  <si>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</si>
  <si>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</si>
  <si>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</si>
  <si>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</si>
  <si>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</si>
  <si>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</si>
  <si>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</si>
  <si>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</si>
  <si>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</si>
  <si>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</si>
  <si>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</si>
  <si>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1979</t>
  </si>
  <si>
    <t>1:20.61</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</si>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</sst>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963</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676</v>
      </c>
      <c r="AV24" s="279" t="s">
        <v>1834</v>
      </c>
      <c r="AW24" s="121" t="s">
        <v>1835</v>
      </c>
      <c r="AX24" s="245"/>
      <c r="AY24" s="121" t="s">
        <v>1836</v>
      </c>
      <c r="AZ24" s="245"/>
      <c r="BA24" s="245"/>
      <c r="BB24" s="173" t="s">
        <v>858</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1300</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931</v>
      </c>
      <c r="CI24" s="177" t="s">
        <v>1854</v>
      </c>
      <c r="CJ24" s="134" t="s">
        <v>1855</v>
      </c>
      <c r="CK24" s="134" t="s">
        <v>1856</v>
      </c>
      <c r="CL24" s="134" t="s">
        <v>1471</v>
      </c>
      <c r="CM24" s="134" t="s">
        <v>937</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1097</v>
      </c>
      <c r="DO24" s="204" t="s">
        <v>1869</v>
      </c>
      <c r="DP24" s="255"/>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1811</v>
      </c>
      <c r="I25" s="88" t="s">
        <v>1881</v>
      </c>
      <c r="J25" s="88" t="s">
        <v>1813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1821</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1830</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1827</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1811</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1821</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1819</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1836</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1839</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1836</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1824</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1813</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1819</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1835</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1810</v>
      </c>
      <c r="G39" s="82" t="s">
        <v>1810</v>
      </c>
      <c r="H39" s="377" t="s">
        <v>101</v>
      </c>
      <c r="I39" s="377" t="s">
        <v>2653</v>
      </c>
      <c r="J39" s="377" t="s">
        <v>654</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2419</v>
      </c>
      <c r="AD39" s="377" t="s">
        <v>2663</v>
      </c>
      <c r="AE39" s="88" t="s">
        <v>1611</v>
      </c>
      <c r="AF39" s="377" t="s">
        <v>2664</v>
      </c>
      <c r="AG39" s="379" t="s">
        <v>2665</v>
      </c>
      <c r="AH39" s="378"/>
      <c r="AI39" s="378"/>
      <c r="AJ39" s="88" t="s">
        <v>1731</v>
      </c>
      <c r="AK39" s="88" t="s">
        <v>2666</v>
      </c>
      <c r="AL39" s="190"/>
      <c r="AM39" s="88" t="s">
        <v>2667</v>
      </c>
      <c r="AN39" s="88" t="s">
        <v>1896</v>
      </c>
      <c r="AO39" s="88" t="s">
        <v>2668</v>
      </c>
      <c r="AP39" s="88" t="s">
        <v>2669</v>
      </c>
      <c r="AQ39" s="88" t="s">
        <v>2670</v>
      </c>
      <c r="AR39" s="88" t="s">
        <v>2671</v>
      </c>
      <c r="AS39" s="88" t="s">
        <v>1218</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2168</v>
      </c>
      <c r="BG39" s="378"/>
      <c r="BH39" s="378"/>
      <c r="BI39" s="377" t="s">
        <v>2678</v>
      </c>
      <c r="BJ39" s="378"/>
      <c r="BK39" s="377" t="s">
        <v>2679</v>
      </c>
      <c r="BL39" s="379" t="s">
        <v>2680</v>
      </c>
      <c r="BM39" s="88" t="s">
        <v>2681</v>
      </c>
      <c r="BN39" s="377" t="s">
        <v>2531</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1254</v>
      </c>
      <c r="CB39" s="88" t="s">
        <v>2690</v>
      </c>
      <c r="CC39" s="88" t="s">
        <v>2691</v>
      </c>
      <c r="CD39" s="88" t="s">
        <v>144</v>
      </c>
      <c r="CE39" s="88" t="s">
        <v>2692</v>
      </c>
      <c r="CF39" s="193"/>
      <c r="CG39" s="377" t="s">
        <v>2693</v>
      </c>
      <c r="CH39" s="377" t="s">
        <v>2694</v>
      </c>
      <c r="CI39" s="377" t="s">
        <v>1293</v>
      </c>
      <c r="CJ39" s="377" t="s">
        <v>2695</v>
      </c>
      <c r="CK39" s="377" t="s">
        <v>2696</v>
      </c>
      <c r="CL39" s="377" t="s">
        <v>2697</v>
      </c>
      <c r="CM39" s="377" t="s">
        <v>2698</v>
      </c>
      <c r="CN39" s="377" t="s">
        <v>1606</v>
      </c>
      <c r="CO39" s="377" t="s">
        <v>2699</v>
      </c>
      <c r="CP39" s="378"/>
      <c r="CQ39" s="378"/>
      <c r="CR39" s="378"/>
      <c r="CS39" s="88" t="s">
        <v>2700</v>
      </c>
      <c r="CT39" s="88" t="s">
        <v>2701</v>
      </c>
      <c r="CU39" s="187"/>
      <c r="CV39" s="377" t="s">
        <v>652</v>
      </c>
      <c r="CW39" s="377" t="s">
        <v>2185</v>
      </c>
      <c r="CX39" s="377" t="s">
        <v>2001</v>
      </c>
      <c r="CY39" s="377" t="s">
        <v>1036</v>
      </c>
      <c r="CZ39" s="377" t="s">
        <v>1070</v>
      </c>
      <c r="DA39" s="377" t="s">
        <v>2186</v>
      </c>
      <c r="DB39" s="377" t="s">
        <v>2702</v>
      </c>
      <c r="DC39" s="377" t="s">
        <v>2703</v>
      </c>
      <c r="DD39" s="88" t="s">
        <v>591</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2058</v>
      </c>
      <c r="DV39" s="88" t="s">
        <v>660</v>
      </c>
      <c r="DW39" s="88" t="s">
        <v>1625</v>
      </c>
      <c r="DX39" s="378"/>
      <c r="DY39" s="378"/>
      <c r="DZ39" s="378"/>
      <c r="EA39" s="377" t="s">
        <v>2711</v>
      </c>
      <c r="EB39" s="88" t="s">
        <v>2432</v>
      </c>
      <c r="EC39" s="88" t="s">
        <v>1047</v>
      </c>
      <c r="ED39" s="88" t="s">
        <v>217</v>
      </c>
    </row>
    <row r="40">
      <c r="A40" s="165" t="s">
        <v>2712</v>
      </c>
      <c r="B40" s="104" t="s">
        <v>2713</v>
      </c>
      <c r="C40" s="105" t="s">
        <v>1258</v>
      </c>
      <c r="D40" s="106" t="s">
        <v>1258</v>
      </c>
      <c r="E40" s="107" t="s">
        <v>1258</v>
      </c>
      <c r="F40" s="108" t="s">
        <v>2714</v>
      </c>
      <c r="G40" s="104" t="s">
        <v>1809</v>
      </c>
      <c r="H40" s="242"/>
      <c r="I40" s="166" t="s">
        <v>1202</v>
      </c>
      <c r="J40" s="112" t="s">
        <v>2715</v>
      </c>
      <c r="K40" s="293" t="s">
        <v>1638</v>
      </c>
      <c r="L40" s="112" t="s">
        <v>626</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2328</v>
      </c>
      <c r="AC40" s="116" t="s">
        <v>2722</v>
      </c>
      <c r="AD40" s="116" t="s">
        <v>2693</v>
      </c>
      <c r="AE40" s="244"/>
      <c r="AF40" s="116" t="s">
        <v>758</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1680</v>
      </c>
      <c r="BV40" s="174" t="s">
        <v>697</v>
      </c>
      <c r="BW40" s="174" t="s">
        <v>1989</v>
      </c>
      <c r="BX40" s="129" t="s">
        <v>2731</v>
      </c>
      <c r="BY40" s="129" t="s">
        <v>2732</v>
      </c>
      <c r="BZ40" s="249"/>
      <c r="CA40" s="174" t="s">
        <v>2733</v>
      </c>
      <c r="CB40" s="249"/>
      <c r="CC40" s="249"/>
      <c r="CD40" s="249"/>
      <c r="CE40" s="249"/>
      <c r="CF40" s="251"/>
      <c r="CG40" s="134" t="s">
        <v>2734</v>
      </c>
      <c r="CH40" s="381" t="s">
        <v>849</v>
      </c>
      <c r="CI40" s="134" t="s">
        <v>2735</v>
      </c>
      <c r="CJ40" s="134" t="s">
        <v>2736</v>
      </c>
      <c r="CK40" s="262"/>
      <c r="CL40" s="262"/>
      <c r="CM40" s="134" t="s">
        <v>2132</v>
      </c>
      <c r="CN40" s="134" t="s">
        <v>539</v>
      </c>
      <c r="CO40" s="177" t="s">
        <v>2737</v>
      </c>
      <c r="CP40" s="252"/>
      <c r="CQ40" s="252"/>
      <c r="CR40" s="252"/>
      <c r="CS40" s="252"/>
      <c r="CT40" s="177"/>
      <c r="CU40" s="92"/>
      <c r="CV40" s="139" t="s">
        <v>2738</v>
      </c>
      <c r="CW40" s="253"/>
      <c r="CX40" s="139" t="s">
        <v>769</v>
      </c>
      <c r="CY40" s="139" t="s">
        <v>2328</v>
      </c>
      <c r="CZ40" s="139" t="s">
        <v>661</v>
      </c>
      <c r="DA40" s="203" t="s">
        <v>1377</v>
      </c>
      <c r="DB40" s="139" t="s">
        <v>2739</v>
      </c>
      <c r="DC40" s="203" t="s">
        <v>2010</v>
      </c>
      <c r="DD40" s="253"/>
      <c r="DE40" s="253"/>
      <c r="DF40" s="253"/>
      <c r="DG40" s="253"/>
      <c r="DH40" s="263"/>
      <c r="DI40" s="204" t="s">
        <v>2127</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1258</v>
      </c>
      <c r="D41" s="84" t="s">
        <v>1258</v>
      </c>
      <c r="E41" s="85" t="s">
        <v>1258</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2390</v>
      </c>
      <c r="AA41" s="88" t="s">
        <v>753</v>
      </c>
      <c r="AB41" s="94" t="s">
        <v>254</v>
      </c>
      <c r="AC41" s="94" t="s">
        <v>2340</v>
      </c>
      <c r="AD41" s="88" t="s">
        <v>2753</v>
      </c>
      <c r="AE41" s="94" t="s">
        <v>2754</v>
      </c>
      <c r="AF41" s="94" t="s">
        <v>963</v>
      </c>
      <c r="AG41" s="94" t="s">
        <v>567</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2242</v>
      </c>
      <c r="BE41" s="94" t="s">
        <v>2759</v>
      </c>
      <c r="BF41" s="88" t="s">
        <v>2481</v>
      </c>
      <c r="BG41" s="99"/>
      <c r="BH41" s="99"/>
      <c r="BI41" s="94" t="s">
        <v>1585</v>
      </c>
      <c r="BJ41" s="88" t="s">
        <v>151</v>
      </c>
      <c r="BK41" s="94" t="s">
        <v>2760</v>
      </c>
      <c r="BL41" s="94" t="s">
        <v>2761</v>
      </c>
      <c r="BM41" s="99"/>
      <c r="BN41" s="99"/>
      <c r="BO41" s="99"/>
      <c r="BP41" s="99"/>
      <c r="BQ41" s="237"/>
      <c r="BR41" s="88" t="s">
        <v>2762</v>
      </c>
      <c r="BS41" s="94" t="s">
        <v>2217</v>
      </c>
      <c r="BT41" s="94" t="s">
        <v>2763</v>
      </c>
      <c r="BU41" s="94" t="s">
        <v>2764</v>
      </c>
      <c r="BV41" s="94" t="s">
        <v>454</v>
      </c>
      <c r="BW41" s="88" t="s">
        <v>1165</v>
      </c>
      <c r="BX41" s="88" t="s">
        <v>2765</v>
      </c>
      <c r="BY41" s="94" t="s">
        <v>2766</v>
      </c>
      <c r="BZ41" s="99"/>
      <c r="CA41" s="94" t="s">
        <v>2767</v>
      </c>
      <c r="CB41" s="99"/>
      <c r="CC41" s="99"/>
      <c r="CD41" s="99"/>
      <c r="CE41" s="99"/>
      <c r="CF41" s="237"/>
      <c r="CG41" s="94" t="s">
        <v>2535</v>
      </c>
      <c r="CH41" s="94" t="s">
        <v>2768</v>
      </c>
      <c r="CI41" s="94" t="s">
        <v>2769</v>
      </c>
      <c r="CJ41" s="88" t="s">
        <v>2770</v>
      </c>
      <c r="CK41" s="102"/>
      <c r="CL41" s="102" t="s">
        <v>1927</v>
      </c>
      <c r="CM41" s="94" t="s">
        <v>928</v>
      </c>
      <c r="CN41" s="94" t="s">
        <v>2329</v>
      </c>
      <c r="CO41" s="94" t="s">
        <v>2068</v>
      </c>
      <c r="CP41" s="99"/>
      <c r="CQ41" s="99"/>
      <c r="CR41" s="99"/>
      <c r="CS41" s="99"/>
      <c r="CT41" s="99"/>
      <c r="CU41" s="92"/>
      <c r="CV41" s="88" t="s">
        <v>2771</v>
      </c>
      <c r="CW41" s="94" t="s">
        <v>2772</v>
      </c>
      <c r="CX41" s="94" t="s">
        <v>243</v>
      </c>
      <c r="CY41" s="94" t="s">
        <v>2773</v>
      </c>
      <c r="CZ41" s="94" t="s">
        <v>1477</v>
      </c>
      <c r="DA41" s="94" t="s">
        <v>2050</v>
      </c>
      <c r="DB41" s="88" t="s">
        <v>2774</v>
      </c>
      <c r="DC41" s="94" t="s">
        <v>251</v>
      </c>
      <c r="DD41" s="99"/>
      <c r="DE41" s="99"/>
      <c r="DF41" s="99"/>
      <c r="DG41" s="99"/>
      <c r="DH41" s="237"/>
      <c r="DI41" s="94" t="s">
        <v>855</v>
      </c>
      <c r="DJ41" s="99"/>
      <c r="DK41" s="99"/>
      <c r="DL41" s="99"/>
      <c r="DM41" s="99"/>
      <c r="DN41" s="99"/>
      <c r="DO41" s="99"/>
      <c r="DP41" s="99"/>
      <c r="DQ41" s="99"/>
      <c r="DR41" s="88" t="s">
        <v>2775</v>
      </c>
      <c r="DS41" s="94" t="s">
        <v>634</v>
      </c>
      <c r="DT41" s="99"/>
      <c r="DU41" s="99"/>
      <c r="DV41" s="99"/>
      <c r="DW41" s="99"/>
      <c r="DX41" s="99"/>
      <c r="DY41" s="99"/>
      <c r="DZ41" s="99"/>
      <c r="EA41" s="94" t="s">
        <v>870</v>
      </c>
      <c r="EB41" s="99"/>
      <c r="EC41" s="99"/>
      <c r="ED41" s="258"/>
    </row>
    <row r="42">
      <c r="A42" s="383" t="s">
        <v>2776</v>
      </c>
      <c r="B42" s="104" t="s">
        <v>2777</v>
      </c>
      <c r="C42" s="105" t="s">
        <v>1258</v>
      </c>
      <c r="D42" s="106" t="s">
        <v>1258</v>
      </c>
      <c r="E42" s="107" t="s">
        <v>1258</v>
      </c>
      <c r="F42" s="108" t="s">
        <v>2778</v>
      </c>
      <c r="G42" s="104" t="s">
        <v>2108</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1279</v>
      </c>
      <c r="U42" s="242"/>
      <c r="V42" s="242"/>
      <c r="W42" s="92"/>
      <c r="X42" s="197" t="s">
        <v>1201</v>
      </c>
      <c r="Y42" s="198"/>
      <c r="Z42" s="198" t="s">
        <v>2786</v>
      </c>
      <c r="AA42" s="198" t="s">
        <v>2207</v>
      </c>
      <c r="AB42" s="198" t="s">
        <v>718</v>
      </c>
      <c r="AC42" s="198" t="s">
        <v>458</v>
      </c>
      <c r="AD42" s="116" t="s">
        <v>2787</v>
      </c>
      <c r="AE42" s="244"/>
      <c r="AF42" s="116" t="s">
        <v>124</v>
      </c>
      <c r="AG42" s="198" t="s">
        <v>2286</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2534</v>
      </c>
      <c r="AZ42" s="167" t="s">
        <v>2795</v>
      </c>
      <c r="BA42" s="167"/>
      <c r="BB42" s="172"/>
      <c r="BC42" s="173"/>
      <c r="BD42" s="173" t="s">
        <v>2796</v>
      </c>
      <c r="BE42" s="173" t="s">
        <v>2797</v>
      </c>
      <c r="BF42" s="173" t="s">
        <v>2798</v>
      </c>
      <c r="BG42" s="173" t="s">
        <v>2799</v>
      </c>
      <c r="BH42" s="173"/>
      <c r="BI42" s="173" t="s">
        <v>1841</v>
      </c>
      <c r="BJ42" s="172"/>
      <c r="BK42" s="126" t="s">
        <v>2800</v>
      </c>
      <c r="BL42" s="173" t="s">
        <v>799</v>
      </c>
      <c r="BM42" s="173" t="s">
        <v>2259</v>
      </c>
      <c r="BN42" s="173" t="s">
        <v>2801</v>
      </c>
      <c r="BO42" s="173" t="s">
        <v>2802</v>
      </c>
      <c r="BP42" s="173" t="s">
        <v>2803</v>
      </c>
      <c r="BQ42" s="297"/>
      <c r="BR42" s="174" t="s">
        <v>2804</v>
      </c>
      <c r="BS42" s="174" t="s">
        <v>2217</v>
      </c>
      <c r="BT42" s="174" t="s">
        <v>2805</v>
      </c>
      <c r="BU42" s="129" t="s">
        <v>160</v>
      </c>
      <c r="BV42" s="249"/>
      <c r="BW42" s="174" t="s">
        <v>2806</v>
      </c>
      <c r="BX42" s="249"/>
      <c r="BY42" s="174" t="s">
        <v>2807</v>
      </c>
      <c r="BZ42" s="174" t="s">
        <v>165</v>
      </c>
      <c r="CA42" s="174" t="s">
        <v>2644</v>
      </c>
      <c r="CB42" s="249"/>
      <c r="CC42" s="174" t="s">
        <v>2808</v>
      </c>
      <c r="CD42" s="174" t="s">
        <v>383</v>
      </c>
      <c r="CE42" s="175" t="s">
        <v>2809</v>
      </c>
      <c r="CF42" s="384"/>
      <c r="CG42" s="134" t="s">
        <v>791</v>
      </c>
      <c r="CH42" s="177" t="s">
        <v>259</v>
      </c>
      <c r="CI42" s="177" t="s">
        <v>2810</v>
      </c>
      <c r="CJ42" s="177" t="s">
        <v>2811</v>
      </c>
      <c r="CK42" s="177"/>
      <c r="CL42" s="177"/>
      <c r="CM42" s="177" t="s">
        <v>2812</v>
      </c>
      <c r="CN42" s="300" t="s">
        <v>1960</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626</v>
      </c>
      <c r="DJ42" s="255"/>
      <c r="DK42" s="255"/>
      <c r="DL42" s="255"/>
      <c r="DM42" s="204" t="s">
        <v>1561</v>
      </c>
      <c r="DN42" s="255"/>
      <c r="DO42" s="204" t="s">
        <v>2821</v>
      </c>
      <c r="DP42" s="204" t="s">
        <v>2822</v>
      </c>
      <c r="DQ42" s="255"/>
      <c r="DR42" s="204" t="s">
        <v>2823</v>
      </c>
      <c r="DS42" s="204" t="s">
        <v>641</v>
      </c>
      <c r="DT42" s="255"/>
      <c r="DU42" s="255"/>
      <c r="DV42" s="255"/>
      <c r="DW42" s="255"/>
      <c r="DX42" s="204" t="s">
        <v>2824</v>
      </c>
      <c r="DY42" s="255"/>
      <c r="DZ42" s="204" t="s">
        <v>2825</v>
      </c>
      <c r="EA42" s="255"/>
      <c r="EB42" s="255"/>
      <c r="EC42" s="204" t="s">
        <v>2826</v>
      </c>
      <c r="ED42" s="287"/>
    </row>
    <row r="43">
      <c r="A43" s="385" t="s">
        <v>2827</v>
      </c>
      <c r="B43" s="82" t="s">
        <v>2828</v>
      </c>
      <c r="C43" s="83" t="s">
        <v>1258</v>
      </c>
      <c r="D43" s="84" t="s">
        <v>1258</v>
      </c>
      <c r="E43" s="85" t="s">
        <v>1258</v>
      </c>
      <c r="F43" s="86" t="s">
        <v>2195</v>
      </c>
      <c r="G43" s="82" t="s">
        <v>2586</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2579</v>
      </c>
      <c r="AD43" s="88" t="s">
        <v>1824</v>
      </c>
      <c r="AE43" s="99"/>
      <c r="AF43" s="161" t="s">
        <v>1188</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2123</v>
      </c>
      <c r="AX43" s="99"/>
      <c r="AY43" s="88" t="s">
        <v>1424</v>
      </c>
      <c r="AZ43" s="99"/>
      <c r="BA43" s="99"/>
      <c r="BB43" s="88" t="s">
        <v>2844</v>
      </c>
      <c r="BC43" s="88" t="s">
        <v>2403</v>
      </c>
      <c r="BD43" s="88" t="s">
        <v>2677</v>
      </c>
      <c r="BE43" s="88" t="s">
        <v>1163</v>
      </c>
      <c r="BF43" s="88" t="s">
        <v>2845</v>
      </c>
      <c r="BG43" s="88" t="s">
        <v>260</v>
      </c>
      <c r="BH43" s="99"/>
      <c r="BI43" s="94" t="s">
        <v>1841</v>
      </c>
      <c r="BJ43" s="94" t="s">
        <v>2846</v>
      </c>
      <c r="BK43" s="94"/>
      <c r="BL43" s="88" t="s">
        <v>2847</v>
      </c>
      <c r="BM43" s="99"/>
      <c r="BN43" s="99"/>
      <c r="BO43" s="99"/>
      <c r="BP43" s="88" t="s">
        <v>2848</v>
      </c>
      <c r="BQ43" s="237"/>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7"/>
      <c r="CG43" s="88" t="s">
        <v>2858</v>
      </c>
      <c r="CH43" s="88" t="s">
        <v>2341</v>
      </c>
      <c r="CI43" s="88" t="s">
        <v>2759</v>
      </c>
      <c r="CJ43" s="88" t="s">
        <v>2859</v>
      </c>
      <c r="CK43" s="102"/>
      <c r="CL43" s="88" t="s">
        <v>2860</v>
      </c>
      <c r="CM43" s="88" t="s">
        <v>1772</v>
      </c>
      <c r="CN43" s="88" t="s">
        <v>2861</v>
      </c>
      <c r="CO43" s="88" t="s">
        <v>2862</v>
      </c>
      <c r="CP43" s="99"/>
      <c r="CQ43" s="88" t="s">
        <v>2462</v>
      </c>
      <c r="CR43" s="99"/>
      <c r="CS43" s="88" t="s">
        <v>2863</v>
      </c>
      <c r="CT43" s="88" t="s">
        <v>2864</v>
      </c>
      <c r="CU43" s="92"/>
      <c r="CV43" s="88" t="s">
        <v>2865</v>
      </c>
      <c r="CW43" s="88" t="s">
        <v>187</v>
      </c>
      <c r="CX43" s="272" t="s">
        <v>610</v>
      </c>
      <c r="CY43" s="88" t="s">
        <v>1321</v>
      </c>
      <c r="CZ43" s="88" t="s">
        <v>2101</v>
      </c>
      <c r="DA43" s="88" t="s">
        <v>2341</v>
      </c>
      <c r="DB43" s="88" t="s">
        <v>2866</v>
      </c>
      <c r="DC43" s="88" t="s">
        <v>1216</v>
      </c>
      <c r="DD43" s="99"/>
      <c r="DE43" s="99"/>
      <c r="DF43" s="88" t="s">
        <v>2867</v>
      </c>
      <c r="DG43" s="88" t="s">
        <v>2868</v>
      </c>
      <c r="DH43" s="237"/>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1006</v>
      </c>
      <c r="EA43" s="99"/>
      <c r="EB43" s="99"/>
      <c r="EC43" s="88" t="s">
        <v>2344</v>
      </c>
      <c r="ED43" s="258"/>
    </row>
    <row r="44">
      <c r="A44" s="386" t="s">
        <v>2873</v>
      </c>
      <c r="B44" s="104" t="s">
        <v>2874</v>
      </c>
      <c r="C44" s="105" t="s">
        <v>1258</v>
      </c>
      <c r="D44" s="106" t="s">
        <v>1258</v>
      </c>
      <c r="E44" s="107" t="s">
        <v>1258</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806</v>
      </c>
      <c r="T44" s="166" t="s">
        <v>2886</v>
      </c>
      <c r="U44" s="389" t="str">
        <f>HYPERLINK("https://youtu.be/HHFrEbWlPX4","50.03")</f>
        <v>50.03</v>
      </c>
      <c r="V44" s="392" t="s">
        <v>2887</v>
      </c>
      <c r="W44" s="153"/>
      <c r="X44" s="393" t="s">
        <v>2888</v>
      </c>
      <c r="Y44" s="393"/>
      <c r="Z44" s="393" t="s">
        <v>2889</v>
      </c>
      <c r="AA44" s="393" t="s">
        <v>2890</v>
      </c>
      <c r="AB44" s="393" t="s">
        <v>2891</v>
      </c>
      <c r="AC44" s="393" t="s">
        <v>2630</v>
      </c>
      <c r="AD44" s="393" t="s">
        <v>2892</v>
      </c>
      <c r="AE44" s="394"/>
      <c r="AF44" s="395" t="s">
        <v>2893</v>
      </c>
      <c r="AG44" s="395" t="s">
        <v>2665</v>
      </c>
      <c r="AH44" s="396" t="str">
        <f>HYPERLINK("https://youtu.be/N6tkTf4Wb68","53.04")</f>
        <v>53.04</v>
      </c>
      <c r="AI44" s="395"/>
      <c r="AJ44" s="395" t="s">
        <v>1230</v>
      </c>
      <c r="AK44" s="397" t="s">
        <v>2894</v>
      </c>
      <c r="AL44" s="158"/>
      <c r="AM44" s="167" t="s">
        <v>2895</v>
      </c>
      <c r="AN44" s="398" t="s">
        <v>2896</v>
      </c>
      <c r="AO44" s="167" t="s">
        <v>2897</v>
      </c>
      <c r="AP44" s="399" t="s">
        <v>2898</v>
      </c>
      <c r="AQ44" s="400"/>
      <c r="AR44" s="400"/>
      <c r="AS44" s="399" t="s">
        <v>1078</v>
      </c>
      <c r="AT44" s="398" t="s">
        <v>749</v>
      </c>
      <c r="AU44" s="167" t="s">
        <v>1216</v>
      </c>
      <c r="AV44" s="401" t="str">
        <f>HYPERLINK("https://www.youtube.com/watch?v=I53jRzHVHbs","25.78")</f>
        <v>25.78</v>
      </c>
      <c r="AW44" s="399" t="s">
        <v>890</v>
      </c>
      <c r="AX44" s="400"/>
      <c r="AY44" s="399" t="s">
        <v>2899</v>
      </c>
      <c r="AZ44" s="402" t="s">
        <v>142</v>
      </c>
      <c r="BA44" s="403"/>
      <c r="BB44" s="173" t="s">
        <v>2900</v>
      </c>
      <c r="BC44" s="404" t="s">
        <v>2901</v>
      </c>
      <c r="BD44" s="404" t="s">
        <v>1288</v>
      </c>
      <c r="BE44" s="405" t="s">
        <v>2577</v>
      </c>
      <c r="BF44" s="406" t="s">
        <v>2902</v>
      </c>
      <c r="BG44" s="404" t="s">
        <v>1698</v>
      </c>
      <c r="BH44" s="173" t="s">
        <v>2903</v>
      </c>
      <c r="BI44" s="404" t="s">
        <v>409</v>
      </c>
      <c r="BJ44" s="172"/>
      <c r="BK44" s="405" t="s">
        <v>2904</v>
      </c>
      <c r="BL44" s="404" t="s">
        <v>2680</v>
      </c>
      <c r="BM44" s="126" t="s">
        <v>2905</v>
      </c>
      <c r="BN44" s="407" t="str">
        <f>HYPERLINK("https://youtu.be/PNHoaVHANBk","42.06")</f>
        <v>42.06</v>
      </c>
      <c r="BO44" s="404" t="s">
        <v>885</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714</v>
      </c>
      <c r="CD44" s="413" t="s">
        <v>1013</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2922</v>
      </c>
      <c r="CZ44" s="203" t="s">
        <v>2923</v>
      </c>
      <c r="DA44" s="203" t="s">
        <v>2479</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2437</v>
      </c>
      <c r="DS44" s="428"/>
      <c r="DT44" s="428" t="s">
        <v>2017</v>
      </c>
      <c r="DU44" s="427" t="s">
        <v>2931</v>
      </c>
      <c r="DV44" s="428" t="s">
        <v>2932</v>
      </c>
      <c r="DW44" s="428" t="s">
        <v>2933</v>
      </c>
      <c r="DX44" s="426"/>
      <c r="DY44" s="427" t="s">
        <v>2934</v>
      </c>
      <c r="DZ44" s="427" t="s">
        <v>2935</v>
      </c>
      <c r="EA44" s="427" t="s">
        <v>2936</v>
      </c>
      <c r="EB44" s="427" t="s">
        <v>1936</v>
      </c>
      <c r="EC44" s="427" t="s">
        <v>1492</v>
      </c>
      <c r="ED44" s="287" t="s">
        <v>2937</v>
      </c>
    </row>
    <row r="45">
      <c r="A45" s="288" t="s">
        <v>2938</v>
      </c>
      <c r="B45" s="82" t="s">
        <v>2939</v>
      </c>
      <c r="C45" s="83" t="s">
        <v>1258</v>
      </c>
      <c r="D45" s="84" t="s">
        <v>648</v>
      </c>
      <c r="E45" s="85" t="s">
        <v>1199</v>
      </c>
      <c r="F45" s="86" t="s">
        <v>2940</v>
      </c>
      <c r="G45" s="82" t="s">
        <v>1349</v>
      </c>
      <c r="H45" s="94" t="s">
        <v>2091</v>
      </c>
      <c r="I45" s="94" t="s">
        <v>2941</v>
      </c>
      <c r="J45" s="94" t="s">
        <v>2942</v>
      </c>
      <c r="K45" s="94" t="s">
        <v>2165</v>
      </c>
      <c r="L45" s="93" t="s">
        <v>1918</v>
      </c>
      <c r="M45" s="99"/>
      <c r="N45" s="99"/>
      <c r="O45" s="93" t="s">
        <v>2943</v>
      </c>
      <c r="P45" s="94" t="s">
        <v>2944</v>
      </c>
      <c r="Q45" s="89" t="s">
        <v>2753</v>
      </c>
      <c r="R45" s="94"/>
      <c r="S45" s="94" t="s">
        <v>1062</v>
      </c>
      <c r="T45" s="93"/>
      <c r="U45" s="93" t="s">
        <v>2945</v>
      </c>
      <c r="V45" s="90" t="s">
        <v>2946</v>
      </c>
      <c r="W45" s="226"/>
      <c r="X45" s="94" t="s">
        <v>2947</v>
      </c>
      <c r="Y45" s="94"/>
      <c r="Z45" s="94" t="s">
        <v>2948</v>
      </c>
      <c r="AA45" s="94" t="s">
        <v>2041</v>
      </c>
      <c r="AB45" s="94" t="s">
        <v>2949</v>
      </c>
      <c r="AC45" s="94" t="s">
        <v>2950</v>
      </c>
      <c r="AD45" s="94" t="s">
        <v>2951</v>
      </c>
      <c r="AE45" s="94"/>
      <c r="AF45" s="94" t="s">
        <v>808</v>
      </c>
      <c r="AG45" s="94" t="s">
        <v>2952</v>
      </c>
      <c r="AH45" s="94" t="s">
        <v>2953</v>
      </c>
      <c r="AI45" s="94"/>
      <c r="AJ45" s="94" t="s">
        <v>2213</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1943</v>
      </c>
      <c r="AV45" s="94" t="s">
        <v>875</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532</v>
      </c>
      <c r="CO45" s="93" t="s">
        <v>2982</v>
      </c>
      <c r="CP45" s="98" t="str">
        <f>HYPERLINK("https://youtu.be/9t40-1JdpMg","1:12.35")</f>
        <v>1:12.35</v>
      </c>
      <c r="CQ45" s="98" t="s">
        <v>1395</v>
      </c>
      <c r="CR45" s="102"/>
      <c r="CS45" s="89" t="s">
        <v>2983</v>
      </c>
      <c r="CT45" s="98" t="s">
        <v>2984</v>
      </c>
      <c r="CU45" s="92"/>
      <c r="CV45" s="99"/>
      <c r="CW45" s="94" t="s">
        <v>2917</v>
      </c>
      <c r="CX45" s="93" t="s">
        <v>1143</v>
      </c>
      <c r="CY45" s="94" t="s">
        <v>2985</v>
      </c>
      <c r="CZ45" s="94" t="s">
        <v>2986</v>
      </c>
      <c r="DA45" s="94" t="s">
        <v>736</v>
      </c>
      <c r="DB45" s="94" t="s">
        <v>2987</v>
      </c>
      <c r="DC45" s="94" t="s">
        <v>2401</v>
      </c>
      <c r="DD45" s="98" t="str">
        <f>HYPERLINK("https://youtu.be/BJNJgSLnXTM","1:18.10")</f>
        <v>1:18.10</v>
      </c>
      <c r="DE45" s="94" t="s">
        <v>2988</v>
      </c>
      <c r="DF45" s="93" t="s">
        <v>2931</v>
      </c>
      <c r="DG45" s="98" t="s">
        <v>1984</v>
      </c>
      <c r="DH45" s="91"/>
      <c r="DI45" s="99"/>
      <c r="DJ45" s="94" t="s">
        <v>2989</v>
      </c>
      <c r="DK45" s="99"/>
      <c r="DL45" s="89" t="s">
        <v>2990</v>
      </c>
      <c r="DM45" s="94" t="s">
        <v>2643</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1258</v>
      </c>
      <c r="D46" s="106" t="s">
        <v>1258</v>
      </c>
      <c r="E46" s="107" t="s">
        <v>1258</v>
      </c>
      <c r="F46" s="108" t="s">
        <v>2997</v>
      </c>
      <c r="G46" s="104" t="s">
        <v>2998</v>
      </c>
      <c r="H46" s="166" t="s">
        <v>2999</v>
      </c>
      <c r="I46" s="166" t="s">
        <v>2696</v>
      </c>
      <c r="J46" s="166" t="s">
        <v>3000</v>
      </c>
      <c r="K46" s="112" t="s">
        <v>1952</v>
      </c>
      <c r="L46" s="293" t="s">
        <v>344</v>
      </c>
      <c r="M46" s="112" t="s">
        <v>944</v>
      </c>
      <c r="N46" s="112" t="s">
        <v>3001</v>
      </c>
      <c r="O46" s="112" t="s">
        <v>2751</v>
      </c>
      <c r="P46" s="112" t="s">
        <v>1561</v>
      </c>
      <c r="Q46" s="430" t="s">
        <v>3002</v>
      </c>
      <c r="R46" s="431" t="s">
        <v>1304</v>
      </c>
      <c r="S46" s="112" t="s">
        <v>112</v>
      </c>
      <c r="T46" s="293" t="s">
        <v>1741</v>
      </c>
      <c r="U46" s="166" t="s">
        <v>1235</v>
      </c>
      <c r="V46" s="166" t="s">
        <v>3003</v>
      </c>
      <c r="W46" s="92"/>
      <c r="X46" s="116" t="s">
        <v>1417</v>
      </c>
      <c r="Y46" s="198"/>
      <c r="Z46" s="198" t="s">
        <v>721</v>
      </c>
      <c r="AA46" s="296" t="s">
        <v>3004</v>
      </c>
      <c r="AB46" s="296" t="s">
        <v>3005</v>
      </c>
      <c r="AC46" s="198" t="s">
        <v>1580</v>
      </c>
      <c r="AD46" s="116" t="s">
        <v>3006</v>
      </c>
      <c r="AE46" s="198" t="s">
        <v>3007</v>
      </c>
      <c r="AF46" s="198" t="s">
        <v>3008</v>
      </c>
      <c r="AG46" s="116" t="s">
        <v>2518</v>
      </c>
      <c r="AH46" s="198" t="s">
        <v>1559</v>
      </c>
      <c r="AI46" s="198" t="s">
        <v>3009</v>
      </c>
      <c r="AJ46" s="198" t="s">
        <v>2885</v>
      </c>
      <c r="AK46" s="198" t="s">
        <v>2522</v>
      </c>
      <c r="AL46" s="97"/>
      <c r="AM46" s="167" t="s">
        <v>848</v>
      </c>
      <c r="AN46" s="121" t="s">
        <v>2920</v>
      </c>
      <c r="AO46" s="167" t="s">
        <v>3010</v>
      </c>
      <c r="AP46" s="167" t="s">
        <v>3011</v>
      </c>
      <c r="AQ46" s="167" t="s">
        <v>3012</v>
      </c>
      <c r="AR46" s="432" t="s">
        <v>3013</v>
      </c>
      <c r="AS46" s="167" t="s">
        <v>3014</v>
      </c>
      <c r="AT46" s="121" t="s">
        <v>1311</v>
      </c>
      <c r="AU46" s="167" t="s">
        <v>1574</v>
      </c>
      <c r="AV46" s="167" t="s">
        <v>1122</v>
      </c>
      <c r="AW46" s="167" t="s">
        <v>3015</v>
      </c>
      <c r="AX46" s="167" t="s">
        <v>1521</v>
      </c>
      <c r="AY46" s="167" t="s">
        <v>1062</v>
      </c>
      <c r="AZ46" s="432" t="s">
        <v>3016</v>
      </c>
      <c r="BA46" s="432"/>
      <c r="BB46" s="126" t="s">
        <v>2837</v>
      </c>
      <c r="BC46" s="173" t="s">
        <v>1475</v>
      </c>
      <c r="BD46" s="126" t="s">
        <v>3017</v>
      </c>
      <c r="BE46" s="126" t="s">
        <v>3018</v>
      </c>
      <c r="BF46" s="173" t="s">
        <v>1213</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2546</v>
      </c>
      <c r="BU46" s="129" t="s">
        <v>893</v>
      </c>
      <c r="BV46" s="129" t="s">
        <v>3027</v>
      </c>
      <c r="BW46" s="129" t="s">
        <v>2261</v>
      </c>
      <c r="BX46" s="249"/>
      <c r="BY46" s="174" t="s">
        <v>1992</v>
      </c>
      <c r="BZ46" s="304" t="s">
        <v>3028</v>
      </c>
      <c r="CA46" s="174" t="s">
        <v>3029</v>
      </c>
      <c r="CB46" s="129" t="s">
        <v>3030</v>
      </c>
      <c r="CC46" s="174" t="s">
        <v>3031</v>
      </c>
      <c r="CD46" s="129" t="s">
        <v>1207</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2252</v>
      </c>
      <c r="CX46" s="203" t="s">
        <v>968</v>
      </c>
      <c r="CY46" s="139" t="s">
        <v>603</v>
      </c>
      <c r="CZ46" s="203" t="s">
        <v>3045</v>
      </c>
      <c r="DA46" s="203" t="s">
        <v>1111</v>
      </c>
      <c r="DB46" s="139" t="s">
        <v>3046</v>
      </c>
      <c r="DC46" s="203" t="s">
        <v>3047</v>
      </c>
      <c r="DD46" s="203" t="s">
        <v>1774</v>
      </c>
      <c r="DE46" s="203" t="s">
        <v>1748</v>
      </c>
      <c r="DF46" s="203" t="s">
        <v>3048</v>
      </c>
      <c r="DG46" s="203" t="s">
        <v>3049</v>
      </c>
      <c r="DH46" s="203"/>
      <c r="DI46" s="204" t="s">
        <v>1068</v>
      </c>
      <c r="DJ46" s="255"/>
      <c r="DK46" s="255"/>
      <c r="DL46" s="204"/>
      <c r="DM46" s="144" t="s">
        <v>3050</v>
      </c>
      <c r="DN46" s="204" t="s">
        <v>3051</v>
      </c>
      <c r="DO46" s="204" t="s">
        <v>3052</v>
      </c>
      <c r="DP46" s="204" t="s">
        <v>3053</v>
      </c>
      <c r="DQ46" s="204" t="s">
        <v>3054</v>
      </c>
      <c r="DR46" s="204" t="s">
        <v>1352</v>
      </c>
      <c r="DS46" s="144" t="s">
        <v>3055</v>
      </c>
      <c r="DT46" s="204" t="s">
        <v>3056</v>
      </c>
      <c r="DU46" s="204" t="s">
        <v>2646</v>
      </c>
      <c r="DV46" s="204" t="s">
        <v>3057</v>
      </c>
      <c r="DW46" s="204" t="s">
        <v>3058</v>
      </c>
      <c r="DX46" s="204" t="s">
        <v>3059</v>
      </c>
      <c r="DY46" s="204" t="s">
        <v>1002</v>
      </c>
      <c r="DZ46" s="144" t="s">
        <v>3060</v>
      </c>
      <c r="EA46" s="204" t="s">
        <v>2330</v>
      </c>
      <c r="EB46" s="204" t="s">
        <v>1514</v>
      </c>
      <c r="EC46" s="204" t="s">
        <v>931</v>
      </c>
      <c r="ED46" s="287" t="s">
        <v>3061</v>
      </c>
    </row>
    <row r="47">
      <c r="A47" s="433" t="s">
        <v>3062</v>
      </c>
      <c r="B47" s="82" t="s">
        <v>3063</v>
      </c>
      <c r="C47" s="83" t="s">
        <v>1258</v>
      </c>
      <c r="D47" s="84" t="s">
        <v>545</v>
      </c>
      <c r="E47" s="85" t="s">
        <v>545</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563</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1193</v>
      </c>
      <c r="BC47" s="314" t="s">
        <v>3077</v>
      </c>
      <c r="BD47" s="313" t="s">
        <v>145</v>
      </c>
      <c r="BE47" s="313" t="s">
        <v>3078</v>
      </c>
      <c r="BF47" s="314" t="s">
        <v>1213</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1980</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2235</v>
      </c>
      <c r="CN47" s="314" t="s">
        <v>2479</v>
      </c>
      <c r="CO47" s="313" t="s">
        <v>2737</v>
      </c>
      <c r="CP47" s="314"/>
      <c r="CQ47" s="314" t="s">
        <v>1854</v>
      </c>
      <c r="CR47" s="314"/>
      <c r="CS47" s="314" t="s">
        <v>3091</v>
      </c>
      <c r="CT47" s="314"/>
      <c r="CU47" s="153"/>
      <c r="CV47" s="314" t="s">
        <v>3092</v>
      </c>
      <c r="CW47" s="314" t="s">
        <v>878</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965</v>
      </c>
      <c r="DO47" s="314" t="s">
        <v>3095</v>
      </c>
      <c r="DP47" s="314" t="s">
        <v>3096</v>
      </c>
      <c r="DQ47" s="314"/>
      <c r="DR47" s="314" t="s">
        <v>2968</v>
      </c>
      <c r="DS47" s="314"/>
      <c r="DT47" s="314" t="s">
        <v>247</v>
      </c>
      <c r="DU47" s="314"/>
      <c r="DV47" s="314"/>
      <c r="DW47" s="314" t="s">
        <v>3097</v>
      </c>
      <c r="DX47" s="314"/>
      <c r="DY47" s="314"/>
      <c r="DZ47" s="313" t="s">
        <v>931</v>
      </c>
      <c r="EA47" s="314"/>
      <c r="EB47" s="314"/>
      <c r="EC47" s="314" t="s">
        <v>3098</v>
      </c>
      <c r="ED47" s="314" t="s">
        <v>3099</v>
      </c>
    </row>
    <row r="48">
      <c r="A48" s="435" t="s">
        <v>3100</v>
      </c>
      <c r="B48" s="104" t="s">
        <v>3101</v>
      </c>
      <c r="C48" s="105" t="s">
        <v>1258</v>
      </c>
      <c r="D48" s="106" t="s">
        <v>545</v>
      </c>
      <c r="E48" s="107" t="s">
        <v>545</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2042</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1943</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1920</v>
      </c>
      <c r="CI48" s="134" t="s">
        <v>3128</v>
      </c>
      <c r="CJ48" s="232" t="s">
        <v>3129</v>
      </c>
      <c r="CK48" s="135"/>
      <c r="CL48" s="135"/>
      <c r="CM48" s="134" t="s">
        <v>1178</v>
      </c>
      <c r="CN48" s="134" t="s">
        <v>3130</v>
      </c>
      <c r="CO48" s="134" t="s">
        <v>795</v>
      </c>
      <c r="CP48" s="252"/>
      <c r="CQ48" s="252"/>
      <c r="CR48" s="252"/>
      <c r="CS48" s="252"/>
      <c r="CT48" s="252"/>
      <c r="CU48" s="92"/>
      <c r="CV48" s="139" t="s">
        <v>3131</v>
      </c>
      <c r="CW48" s="253"/>
      <c r="CX48" s="139" t="s">
        <v>1016</v>
      </c>
      <c r="CY48" s="139" t="s">
        <v>3132</v>
      </c>
      <c r="CZ48" s="301" t="s">
        <v>3133</v>
      </c>
      <c r="DA48" s="139" t="str">
        <f>HYPERLINK("https://clips.twitch.tv/ComfortableBadOctopusSeemsGood-tMvOD8fMvPQ1BZUe", "26.50")</f>
        <v>26.50</v>
      </c>
      <c r="DB48" s="139" t="s">
        <v>3134</v>
      </c>
      <c r="DC48" s="139" t="s">
        <v>2219</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1258</v>
      </c>
      <c r="D49" s="84" t="s">
        <v>1258</v>
      </c>
      <c r="E49" s="85" t="s">
        <v>1258</v>
      </c>
      <c r="F49" s="86" t="s">
        <v>545</v>
      </c>
      <c r="G49" s="82" t="s">
        <v>741</v>
      </c>
      <c r="H49" s="94" t="s">
        <v>3138</v>
      </c>
      <c r="I49" s="94" t="s">
        <v>102</v>
      </c>
      <c r="J49" s="93" t="s">
        <v>3139</v>
      </c>
      <c r="K49" s="93" t="s">
        <v>1952</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705</v>
      </c>
      <c r="AC49" s="93" t="s">
        <v>2340</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1119</v>
      </c>
      <c r="BD49" s="94" t="s">
        <v>3164</v>
      </c>
      <c r="BE49" s="93" t="s">
        <v>2619</v>
      </c>
      <c r="BF49" s="94" t="s">
        <v>3165</v>
      </c>
      <c r="BG49" s="94" t="s">
        <v>263</v>
      </c>
      <c r="BH49" s="94" t="s">
        <v>3166</v>
      </c>
      <c r="BI49" s="94" t="s">
        <v>1107</v>
      </c>
      <c r="BJ49" s="94" t="s">
        <v>3167</v>
      </c>
      <c r="BK49" s="94"/>
      <c r="BL49" s="94" t="s">
        <v>3168</v>
      </c>
      <c r="BM49" s="99"/>
      <c r="BN49" s="94" t="s">
        <v>261</v>
      </c>
      <c r="BO49" s="94" t="s">
        <v>2543</v>
      </c>
      <c r="BP49" s="99"/>
      <c r="BQ49" s="237"/>
      <c r="BR49" s="94"/>
      <c r="BS49" s="94" t="s">
        <v>1776</v>
      </c>
      <c r="BT49" s="94" t="s">
        <v>2769</v>
      </c>
      <c r="BU49" s="94" t="s">
        <v>3169</v>
      </c>
      <c r="BV49" s="94" t="s">
        <v>3170</v>
      </c>
      <c r="BW49" s="93" t="s">
        <v>3171</v>
      </c>
      <c r="BX49" s="94" t="s">
        <v>3172</v>
      </c>
      <c r="BY49" s="93" t="s">
        <v>3173</v>
      </c>
      <c r="BZ49" s="99"/>
      <c r="CA49" s="94" t="s">
        <v>738</v>
      </c>
      <c r="CB49" s="94" t="s">
        <v>3174</v>
      </c>
      <c r="CC49" s="94" t="s">
        <v>3175</v>
      </c>
      <c r="CD49" s="94" t="s">
        <v>3176</v>
      </c>
      <c r="CE49" s="99"/>
      <c r="CF49" s="237"/>
      <c r="CG49" s="98" t="str">
        <f>HYPERLINK("https://clips.twitch.tv/KawaiiRacySwordPeoplesChamp","53.72")</f>
        <v>53.72</v>
      </c>
      <c r="CH49" s="94" t="s">
        <v>2220</v>
      </c>
      <c r="CI49" s="94" t="s">
        <v>3177</v>
      </c>
      <c r="CJ49" s="94" t="s">
        <v>3178</v>
      </c>
      <c r="CK49" s="94"/>
      <c r="CL49" s="94" t="s">
        <v>3179</v>
      </c>
      <c r="CM49" s="316" t="s">
        <v>3180</v>
      </c>
      <c r="CN49" s="93" t="s">
        <v>2515</v>
      </c>
      <c r="CO49" s="94" t="s">
        <v>2149</v>
      </c>
      <c r="CP49" s="99"/>
      <c r="CQ49" s="94" t="s">
        <v>1780</v>
      </c>
      <c r="CR49" s="94"/>
      <c r="CS49" s="94" t="s">
        <v>3181</v>
      </c>
      <c r="CT49" s="99"/>
      <c r="CU49" s="92"/>
      <c r="CV49" s="94" t="s">
        <v>3182</v>
      </c>
      <c r="CW49" s="94" t="s">
        <v>3183</v>
      </c>
      <c r="CX49" s="94" t="s">
        <v>3184</v>
      </c>
      <c r="CY49" s="94" t="s">
        <v>3185</v>
      </c>
      <c r="CZ49" s="94" t="s">
        <v>2970</v>
      </c>
      <c r="DA49" s="94" t="s">
        <v>3130</v>
      </c>
      <c r="DB49" s="258" t="s">
        <v>958</v>
      </c>
      <c r="DC49" s="94" t="s">
        <v>917</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1246</v>
      </c>
      <c r="DU49" s="94" t="s">
        <v>1713</v>
      </c>
      <c r="DV49" s="94" t="s">
        <v>3193</v>
      </c>
      <c r="DW49" s="94" t="s">
        <v>1714</v>
      </c>
      <c r="DX49" s="94" t="s">
        <v>3034</v>
      </c>
      <c r="DY49" s="94" t="s">
        <v>3194</v>
      </c>
      <c r="DZ49" s="99"/>
      <c r="EA49" s="94" t="s">
        <v>3195</v>
      </c>
      <c r="EB49" s="94" t="s">
        <v>3196</v>
      </c>
      <c r="EC49" s="94" t="s">
        <v>1158</v>
      </c>
      <c r="ED49" s="258" t="s">
        <v>3197</v>
      </c>
    </row>
    <row r="50">
      <c r="A50" s="438" t="s">
        <v>3198</v>
      </c>
      <c r="B50" s="104" t="s">
        <v>3199</v>
      </c>
      <c r="C50" s="105" t="s">
        <v>1258</v>
      </c>
      <c r="D50" s="106" t="s">
        <v>1258</v>
      </c>
      <c r="E50" s="107" t="s">
        <v>1258</v>
      </c>
      <c r="F50" s="108" t="s">
        <v>2089</v>
      </c>
      <c r="G50" s="104" t="s">
        <v>546</v>
      </c>
      <c r="H50" s="112" t="s">
        <v>3200</v>
      </c>
      <c r="I50" s="321" t="s">
        <v>2307</v>
      </c>
      <c r="J50" s="112" t="s">
        <v>1062</v>
      </c>
      <c r="K50" s="293" t="s">
        <v>2880</v>
      </c>
      <c r="L50" s="293" t="s">
        <v>2570</v>
      </c>
      <c r="M50" s="112" t="s">
        <v>3201</v>
      </c>
      <c r="N50" s="439" t="s">
        <v>3202</v>
      </c>
      <c r="O50" s="293" t="s">
        <v>3203</v>
      </c>
      <c r="P50" s="112" t="s">
        <v>3204</v>
      </c>
      <c r="Q50" s="293" t="s">
        <v>3205</v>
      </c>
      <c r="R50" s="112" t="s">
        <v>3206</v>
      </c>
      <c r="S50" s="112" t="s">
        <v>3207</v>
      </c>
      <c r="T50" s="242"/>
      <c r="U50" s="293" t="s">
        <v>1221</v>
      </c>
      <c r="V50" s="293" t="s">
        <v>3208</v>
      </c>
      <c r="W50" s="92"/>
      <c r="X50" s="116" t="s">
        <v>1614</v>
      </c>
      <c r="Y50" s="270"/>
      <c r="Z50" s="116" t="s">
        <v>3209</v>
      </c>
      <c r="AA50" s="296" t="s">
        <v>403</v>
      </c>
      <c r="AB50" s="116" t="s">
        <v>3210</v>
      </c>
      <c r="AC50" s="116" t="s">
        <v>425</v>
      </c>
      <c r="AD50" s="116" t="s">
        <v>2902</v>
      </c>
      <c r="AE50" s="244"/>
      <c r="AF50" s="116" t="s">
        <v>1214</v>
      </c>
      <c r="AG50" s="116" t="s">
        <v>2518</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2498</v>
      </c>
      <c r="AV50" s="279" t="s">
        <v>178</v>
      </c>
      <c r="AW50" s="279" t="s">
        <v>3041</v>
      </c>
      <c r="AX50" s="245"/>
      <c r="AY50" s="121" t="s">
        <v>1330</v>
      </c>
      <c r="AZ50" s="121" t="s">
        <v>3218</v>
      </c>
      <c r="BA50" s="245"/>
      <c r="BB50" s="372" t="s">
        <v>2389</v>
      </c>
      <c r="BC50" s="126" t="s">
        <v>2705</v>
      </c>
      <c r="BD50" s="372" t="s">
        <v>2694</v>
      </c>
      <c r="BE50" s="372" t="s">
        <v>3219</v>
      </c>
      <c r="BF50" s="126" t="s">
        <v>147</v>
      </c>
      <c r="BG50" s="372" t="s">
        <v>3220</v>
      </c>
      <c r="BH50" s="172"/>
      <c r="BI50" s="372" t="s">
        <v>3093</v>
      </c>
      <c r="BJ50" s="126" t="s">
        <v>276</v>
      </c>
      <c r="BK50" s="372"/>
      <c r="BL50" s="126" t="s">
        <v>3021</v>
      </c>
      <c r="BM50" s="173" t="s">
        <v>3221</v>
      </c>
      <c r="BN50" s="173" t="s">
        <v>2233</v>
      </c>
      <c r="BO50" s="372" t="s">
        <v>1984</v>
      </c>
      <c r="BP50" s="126" t="s">
        <v>3222</v>
      </c>
      <c r="BQ50" s="247"/>
      <c r="BR50" s="130" t="s">
        <v>2474</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2376</v>
      </c>
      <c r="CR50" s="252"/>
      <c r="CS50" s="134" t="s">
        <v>3241</v>
      </c>
      <c r="CT50" s="381" t="s">
        <v>3242</v>
      </c>
      <c r="CU50" s="92"/>
      <c r="CV50" s="285" t="s">
        <v>3243</v>
      </c>
      <c r="CW50" s="285" t="s">
        <v>3244</v>
      </c>
      <c r="CX50" s="301" t="s">
        <v>3245</v>
      </c>
      <c r="CY50" s="139" t="s">
        <v>3246</v>
      </c>
      <c r="CZ50" s="285" t="s">
        <v>3247</v>
      </c>
      <c r="DA50" s="301" t="s">
        <v>849</v>
      </c>
      <c r="DB50" s="301" t="s">
        <v>835</v>
      </c>
      <c r="DC50" s="139" t="s">
        <v>2818</v>
      </c>
      <c r="DD50" s="203" t="s">
        <v>3248</v>
      </c>
      <c r="DE50" s="139" t="s">
        <v>3249</v>
      </c>
      <c r="DF50" s="203" t="s">
        <v>1041</v>
      </c>
      <c r="DG50" s="139" t="s">
        <v>3250</v>
      </c>
      <c r="DH50" s="263"/>
      <c r="DI50" s="205" t="s">
        <v>3251</v>
      </c>
      <c r="DJ50" s="255"/>
      <c r="DK50" s="255"/>
      <c r="DL50" s="205"/>
      <c r="DM50" s="205" t="s">
        <v>2068</v>
      </c>
      <c r="DN50" s="205" t="s">
        <v>3252</v>
      </c>
      <c r="DO50" s="204" t="s">
        <v>3253</v>
      </c>
      <c r="DP50" s="204" t="s">
        <v>3254</v>
      </c>
      <c r="DQ50" s="255"/>
      <c r="DR50" s="144" t="s">
        <v>3255</v>
      </c>
      <c r="DS50" s="205" t="s">
        <v>3256</v>
      </c>
      <c r="DT50" s="144" t="s">
        <v>3257</v>
      </c>
      <c r="DU50" s="440" t="s">
        <v>1362</v>
      </c>
      <c r="DV50" s="144" t="s">
        <v>2354</v>
      </c>
      <c r="DW50" s="204" t="s">
        <v>2933</v>
      </c>
      <c r="DX50" s="204" t="s">
        <v>2430</v>
      </c>
      <c r="DY50" s="204" t="s">
        <v>3258</v>
      </c>
      <c r="DZ50" s="204" t="s">
        <v>3259</v>
      </c>
      <c r="EA50" s="440" t="s">
        <v>3260</v>
      </c>
      <c r="EB50" s="204" t="s">
        <v>1190</v>
      </c>
      <c r="EC50" s="144" t="s">
        <v>1494</v>
      </c>
      <c r="ED50" s="287" t="s">
        <v>3261</v>
      </c>
    </row>
    <row r="51">
      <c r="A51" s="288" t="s">
        <v>3262</v>
      </c>
      <c r="B51" s="82" t="s">
        <v>3263</v>
      </c>
      <c r="C51" s="83" t="s">
        <v>1258</v>
      </c>
      <c r="D51" s="84" t="s">
        <v>1258</v>
      </c>
      <c r="E51" s="85" t="s">
        <v>545</v>
      </c>
      <c r="F51" s="86" t="s">
        <v>222</v>
      </c>
      <c r="G51" s="82" t="s">
        <v>2090</v>
      </c>
      <c r="H51" s="94" t="s">
        <v>1678</v>
      </c>
      <c r="I51" s="161" t="s">
        <v>3264</v>
      </c>
      <c r="J51" s="161" t="s">
        <v>3265</v>
      </c>
      <c r="K51" s="88" t="s">
        <v>2654</v>
      </c>
      <c r="L51" s="161" t="s">
        <v>1918</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2515</v>
      </c>
      <c r="AD51" s="88" t="s">
        <v>3273</v>
      </c>
      <c r="AE51" s="94" t="s">
        <v>3274</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3275</v>
      </c>
      <c r="AX51" s="99"/>
      <c r="AY51" s="99"/>
      <c r="AZ51" s="99"/>
      <c r="BA51" s="99"/>
      <c r="BB51" s="94" t="s">
        <v>3276</v>
      </c>
      <c r="BC51" s="94" t="s">
        <v>1376</v>
      </c>
      <c r="BD51" s="94" t="s">
        <v>1288</v>
      </c>
      <c r="BE51" s="161" t="s">
        <v>3277</v>
      </c>
      <c r="BF51" s="94" t="s">
        <v>3278</v>
      </c>
      <c r="BG51" s="94" t="s">
        <v>148</v>
      </c>
      <c r="BH51" s="99"/>
      <c r="BI51" s="98" t="s">
        <v>150</v>
      </c>
      <c r="BJ51" s="94" t="s">
        <v>3279</v>
      </c>
      <c r="BK51" s="94" t="s">
        <v>1187</v>
      </c>
      <c r="BL51" s="94" t="s">
        <v>2541</v>
      </c>
      <c r="BM51" s="99"/>
      <c r="BN51" s="99"/>
      <c r="BO51" s="99"/>
      <c r="BP51" s="99"/>
      <c r="BQ51" s="237"/>
      <c r="BR51" s="94" t="s">
        <v>3280</v>
      </c>
      <c r="BS51" s="94" t="s">
        <v>775</v>
      </c>
      <c r="BT51" s="88" t="s">
        <v>3281</v>
      </c>
      <c r="BU51" s="88" t="s">
        <v>1795</v>
      </c>
      <c r="BV51" s="94" t="s">
        <v>3282</v>
      </c>
      <c r="BW51" s="272" t="s">
        <v>3283</v>
      </c>
      <c r="BX51" s="94" t="s">
        <v>453</v>
      </c>
      <c r="BY51" s="266" t="s">
        <v>3284</v>
      </c>
      <c r="BZ51" s="161" t="s">
        <v>3285</v>
      </c>
      <c r="CA51" s="161" t="s">
        <v>788</v>
      </c>
      <c r="CB51" s="99"/>
      <c r="CC51" s="99"/>
      <c r="CD51" s="94" t="s">
        <v>2961</v>
      </c>
      <c r="CE51" s="99"/>
      <c r="CF51" s="237"/>
      <c r="CG51" s="94" t="s">
        <v>3286</v>
      </c>
      <c r="CH51" s="88" t="s">
        <v>2792</v>
      </c>
      <c r="CI51" s="161" t="s">
        <v>3287</v>
      </c>
      <c r="CJ51" s="94" t="s">
        <v>3288</v>
      </c>
      <c r="CK51" s="94"/>
      <c r="CL51" s="369" t="s">
        <v>3289</v>
      </c>
      <c r="CM51" s="88" t="s">
        <v>1451</v>
      </c>
      <c r="CN51" s="88" t="s">
        <v>2322</v>
      </c>
      <c r="CO51" s="94" t="s">
        <v>3004</v>
      </c>
      <c r="CP51" s="99"/>
      <c r="CQ51" s="99"/>
      <c r="CR51" s="99"/>
      <c r="CS51" s="99"/>
      <c r="CT51" s="99"/>
      <c r="CU51" s="92"/>
      <c r="CV51" s="94" t="s">
        <v>3290</v>
      </c>
      <c r="CW51" s="161" t="s">
        <v>1534</v>
      </c>
      <c r="CX51" s="94" t="s">
        <v>610</v>
      </c>
      <c r="CY51" s="161" t="s">
        <v>3291</v>
      </c>
      <c r="CZ51" s="94" t="s">
        <v>2537</v>
      </c>
      <c r="DA51" s="94" t="s">
        <v>997</v>
      </c>
      <c r="DB51" s="161" t="s">
        <v>2273</v>
      </c>
      <c r="DC51" s="88" t="s">
        <v>1400</v>
      </c>
      <c r="DD51" s="99"/>
      <c r="DE51" s="99"/>
      <c r="DF51" s="99"/>
      <c r="DG51" s="99"/>
      <c r="DH51" s="237"/>
      <c r="DI51" s="94" t="s">
        <v>1289</v>
      </c>
      <c r="DJ51" s="94" t="s">
        <v>527</v>
      </c>
      <c r="DK51" s="99"/>
      <c r="DL51" s="99"/>
      <c r="DM51" s="88" t="s">
        <v>3292</v>
      </c>
      <c r="DN51" s="94" t="s">
        <v>1042</v>
      </c>
      <c r="DO51" s="94" t="s">
        <v>2337</v>
      </c>
      <c r="DP51" s="88" t="s">
        <v>631</v>
      </c>
      <c r="DQ51" s="99"/>
      <c r="DR51" s="88" t="s">
        <v>687</v>
      </c>
      <c r="DS51" s="266" t="s">
        <v>3293</v>
      </c>
      <c r="DT51" s="99"/>
      <c r="DU51" s="94" t="s">
        <v>594</v>
      </c>
      <c r="DV51" s="99"/>
      <c r="DW51" s="94" t="s">
        <v>210</v>
      </c>
      <c r="DX51" s="99"/>
      <c r="DY51" s="99"/>
      <c r="DZ51" s="99"/>
      <c r="EA51" s="99"/>
      <c r="EB51" s="94" t="s">
        <v>160</v>
      </c>
      <c r="EC51" s="94" t="s">
        <v>1194</v>
      </c>
      <c r="ED51" s="91" t="s">
        <v>3294</v>
      </c>
    </row>
    <row r="52">
      <c r="A52" s="441" t="s">
        <v>3295</v>
      </c>
      <c r="B52" s="104" t="s">
        <v>3296</v>
      </c>
      <c r="C52" s="105" t="s">
        <v>1258</v>
      </c>
      <c r="D52" s="106" t="s">
        <v>1258</v>
      </c>
      <c r="E52" s="107" t="s">
        <v>545</v>
      </c>
      <c r="F52" s="108" t="s">
        <v>1198</v>
      </c>
      <c r="G52" s="104" t="s">
        <v>3297</v>
      </c>
      <c r="H52" s="166" t="s">
        <v>3298</v>
      </c>
      <c r="I52" s="166" t="s">
        <v>3299</v>
      </c>
      <c r="J52" s="166" t="s">
        <v>1750</v>
      </c>
      <c r="K52" s="166" t="s">
        <v>1952</v>
      </c>
      <c r="L52" s="166" t="s">
        <v>3300</v>
      </c>
      <c r="M52" s="166" t="s">
        <v>3301</v>
      </c>
      <c r="N52" s="166" t="s">
        <v>3302</v>
      </c>
      <c r="O52" s="225" t="s">
        <v>558</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2286</v>
      </c>
      <c r="AB52" s="198" t="s">
        <v>2922</v>
      </c>
      <c r="AC52" s="198" t="s">
        <v>1963</v>
      </c>
      <c r="AD52" s="198" t="s">
        <v>569</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3159</v>
      </c>
      <c r="AV52" s="167" t="s">
        <v>2123</v>
      </c>
      <c r="AW52" s="167" t="s">
        <v>1179</v>
      </c>
      <c r="AX52" s="167" t="s">
        <v>926</v>
      </c>
      <c r="AY52" s="167" t="s">
        <v>2943</v>
      </c>
      <c r="AZ52" s="167" t="s">
        <v>3321</v>
      </c>
      <c r="BA52" s="245"/>
      <c r="BB52" s="173" t="s">
        <v>3322</v>
      </c>
      <c r="BC52" s="173" t="s">
        <v>1160</v>
      </c>
      <c r="BD52" s="173" t="s">
        <v>1082</v>
      </c>
      <c r="BE52" s="173" t="s">
        <v>3323</v>
      </c>
      <c r="BF52" s="173" t="s">
        <v>3324</v>
      </c>
      <c r="BG52" s="173" t="s">
        <v>3325</v>
      </c>
      <c r="BH52" s="173" t="s">
        <v>937</v>
      </c>
      <c r="BI52" s="173" t="s">
        <v>1175</v>
      </c>
      <c r="BJ52" s="172"/>
      <c r="BK52" s="173" t="s">
        <v>3326</v>
      </c>
      <c r="BL52" s="173" t="s">
        <v>3327</v>
      </c>
      <c r="BM52" s="172"/>
      <c r="BN52" s="172"/>
      <c r="BO52" s="172"/>
      <c r="BP52" s="172"/>
      <c r="BQ52" s="247"/>
      <c r="BR52" s="174" t="s">
        <v>3328</v>
      </c>
      <c r="BS52" s="174" t="s">
        <v>3329</v>
      </c>
      <c r="BT52" s="174" t="s">
        <v>3330</v>
      </c>
      <c r="BU52" s="174" t="s">
        <v>3331</v>
      </c>
      <c r="BV52" s="174" t="s">
        <v>3332</v>
      </c>
      <c r="BW52" s="174" t="s">
        <v>893</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1192</v>
      </c>
      <c r="CY52" s="203" t="s">
        <v>3345</v>
      </c>
      <c r="CZ52" s="203" t="s">
        <v>3346</v>
      </c>
      <c r="DA52" s="203" t="s">
        <v>2340</v>
      </c>
      <c r="DB52" s="233" t="s">
        <v>2254</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1258</v>
      </c>
      <c r="D53" s="84" t="s">
        <v>1258</v>
      </c>
      <c r="E53" s="85" t="s">
        <v>545</v>
      </c>
      <c r="F53" s="86" t="s">
        <v>3350</v>
      </c>
      <c r="G53" s="82" t="s">
        <v>2348</v>
      </c>
      <c r="H53" s="94" t="s">
        <v>3351</v>
      </c>
      <c r="I53" s="94" t="s">
        <v>3352</v>
      </c>
      <c r="J53" s="88" t="s">
        <v>3353</v>
      </c>
      <c r="K53" s="88" t="s">
        <v>3354</v>
      </c>
      <c r="L53" s="88" t="s">
        <v>2145</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2479</v>
      </c>
      <c r="AW53" s="99"/>
      <c r="AX53" s="99"/>
      <c r="AY53" s="99"/>
      <c r="AZ53" s="99"/>
      <c r="BA53" s="99"/>
      <c r="BB53" s="88" t="s">
        <v>1358</v>
      </c>
      <c r="BC53" s="88" t="s">
        <v>681</v>
      </c>
      <c r="BD53" s="88" t="s">
        <v>845</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1989</v>
      </c>
      <c r="BX53" s="99"/>
      <c r="BY53" s="94" t="s">
        <v>3372</v>
      </c>
      <c r="BZ53" s="94" t="s">
        <v>3373</v>
      </c>
      <c r="CA53" s="88" t="s">
        <v>3374</v>
      </c>
      <c r="CB53" s="99"/>
      <c r="CC53" s="99"/>
      <c r="CD53" s="99"/>
      <c r="CE53" s="99"/>
      <c r="CF53" s="237"/>
      <c r="CG53" s="88" t="s">
        <v>1070</v>
      </c>
      <c r="CH53" s="94" t="s">
        <v>1449</v>
      </c>
      <c r="CI53" s="88" t="s">
        <v>606</v>
      </c>
      <c r="CJ53" s="94" t="s">
        <v>3375</v>
      </c>
      <c r="CK53" s="94"/>
      <c r="CL53" s="94" t="s">
        <v>2252</v>
      </c>
      <c r="CM53" s="94" t="s">
        <v>3376</v>
      </c>
      <c r="CN53" s="88" t="s">
        <v>2192</v>
      </c>
      <c r="CO53" s="94" t="s">
        <v>1574</v>
      </c>
      <c r="CP53" s="99"/>
      <c r="CQ53" s="99"/>
      <c r="CR53" s="99"/>
      <c r="CS53" s="99"/>
      <c r="CT53" s="99"/>
      <c r="CU53" s="92"/>
      <c r="CV53" s="89" t="s">
        <v>1829</v>
      </c>
      <c r="CW53" s="94" t="s">
        <v>3037</v>
      </c>
      <c r="CX53" s="88" t="s">
        <v>997</v>
      </c>
      <c r="CY53" s="88" t="s">
        <v>718</v>
      </c>
      <c r="CZ53" s="88" t="s">
        <v>2402</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545</v>
      </c>
      <c r="D54" s="106" t="s">
        <v>545</v>
      </c>
      <c r="E54" s="107" t="s">
        <v>545</v>
      </c>
      <c r="F54" s="108" t="s">
        <v>3386</v>
      </c>
      <c r="G54" s="104" t="s">
        <v>1809</v>
      </c>
      <c r="H54" s="112" t="s">
        <v>492</v>
      </c>
      <c r="I54" s="112" t="s">
        <v>3387</v>
      </c>
      <c r="J54" s="112" t="s">
        <v>3388</v>
      </c>
      <c r="K54" s="110" t="s">
        <v>2111</v>
      </c>
      <c r="L54" s="225" t="s">
        <v>1403</v>
      </c>
      <c r="M54" s="242"/>
      <c r="N54" s="442" t="s">
        <v>3389</v>
      </c>
      <c r="O54" s="225" t="s">
        <v>3390</v>
      </c>
      <c r="P54" s="112" t="s">
        <v>555</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743</v>
      </c>
      <c r="BC54" s="173" t="s">
        <v>3396</v>
      </c>
      <c r="BD54" s="173" t="s">
        <v>1288</v>
      </c>
      <c r="BE54" s="200" t="s">
        <v>859</v>
      </c>
      <c r="BF54" s="246" t="s">
        <v>3397</v>
      </c>
      <c r="BG54" s="172"/>
      <c r="BH54" s="172"/>
      <c r="BI54" s="173" t="s">
        <v>1874</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2233</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1002</v>
      </c>
      <c r="CI54" s="262" t="s">
        <v>3403</v>
      </c>
      <c r="CJ54" s="177" t="s">
        <v>3404</v>
      </c>
      <c r="CK54" s="177"/>
      <c r="CL54" s="177"/>
      <c r="CM54" s="177" t="s">
        <v>3405</v>
      </c>
      <c r="CN54" s="177" t="s">
        <v>2340</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1258</v>
      </c>
      <c r="D55" s="84" t="s">
        <v>1258</v>
      </c>
      <c r="E55" s="85" t="s">
        <v>1258</v>
      </c>
      <c r="F55" s="86" t="s">
        <v>1198</v>
      </c>
      <c r="G55" s="82" t="s">
        <v>3297</v>
      </c>
      <c r="H55" s="102" t="s">
        <v>3410</v>
      </c>
      <c r="I55" s="95" t="s">
        <v>3411</v>
      </c>
      <c r="J55" s="102" t="s">
        <v>3412</v>
      </c>
      <c r="K55" s="102" t="s">
        <v>1952</v>
      </c>
      <c r="L55" s="88" t="s">
        <v>664</v>
      </c>
      <c r="M55" s="102" t="s">
        <v>3413</v>
      </c>
      <c r="N55" s="102" t="s">
        <v>3414</v>
      </c>
      <c r="O55" s="102" t="s">
        <v>3415</v>
      </c>
      <c r="P55" s="102" t="s">
        <v>2657</v>
      </c>
      <c r="Q55" s="94" t="s">
        <v>3416</v>
      </c>
      <c r="R55" s="99"/>
      <c r="S55" s="94" t="s">
        <v>834</v>
      </c>
      <c r="T55" s="99"/>
      <c r="U55" s="94" t="s">
        <v>1899</v>
      </c>
      <c r="V55" s="94" t="s">
        <v>3417</v>
      </c>
      <c r="W55" s="92"/>
      <c r="X55" s="102" t="s">
        <v>1224</v>
      </c>
      <c r="Y55" s="102"/>
      <c r="Z55" s="102" t="s">
        <v>3418</v>
      </c>
      <c r="AA55" s="102" t="s">
        <v>2665</v>
      </c>
      <c r="AB55" s="88" t="s">
        <v>3419</v>
      </c>
      <c r="AC55" s="102" t="s">
        <v>2419</v>
      </c>
      <c r="AD55" s="102" t="s">
        <v>3420</v>
      </c>
      <c r="AE55" s="99"/>
      <c r="AF55" s="102" t="s">
        <v>3421</v>
      </c>
      <c r="AG55" s="102" t="s">
        <v>2068</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1206</v>
      </c>
      <c r="AZ55" s="94" t="s">
        <v>3429</v>
      </c>
      <c r="BA55" s="99"/>
      <c r="BB55" s="102" t="s">
        <v>190</v>
      </c>
      <c r="BC55" s="102" t="s">
        <v>3430</v>
      </c>
      <c r="BD55" s="102" t="s">
        <v>3164</v>
      </c>
      <c r="BE55" s="102" t="s">
        <v>927</v>
      </c>
      <c r="BF55" s="102" t="s">
        <v>3278</v>
      </c>
      <c r="BG55" s="102" t="s">
        <v>3343</v>
      </c>
      <c r="BH55" s="99"/>
      <c r="BI55" s="102" t="s">
        <v>875</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714</v>
      </c>
      <c r="CD55" s="94" t="s">
        <v>3118</v>
      </c>
      <c r="CE55" s="447" t="s">
        <v>3445</v>
      </c>
      <c r="CF55" s="237"/>
      <c r="CG55" s="102" t="s">
        <v>3446</v>
      </c>
      <c r="CH55" s="102" t="s">
        <v>512</v>
      </c>
      <c r="CI55" s="102" t="s">
        <v>2646</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889</v>
      </c>
      <c r="CY55" s="102" t="s">
        <v>3291</v>
      </c>
      <c r="CZ55" s="102" t="s">
        <v>3453</v>
      </c>
      <c r="DA55" s="102" t="s">
        <v>1845</v>
      </c>
      <c r="DB55" s="88" t="s">
        <v>3454</v>
      </c>
      <c r="DC55" s="102" t="s">
        <v>573</v>
      </c>
      <c r="DD55" s="88" t="s">
        <v>2057</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1258</v>
      </c>
      <c r="D56" s="106" t="s">
        <v>1258</v>
      </c>
      <c r="E56" s="107" t="s">
        <v>1258</v>
      </c>
      <c r="F56" s="108" t="s">
        <v>1948</v>
      </c>
      <c r="G56" s="104" t="s">
        <v>3463</v>
      </c>
      <c r="H56" s="112" t="s">
        <v>2618</v>
      </c>
      <c r="I56" s="112" t="s">
        <v>3464</v>
      </c>
      <c r="J56" s="166" t="s">
        <v>3465</v>
      </c>
      <c r="K56" s="166" t="s">
        <v>3466</v>
      </c>
      <c r="L56" s="449" t="str">
        <f>hyperlink("https://www.twitch.tv/videos/642998947","44.64")</f>
        <v>44.64</v>
      </c>
      <c r="M56" s="112" t="s">
        <v>3467</v>
      </c>
      <c r="N56" s="449" t="str">
        <f>hyperlink("https://www.twitch.tv/videos/642995088","1:11.81")</f>
        <v>1:11.81</v>
      </c>
      <c r="O56" s="112" t="s">
        <v>2534</v>
      </c>
      <c r="P56" s="166" t="s">
        <v>1561</v>
      </c>
      <c r="Q56" s="166" t="s">
        <v>3468</v>
      </c>
      <c r="R56" s="242"/>
      <c r="S56" s="166" t="s">
        <v>2203</v>
      </c>
      <c r="T56" s="166" t="s">
        <v>2520</v>
      </c>
      <c r="U56" s="166" t="s">
        <v>2354</v>
      </c>
      <c r="V56" s="166" t="s">
        <v>3469</v>
      </c>
      <c r="W56" s="92"/>
      <c r="X56" s="198" t="s">
        <v>2450</v>
      </c>
      <c r="Y56" s="198"/>
      <c r="Z56" s="198" t="s">
        <v>3209</v>
      </c>
      <c r="AA56" s="198" t="s">
        <v>247</v>
      </c>
      <c r="AB56" s="114" t="s">
        <v>3470</v>
      </c>
      <c r="AC56" s="198" t="s">
        <v>2501</v>
      </c>
      <c r="AD56" s="198" t="s">
        <v>3471</v>
      </c>
      <c r="AE56" s="116" t="s">
        <v>3472</v>
      </c>
      <c r="AF56" s="116" t="s">
        <v>808</v>
      </c>
      <c r="AG56" s="198" t="s">
        <v>567</v>
      </c>
      <c r="AH56" s="244"/>
      <c r="AI56" s="244"/>
      <c r="AJ56" s="244"/>
      <c r="AK56" s="198" t="s">
        <v>3473</v>
      </c>
      <c r="AL56" s="97"/>
      <c r="AM56" s="121" t="s">
        <v>3474</v>
      </c>
      <c r="AN56" s="121" t="s">
        <v>3475</v>
      </c>
      <c r="AO56" s="245"/>
      <c r="AP56" s="245"/>
      <c r="AQ56" s="121" t="s">
        <v>3476</v>
      </c>
      <c r="AR56" s="121" t="s">
        <v>3477</v>
      </c>
      <c r="AS56" s="245"/>
      <c r="AT56" s="167" t="s">
        <v>3478</v>
      </c>
      <c r="AU56" s="167" t="s">
        <v>2604</v>
      </c>
      <c r="AV56" s="121" t="s">
        <v>1082</v>
      </c>
      <c r="AW56" s="245"/>
      <c r="AX56" s="245"/>
      <c r="AY56" s="199" t="s">
        <v>3176</v>
      </c>
      <c r="AZ56" s="245"/>
      <c r="BA56" s="245"/>
      <c r="BB56" s="173" t="s">
        <v>3479</v>
      </c>
      <c r="BC56" s="173" t="s">
        <v>1160</v>
      </c>
      <c r="BD56" s="173" t="s">
        <v>2330</v>
      </c>
      <c r="BE56" s="126" t="s">
        <v>1304</v>
      </c>
      <c r="BF56" s="173" t="s">
        <v>3480</v>
      </c>
      <c r="BG56" s="172"/>
      <c r="BH56" s="172"/>
      <c r="BI56" s="173" t="s">
        <v>265</v>
      </c>
      <c r="BJ56" s="172"/>
      <c r="BK56" s="173" t="s">
        <v>3481</v>
      </c>
      <c r="BL56" s="303" t="s">
        <v>615</v>
      </c>
      <c r="BM56" s="172"/>
      <c r="BN56" s="172"/>
      <c r="BO56" s="172"/>
      <c r="BP56" s="172"/>
      <c r="BQ56" s="247"/>
      <c r="BR56" s="174" t="s">
        <v>781</v>
      </c>
      <c r="BS56" s="174" t="s">
        <v>3482</v>
      </c>
      <c r="BT56" s="174" t="s">
        <v>3483</v>
      </c>
      <c r="BU56" s="280" t="s">
        <v>211</v>
      </c>
      <c r="BV56" s="174" t="s">
        <v>3484</v>
      </c>
      <c r="BW56" s="129" t="s">
        <v>2261</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2185</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545</v>
      </c>
      <c r="D57" s="84" t="s">
        <v>545</v>
      </c>
      <c r="E57" s="85" t="s">
        <v>1258</v>
      </c>
      <c r="F57" s="86" t="s">
        <v>438</v>
      </c>
      <c r="G57" s="82" t="s">
        <v>3499</v>
      </c>
      <c r="H57" s="94" t="s">
        <v>2217</v>
      </c>
      <c r="I57" s="94" t="s">
        <v>1378</v>
      </c>
      <c r="J57" s="94" t="s">
        <v>3500</v>
      </c>
      <c r="K57" s="88" t="s">
        <v>1059</v>
      </c>
      <c r="L57" s="94" t="s">
        <v>462</v>
      </c>
      <c r="M57" s="99"/>
      <c r="N57" s="94" t="s">
        <v>3501</v>
      </c>
      <c r="O57" s="88" t="s">
        <v>3502</v>
      </c>
      <c r="P57" s="94" t="s">
        <v>109</v>
      </c>
      <c r="Q57" s="99"/>
      <c r="R57" s="99"/>
      <c r="S57" s="99"/>
      <c r="T57" s="99"/>
      <c r="U57" s="99"/>
      <c r="V57" s="99"/>
      <c r="W57" s="92"/>
      <c r="X57" s="88" t="s">
        <v>2125</v>
      </c>
      <c r="Y57" s="94"/>
      <c r="Z57" s="94" t="s">
        <v>1271</v>
      </c>
      <c r="AA57" s="94" t="s">
        <v>1893</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2604</v>
      </c>
      <c r="AV57" s="94" t="s">
        <v>3164</v>
      </c>
      <c r="AW57" s="99"/>
      <c r="AX57" s="99"/>
      <c r="AY57" s="94" t="s">
        <v>750</v>
      </c>
      <c r="AZ57" s="99"/>
      <c r="BA57" s="99"/>
      <c r="BB57" s="94" t="s">
        <v>3508</v>
      </c>
      <c r="BC57" s="94" t="s">
        <v>2160</v>
      </c>
      <c r="BD57" s="94" t="s">
        <v>3164</v>
      </c>
      <c r="BE57" s="94" t="s">
        <v>3509</v>
      </c>
      <c r="BF57" s="94" t="s">
        <v>3510</v>
      </c>
      <c r="BG57" s="87" t="s">
        <v>2397</v>
      </c>
      <c r="BH57" s="99"/>
      <c r="BI57" s="94" t="s">
        <v>1699</v>
      </c>
      <c r="BJ57" s="94"/>
      <c r="BK57" s="94" t="s">
        <v>3511</v>
      </c>
      <c r="BL57" s="94" t="s">
        <v>1908</v>
      </c>
      <c r="BM57" s="99"/>
      <c r="BN57" s="94" t="s">
        <v>338</v>
      </c>
      <c r="BO57" s="94" t="s">
        <v>3512</v>
      </c>
      <c r="BP57" s="99"/>
      <c r="BQ57" s="237"/>
      <c r="BR57" s="94" t="s">
        <v>3513</v>
      </c>
      <c r="BS57" s="94" t="s">
        <v>3514</v>
      </c>
      <c r="BT57" s="94" t="s">
        <v>3515</v>
      </c>
      <c r="BU57" s="88" t="s">
        <v>887</v>
      </c>
      <c r="BV57" s="94" t="s">
        <v>3516</v>
      </c>
      <c r="BW57" s="94" t="s">
        <v>3517</v>
      </c>
      <c r="BX57" s="99"/>
      <c r="BY57" s="99"/>
      <c r="BZ57" s="94" t="s">
        <v>3518</v>
      </c>
      <c r="CA57" s="99"/>
      <c r="CB57" s="99"/>
      <c r="CC57" s="99"/>
      <c r="CD57" s="99"/>
      <c r="CE57" s="99"/>
      <c r="CF57" s="237"/>
      <c r="CG57" s="94" t="s">
        <v>3362</v>
      </c>
      <c r="CH57" s="94" t="s">
        <v>1029</v>
      </c>
      <c r="CI57" s="94" t="s">
        <v>1998</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1258</v>
      </c>
      <c r="D58" s="106" t="s">
        <v>545</v>
      </c>
      <c r="E58" s="107" t="s">
        <v>1258</v>
      </c>
      <c r="F58" s="108" t="s">
        <v>2778</v>
      </c>
      <c r="G58" s="104" t="s">
        <v>741</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2419</v>
      </c>
      <c r="AD58" s="198" t="s">
        <v>3541</v>
      </c>
      <c r="AE58" s="198" t="s">
        <v>3007</v>
      </c>
      <c r="AF58" s="198" t="s">
        <v>3310</v>
      </c>
      <c r="AG58" s="335" t="s">
        <v>567</v>
      </c>
      <c r="AH58" s="335" t="s">
        <v>3368</v>
      </c>
      <c r="AI58" s="244"/>
      <c r="AJ58" s="198" t="s">
        <v>1653</v>
      </c>
      <c r="AK58" s="244"/>
      <c r="AL58" s="97"/>
      <c r="AM58" s="167" t="s">
        <v>3251</v>
      </c>
      <c r="AN58" s="167" t="s">
        <v>1236</v>
      </c>
      <c r="AO58" s="245"/>
      <c r="AP58" s="245"/>
      <c r="AQ58" s="245"/>
      <c r="AR58" s="167" t="s">
        <v>3542</v>
      </c>
      <c r="AS58" s="167" t="s">
        <v>1783</v>
      </c>
      <c r="AT58" s="245"/>
      <c r="AU58" s="455" t="s">
        <v>3543</v>
      </c>
      <c r="AV58" s="167" t="s">
        <v>3544</v>
      </c>
      <c r="AW58" s="167" t="s">
        <v>1941</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2613</v>
      </c>
      <c r="BM58" s="172"/>
      <c r="BN58" s="173" t="s">
        <v>3551</v>
      </c>
      <c r="BO58" s="173" t="s">
        <v>885</v>
      </c>
      <c r="BP58" s="173" t="s">
        <v>3552</v>
      </c>
      <c r="BQ58" s="247"/>
      <c r="BR58" s="174" t="s">
        <v>3553</v>
      </c>
      <c r="BS58" s="174" t="s">
        <v>1978</v>
      </c>
      <c r="BT58" s="174" t="s">
        <v>830</v>
      </c>
      <c r="BU58" s="174" t="s">
        <v>893</v>
      </c>
      <c r="BV58" s="174" t="s">
        <v>3554</v>
      </c>
      <c r="BW58" s="129" t="s">
        <v>788</v>
      </c>
      <c r="BX58" s="174" t="s">
        <v>3555</v>
      </c>
      <c r="BY58" s="249"/>
      <c r="BZ58" s="174" t="s">
        <v>3556</v>
      </c>
      <c r="CA58" s="456" t="s">
        <v>1341</v>
      </c>
      <c r="CB58" s="174" t="s">
        <v>3557</v>
      </c>
      <c r="CC58" s="129" t="s">
        <v>3558</v>
      </c>
      <c r="CD58" s="129" t="s">
        <v>338</v>
      </c>
      <c r="CE58" s="249"/>
      <c r="CF58" s="251"/>
      <c r="CG58" s="177" t="s">
        <v>3559</v>
      </c>
      <c r="CH58" s="177" t="s">
        <v>259</v>
      </c>
      <c r="CI58" s="177" t="s">
        <v>1813</v>
      </c>
      <c r="CJ58" s="177" t="s">
        <v>3560</v>
      </c>
      <c r="CK58" s="177"/>
      <c r="CL58" s="177" t="s">
        <v>1322</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1016</v>
      </c>
      <c r="DB58" s="203" t="s">
        <v>3568</v>
      </c>
      <c r="DC58" s="203" t="s">
        <v>131</v>
      </c>
      <c r="DD58" s="203" t="s">
        <v>199</v>
      </c>
      <c r="DE58" s="253"/>
      <c r="DF58" s="203" t="s">
        <v>568</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2480</v>
      </c>
      <c r="DV58" s="255"/>
      <c r="DW58" s="204" t="s">
        <v>3574</v>
      </c>
      <c r="DX58" s="255"/>
      <c r="DY58" s="204" t="s">
        <v>2644</v>
      </c>
      <c r="DZ58" s="144" t="s">
        <v>950</v>
      </c>
      <c r="EA58" s="255"/>
      <c r="EB58" s="204" t="s">
        <v>2707</v>
      </c>
      <c r="EC58" s="204" t="s">
        <v>686</v>
      </c>
      <c r="ED58" s="142" t="s">
        <v>3575</v>
      </c>
    </row>
    <row r="59">
      <c r="A59" s="81" t="s">
        <v>3576</v>
      </c>
      <c r="B59" s="82" t="s">
        <v>3577</v>
      </c>
      <c r="C59" s="83" t="s">
        <v>1258</v>
      </c>
      <c r="D59" s="84" t="s">
        <v>1258</v>
      </c>
      <c r="E59" s="85" t="s">
        <v>1258</v>
      </c>
      <c r="F59" s="86" t="s">
        <v>3578</v>
      </c>
      <c r="G59" s="82" t="s">
        <v>3579</v>
      </c>
      <c r="H59" s="88" t="s">
        <v>3298</v>
      </c>
      <c r="I59" s="88" t="s">
        <v>3580</v>
      </c>
      <c r="J59" s="88" t="s">
        <v>3581</v>
      </c>
      <c r="K59" s="88" t="s">
        <v>1420</v>
      </c>
      <c r="L59" s="88" t="s">
        <v>410</v>
      </c>
      <c r="M59" s="266" t="s">
        <v>1264</v>
      </c>
      <c r="N59" s="88" t="s">
        <v>3582</v>
      </c>
      <c r="O59" s="88" t="s">
        <v>3390</v>
      </c>
      <c r="P59" s="88" t="s">
        <v>3583</v>
      </c>
      <c r="Q59" s="99"/>
      <c r="R59" s="99"/>
      <c r="S59" s="266" t="s">
        <v>3207</v>
      </c>
      <c r="T59" s="99"/>
      <c r="U59" s="94" t="s">
        <v>3584</v>
      </c>
      <c r="V59" s="99"/>
      <c r="W59" s="92"/>
      <c r="X59" s="266" t="s">
        <v>3585</v>
      </c>
      <c r="Y59" s="93" t="s">
        <v>2310</v>
      </c>
      <c r="Z59" s="266" t="s">
        <v>3147</v>
      </c>
      <c r="AA59" s="88" t="s">
        <v>3586</v>
      </c>
      <c r="AB59" s="266" t="s">
        <v>286</v>
      </c>
      <c r="AC59" s="266" t="s">
        <v>2175</v>
      </c>
      <c r="AD59" s="88" t="s">
        <v>3587</v>
      </c>
      <c r="AE59" s="99"/>
      <c r="AF59" s="88" t="s">
        <v>3588</v>
      </c>
      <c r="AG59" s="88" t="s">
        <v>3589</v>
      </c>
      <c r="AH59" s="99"/>
      <c r="AI59" s="99"/>
      <c r="AJ59" s="94" t="s">
        <v>1731</v>
      </c>
      <c r="AK59" s="99"/>
      <c r="AL59" s="97"/>
      <c r="AM59" s="94" t="s">
        <v>383</v>
      </c>
      <c r="AN59" s="266" t="s">
        <v>3213</v>
      </c>
      <c r="AO59" s="332" t="s">
        <v>3590</v>
      </c>
      <c r="AP59" s="94" t="s">
        <v>3591</v>
      </c>
      <c r="AQ59" s="99"/>
      <c r="AR59" s="99"/>
      <c r="AS59" s="99"/>
      <c r="AT59" s="99"/>
      <c r="AU59" s="266" t="s">
        <v>1943</v>
      </c>
      <c r="AV59" s="266" t="s">
        <v>2515</v>
      </c>
      <c r="AW59" s="94" t="s">
        <v>532</v>
      </c>
      <c r="AX59" s="99"/>
      <c r="AY59" s="266" t="s">
        <v>834</v>
      </c>
      <c r="AZ59" s="88" t="s">
        <v>3592</v>
      </c>
      <c r="BA59" s="99"/>
      <c r="BB59" s="88" t="s">
        <v>3593</v>
      </c>
      <c r="BC59" s="88" t="s">
        <v>3594</v>
      </c>
      <c r="BD59" s="88" t="s">
        <v>3595</v>
      </c>
      <c r="BE59" s="266" t="s">
        <v>3502</v>
      </c>
      <c r="BF59" s="88" t="s">
        <v>2516</v>
      </c>
      <c r="BG59" s="94" t="s">
        <v>441</v>
      </c>
      <c r="BH59" s="94" t="s">
        <v>3596</v>
      </c>
      <c r="BI59" s="266" t="s">
        <v>1318</v>
      </c>
      <c r="BJ59" s="94"/>
      <c r="BK59" s="266" t="s">
        <v>722</v>
      </c>
      <c r="BL59" s="88" t="s">
        <v>3597</v>
      </c>
      <c r="BM59" s="88" t="s">
        <v>3598</v>
      </c>
      <c r="BN59" s="94" t="s">
        <v>2133</v>
      </c>
      <c r="BO59" s="94" t="s">
        <v>3599</v>
      </c>
      <c r="BP59" s="94" t="s">
        <v>955</v>
      </c>
      <c r="BQ59" s="237"/>
      <c r="BR59" s="88" t="s">
        <v>3600</v>
      </c>
      <c r="BS59" s="88" t="s">
        <v>3601</v>
      </c>
      <c r="BT59" s="88" t="s">
        <v>3602</v>
      </c>
      <c r="BU59" s="266" t="s">
        <v>3603</v>
      </c>
      <c r="BV59" s="88" t="s">
        <v>3604</v>
      </c>
      <c r="BW59" s="88" t="s">
        <v>166</v>
      </c>
      <c r="BX59" s="94" t="s">
        <v>3605</v>
      </c>
      <c r="BY59" s="94" t="s">
        <v>3606</v>
      </c>
      <c r="BZ59" s="88" t="s">
        <v>3607</v>
      </c>
      <c r="CA59" s="88" t="s">
        <v>3608</v>
      </c>
      <c r="CB59" s="88" t="s">
        <v>3609</v>
      </c>
      <c r="CC59" s="88" t="s">
        <v>3610</v>
      </c>
      <c r="CD59" s="88" t="s">
        <v>3611</v>
      </c>
      <c r="CE59" s="99"/>
      <c r="CF59" s="237"/>
      <c r="CG59" s="266" t="s">
        <v>2635</v>
      </c>
      <c r="CH59" s="88" t="s">
        <v>2919</v>
      </c>
      <c r="CI59" s="94" t="s">
        <v>1266</v>
      </c>
      <c r="CJ59" s="94" t="s">
        <v>3612</v>
      </c>
      <c r="CK59" s="94" t="s">
        <v>3613</v>
      </c>
      <c r="CL59" s="94" t="s">
        <v>3522</v>
      </c>
      <c r="CM59" s="94" t="s">
        <v>3614</v>
      </c>
      <c r="CN59" s="266" t="s">
        <v>3615</v>
      </c>
      <c r="CO59" s="94" t="s">
        <v>3616</v>
      </c>
      <c r="CP59" s="94" t="s">
        <v>2056</v>
      </c>
      <c r="CQ59" s="88" t="s">
        <v>3617</v>
      </c>
      <c r="CR59" s="99"/>
      <c r="CS59" s="88" t="s">
        <v>3618</v>
      </c>
      <c r="CT59" s="99"/>
      <c r="CU59" s="92"/>
      <c r="CV59" s="94" t="s">
        <v>891</v>
      </c>
      <c r="CW59" s="88" t="s">
        <v>1775</v>
      </c>
      <c r="CX59" s="266" t="s">
        <v>2960</v>
      </c>
      <c r="CY59" s="266" t="s">
        <v>3619</v>
      </c>
      <c r="CZ59" s="94" t="s">
        <v>3620</v>
      </c>
      <c r="DA59" s="266" t="s">
        <v>512</v>
      </c>
      <c r="DB59" s="457" t="s">
        <v>3621</v>
      </c>
      <c r="DC59" s="88" t="s">
        <v>1657</v>
      </c>
      <c r="DD59" s="99"/>
      <c r="DE59" s="266" t="s">
        <v>3423</v>
      </c>
      <c r="DF59" s="94" t="s">
        <v>3622</v>
      </c>
      <c r="DG59" s="99"/>
      <c r="DH59" s="237"/>
      <c r="DI59" s="94" t="s">
        <v>855</v>
      </c>
      <c r="DJ59" s="99"/>
      <c r="DK59" s="94"/>
      <c r="DL59" s="99"/>
      <c r="DM59" s="88" t="s">
        <v>510</v>
      </c>
      <c r="DN59" s="94" t="s">
        <v>2084</v>
      </c>
      <c r="DO59" s="266" t="s">
        <v>3623</v>
      </c>
      <c r="DP59" s="94" t="s">
        <v>959</v>
      </c>
      <c r="DQ59" s="99"/>
      <c r="DR59" s="94" t="s">
        <v>3624</v>
      </c>
      <c r="DS59" s="94" t="s">
        <v>3625</v>
      </c>
      <c r="DT59" s="94" t="s">
        <v>422</v>
      </c>
      <c r="DU59" s="88" t="s">
        <v>3626</v>
      </c>
      <c r="DV59" s="94" t="s">
        <v>775</v>
      </c>
      <c r="DW59" s="161" t="s">
        <v>3574</v>
      </c>
      <c r="DX59" s="99"/>
      <c r="DY59" s="161" t="s">
        <v>301</v>
      </c>
      <c r="DZ59" s="94" t="s">
        <v>2908</v>
      </c>
      <c r="EA59" s="94" t="s">
        <v>3627</v>
      </c>
      <c r="EB59" s="266" t="s">
        <v>496</v>
      </c>
      <c r="EC59" s="266" t="s">
        <v>3628</v>
      </c>
      <c r="ED59" s="258" t="s">
        <v>3629</v>
      </c>
    </row>
    <row r="60">
      <c r="A60" s="458" t="s">
        <v>3630</v>
      </c>
      <c r="B60" s="104" t="s">
        <v>3631</v>
      </c>
      <c r="C60" s="105" t="s">
        <v>1258</v>
      </c>
      <c r="D60" s="106" t="s">
        <v>1258</v>
      </c>
      <c r="E60" s="107" t="s">
        <v>1258</v>
      </c>
      <c r="F60" s="108" t="s">
        <v>2090</v>
      </c>
      <c r="G60" s="104" t="s">
        <v>3632</v>
      </c>
      <c r="H60" s="112" t="s">
        <v>3633</v>
      </c>
      <c r="I60" s="112" t="s">
        <v>3634</v>
      </c>
      <c r="J60" s="112" t="s">
        <v>3635</v>
      </c>
      <c r="K60" s="112" t="s">
        <v>1952</v>
      </c>
      <c r="L60" s="112" t="s">
        <v>2831</v>
      </c>
      <c r="M60" s="112" t="s">
        <v>3636</v>
      </c>
      <c r="N60" s="112" t="s">
        <v>3637</v>
      </c>
      <c r="O60" s="112" t="s">
        <v>3638</v>
      </c>
      <c r="P60" s="112" t="s">
        <v>3639</v>
      </c>
      <c r="Q60" s="166" t="s">
        <v>3640</v>
      </c>
      <c r="R60" s="242"/>
      <c r="S60" s="112" t="s">
        <v>2277</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567</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845</v>
      </c>
      <c r="AW60" s="245"/>
      <c r="AX60" s="245"/>
      <c r="AY60" s="121" t="s">
        <v>3653</v>
      </c>
      <c r="AZ60" s="167" t="s">
        <v>3654</v>
      </c>
      <c r="BA60" s="167"/>
      <c r="BB60" s="126" t="s">
        <v>2945</v>
      </c>
      <c r="BC60" s="126" t="s">
        <v>2533</v>
      </c>
      <c r="BD60" s="126" t="s">
        <v>3655</v>
      </c>
      <c r="BE60" s="171" t="s">
        <v>3656</v>
      </c>
      <c r="BF60" s="126" t="s">
        <v>3657</v>
      </c>
      <c r="BG60" s="126" t="s">
        <v>3658</v>
      </c>
      <c r="BH60" s="172"/>
      <c r="BI60" s="126" t="s">
        <v>365</v>
      </c>
      <c r="BJ60" s="126" t="s">
        <v>3659</v>
      </c>
      <c r="BK60" s="126" t="s">
        <v>3660</v>
      </c>
      <c r="BL60" s="126" t="s">
        <v>3661</v>
      </c>
      <c r="BM60" s="172"/>
      <c r="BN60" s="126" t="s">
        <v>3662</v>
      </c>
      <c r="BO60" s="126" t="s">
        <v>1456</v>
      </c>
      <c r="BP60" s="172"/>
      <c r="BQ60" s="247"/>
      <c r="BR60" s="129" t="s">
        <v>3663</v>
      </c>
      <c r="BS60" s="129" t="s">
        <v>930</v>
      </c>
      <c r="BT60" s="129" t="s">
        <v>2233</v>
      </c>
      <c r="BU60" s="129" t="s">
        <v>3664</v>
      </c>
      <c r="BV60" s="129" t="s">
        <v>3665</v>
      </c>
      <c r="BW60" s="129" t="s">
        <v>1593</v>
      </c>
      <c r="BX60" s="249"/>
      <c r="BY60" s="129" t="s">
        <v>3666</v>
      </c>
      <c r="BZ60" s="129" t="s">
        <v>3667</v>
      </c>
      <c r="CA60" s="129" t="s">
        <v>1849</v>
      </c>
      <c r="CB60" s="129" t="s">
        <v>3668</v>
      </c>
      <c r="CC60" s="129" t="s">
        <v>3669</v>
      </c>
      <c r="CD60" s="129" t="s">
        <v>3670</v>
      </c>
      <c r="CE60" s="174" t="s">
        <v>3671</v>
      </c>
      <c r="CF60" s="174"/>
      <c r="CG60" s="134" t="s">
        <v>665</v>
      </c>
      <c r="CH60" s="134" t="s">
        <v>3428</v>
      </c>
      <c r="CI60" s="134" t="s">
        <v>3672</v>
      </c>
      <c r="CJ60" s="134" t="s">
        <v>3673</v>
      </c>
      <c r="CK60" s="262"/>
      <c r="CL60" s="134" t="s">
        <v>3674</v>
      </c>
      <c r="CM60" s="134" t="s">
        <v>3675</v>
      </c>
      <c r="CN60" s="134" t="s">
        <v>1406</v>
      </c>
      <c r="CO60" s="134" t="s">
        <v>3676</v>
      </c>
      <c r="CP60" s="252"/>
      <c r="CQ60" s="252"/>
      <c r="CR60" s="177"/>
      <c r="CS60" s="134" t="s">
        <v>659</v>
      </c>
      <c r="CT60" s="252"/>
      <c r="CU60" s="92"/>
      <c r="CV60" s="139" t="s">
        <v>940</v>
      </c>
      <c r="CW60" s="139" t="s">
        <v>3344</v>
      </c>
      <c r="CX60" s="139" t="s">
        <v>968</v>
      </c>
      <c r="CY60" s="139" t="s">
        <v>3677</v>
      </c>
      <c r="CZ60" s="139" t="s">
        <v>3678</v>
      </c>
      <c r="DA60" s="203" t="s">
        <v>3679</v>
      </c>
      <c r="DB60" s="139" t="s">
        <v>3680</v>
      </c>
      <c r="DC60" s="139" t="s">
        <v>3652</v>
      </c>
      <c r="DD60" s="253"/>
      <c r="DE60" s="253"/>
      <c r="DF60" s="253"/>
      <c r="DG60" s="203" t="s">
        <v>3681</v>
      </c>
      <c r="DH60" s="203"/>
      <c r="DI60" s="144" t="s">
        <v>2881</v>
      </c>
      <c r="DJ60" s="255"/>
      <c r="DK60" s="255"/>
      <c r="DL60" s="255"/>
      <c r="DM60" s="144" t="s">
        <v>510</v>
      </c>
      <c r="DN60" s="255"/>
      <c r="DO60" s="255"/>
      <c r="DP60" s="144" t="s">
        <v>3682</v>
      </c>
      <c r="DQ60" s="255"/>
      <c r="DR60" s="144" t="s">
        <v>3683</v>
      </c>
      <c r="DS60" s="206" t="s">
        <v>2323</v>
      </c>
      <c r="DT60" s="204" t="s">
        <v>3684</v>
      </c>
      <c r="DU60" s="255"/>
      <c r="DV60" s="255"/>
      <c r="DW60" s="144" t="s">
        <v>1801</v>
      </c>
      <c r="DX60" s="255"/>
      <c r="DY60" s="255"/>
      <c r="DZ60" s="255"/>
      <c r="EA60" s="144" t="s">
        <v>3685</v>
      </c>
      <c r="EB60" s="255"/>
      <c r="EC60" s="144" t="s">
        <v>3686</v>
      </c>
      <c r="ED60" s="141" t="s">
        <v>3687</v>
      </c>
    </row>
    <row r="61">
      <c r="A61" s="459" t="s">
        <v>3688</v>
      </c>
      <c r="B61" s="82" t="s">
        <v>3689</v>
      </c>
      <c r="C61" s="83" t="s">
        <v>1258</v>
      </c>
      <c r="D61" s="84" t="s">
        <v>1258</v>
      </c>
      <c r="E61" s="85" t="s">
        <v>1258</v>
      </c>
      <c r="F61" s="86" t="s">
        <v>2778</v>
      </c>
      <c r="G61" s="82" t="s">
        <v>223</v>
      </c>
      <c r="H61" s="94" t="s">
        <v>3690</v>
      </c>
      <c r="I61" s="94" t="s">
        <v>2011</v>
      </c>
      <c r="J61" s="94" t="s">
        <v>3691</v>
      </c>
      <c r="K61" s="88" t="s">
        <v>2880</v>
      </c>
      <c r="L61" s="88" t="s">
        <v>1263</v>
      </c>
      <c r="M61" s="94" t="s">
        <v>3692</v>
      </c>
      <c r="N61" s="88" t="s">
        <v>3693</v>
      </c>
      <c r="O61" s="94" t="s">
        <v>3656</v>
      </c>
      <c r="P61" s="94" t="s">
        <v>3303</v>
      </c>
      <c r="Q61" s="161" t="s">
        <v>3694</v>
      </c>
      <c r="R61" s="88" t="s">
        <v>3695</v>
      </c>
      <c r="S61" s="94" t="s">
        <v>3696</v>
      </c>
      <c r="T61" s="94" t="s">
        <v>1627</v>
      </c>
      <c r="U61" s="88" t="s">
        <v>3697</v>
      </c>
      <c r="V61" s="161" t="s">
        <v>3698</v>
      </c>
      <c r="W61" s="113"/>
      <c r="X61" s="94" t="s">
        <v>3699</v>
      </c>
      <c r="Y61" s="94"/>
      <c r="Z61" s="94" t="s">
        <v>3700</v>
      </c>
      <c r="AA61" s="94" t="s">
        <v>3701</v>
      </c>
      <c r="AB61" s="94" t="s">
        <v>852</v>
      </c>
      <c r="AC61" s="94" t="s">
        <v>3702</v>
      </c>
      <c r="AD61" s="94" t="s">
        <v>3703</v>
      </c>
      <c r="AE61" s="94" t="s">
        <v>3704</v>
      </c>
      <c r="AF61" s="94" t="s">
        <v>3705</v>
      </c>
      <c r="AG61" s="94" t="s">
        <v>3706</v>
      </c>
      <c r="AH61" s="94" t="s">
        <v>3584</v>
      </c>
      <c r="AI61" s="94" t="s">
        <v>3118</v>
      </c>
      <c r="AJ61" s="94" t="s">
        <v>3045</v>
      </c>
      <c r="AK61" s="94" t="s">
        <v>3707</v>
      </c>
      <c r="AL61" s="97"/>
      <c r="AM61" s="94" t="s">
        <v>2495</v>
      </c>
      <c r="AN61" s="94" t="s">
        <v>1412</v>
      </c>
      <c r="AO61" s="94" t="s">
        <v>3708</v>
      </c>
      <c r="AP61" s="94" t="s">
        <v>3709</v>
      </c>
      <c r="AQ61" s="94" t="s">
        <v>3710</v>
      </c>
      <c r="AR61" s="94" t="s">
        <v>3711</v>
      </c>
      <c r="AS61" s="94" t="s">
        <v>3712</v>
      </c>
      <c r="AT61" s="94"/>
      <c r="AU61" s="94" t="s">
        <v>3713</v>
      </c>
      <c r="AV61" s="88" t="s">
        <v>3714</v>
      </c>
      <c r="AW61" s="94" t="s">
        <v>320</v>
      </c>
      <c r="AX61" s="94"/>
      <c r="AY61" s="94" t="s">
        <v>842</v>
      </c>
      <c r="AZ61" s="94" t="s">
        <v>3715</v>
      </c>
      <c r="BA61" s="94"/>
      <c r="BB61" s="94" t="s">
        <v>1477</v>
      </c>
      <c r="BC61" s="88" t="s">
        <v>2771</v>
      </c>
      <c r="BD61" s="88" t="s">
        <v>2226</v>
      </c>
      <c r="BE61" s="94" t="s">
        <v>3716</v>
      </c>
      <c r="BF61" s="94" t="s">
        <v>3717</v>
      </c>
      <c r="BG61" s="94" t="s">
        <v>1221</v>
      </c>
      <c r="BH61" s="94" t="s">
        <v>3718</v>
      </c>
      <c r="BI61" s="88" t="s">
        <v>1664</v>
      </c>
      <c r="BJ61" s="94" t="s">
        <v>2762</v>
      </c>
      <c r="BK61" s="94" t="s">
        <v>3719</v>
      </c>
      <c r="BL61" s="94" t="s">
        <v>3720</v>
      </c>
      <c r="BM61" s="94"/>
      <c r="BN61" s="88" t="s">
        <v>1581</v>
      </c>
      <c r="BO61" s="94" t="s">
        <v>2682</v>
      </c>
      <c r="BP61" s="94" t="s">
        <v>3310</v>
      </c>
      <c r="BQ61" s="94"/>
      <c r="BR61" s="88" t="s">
        <v>3721</v>
      </c>
      <c r="BS61" s="94" t="s">
        <v>3722</v>
      </c>
      <c r="BT61" s="94" t="s">
        <v>3723</v>
      </c>
      <c r="BU61" s="94" t="s">
        <v>3331</v>
      </c>
      <c r="BV61" s="94" t="s">
        <v>1853</v>
      </c>
      <c r="BW61" s="94" t="s">
        <v>3724</v>
      </c>
      <c r="BX61" s="94" t="s">
        <v>3555</v>
      </c>
      <c r="BY61" s="94" t="s">
        <v>3725</v>
      </c>
      <c r="BZ61" s="94" t="s">
        <v>3126</v>
      </c>
      <c r="CA61" s="94" t="s">
        <v>3726</v>
      </c>
      <c r="CB61" s="94" t="s">
        <v>2416</v>
      </c>
      <c r="CC61" s="94" t="s">
        <v>1269</v>
      </c>
      <c r="CD61" s="94" t="s">
        <v>1730</v>
      </c>
      <c r="CE61" s="94" t="s">
        <v>3727</v>
      </c>
      <c r="CF61" s="94"/>
      <c r="CG61" s="94" t="s">
        <v>3728</v>
      </c>
      <c r="CH61" s="161" t="s">
        <v>296</v>
      </c>
      <c r="CI61" s="94" t="s">
        <v>1845</v>
      </c>
      <c r="CJ61" s="94" t="s">
        <v>3026</v>
      </c>
      <c r="CK61" s="94"/>
      <c r="CL61" s="94" t="s">
        <v>3729</v>
      </c>
      <c r="CM61" s="94" t="s">
        <v>3730</v>
      </c>
      <c r="CN61" s="94" t="s">
        <v>1580</v>
      </c>
      <c r="CO61" s="94" t="s">
        <v>3731</v>
      </c>
      <c r="CP61" s="94" t="s">
        <v>3732</v>
      </c>
      <c r="CQ61" s="88" t="s">
        <v>817</v>
      </c>
      <c r="CR61" s="94"/>
      <c r="CS61" s="94" t="s">
        <v>3733</v>
      </c>
      <c r="CT61" s="94" t="s">
        <v>3734</v>
      </c>
      <c r="CU61" s="92"/>
      <c r="CV61" s="94" t="s">
        <v>3735</v>
      </c>
      <c r="CW61" s="94" t="s">
        <v>1604</v>
      </c>
      <c r="CX61" s="88" t="s">
        <v>206</v>
      </c>
      <c r="CY61" s="94" t="s">
        <v>3736</v>
      </c>
      <c r="CZ61" s="161" t="s">
        <v>3504</v>
      </c>
      <c r="DA61" s="94" t="s">
        <v>3737</v>
      </c>
      <c r="DB61" s="266" t="s">
        <v>2351</v>
      </c>
      <c r="DC61" s="88" t="s">
        <v>2637</v>
      </c>
      <c r="DD61" s="94" t="s">
        <v>3738</v>
      </c>
      <c r="DE61" s="94" t="s">
        <v>3739</v>
      </c>
      <c r="DF61" s="94" t="s">
        <v>1157</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1845</v>
      </c>
      <c r="DV61" s="94" t="s">
        <v>3113</v>
      </c>
      <c r="DW61" s="94" t="s">
        <v>1806</v>
      </c>
      <c r="DX61" s="94" t="s">
        <v>3751</v>
      </c>
      <c r="DY61" s="94" t="s">
        <v>2815</v>
      </c>
      <c r="DZ61" s="94" t="s">
        <v>3752</v>
      </c>
      <c r="EA61" s="94" t="s">
        <v>427</v>
      </c>
      <c r="EB61" s="94" t="s">
        <v>3753</v>
      </c>
      <c r="EC61" s="94" t="s">
        <v>365</v>
      </c>
      <c r="ED61" s="258" t="s">
        <v>3754</v>
      </c>
    </row>
    <row r="62">
      <c r="A62" s="165" t="s">
        <v>3755</v>
      </c>
      <c r="B62" s="104" t="s">
        <v>3756</v>
      </c>
      <c r="C62" s="105" t="s">
        <v>1258</v>
      </c>
      <c r="D62" s="106" t="s">
        <v>1258</v>
      </c>
      <c r="E62" s="107" t="s">
        <v>1258</v>
      </c>
      <c r="F62" s="108" t="s">
        <v>648</v>
      </c>
      <c r="G62" s="104" t="s">
        <v>2270</v>
      </c>
      <c r="H62" s="239" t="s">
        <v>2019</v>
      </c>
      <c r="I62" s="239" t="s">
        <v>3757</v>
      </c>
      <c r="J62" s="239" t="s">
        <v>3758</v>
      </c>
      <c r="K62" s="239" t="s">
        <v>1556</v>
      </c>
      <c r="L62" s="239" t="s">
        <v>776</v>
      </c>
      <c r="M62" s="239" t="s">
        <v>3759</v>
      </c>
      <c r="N62" s="239" t="s">
        <v>3760</v>
      </c>
      <c r="O62" s="239" t="s">
        <v>806</v>
      </c>
      <c r="P62" s="239" t="s">
        <v>3639</v>
      </c>
      <c r="Q62" s="239"/>
      <c r="R62" s="239" t="s">
        <v>3761</v>
      </c>
      <c r="S62" s="239" t="s">
        <v>3662</v>
      </c>
      <c r="T62" s="239" t="s">
        <v>1523</v>
      </c>
      <c r="U62" s="239" t="s">
        <v>3762</v>
      </c>
      <c r="V62" s="239" t="s">
        <v>3763</v>
      </c>
      <c r="W62" s="460"/>
      <c r="X62" s="197" t="s">
        <v>3180</v>
      </c>
      <c r="Y62" s="197"/>
      <c r="Z62" s="197" t="s">
        <v>1116</v>
      </c>
      <c r="AA62" s="197" t="s">
        <v>3764</v>
      </c>
      <c r="AB62" s="197" t="s">
        <v>3765</v>
      </c>
      <c r="AC62" s="461" t="s">
        <v>3766</v>
      </c>
      <c r="AD62" s="197" t="s">
        <v>3767</v>
      </c>
      <c r="AE62" s="197" t="s">
        <v>3768</v>
      </c>
      <c r="AF62" s="116" t="s">
        <v>3769</v>
      </c>
      <c r="AG62" s="197" t="s">
        <v>3770</v>
      </c>
      <c r="AH62" s="197" t="s">
        <v>3771</v>
      </c>
      <c r="AI62" s="462"/>
      <c r="AJ62" s="462"/>
      <c r="AK62" s="197" t="s">
        <v>3772</v>
      </c>
      <c r="AL62" s="463"/>
      <c r="AM62" s="199" t="s">
        <v>2725</v>
      </c>
      <c r="AN62" s="199" t="s">
        <v>3039</v>
      </c>
      <c r="AO62" s="199" t="s">
        <v>3773</v>
      </c>
      <c r="AP62" s="199" t="s">
        <v>3774</v>
      </c>
      <c r="AQ62" s="199" t="s">
        <v>3775</v>
      </c>
      <c r="AR62" s="199" t="s">
        <v>3776</v>
      </c>
      <c r="AS62" s="199" t="s">
        <v>3340</v>
      </c>
      <c r="AT62" s="464"/>
      <c r="AU62" s="199" t="s">
        <v>3777</v>
      </c>
      <c r="AV62" s="199" t="s">
        <v>1449</v>
      </c>
      <c r="AW62" s="199" t="s">
        <v>3778</v>
      </c>
      <c r="AX62" s="464"/>
      <c r="AY62" s="199" t="s">
        <v>1136</v>
      </c>
      <c r="AZ62" s="199" t="s">
        <v>3779</v>
      </c>
      <c r="BA62" s="199"/>
      <c r="BB62" s="171" t="s">
        <v>3780</v>
      </c>
      <c r="BC62" s="171" t="s">
        <v>1557</v>
      </c>
      <c r="BD62" s="171" t="s">
        <v>1318</v>
      </c>
      <c r="BE62" s="171" t="s">
        <v>3781</v>
      </c>
      <c r="BF62" s="171" t="s">
        <v>2516</v>
      </c>
      <c r="BG62" s="171" t="s">
        <v>3782</v>
      </c>
      <c r="BH62" s="171" t="s">
        <v>3783</v>
      </c>
      <c r="BI62" s="171" t="s">
        <v>875</v>
      </c>
      <c r="BJ62" s="171" t="s">
        <v>3784</v>
      </c>
      <c r="BK62" s="171" t="s">
        <v>3785</v>
      </c>
      <c r="BL62" s="171" t="s">
        <v>3786</v>
      </c>
      <c r="BM62" s="465"/>
      <c r="BN62" s="171" t="s">
        <v>1304</v>
      </c>
      <c r="BO62" s="171" t="s">
        <v>3787</v>
      </c>
      <c r="BP62" s="171" t="s">
        <v>1594</v>
      </c>
      <c r="BQ62" s="171"/>
      <c r="BR62" s="280" t="s">
        <v>3788</v>
      </c>
      <c r="BS62" s="129" t="s">
        <v>257</v>
      </c>
      <c r="BT62" s="280" t="s">
        <v>2203</v>
      </c>
      <c r="BU62" s="280" t="s">
        <v>3789</v>
      </c>
      <c r="BV62" s="280" t="s">
        <v>3790</v>
      </c>
      <c r="BW62" s="280" t="s">
        <v>3791</v>
      </c>
      <c r="BX62" s="280" t="s">
        <v>3792</v>
      </c>
      <c r="BY62" s="280"/>
      <c r="BZ62" s="280" t="s">
        <v>3793</v>
      </c>
      <c r="CA62" s="280" t="s">
        <v>1625</v>
      </c>
      <c r="CB62" s="280" t="s">
        <v>3794</v>
      </c>
      <c r="CC62" s="280" t="s">
        <v>3795</v>
      </c>
      <c r="CD62" s="280" t="s">
        <v>3796</v>
      </c>
      <c r="CE62" s="280" t="s">
        <v>3797</v>
      </c>
      <c r="CF62" s="280"/>
      <c r="CG62" s="300" t="s">
        <v>749</v>
      </c>
      <c r="CH62" s="300" t="s">
        <v>2186</v>
      </c>
      <c r="CI62" s="300" t="s">
        <v>3798</v>
      </c>
      <c r="CJ62" s="300" t="s">
        <v>3799</v>
      </c>
      <c r="CK62" s="300"/>
      <c r="CL62" s="300" t="s">
        <v>3800</v>
      </c>
      <c r="CM62" s="300" t="s">
        <v>3801</v>
      </c>
      <c r="CN62" s="300" t="s">
        <v>532</v>
      </c>
      <c r="CO62" s="300" t="s">
        <v>3583</v>
      </c>
      <c r="CP62" s="466"/>
      <c r="CQ62" s="466"/>
      <c r="CR62" s="466"/>
      <c r="CS62" s="300" t="s">
        <v>3802</v>
      </c>
      <c r="CT62" s="300" t="s">
        <v>250</v>
      </c>
      <c r="CU62" s="460"/>
      <c r="CV62" s="451" t="s">
        <v>1015</v>
      </c>
      <c r="CW62" s="451" t="s">
        <v>2468</v>
      </c>
      <c r="CX62" s="451" t="s">
        <v>532</v>
      </c>
      <c r="CY62" s="451" t="s">
        <v>3803</v>
      </c>
      <c r="CZ62" s="451" t="s">
        <v>3804</v>
      </c>
      <c r="DA62" s="451" t="s">
        <v>2479</v>
      </c>
      <c r="DB62" s="451" t="s">
        <v>3805</v>
      </c>
      <c r="DC62" s="451" t="s">
        <v>3379</v>
      </c>
      <c r="DD62" s="451" t="s">
        <v>3806</v>
      </c>
      <c r="DE62" s="451" t="s">
        <v>3276</v>
      </c>
      <c r="DF62" s="451" t="s">
        <v>3807</v>
      </c>
      <c r="DG62" s="451" t="s">
        <v>3808</v>
      </c>
      <c r="DH62" s="451"/>
      <c r="DI62" s="144" t="s">
        <v>302</v>
      </c>
      <c r="DJ62" s="206" t="s">
        <v>199</v>
      </c>
      <c r="DK62" s="206" t="s">
        <v>3809</v>
      </c>
      <c r="DL62" s="206"/>
      <c r="DM62" s="206" t="s">
        <v>529</v>
      </c>
      <c r="DN62" s="206" t="s">
        <v>1486</v>
      </c>
      <c r="DO62" s="206" t="s">
        <v>3810</v>
      </c>
      <c r="DP62" s="206" t="s">
        <v>3811</v>
      </c>
      <c r="DQ62" s="206" t="s">
        <v>3706</v>
      </c>
      <c r="DR62" s="206" t="s">
        <v>3812</v>
      </c>
      <c r="DS62" s="206" t="s">
        <v>3813</v>
      </c>
      <c r="DT62" s="206" t="s">
        <v>2468</v>
      </c>
      <c r="DU62" s="206" t="s">
        <v>3814</v>
      </c>
      <c r="DV62" s="206" t="s">
        <v>3815</v>
      </c>
      <c r="DW62" s="206" t="s">
        <v>3816</v>
      </c>
      <c r="DX62" s="206" t="s">
        <v>1913</v>
      </c>
      <c r="DY62" s="206" t="s">
        <v>2815</v>
      </c>
      <c r="DZ62" s="206" t="s">
        <v>3817</v>
      </c>
      <c r="EA62" s="206" t="s">
        <v>1124</v>
      </c>
      <c r="EB62" s="206" t="s">
        <v>845</v>
      </c>
      <c r="EC62" s="206" t="s">
        <v>3818</v>
      </c>
      <c r="ED62" s="286" t="s">
        <v>3819</v>
      </c>
    </row>
    <row r="63">
      <c r="A63" s="81" t="s">
        <v>3820</v>
      </c>
      <c r="B63" s="82" t="s">
        <v>3821</v>
      </c>
      <c r="C63" s="83" t="s">
        <v>1258</v>
      </c>
      <c r="D63" s="84" t="s">
        <v>1258</v>
      </c>
      <c r="E63" s="85" t="s">
        <v>1258</v>
      </c>
      <c r="F63" s="86" t="s">
        <v>1054</v>
      </c>
      <c r="G63" s="82" t="s">
        <v>2156</v>
      </c>
      <c r="H63" s="88" t="s">
        <v>3822</v>
      </c>
      <c r="I63" s="88" t="s">
        <v>3823</v>
      </c>
      <c r="J63" s="88" t="s">
        <v>2879</v>
      </c>
      <c r="K63" s="98" t="s">
        <v>443</v>
      </c>
      <c r="L63" s="88" t="s">
        <v>1727</v>
      </c>
      <c r="M63" s="94" t="s">
        <v>3824</v>
      </c>
      <c r="N63" s="94" t="s">
        <v>3825</v>
      </c>
      <c r="O63" s="94" t="s">
        <v>3716</v>
      </c>
      <c r="P63" s="94" t="s">
        <v>2657</v>
      </c>
      <c r="Q63" s="94" t="s">
        <v>3826</v>
      </c>
      <c r="R63" s="99"/>
      <c r="S63" s="99"/>
      <c r="T63" s="99"/>
      <c r="U63" s="99"/>
      <c r="V63" s="94" t="s">
        <v>3827</v>
      </c>
      <c r="W63" s="92"/>
      <c r="X63" s="88" t="s">
        <v>2578</v>
      </c>
      <c r="Y63" s="102"/>
      <c r="Z63" s="88" t="s">
        <v>3828</v>
      </c>
      <c r="AA63" s="88" t="s">
        <v>1893</v>
      </c>
      <c r="AB63" s="94" t="s">
        <v>3070</v>
      </c>
      <c r="AC63" s="94" t="s">
        <v>3071</v>
      </c>
      <c r="AD63" s="93" t="s">
        <v>3829</v>
      </c>
      <c r="AE63" s="99"/>
      <c r="AF63" s="94" t="s">
        <v>2474</v>
      </c>
      <c r="AG63" s="94" t="s">
        <v>1826</v>
      </c>
      <c r="AH63" s="99"/>
      <c r="AI63" s="99"/>
      <c r="AJ63" s="99"/>
      <c r="AK63" s="99"/>
      <c r="AL63" s="97"/>
      <c r="AM63" s="94" t="s">
        <v>3830</v>
      </c>
      <c r="AN63" s="94" t="s">
        <v>3831</v>
      </c>
      <c r="AO63" s="94" t="s">
        <v>3832</v>
      </c>
      <c r="AP63" s="99"/>
      <c r="AQ63" s="94" t="s">
        <v>277</v>
      </c>
      <c r="AR63" s="94"/>
      <c r="AS63" s="99"/>
      <c r="AT63" s="99"/>
      <c r="AU63" s="88" t="s">
        <v>3833</v>
      </c>
      <c r="AV63" s="88" t="s">
        <v>1963</v>
      </c>
      <c r="AW63" s="99"/>
      <c r="AX63" s="99"/>
      <c r="AY63" s="99"/>
      <c r="AZ63" s="99"/>
      <c r="BA63" s="99"/>
      <c r="BB63" s="99"/>
      <c r="BC63" s="94" t="s">
        <v>1160</v>
      </c>
      <c r="BD63" s="88" t="s">
        <v>1449</v>
      </c>
      <c r="BE63" s="88" t="s">
        <v>3834</v>
      </c>
      <c r="BF63" s="94" t="s">
        <v>1600</v>
      </c>
      <c r="BG63" s="99"/>
      <c r="BH63" s="99"/>
      <c r="BI63" s="94" t="s">
        <v>323</v>
      </c>
      <c r="BJ63" s="99"/>
      <c r="BK63" s="94" t="s">
        <v>3835</v>
      </c>
      <c r="BL63" s="94" t="s">
        <v>1322</v>
      </c>
      <c r="BM63" s="99"/>
      <c r="BN63" s="99"/>
      <c r="BO63" s="99"/>
      <c r="BP63" s="99"/>
      <c r="BQ63" s="237"/>
      <c r="BR63" s="94"/>
      <c r="BS63" s="94" t="s">
        <v>660</v>
      </c>
      <c r="BT63" s="94" t="s">
        <v>2769</v>
      </c>
      <c r="BU63" s="94" t="s">
        <v>2234</v>
      </c>
      <c r="BV63" s="94" t="s">
        <v>3836</v>
      </c>
      <c r="BW63" s="94" t="s">
        <v>3837</v>
      </c>
      <c r="BX63" s="99"/>
      <c r="BY63" s="99"/>
      <c r="BZ63" s="99"/>
      <c r="CA63" s="94" t="s">
        <v>3838</v>
      </c>
      <c r="CB63" s="94" t="s">
        <v>3839</v>
      </c>
      <c r="CC63" s="99"/>
      <c r="CD63" s="99"/>
      <c r="CE63" s="99"/>
      <c r="CF63" s="237"/>
      <c r="CG63" s="94" t="s">
        <v>3840</v>
      </c>
      <c r="CH63" s="88" t="s">
        <v>875</v>
      </c>
      <c r="CI63" s="98" t="str">
        <f>HYPERLINK("https://youtu.be/weD44uJQ8hg","35.17")</f>
        <v>35.17</v>
      </c>
      <c r="CJ63" s="99"/>
      <c r="CK63" s="99"/>
      <c r="CL63" s="99"/>
      <c r="CM63" s="88" t="s">
        <v>3841</v>
      </c>
      <c r="CN63" s="94" t="s">
        <v>1580</v>
      </c>
      <c r="CO63" s="94" t="s">
        <v>3842</v>
      </c>
      <c r="CP63" s="99"/>
      <c r="CQ63" s="94" t="s">
        <v>3843</v>
      </c>
      <c r="CR63" s="94"/>
      <c r="CS63" s="94" t="s">
        <v>3844</v>
      </c>
      <c r="CT63" s="99"/>
      <c r="CU63" s="92"/>
      <c r="CV63" s="94" t="s">
        <v>1273</v>
      </c>
      <c r="CW63" s="99"/>
      <c r="CX63" s="88" t="s">
        <v>2001</v>
      </c>
      <c r="CY63" s="94" t="s">
        <v>2420</v>
      </c>
      <c r="CZ63" s="94"/>
      <c r="DA63" s="94"/>
      <c r="DB63" s="94" t="s">
        <v>3845</v>
      </c>
      <c r="DC63" s="94" t="s">
        <v>1216</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2404</v>
      </c>
      <c r="EB63" s="94" t="s">
        <v>3848</v>
      </c>
      <c r="EC63" s="99"/>
      <c r="ED63" s="258"/>
    </row>
    <row r="64">
      <c r="A64" s="165" t="s">
        <v>3849</v>
      </c>
      <c r="B64" s="104" t="s">
        <v>3850</v>
      </c>
      <c r="C64" s="105" t="s">
        <v>1258</v>
      </c>
      <c r="D64" s="106" t="s">
        <v>1258</v>
      </c>
      <c r="E64" s="107" t="s">
        <v>1258</v>
      </c>
      <c r="F64" s="108" t="s">
        <v>1199</v>
      </c>
      <c r="G64" s="104" t="s">
        <v>3851</v>
      </c>
      <c r="H64" s="242"/>
      <c r="I64" s="166" t="s">
        <v>3852</v>
      </c>
      <c r="J64" s="166" t="s">
        <v>2197</v>
      </c>
      <c r="K64" s="442" t="s">
        <v>2880</v>
      </c>
      <c r="L64" s="166" t="s">
        <v>603</v>
      </c>
      <c r="M64" s="321" t="s">
        <v>3853</v>
      </c>
      <c r="N64" s="166" t="s">
        <v>674</v>
      </c>
      <c r="O64" s="166" t="s">
        <v>3854</v>
      </c>
      <c r="P64" s="166" t="s">
        <v>1778</v>
      </c>
      <c r="Q64" s="242"/>
      <c r="R64" s="242"/>
      <c r="S64" s="242"/>
      <c r="T64" s="242"/>
      <c r="U64" s="242"/>
      <c r="V64" s="242"/>
      <c r="W64" s="92"/>
      <c r="X64" s="198" t="s">
        <v>2888</v>
      </c>
      <c r="Y64" s="198"/>
      <c r="Z64" s="198" t="s">
        <v>3855</v>
      </c>
      <c r="AA64" s="198" t="s">
        <v>2041</v>
      </c>
      <c r="AB64" s="198" t="s">
        <v>3856</v>
      </c>
      <c r="AC64" s="198" t="s">
        <v>2515</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2226</v>
      </c>
      <c r="BE64" s="173" t="s">
        <v>3861</v>
      </c>
      <c r="BF64" s="465" t="s">
        <v>3862</v>
      </c>
      <c r="BG64" s="172"/>
      <c r="BH64" s="172"/>
      <c r="BI64" s="173" t="s">
        <v>2050</v>
      </c>
      <c r="BJ64" s="443" t="s">
        <v>3863</v>
      </c>
      <c r="BK64" s="443"/>
      <c r="BL64" s="173" t="s">
        <v>2576</v>
      </c>
      <c r="BM64" s="172"/>
      <c r="BN64" s="172"/>
      <c r="BO64" s="172"/>
      <c r="BP64" s="172"/>
      <c r="BQ64" s="247"/>
      <c r="BR64" s="298"/>
      <c r="BS64" s="174" t="s">
        <v>3322</v>
      </c>
      <c r="BT64" s="174" t="s">
        <v>3358</v>
      </c>
      <c r="BU64" s="174" t="s">
        <v>3864</v>
      </c>
      <c r="BV64" s="174" t="s">
        <v>3146</v>
      </c>
      <c r="BW64" s="174" t="s">
        <v>3724</v>
      </c>
      <c r="BX64" s="174" t="s">
        <v>3865</v>
      </c>
      <c r="BY64" s="128" t="str">
        <f>HYPERLINK("https://clips.twitch.tv/EnergeticWrongManateeKlappa","2:32.84")</f>
        <v>2:32.84</v>
      </c>
      <c r="BZ64" s="174" t="s">
        <v>3866</v>
      </c>
      <c r="CA64" s="174" t="s">
        <v>939</v>
      </c>
      <c r="CB64" s="249"/>
      <c r="CC64" s="249"/>
      <c r="CD64" s="249"/>
      <c r="CE64" s="249"/>
      <c r="CF64" s="251"/>
      <c r="CG64" s="131" t="s">
        <v>2043</v>
      </c>
      <c r="CH64" s="177" t="s">
        <v>3867</v>
      </c>
      <c r="CI64" s="177" t="s">
        <v>1163</v>
      </c>
      <c r="CJ64" s="177" t="s">
        <v>3868</v>
      </c>
      <c r="CK64" s="177"/>
      <c r="CL64" s="177" t="s">
        <v>1908</v>
      </c>
      <c r="CM64" s="177" t="s">
        <v>2918</v>
      </c>
      <c r="CN64" s="177" t="s">
        <v>1623</v>
      </c>
      <c r="CO64" s="131" t="str">
        <f>HYPERLINK("https://www.youtube.com/watch?v=LpklkoraHfQ","15.53")</f>
        <v>15.53</v>
      </c>
      <c r="CP64" s="252"/>
      <c r="CQ64" s="177"/>
      <c r="CR64" s="252"/>
      <c r="CS64" s="252"/>
      <c r="CT64" s="252"/>
      <c r="CU64" s="92"/>
      <c r="CV64" s="203" t="s">
        <v>2472</v>
      </c>
      <c r="CW64" s="203" t="s">
        <v>3344</v>
      </c>
      <c r="CX64" s="203" t="s">
        <v>3869</v>
      </c>
      <c r="CY64" s="139" t="s">
        <v>3870</v>
      </c>
      <c r="CZ64" s="283" t="s">
        <v>3871</v>
      </c>
      <c r="DA64" s="283" t="s">
        <v>3872</v>
      </c>
      <c r="DB64" s="203" t="s">
        <v>3873</v>
      </c>
      <c r="DC64" s="203" t="s">
        <v>999</v>
      </c>
      <c r="DD64" s="253"/>
      <c r="DE64" s="253"/>
      <c r="DF64" s="253"/>
      <c r="DG64" s="253"/>
      <c r="DH64" s="263"/>
      <c r="DI64" s="204" t="s">
        <v>3874</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3875</v>
      </c>
      <c r="B65" s="82" t="s">
        <v>3876</v>
      </c>
      <c r="C65" s="83" t="s">
        <v>1258</v>
      </c>
      <c r="D65" s="84" t="s">
        <v>1258</v>
      </c>
      <c r="E65" s="85" t="s">
        <v>1258</v>
      </c>
      <c r="F65" s="86" t="s">
        <v>982</v>
      </c>
      <c r="G65" s="82" t="s">
        <v>3877</v>
      </c>
      <c r="H65" s="94" t="s">
        <v>3675</v>
      </c>
      <c r="I65" s="94" t="s">
        <v>3878</v>
      </c>
      <c r="J65" s="94" t="s">
        <v>3879</v>
      </c>
      <c r="K65" s="266" t="s">
        <v>1556</v>
      </c>
      <c r="L65" s="88" t="s">
        <v>3880</v>
      </c>
      <c r="M65" s="94" t="s">
        <v>3881</v>
      </c>
      <c r="N65" s="94" t="s">
        <v>674</v>
      </c>
      <c r="O65" s="94" t="s">
        <v>3882</v>
      </c>
      <c r="P65" s="88" t="s">
        <v>109</v>
      </c>
      <c r="Q65" s="99"/>
      <c r="R65" s="99"/>
      <c r="S65" s="88" t="s">
        <v>2718</v>
      </c>
      <c r="T65" s="99"/>
      <c r="U65" s="94" t="s">
        <v>3117</v>
      </c>
      <c r="V65" s="99"/>
      <c r="W65" s="92"/>
      <c r="X65" s="94" t="s">
        <v>1762</v>
      </c>
      <c r="Y65" s="94"/>
      <c r="Z65" s="94" t="s">
        <v>3883</v>
      </c>
      <c r="AA65" s="94" t="s">
        <v>3639</v>
      </c>
      <c r="AB65" s="94" t="s">
        <v>1172</v>
      </c>
      <c r="AC65" s="94" t="s">
        <v>1406</v>
      </c>
      <c r="AD65" s="94" t="s">
        <v>3884</v>
      </c>
      <c r="AE65" s="99"/>
      <c r="AF65" s="94" t="s">
        <v>3008</v>
      </c>
      <c r="AG65" s="94" t="s">
        <v>3885</v>
      </c>
      <c r="AH65" s="99"/>
      <c r="AI65" s="94"/>
      <c r="AJ65" s="94" t="s">
        <v>2902</v>
      </c>
      <c r="AK65" s="99"/>
      <c r="AL65" s="97"/>
      <c r="AM65" s="94" t="s">
        <v>3886</v>
      </c>
      <c r="AN65" s="94" t="s">
        <v>3887</v>
      </c>
      <c r="AO65" s="99"/>
      <c r="AP65" s="99"/>
      <c r="AQ65" s="99"/>
      <c r="AR65" s="99"/>
      <c r="AS65" s="99"/>
      <c r="AT65" s="99"/>
      <c r="AU65" s="266" t="s">
        <v>3475</v>
      </c>
      <c r="AV65" s="94" t="s">
        <v>875</v>
      </c>
      <c r="AW65" s="94" t="s">
        <v>3888</v>
      </c>
      <c r="AX65" s="99"/>
      <c r="AY65" s="94" t="s">
        <v>3068</v>
      </c>
      <c r="AZ65" s="99"/>
      <c r="BA65" s="99"/>
      <c r="BB65" s="94" t="s">
        <v>2788</v>
      </c>
      <c r="BC65" s="94" t="s">
        <v>3889</v>
      </c>
      <c r="BD65" s="94" t="s">
        <v>3655</v>
      </c>
      <c r="BE65" s="88" t="s">
        <v>3890</v>
      </c>
      <c r="BF65" s="88" t="s">
        <v>1851</v>
      </c>
      <c r="BG65" s="94" t="s">
        <v>1523</v>
      </c>
      <c r="BH65" s="99"/>
      <c r="BI65" s="94" t="s">
        <v>2678</v>
      </c>
      <c r="BJ65" s="99"/>
      <c r="BK65" s="94" t="s">
        <v>3891</v>
      </c>
      <c r="BL65" s="94" t="s">
        <v>3168</v>
      </c>
      <c r="BM65" s="99"/>
      <c r="BN65" s="88" t="s">
        <v>1742</v>
      </c>
      <c r="BO65" s="94" t="s">
        <v>3599</v>
      </c>
      <c r="BP65" s="99"/>
      <c r="BQ65" s="237"/>
      <c r="BR65" s="94"/>
      <c r="BS65" s="94" t="s">
        <v>2411</v>
      </c>
      <c r="BT65" s="94" t="s">
        <v>3892</v>
      </c>
      <c r="BU65" s="94" t="s">
        <v>3893</v>
      </c>
      <c r="BV65" s="94" t="s">
        <v>459</v>
      </c>
      <c r="BW65" s="94" t="s">
        <v>3894</v>
      </c>
      <c r="BX65" s="99"/>
      <c r="BY65" s="99"/>
      <c r="BZ65" s="94" t="s">
        <v>3895</v>
      </c>
      <c r="CA65" s="94" t="s">
        <v>966</v>
      </c>
      <c r="CB65" s="94" t="s">
        <v>3896</v>
      </c>
      <c r="CC65" s="94" t="s">
        <v>3042</v>
      </c>
      <c r="CD65" s="94" t="s">
        <v>144</v>
      </c>
      <c r="CE65" s="99"/>
      <c r="CF65" s="237"/>
      <c r="CG65" s="94" t="s">
        <v>3897</v>
      </c>
      <c r="CH65" s="94" t="s">
        <v>3017</v>
      </c>
      <c r="CI65" s="94" t="s">
        <v>3898</v>
      </c>
      <c r="CJ65" s="94" t="s">
        <v>3899</v>
      </c>
      <c r="CK65" s="94"/>
      <c r="CL65" s="94"/>
      <c r="CM65" s="94" t="s">
        <v>1980</v>
      </c>
      <c r="CN65" s="94" t="s">
        <v>815</v>
      </c>
      <c r="CO65" s="94" t="s">
        <v>2737</v>
      </c>
      <c r="CP65" s="99"/>
      <c r="CQ65" s="99"/>
      <c r="CR65" s="94"/>
      <c r="CS65" s="94" t="s">
        <v>2319</v>
      </c>
      <c r="CT65" s="99"/>
      <c r="CU65" s="92"/>
      <c r="CV65" s="94" t="s">
        <v>3900</v>
      </c>
      <c r="CW65" s="94" t="s">
        <v>2468</v>
      </c>
      <c r="CX65" s="94" t="s">
        <v>3901</v>
      </c>
      <c r="CY65" s="94" t="s">
        <v>3902</v>
      </c>
      <c r="CZ65" s="94" t="s">
        <v>3903</v>
      </c>
      <c r="DA65" s="94" t="s">
        <v>3904</v>
      </c>
      <c r="DB65" s="88" t="s">
        <v>3495</v>
      </c>
      <c r="DC65" s="94" t="s">
        <v>1787</v>
      </c>
      <c r="DD65" s="99"/>
      <c r="DE65" s="99"/>
      <c r="DF65" s="99"/>
      <c r="DG65" s="99"/>
      <c r="DH65" s="237"/>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58" t="s">
        <v>3908</v>
      </c>
    </row>
    <row r="66">
      <c r="A66" s="467" t="s">
        <v>3909</v>
      </c>
      <c r="B66" s="104" t="s">
        <v>3910</v>
      </c>
      <c r="C66" s="105" t="s">
        <v>1258</v>
      </c>
      <c r="D66" s="106" t="s">
        <v>1258</v>
      </c>
      <c r="E66" s="107" t="s">
        <v>1258</v>
      </c>
      <c r="F66" s="108" t="s">
        <v>3064</v>
      </c>
      <c r="G66" s="104" t="s">
        <v>2998</v>
      </c>
      <c r="H66" s="112" t="s">
        <v>3410</v>
      </c>
      <c r="I66" s="166" t="s">
        <v>2307</v>
      </c>
      <c r="J66" s="166" t="s">
        <v>3911</v>
      </c>
      <c r="K66" s="166" t="s">
        <v>3912</v>
      </c>
      <c r="L66" s="166" t="s">
        <v>3913</v>
      </c>
      <c r="M66" s="166" t="s">
        <v>2188</v>
      </c>
      <c r="N66" s="166" t="s">
        <v>3914</v>
      </c>
      <c r="O66" s="166" t="s">
        <v>3915</v>
      </c>
      <c r="P66" s="166" t="s">
        <v>3108</v>
      </c>
      <c r="Q66" s="166" t="s">
        <v>3916</v>
      </c>
      <c r="R66" s="321" t="s">
        <v>3917</v>
      </c>
      <c r="S66" s="112" t="s">
        <v>1726</v>
      </c>
      <c r="T66" s="242"/>
      <c r="U66" s="166" t="s">
        <v>519</v>
      </c>
      <c r="V66" s="166" t="s">
        <v>3918</v>
      </c>
      <c r="W66" s="92"/>
      <c r="X66" s="116" t="s">
        <v>3146</v>
      </c>
      <c r="Y66" s="198"/>
      <c r="Z66" s="198" t="s">
        <v>3919</v>
      </c>
      <c r="AA66" s="198" t="s">
        <v>3920</v>
      </c>
      <c r="AB66" s="198" t="s">
        <v>3921</v>
      </c>
      <c r="AC66" s="198" t="s">
        <v>3922</v>
      </c>
      <c r="AD66" s="198" t="s">
        <v>3923</v>
      </c>
      <c r="AE66" s="198" t="s">
        <v>124</v>
      </c>
      <c r="AF66" s="198" t="s">
        <v>3151</v>
      </c>
      <c r="AG66" s="198" t="s">
        <v>1432</v>
      </c>
      <c r="AH66" s="198" t="s">
        <v>3924</v>
      </c>
      <c r="AI66" s="198"/>
      <c r="AJ66" s="198" t="s">
        <v>3346</v>
      </c>
      <c r="AK66" s="198" t="s">
        <v>3925</v>
      </c>
      <c r="AL66" s="97"/>
      <c r="AM66" s="167" t="s">
        <v>1064</v>
      </c>
      <c r="AN66" s="167" t="s">
        <v>3926</v>
      </c>
      <c r="AO66" s="167" t="s">
        <v>3927</v>
      </c>
      <c r="AP66" s="167" t="s">
        <v>1057</v>
      </c>
      <c r="AQ66" s="167" t="s">
        <v>3928</v>
      </c>
      <c r="AR66" s="167" t="s">
        <v>173</v>
      </c>
      <c r="AS66" s="167" t="s">
        <v>3929</v>
      </c>
      <c r="AT66" s="167" t="s">
        <v>3930</v>
      </c>
      <c r="AU66" s="167" t="s">
        <v>573</v>
      </c>
      <c r="AV66" s="167" t="s">
        <v>3931</v>
      </c>
      <c r="AW66" s="167" t="s">
        <v>3932</v>
      </c>
      <c r="AX66" s="167" t="s">
        <v>3933</v>
      </c>
      <c r="AY66" s="121" t="s">
        <v>554</v>
      </c>
      <c r="AZ66" s="167" t="s">
        <v>3934</v>
      </c>
      <c r="BA66" s="245"/>
      <c r="BB66" s="173" t="s">
        <v>201</v>
      </c>
      <c r="BC66" s="173" t="s">
        <v>3935</v>
      </c>
      <c r="BD66" s="173" t="s">
        <v>1717</v>
      </c>
      <c r="BE66" s="126" t="s">
        <v>938</v>
      </c>
      <c r="BF66" s="173" t="s">
        <v>2986</v>
      </c>
      <c r="BG66" s="173" t="s">
        <v>3936</v>
      </c>
      <c r="BH66" s="173" t="s">
        <v>3937</v>
      </c>
      <c r="BI66" s="173" t="s">
        <v>2555</v>
      </c>
      <c r="BJ66" s="173" t="s">
        <v>3022</v>
      </c>
      <c r="BK66" s="173"/>
      <c r="BL66" s="173" t="s">
        <v>3938</v>
      </c>
      <c r="BM66" s="173" t="s">
        <v>1528</v>
      </c>
      <c r="BN66" s="173" t="s">
        <v>3696</v>
      </c>
      <c r="BO66" s="173" t="s">
        <v>2482</v>
      </c>
      <c r="BP66" s="173" t="s">
        <v>3939</v>
      </c>
      <c r="BQ66" s="297"/>
      <c r="BR66" s="174" t="s">
        <v>3940</v>
      </c>
      <c r="BS66" s="129" t="s">
        <v>2489</v>
      </c>
      <c r="BT66" s="174" t="s">
        <v>3892</v>
      </c>
      <c r="BU66" s="174" t="s">
        <v>3941</v>
      </c>
      <c r="BV66" s="174" t="s">
        <v>3675</v>
      </c>
      <c r="BW66" s="174" t="s">
        <v>1625</v>
      </c>
      <c r="BX66" s="174" t="s">
        <v>3942</v>
      </c>
      <c r="BY66" s="174" t="s">
        <v>3943</v>
      </c>
      <c r="BZ66" s="249"/>
      <c r="CA66" s="174" t="s">
        <v>3944</v>
      </c>
      <c r="CB66" s="174" t="s">
        <v>3945</v>
      </c>
      <c r="CC66" s="174" t="s">
        <v>913</v>
      </c>
      <c r="CD66" s="174" t="s">
        <v>3946</v>
      </c>
      <c r="CE66" s="174" t="s">
        <v>3947</v>
      </c>
      <c r="CF66" s="251"/>
      <c r="CG66" s="468">
        <v>55.85</v>
      </c>
      <c r="CH66" s="177" t="s">
        <v>243</v>
      </c>
      <c r="CI66" s="177" t="s">
        <v>3948</v>
      </c>
      <c r="CJ66" s="177" t="s">
        <v>3036</v>
      </c>
      <c r="CK66" s="177"/>
      <c r="CL66" s="177" t="s">
        <v>1471</v>
      </c>
      <c r="CM66" s="177" t="s">
        <v>3949</v>
      </c>
      <c r="CN66" s="177" t="s">
        <v>2575</v>
      </c>
      <c r="CO66" s="262" t="s">
        <v>3950</v>
      </c>
      <c r="CP66" s="177" t="s">
        <v>3951</v>
      </c>
      <c r="CQ66" s="177" t="s">
        <v>3952</v>
      </c>
      <c r="CR66" s="252"/>
      <c r="CS66" s="177" t="s">
        <v>3953</v>
      </c>
      <c r="CT66" s="177" t="s">
        <v>3954</v>
      </c>
      <c r="CU66" s="92"/>
      <c r="CV66" s="203" t="s">
        <v>3955</v>
      </c>
      <c r="CW66" s="139" t="s">
        <v>1775</v>
      </c>
      <c r="CX66" s="136" t="str">
        <f>HYPERLINK("https://youtu.be/1NiHXh4G_7o","31.54")</f>
        <v>31.54</v>
      </c>
      <c r="CY66" s="203" t="s">
        <v>3956</v>
      </c>
      <c r="CZ66" s="203" t="s">
        <v>3957</v>
      </c>
      <c r="DA66" s="203" t="s">
        <v>3958</v>
      </c>
      <c r="DB66" s="203" t="s">
        <v>3959</v>
      </c>
      <c r="DC66" s="139" t="s">
        <v>3960</v>
      </c>
      <c r="DD66" s="203" t="s">
        <v>3961</v>
      </c>
      <c r="DE66" s="203" t="s">
        <v>3962</v>
      </c>
      <c r="DF66" s="203" t="s">
        <v>1225</v>
      </c>
      <c r="DG66" s="203" t="s">
        <v>3963</v>
      </c>
      <c r="DH66" s="263"/>
      <c r="DI66" s="144" t="s">
        <v>3964</v>
      </c>
      <c r="DJ66" s="204"/>
      <c r="DK66" s="204" t="s">
        <v>2016</v>
      </c>
      <c r="DL66" s="204" t="s">
        <v>3965</v>
      </c>
      <c r="DM66" s="204" t="s">
        <v>3966</v>
      </c>
      <c r="DN66" s="204" t="s">
        <v>696</v>
      </c>
      <c r="DO66" s="204" t="s">
        <v>3967</v>
      </c>
      <c r="DP66" s="204" t="s">
        <v>3968</v>
      </c>
      <c r="DQ66" s="204" t="s">
        <v>3969</v>
      </c>
      <c r="DR66" s="204" t="s">
        <v>2030</v>
      </c>
      <c r="DS66" s="144" t="s">
        <v>3078</v>
      </c>
      <c r="DT66" s="204" t="s">
        <v>443</v>
      </c>
      <c r="DU66" s="204" t="s">
        <v>3358</v>
      </c>
      <c r="DV66" s="204" t="s">
        <v>3970</v>
      </c>
      <c r="DW66" s="204" t="s">
        <v>3971</v>
      </c>
      <c r="DX66" s="204" t="s">
        <v>375</v>
      </c>
      <c r="DY66" s="469" t="s">
        <v>3184</v>
      </c>
      <c r="DZ66" s="204" t="s">
        <v>3972</v>
      </c>
      <c r="EA66" s="204" t="s">
        <v>3973</v>
      </c>
      <c r="EB66" s="204" t="s">
        <v>1914</v>
      </c>
      <c r="EC66" s="204" t="s">
        <v>3974</v>
      </c>
      <c r="ED66" s="287" t="s">
        <v>3975</v>
      </c>
    </row>
    <row r="67">
      <c r="A67" s="470" t="s">
        <v>3976</v>
      </c>
      <c r="B67" s="471" t="s">
        <v>3977</v>
      </c>
      <c r="C67" s="472" t="s">
        <v>1258</v>
      </c>
      <c r="D67" s="473" t="s">
        <v>1258</v>
      </c>
      <c r="E67" s="474" t="s">
        <v>1258</v>
      </c>
      <c r="F67" s="475" t="s">
        <v>3978</v>
      </c>
      <c r="G67" s="471" t="s">
        <v>440</v>
      </c>
      <c r="H67" s="316" t="s">
        <v>3979</v>
      </c>
      <c r="I67" s="316" t="s">
        <v>3980</v>
      </c>
      <c r="J67" s="313" t="s">
        <v>1503</v>
      </c>
      <c r="K67" s="316" t="s">
        <v>3981</v>
      </c>
      <c r="L67" s="316" t="s">
        <v>2566</v>
      </c>
      <c r="M67" s="316" t="s">
        <v>3982</v>
      </c>
      <c r="N67" s="313" t="s">
        <v>3215</v>
      </c>
      <c r="O67" s="326" t="s">
        <v>3983</v>
      </c>
      <c r="P67" s="316" t="s">
        <v>2929</v>
      </c>
      <c r="Q67" s="316" t="s">
        <v>3984</v>
      </c>
      <c r="R67" s="316" t="s">
        <v>3985</v>
      </c>
      <c r="S67" s="316" t="s">
        <v>3986</v>
      </c>
      <c r="T67" s="316" t="s">
        <v>2748</v>
      </c>
      <c r="U67" s="316" t="s">
        <v>3987</v>
      </c>
      <c r="V67" s="316" t="s">
        <v>3988</v>
      </c>
      <c r="W67" s="153"/>
      <c r="X67" s="313" t="s">
        <v>3989</v>
      </c>
      <c r="Y67" s="476"/>
      <c r="Z67" s="313" t="s">
        <v>3990</v>
      </c>
      <c r="AA67" s="316" t="s">
        <v>1316</v>
      </c>
      <c r="AB67" s="313" t="s">
        <v>2392</v>
      </c>
      <c r="AC67" s="313" t="s">
        <v>1972</v>
      </c>
      <c r="AD67" s="313" t="s">
        <v>3991</v>
      </c>
      <c r="AE67" s="316" t="s">
        <v>2364</v>
      </c>
      <c r="AF67" s="316" t="s">
        <v>1470</v>
      </c>
      <c r="AG67" s="313" t="s">
        <v>3770</v>
      </c>
      <c r="AH67" s="316" t="s">
        <v>2626</v>
      </c>
      <c r="AI67" s="313" t="s">
        <v>3992</v>
      </c>
      <c r="AJ67" s="316" t="s">
        <v>2516</v>
      </c>
      <c r="AK67" s="316" t="s">
        <v>3993</v>
      </c>
      <c r="AL67" s="158"/>
      <c r="AM67" s="313" t="s">
        <v>396</v>
      </c>
      <c r="AN67" s="326" t="s">
        <v>1486</v>
      </c>
      <c r="AO67" s="328" t="s">
        <v>3994</v>
      </c>
      <c r="AP67" s="316" t="s">
        <v>3995</v>
      </c>
      <c r="AQ67" s="316" t="s">
        <v>3996</v>
      </c>
      <c r="AR67" s="316" t="s">
        <v>2625</v>
      </c>
      <c r="AS67" s="316" t="s">
        <v>3997</v>
      </c>
      <c r="AT67" s="316" t="s">
        <v>3998</v>
      </c>
      <c r="AU67" s="328" t="s">
        <v>2637</v>
      </c>
      <c r="AV67" s="313" t="s">
        <v>365</v>
      </c>
      <c r="AW67" s="316" t="s">
        <v>3525</v>
      </c>
      <c r="AX67" s="316" t="s">
        <v>1713</v>
      </c>
      <c r="AY67" s="316" t="s">
        <v>3999</v>
      </c>
      <c r="AZ67" s="316" t="s">
        <v>4000</v>
      </c>
      <c r="BA67" s="316"/>
      <c r="BB67" s="316" t="s">
        <v>4001</v>
      </c>
      <c r="BC67" s="313" t="s">
        <v>2705</v>
      </c>
      <c r="BD67" s="316" t="s">
        <v>1393</v>
      </c>
      <c r="BE67" s="316" t="s">
        <v>3140</v>
      </c>
      <c r="BF67" s="316" t="s">
        <v>3223</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3163</v>
      </c>
      <c r="BT67" s="313" t="s">
        <v>4011</v>
      </c>
      <c r="BU67" s="328" t="s">
        <v>269</v>
      </c>
      <c r="BV67" s="316" t="s">
        <v>2698</v>
      </c>
      <c r="BW67" s="316" t="s">
        <v>393</v>
      </c>
      <c r="BX67" s="316" t="s">
        <v>4012</v>
      </c>
      <c r="BY67" s="313" t="s">
        <v>2238</v>
      </c>
      <c r="BZ67" s="326" t="s">
        <v>4013</v>
      </c>
      <c r="CA67" s="316" t="s">
        <v>2550</v>
      </c>
      <c r="CB67" s="316" t="s">
        <v>4014</v>
      </c>
      <c r="CC67" s="316" t="s">
        <v>346</v>
      </c>
      <c r="CD67" s="316" t="s">
        <v>4015</v>
      </c>
      <c r="CE67" s="313" t="s">
        <v>4016</v>
      </c>
      <c r="CF67" s="434"/>
      <c r="CG67" s="316" t="s">
        <v>2257</v>
      </c>
      <c r="CH67" s="316" t="s">
        <v>3161</v>
      </c>
      <c r="CI67" s="316" t="s">
        <v>4017</v>
      </c>
      <c r="CJ67" s="313" t="s">
        <v>4018</v>
      </c>
      <c r="CK67" s="476"/>
      <c r="CL67" s="476" t="s">
        <v>4019</v>
      </c>
      <c r="CM67" s="316" t="s">
        <v>4020</v>
      </c>
      <c r="CN67" s="313" t="s">
        <v>3245</v>
      </c>
      <c r="CO67" s="313" t="s">
        <v>4021</v>
      </c>
      <c r="CP67" s="316" t="s">
        <v>4022</v>
      </c>
      <c r="CQ67" s="316" t="s">
        <v>4023</v>
      </c>
      <c r="CR67" s="316"/>
      <c r="CS67" s="316" t="s">
        <v>1434</v>
      </c>
      <c r="CT67" s="316" t="s">
        <v>3401</v>
      </c>
      <c r="CU67" s="153"/>
      <c r="CV67" s="316" t="s">
        <v>268</v>
      </c>
      <c r="CW67" s="316" t="s">
        <v>4024</v>
      </c>
      <c r="CX67" s="316" t="s">
        <v>3490</v>
      </c>
      <c r="CY67" s="316" t="s">
        <v>4025</v>
      </c>
      <c r="CZ67" s="316" t="s">
        <v>4026</v>
      </c>
      <c r="DA67" s="316" t="s">
        <v>4027</v>
      </c>
      <c r="DB67" s="326" t="s">
        <v>4028</v>
      </c>
      <c r="DC67" s="316" t="s">
        <v>4029</v>
      </c>
      <c r="DD67" s="316" t="s">
        <v>4030</v>
      </c>
      <c r="DE67" s="316" t="s">
        <v>2303</v>
      </c>
      <c r="DF67" s="316" t="s">
        <v>2564</v>
      </c>
      <c r="DG67" s="316" t="s">
        <v>3425</v>
      </c>
      <c r="DH67" s="316"/>
      <c r="DI67" s="316" t="s">
        <v>1905</v>
      </c>
      <c r="DJ67" s="316"/>
      <c r="DK67" s="316" t="s">
        <v>4031</v>
      </c>
      <c r="DL67" s="316" t="s">
        <v>4032</v>
      </c>
      <c r="DM67" s="316" t="s">
        <v>2643</v>
      </c>
      <c r="DN67" s="316" t="s">
        <v>696</v>
      </c>
      <c r="DO67" s="316" t="s">
        <v>4033</v>
      </c>
      <c r="DP67" s="316" t="s">
        <v>4034</v>
      </c>
      <c r="DQ67" s="316" t="s">
        <v>3744</v>
      </c>
      <c r="DR67" s="316" t="s">
        <v>3846</v>
      </c>
      <c r="DS67" s="316" t="s">
        <v>4035</v>
      </c>
      <c r="DT67" s="316" t="s">
        <v>3418</v>
      </c>
      <c r="DU67" s="316" t="s">
        <v>4036</v>
      </c>
      <c r="DV67" s="326" t="s">
        <v>4037</v>
      </c>
      <c r="DW67" s="328" t="s">
        <v>639</v>
      </c>
      <c r="DX67" s="316" t="s">
        <v>4038</v>
      </c>
      <c r="DY67" s="316" t="s">
        <v>3867</v>
      </c>
      <c r="DZ67" s="316" t="s">
        <v>3711</v>
      </c>
      <c r="EA67" s="316" t="s">
        <v>2197</v>
      </c>
      <c r="EB67" s="316" t="s">
        <v>3864</v>
      </c>
      <c r="EC67" s="316" t="s">
        <v>1972</v>
      </c>
      <c r="ED67" s="258" t="s">
        <v>4039</v>
      </c>
    </row>
    <row r="68">
      <c r="A68" s="165" t="s">
        <v>4040</v>
      </c>
      <c r="B68" s="104" t="s">
        <v>4041</v>
      </c>
      <c r="C68" s="105" t="s">
        <v>1258</v>
      </c>
      <c r="D68" s="106" t="s">
        <v>1258</v>
      </c>
      <c r="E68" s="107" t="s">
        <v>1258</v>
      </c>
      <c r="F68" s="108" t="s">
        <v>3102</v>
      </c>
      <c r="G68" s="104" t="s">
        <v>4042</v>
      </c>
      <c r="H68" s="242"/>
      <c r="I68" s="293" t="s">
        <v>4043</v>
      </c>
      <c r="J68" s="112" t="s">
        <v>4044</v>
      </c>
      <c r="K68" s="112" t="s">
        <v>1814</v>
      </c>
      <c r="L68" s="293" t="s">
        <v>4045</v>
      </c>
      <c r="M68" s="242"/>
      <c r="N68" s="112" t="s">
        <v>1729</v>
      </c>
      <c r="O68" s="112" t="s">
        <v>1641</v>
      </c>
      <c r="P68" s="112" t="s">
        <v>555</v>
      </c>
      <c r="Q68" s="242"/>
      <c r="R68" s="242"/>
      <c r="S68" s="242"/>
      <c r="T68" s="242"/>
      <c r="U68" s="242"/>
      <c r="V68" s="242"/>
      <c r="W68" s="92"/>
      <c r="X68" s="116" t="s">
        <v>694</v>
      </c>
      <c r="Y68" s="117"/>
      <c r="Z68" s="116" t="s">
        <v>4046</v>
      </c>
      <c r="AA68" s="116" t="s">
        <v>1647</v>
      </c>
      <c r="AB68" s="116" t="s">
        <v>4047</v>
      </c>
      <c r="AC68" s="116" t="s">
        <v>539</v>
      </c>
      <c r="AD68" s="116" t="s">
        <v>4048</v>
      </c>
      <c r="AE68" s="244"/>
      <c r="AF68" s="244"/>
      <c r="AG68" s="116" t="s">
        <v>3589</v>
      </c>
      <c r="AH68" s="244"/>
      <c r="AI68" s="117"/>
      <c r="AJ68" s="116" t="s">
        <v>4049</v>
      </c>
      <c r="AK68" s="244"/>
      <c r="AL68" s="97"/>
      <c r="AM68" s="245"/>
      <c r="AN68" s="121" t="s">
        <v>1743</v>
      </c>
      <c r="AO68" s="245"/>
      <c r="AP68" s="245"/>
      <c r="AQ68" s="245"/>
      <c r="AR68" s="245"/>
      <c r="AS68" s="245"/>
      <c r="AT68" s="245"/>
      <c r="AU68" s="121" t="s">
        <v>3543</v>
      </c>
      <c r="AV68" s="121" t="s">
        <v>4050</v>
      </c>
      <c r="AW68" s="245"/>
      <c r="AX68" s="245"/>
      <c r="AY68" s="245"/>
      <c r="AZ68" s="245"/>
      <c r="BA68" s="245"/>
      <c r="BB68" s="126" t="s">
        <v>190</v>
      </c>
      <c r="BC68" s="171" t="s">
        <v>551</v>
      </c>
      <c r="BD68" s="126" t="s">
        <v>145</v>
      </c>
      <c r="BE68" s="126" t="s">
        <v>1072</v>
      </c>
      <c r="BF68" s="126" t="s">
        <v>3448</v>
      </c>
      <c r="BG68" s="126" t="s">
        <v>4051</v>
      </c>
      <c r="BH68" s="172"/>
      <c r="BI68" s="126" t="s">
        <v>213</v>
      </c>
      <c r="BJ68" s="126" t="s">
        <v>4052</v>
      </c>
      <c r="BK68" s="372"/>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1796</v>
      </c>
      <c r="CB68" s="249"/>
      <c r="CC68" s="249"/>
      <c r="CD68" s="249"/>
      <c r="CE68" s="249"/>
      <c r="CF68" s="251"/>
      <c r="CG68" s="300" t="s">
        <v>3989</v>
      </c>
      <c r="CH68" s="300" t="s">
        <v>1665</v>
      </c>
      <c r="CI68" s="252"/>
      <c r="CJ68" s="252"/>
      <c r="CK68" s="252"/>
      <c r="CL68" s="252"/>
      <c r="CM68" s="252"/>
      <c r="CN68" s="134" t="s">
        <v>2248</v>
      </c>
      <c r="CO68" s="134" t="s">
        <v>1692</v>
      </c>
      <c r="CP68" s="252"/>
      <c r="CQ68" s="252"/>
      <c r="CR68" s="252"/>
      <c r="CS68" s="252"/>
      <c r="CT68" s="252"/>
      <c r="CU68" s="92"/>
      <c r="CV68" s="253"/>
      <c r="CW68" s="139" t="s">
        <v>187</v>
      </c>
      <c r="CX68" s="139" t="s">
        <v>4056</v>
      </c>
      <c r="CY68" s="139" t="s">
        <v>3185</v>
      </c>
      <c r="CZ68" s="253"/>
      <c r="DA68" s="253"/>
      <c r="DB68" s="284" t="s">
        <v>1280</v>
      </c>
      <c r="DC68" s="139" t="s">
        <v>131</v>
      </c>
      <c r="DD68" s="253"/>
      <c r="DE68" s="253"/>
      <c r="DF68" s="253"/>
      <c r="DG68" s="139" t="s">
        <v>4057</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4058</v>
      </c>
      <c r="B69" s="82" t="s">
        <v>4059</v>
      </c>
      <c r="C69" s="83" t="s">
        <v>1258</v>
      </c>
      <c r="D69" s="84" t="s">
        <v>545</v>
      </c>
      <c r="E69" s="85" t="s">
        <v>1258</v>
      </c>
      <c r="F69" s="86" t="s">
        <v>4060</v>
      </c>
      <c r="G69" s="82" t="s">
        <v>4061</v>
      </c>
      <c r="H69" s="94" t="s">
        <v>4062</v>
      </c>
      <c r="I69" s="94" t="s">
        <v>3980</v>
      </c>
      <c r="J69" s="94" t="s">
        <v>3751</v>
      </c>
      <c r="K69" s="94" t="s">
        <v>4063</v>
      </c>
      <c r="L69" s="161" t="s">
        <v>3534</v>
      </c>
      <c r="M69" s="94" t="s">
        <v>4064</v>
      </c>
      <c r="N69" s="94" t="s">
        <v>4065</v>
      </c>
      <c r="O69" s="94" t="s">
        <v>4066</v>
      </c>
      <c r="P69" s="88" t="s">
        <v>3108</v>
      </c>
      <c r="Q69" s="94" t="s">
        <v>4067</v>
      </c>
      <c r="R69" s="94" t="s">
        <v>532</v>
      </c>
      <c r="S69" s="93" t="s">
        <v>4068</v>
      </c>
      <c r="T69" s="99"/>
      <c r="U69" s="88" t="s">
        <v>1221</v>
      </c>
      <c r="V69" s="94" t="s">
        <v>4069</v>
      </c>
      <c r="W69" s="92"/>
      <c r="X69" s="88" t="s">
        <v>4070</v>
      </c>
      <c r="Y69" s="94"/>
      <c r="Z69" s="94" t="s">
        <v>1076</v>
      </c>
      <c r="AA69" s="94" t="s">
        <v>4071</v>
      </c>
      <c r="AB69" s="88" t="s">
        <v>3765</v>
      </c>
      <c r="AC69" s="88" t="s">
        <v>4072</v>
      </c>
      <c r="AD69" s="94" t="s">
        <v>4073</v>
      </c>
      <c r="AE69" s="94"/>
      <c r="AF69" s="94" t="s">
        <v>4074</v>
      </c>
      <c r="AG69" s="94" t="s">
        <v>2286</v>
      </c>
      <c r="AH69" s="94" t="s">
        <v>4075</v>
      </c>
      <c r="AI69" s="94"/>
      <c r="AJ69" s="94" t="s">
        <v>3237</v>
      </c>
      <c r="AK69" s="88" t="s">
        <v>701</v>
      </c>
      <c r="AL69" s="97"/>
      <c r="AM69" s="94" t="s">
        <v>3548</v>
      </c>
      <c r="AN69" s="88" t="s">
        <v>3887</v>
      </c>
      <c r="AO69" s="94" t="s">
        <v>4076</v>
      </c>
      <c r="AP69" s="94" t="s">
        <v>4077</v>
      </c>
      <c r="AQ69" s="94" t="s">
        <v>4078</v>
      </c>
      <c r="AR69" s="94" t="s">
        <v>2763</v>
      </c>
      <c r="AS69" s="99"/>
      <c r="AT69" s="99"/>
      <c r="AU69" s="94" t="s">
        <v>1943</v>
      </c>
      <c r="AV69" s="94" t="s">
        <v>1122</v>
      </c>
      <c r="AW69" s="94" t="s">
        <v>2151</v>
      </c>
      <c r="AX69" s="99"/>
      <c r="AY69" s="88" t="s">
        <v>4079</v>
      </c>
      <c r="AZ69" s="94" t="s">
        <v>4080</v>
      </c>
      <c r="BA69" s="94"/>
      <c r="BB69" s="88" t="s">
        <v>2094</v>
      </c>
      <c r="BC69" s="94" t="s">
        <v>1475</v>
      </c>
      <c r="BD69" s="88" t="s">
        <v>1393</v>
      </c>
      <c r="BE69" s="88" t="s">
        <v>3502</v>
      </c>
      <c r="BF69" s="161" t="s">
        <v>4081</v>
      </c>
      <c r="BG69" s="94" t="s">
        <v>2280</v>
      </c>
      <c r="BH69" s="94" t="s">
        <v>1980</v>
      </c>
      <c r="BI69" s="94" t="s">
        <v>3093</v>
      </c>
      <c r="BJ69" s="94" t="s">
        <v>4082</v>
      </c>
      <c r="BK69" s="161" t="s">
        <v>4083</v>
      </c>
      <c r="BL69" s="94" t="s">
        <v>4053</v>
      </c>
      <c r="BM69" s="88" t="s">
        <v>4084</v>
      </c>
      <c r="BN69" s="88" t="s">
        <v>4085</v>
      </c>
      <c r="BO69" s="94" t="s">
        <v>4086</v>
      </c>
      <c r="BP69" s="94" t="s">
        <v>4087</v>
      </c>
      <c r="BQ69" s="94"/>
      <c r="BR69" s="88" t="s">
        <v>4088</v>
      </c>
      <c r="BS69" s="94" t="s">
        <v>2489</v>
      </c>
      <c r="BT69" s="88" t="s">
        <v>4055</v>
      </c>
      <c r="BU69" s="161" t="s">
        <v>3664</v>
      </c>
      <c r="BV69" s="94" t="s">
        <v>4089</v>
      </c>
      <c r="BW69" s="161" t="s">
        <v>3894</v>
      </c>
      <c r="BX69" s="99"/>
      <c r="BY69" s="94" t="s">
        <v>4090</v>
      </c>
      <c r="BZ69" s="94" t="s">
        <v>4091</v>
      </c>
      <c r="CA69" s="94" t="s">
        <v>1718</v>
      </c>
      <c r="CB69" s="88" t="s">
        <v>4092</v>
      </c>
      <c r="CC69" s="88" t="s">
        <v>4093</v>
      </c>
      <c r="CD69" s="161" t="s">
        <v>846</v>
      </c>
      <c r="CE69" s="161" t="s">
        <v>4094</v>
      </c>
      <c r="CF69" s="94"/>
      <c r="CG69" s="88" t="s">
        <v>3906</v>
      </c>
      <c r="CH69" s="88" t="s">
        <v>4095</v>
      </c>
      <c r="CI69" s="161" t="s">
        <v>4096</v>
      </c>
      <c r="CJ69" s="88" t="s">
        <v>4097</v>
      </c>
      <c r="CK69" s="102"/>
      <c r="CL69" s="102"/>
      <c r="CM69" s="266" t="s">
        <v>4098</v>
      </c>
      <c r="CN69" s="88" t="s">
        <v>4099</v>
      </c>
      <c r="CO69" s="94" t="s">
        <v>4100</v>
      </c>
      <c r="CP69" s="99"/>
      <c r="CQ69" s="94" t="s">
        <v>2908</v>
      </c>
      <c r="CR69" s="94" t="s">
        <v>3145</v>
      </c>
      <c r="CS69" s="94" t="s">
        <v>4101</v>
      </c>
      <c r="CT69" s="94" t="s">
        <v>4102</v>
      </c>
      <c r="CU69" s="92"/>
      <c r="CV69" s="94" t="s">
        <v>4103</v>
      </c>
      <c r="CW69" s="94" t="s">
        <v>4104</v>
      </c>
      <c r="CX69" s="94" t="s">
        <v>2480</v>
      </c>
      <c r="CY69" s="88" t="s">
        <v>4105</v>
      </c>
      <c r="CZ69" s="94" t="s">
        <v>4106</v>
      </c>
      <c r="DA69" s="266" t="s">
        <v>4107</v>
      </c>
      <c r="DB69" s="161" t="s">
        <v>4108</v>
      </c>
      <c r="DC69" s="94" t="s">
        <v>4109</v>
      </c>
      <c r="DD69" s="94" t="s">
        <v>4110</v>
      </c>
      <c r="DE69" s="88" t="s">
        <v>4111</v>
      </c>
      <c r="DF69" s="94" t="s">
        <v>196</v>
      </c>
      <c r="DG69" s="88" t="s">
        <v>4112</v>
      </c>
      <c r="DH69" s="94"/>
      <c r="DI69" s="94" t="s">
        <v>4113</v>
      </c>
      <c r="DJ69" s="94" t="s">
        <v>955</v>
      </c>
      <c r="DK69" s="99"/>
      <c r="DL69" s="94"/>
      <c r="DM69" s="90" t="s">
        <v>179</v>
      </c>
      <c r="DN69" s="94" t="s">
        <v>4114</v>
      </c>
      <c r="DO69" s="94" t="s">
        <v>597</v>
      </c>
      <c r="DP69" s="94" t="s">
        <v>3382</v>
      </c>
      <c r="DQ69" s="99"/>
      <c r="DR69" s="94" t="s">
        <v>4115</v>
      </c>
      <c r="DS69" s="94" t="s">
        <v>3177</v>
      </c>
      <c r="DT69" s="99"/>
      <c r="DU69" s="94" t="s">
        <v>3206</v>
      </c>
      <c r="DV69" s="94" t="s">
        <v>4116</v>
      </c>
      <c r="DW69" s="94" t="s">
        <v>887</v>
      </c>
      <c r="DX69" s="94" t="s">
        <v>2588</v>
      </c>
      <c r="DY69" s="94" t="s">
        <v>1122</v>
      </c>
      <c r="DZ69" s="94" t="s">
        <v>2609</v>
      </c>
      <c r="EA69" s="94" t="s">
        <v>1493</v>
      </c>
      <c r="EB69" s="94" t="s">
        <v>4117</v>
      </c>
      <c r="EC69" s="88" t="s">
        <v>3258</v>
      </c>
      <c r="ED69" s="258" t="s">
        <v>4118</v>
      </c>
    </row>
    <row r="70">
      <c r="A70" s="103" t="s">
        <v>4119</v>
      </c>
      <c r="B70" s="477" t="s">
        <v>4120</v>
      </c>
      <c r="C70" s="478" t="s">
        <v>1258</v>
      </c>
      <c r="D70" s="479" t="s">
        <v>545</v>
      </c>
      <c r="E70" s="480" t="s">
        <v>545</v>
      </c>
      <c r="F70" s="481" t="s">
        <v>4121</v>
      </c>
      <c r="G70" s="477" t="s">
        <v>1498</v>
      </c>
      <c r="H70" s="482" t="s">
        <v>4122</v>
      </c>
      <c r="I70" s="482" t="s">
        <v>3065</v>
      </c>
      <c r="J70" s="482" t="s">
        <v>4123</v>
      </c>
      <c r="K70" s="482" t="s">
        <v>1638</v>
      </c>
      <c r="L70" s="482" t="s">
        <v>1090</v>
      </c>
      <c r="M70" s="482" t="s">
        <v>4124</v>
      </c>
      <c r="N70" s="483" t="s">
        <v>4125</v>
      </c>
      <c r="O70" s="483" t="s">
        <v>4126</v>
      </c>
      <c r="P70" s="482" t="s">
        <v>655</v>
      </c>
      <c r="Q70" s="483"/>
      <c r="R70" s="483"/>
      <c r="S70" s="483"/>
      <c r="T70" s="483"/>
      <c r="U70" s="483"/>
      <c r="V70" s="483"/>
      <c r="W70" s="484"/>
      <c r="X70" s="485" t="s">
        <v>1427</v>
      </c>
      <c r="Y70" s="486"/>
      <c r="Z70" s="485" t="s">
        <v>4127</v>
      </c>
      <c r="AA70" s="118" t="s">
        <v>1067</v>
      </c>
      <c r="AB70" s="485" t="s">
        <v>4128</v>
      </c>
      <c r="AC70" s="485" t="s">
        <v>755</v>
      </c>
      <c r="AD70" s="487" t="s">
        <v>4073</v>
      </c>
      <c r="AE70" s="485" t="s">
        <v>995</v>
      </c>
      <c r="AF70" s="487" t="s">
        <v>4129</v>
      </c>
      <c r="AG70" s="485" t="s">
        <v>1432</v>
      </c>
      <c r="AH70" s="487"/>
      <c r="AI70" s="487"/>
      <c r="AJ70" s="487"/>
      <c r="AK70" s="487"/>
      <c r="AL70" s="484"/>
      <c r="AM70" s="488" t="s">
        <v>4130</v>
      </c>
      <c r="AN70" s="489" t="s">
        <v>1943</v>
      </c>
      <c r="AO70" s="490"/>
      <c r="AP70" s="490"/>
      <c r="AQ70" s="490"/>
      <c r="AR70" s="490"/>
      <c r="AS70" s="490" t="s">
        <v>4131</v>
      </c>
      <c r="AT70" s="490"/>
      <c r="AU70" s="489" t="s">
        <v>3213</v>
      </c>
      <c r="AV70" s="489" t="s">
        <v>4132</v>
      </c>
      <c r="AW70" s="490"/>
      <c r="AX70" s="490"/>
      <c r="AY70" s="490"/>
      <c r="AZ70" s="490"/>
      <c r="BA70" s="490"/>
      <c r="BB70" s="491" t="s">
        <v>4133</v>
      </c>
      <c r="BC70" s="491" t="s">
        <v>1292</v>
      </c>
      <c r="BD70" s="492" t="s">
        <v>2330</v>
      </c>
      <c r="BE70" s="492" t="s">
        <v>584</v>
      </c>
      <c r="BF70" s="491" t="s">
        <v>3771</v>
      </c>
      <c r="BG70" s="492"/>
      <c r="BH70" s="492"/>
      <c r="BI70" s="492" t="s">
        <v>2341</v>
      </c>
      <c r="BJ70" s="492"/>
      <c r="BK70" s="492" t="s">
        <v>4134</v>
      </c>
      <c r="BL70" s="492" t="s">
        <v>1429</v>
      </c>
      <c r="BM70" s="492"/>
      <c r="BN70" s="492"/>
      <c r="BO70" s="492"/>
      <c r="BP70" s="492"/>
      <c r="BQ70" s="492"/>
      <c r="BR70" s="493"/>
      <c r="BS70" s="493" t="s">
        <v>4135</v>
      </c>
      <c r="BT70" s="494" t="s">
        <v>2763</v>
      </c>
      <c r="BU70" s="493"/>
      <c r="BV70" s="493"/>
      <c r="BW70" s="493" t="s">
        <v>2084</v>
      </c>
      <c r="BX70" s="493"/>
      <c r="BY70" s="493"/>
      <c r="BZ70" s="493"/>
      <c r="CA70" s="493"/>
      <c r="CB70" s="493"/>
      <c r="CC70" s="493"/>
      <c r="CD70" s="493"/>
      <c r="CE70" s="493"/>
      <c r="CF70" s="249"/>
      <c r="CG70" s="495" t="s">
        <v>4136</v>
      </c>
      <c r="CH70" s="131" t="s">
        <v>1517</v>
      </c>
      <c r="CI70" s="496"/>
      <c r="CJ70" s="496"/>
      <c r="CK70" s="496"/>
      <c r="CL70" s="496"/>
      <c r="CM70" s="252"/>
      <c r="CN70" s="495" t="s">
        <v>997</v>
      </c>
      <c r="CO70" s="496" t="s">
        <v>4137</v>
      </c>
      <c r="CP70" s="496"/>
      <c r="CQ70" s="496"/>
      <c r="CR70" s="496"/>
      <c r="CS70" s="496"/>
      <c r="CT70" s="496"/>
      <c r="CU70" s="484"/>
      <c r="CV70" s="253"/>
      <c r="CW70" s="497"/>
      <c r="CX70" s="498" t="s">
        <v>243</v>
      </c>
      <c r="CY70" s="497"/>
      <c r="CZ70" s="253"/>
      <c r="DA70" s="497"/>
      <c r="DB70" s="497" t="s">
        <v>3759</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4138</v>
      </c>
      <c r="B71" s="82" t="s">
        <v>4139</v>
      </c>
      <c r="C71" s="83" t="s">
        <v>1258</v>
      </c>
      <c r="D71" s="84" t="s">
        <v>1258</v>
      </c>
      <c r="E71" s="85" t="s">
        <v>1258</v>
      </c>
      <c r="F71" s="86" t="s">
        <v>3463</v>
      </c>
      <c r="G71" s="82" t="s">
        <v>3297</v>
      </c>
      <c r="H71" s="88" t="s">
        <v>2481</v>
      </c>
      <c r="I71" s="88" t="s">
        <v>4140</v>
      </c>
      <c r="J71" s="88" t="s">
        <v>4017</v>
      </c>
      <c r="K71" s="88" t="s">
        <v>1952</v>
      </c>
      <c r="L71" s="88" t="s">
        <v>4141</v>
      </c>
      <c r="M71" s="88" t="s">
        <v>4142</v>
      </c>
      <c r="N71" s="88" t="s">
        <v>4143</v>
      </c>
      <c r="O71" s="88" t="s">
        <v>2124</v>
      </c>
      <c r="P71" s="88" t="s">
        <v>109</v>
      </c>
      <c r="Q71" s="99"/>
      <c r="R71" s="99"/>
      <c r="S71" s="99"/>
      <c r="T71" s="99"/>
      <c r="U71" s="99"/>
      <c r="V71" s="99"/>
      <c r="W71" s="92"/>
      <c r="X71" s="88" t="s">
        <v>3722</v>
      </c>
      <c r="Y71" s="93"/>
      <c r="Z71" s="88" t="s">
        <v>2889</v>
      </c>
      <c r="AA71" s="88" t="s">
        <v>4144</v>
      </c>
      <c r="AB71" s="88" t="s">
        <v>4145</v>
      </c>
      <c r="AC71" s="88" t="s">
        <v>4146</v>
      </c>
      <c r="AD71" s="88" t="s">
        <v>4147</v>
      </c>
      <c r="AE71" s="99"/>
      <c r="AF71" s="88" t="s">
        <v>4148</v>
      </c>
      <c r="AG71" s="88" t="s">
        <v>4149</v>
      </c>
      <c r="AH71" s="88" t="s">
        <v>4150</v>
      </c>
      <c r="AI71" s="99"/>
      <c r="AJ71" s="99"/>
      <c r="AK71" s="99"/>
      <c r="AL71" s="97"/>
      <c r="AM71" s="88" t="s">
        <v>1976</v>
      </c>
      <c r="AN71" s="88" t="s">
        <v>4151</v>
      </c>
      <c r="AO71" s="99"/>
      <c r="AP71" s="99"/>
      <c r="AQ71" s="99"/>
      <c r="AR71" s="99"/>
      <c r="AS71" s="99"/>
      <c r="AT71" s="99"/>
      <c r="AU71" s="88" t="s">
        <v>3191</v>
      </c>
      <c r="AV71" s="88" t="s">
        <v>409</v>
      </c>
      <c r="AW71" s="99"/>
      <c r="AX71" s="99"/>
      <c r="AY71" s="99"/>
      <c r="AZ71" s="99"/>
      <c r="BA71" s="99"/>
      <c r="BB71" s="88" t="s">
        <v>2945</v>
      </c>
      <c r="BC71" s="88" t="s">
        <v>310</v>
      </c>
      <c r="BD71" s="88" t="s">
        <v>1082</v>
      </c>
      <c r="BE71" s="88" t="s">
        <v>4152</v>
      </c>
      <c r="BF71" s="88" t="s">
        <v>4153</v>
      </c>
      <c r="BG71" s="88" t="s">
        <v>3182</v>
      </c>
      <c r="BH71" s="88" t="s">
        <v>4154</v>
      </c>
      <c r="BI71" s="88" t="s">
        <v>2322</v>
      </c>
      <c r="BJ71" s="88" t="s">
        <v>4155</v>
      </c>
      <c r="BK71" s="88" t="s">
        <v>4156</v>
      </c>
      <c r="BL71" s="88" t="s">
        <v>4053</v>
      </c>
      <c r="BM71" s="88" t="s">
        <v>4157</v>
      </c>
      <c r="BN71" s="88" t="s">
        <v>4085</v>
      </c>
      <c r="BO71" s="88" t="s">
        <v>4158</v>
      </c>
      <c r="BP71" s="99"/>
      <c r="BQ71" s="237"/>
      <c r="BR71" s="88" t="s">
        <v>4159</v>
      </c>
      <c r="BS71" s="88" t="s">
        <v>4160</v>
      </c>
      <c r="BT71" s="88" t="s">
        <v>3814</v>
      </c>
      <c r="BU71" s="88" t="s">
        <v>3370</v>
      </c>
      <c r="BV71" s="88" t="s">
        <v>1467</v>
      </c>
      <c r="BW71" s="88" t="s">
        <v>1049</v>
      </c>
      <c r="BX71" s="88" t="s">
        <v>4161</v>
      </c>
      <c r="BY71" s="88" t="s">
        <v>4162</v>
      </c>
      <c r="BZ71" s="99"/>
      <c r="CA71" s="88" t="s">
        <v>2649</v>
      </c>
      <c r="CB71" s="99"/>
      <c r="CC71" s="99"/>
      <c r="CD71" s="88" t="s">
        <v>2471</v>
      </c>
      <c r="CE71" s="99"/>
      <c r="CF71" s="237"/>
      <c r="CG71" s="88" t="s">
        <v>4163</v>
      </c>
      <c r="CH71" s="88" t="s">
        <v>4164</v>
      </c>
      <c r="CI71" s="88" t="s">
        <v>2159</v>
      </c>
      <c r="CJ71" s="88" t="s">
        <v>4165</v>
      </c>
      <c r="CK71" s="93"/>
      <c r="CL71" s="88" t="s">
        <v>3168</v>
      </c>
      <c r="CM71" s="88" t="s">
        <v>367</v>
      </c>
      <c r="CN71" s="88" t="s">
        <v>1606</v>
      </c>
      <c r="CO71" s="88" t="s">
        <v>4166</v>
      </c>
      <c r="CP71" s="99"/>
      <c r="CQ71" s="99"/>
      <c r="CR71" s="99"/>
      <c r="CS71" s="99"/>
      <c r="CT71" s="99"/>
      <c r="CU71" s="92"/>
      <c r="CV71" s="88" t="s">
        <v>2006</v>
      </c>
      <c r="CW71" s="88" t="s">
        <v>550</v>
      </c>
      <c r="CX71" s="88" t="s">
        <v>4167</v>
      </c>
      <c r="CY71" s="88" t="s">
        <v>4168</v>
      </c>
      <c r="CZ71" s="88" t="s">
        <v>2670</v>
      </c>
      <c r="DA71" s="88" t="s">
        <v>1972</v>
      </c>
      <c r="DB71" s="88" t="s">
        <v>4169</v>
      </c>
      <c r="DC71" s="88" t="s">
        <v>4170</v>
      </c>
      <c r="DD71" s="99"/>
      <c r="DE71" s="99"/>
      <c r="DF71" s="88" t="s">
        <v>2388</v>
      </c>
      <c r="DG71" s="99"/>
      <c r="DH71" s="237"/>
      <c r="DI71" s="99"/>
      <c r="DJ71" s="99"/>
      <c r="DK71" s="94" t="s">
        <v>3599</v>
      </c>
      <c r="DL71" s="99"/>
      <c r="DM71" s="88" t="s">
        <v>529</v>
      </c>
      <c r="DN71" s="88" t="s">
        <v>4171</v>
      </c>
      <c r="DO71" s="94" t="s">
        <v>3623</v>
      </c>
      <c r="DP71" s="94" t="s">
        <v>4127</v>
      </c>
      <c r="DQ71" s="99"/>
      <c r="DR71" s="88" t="s">
        <v>4172</v>
      </c>
      <c r="DS71" s="88" t="s">
        <v>3761</v>
      </c>
      <c r="DT71" s="94" t="s">
        <v>4173</v>
      </c>
      <c r="DU71" s="94" t="s">
        <v>2022</v>
      </c>
      <c r="DV71" s="94" t="s">
        <v>4174</v>
      </c>
      <c r="DW71" s="88" t="s">
        <v>1714</v>
      </c>
      <c r="DX71" s="94" t="s">
        <v>3653</v>
      </c>
      <c r="DY71" s="94" t="s">
        <v>1546</v>
      </c>
      <c r="DZ71" s="88" t="s">
        <v>4175</v>
      </c>
      <c r="EA71" s="88" t="s">
        <v>2221</v>
      </c>
      <c r="EB71" s="94" t="s">
        <v>4176</v>
      </c>
      <c r="EC71" s="94" t="s">
        <v>1601</v>
      </c>
      <c r="ED71" s="503" t="s">
        <v>4177</v>
      </c>
    </row>
    <row r="72">
      <c r="A72" s="165" t="s">
        <v>4178</v>
      </c>
      <c r="B72" s="104" t="s">
        <v>4179</v>
      </c>
      <c r="C72" s="105" t="s">
        <v>1258</v>
      </c>
      <c r="D72" s="106" t="s">
        <v>1258</v>
      </c>
      <c r="E72" s="107" t="s">
        <v>1258</v>
      </c>
      <c r="F72" s="108" t="s">
        <v>1258</v>
      </c>
      <c r="G72" s="104" t="s">
        <v>4180</v>
      </c>
      <c r="H72" s="166" t="s">
        <v>1369</v>
      </c>
      <c r="I72" s="166" t="s">
        <v>4181</v>
      </c>
      <c r="J72" s="166" t="s">
        <v>4182</v>
      </c>
      <c r="K72" s="166" t="s">
        <v>3183</v>
      </c>
      <c r="L72" s="166" t="s">
        <v>3470</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1692</v>
      </c>
      <c r="AB72" s="198" t="s">
        <v>4189</v>
      </c>
      <c r="AC72" s="198" t="s">
        <v>4190</v>
      </c>
      <c r="AD72" s="198" t="s">
        <v>1653</v>
      </c>
      <c r="AE72" s="198"/>
      <c r="AF72" s="198" t="s">
        <v>792</v>
      </c>
      <c r="AG72" s="198" t="s">
        <v>4191</v>
      </c>
      <c r="AH72" s="198" t="s">
        <v>2356</v>
      </c>
      <c r="AI72" s="198"/>
      <c r="AJ72" s="198" t="s">
        <v>4192</v>
      </c>
      <c r="AK72" s="198" t="s">
        <v>2623</v>
      </c>
      <c r="AL72" s="97"/>
      <c r="AM72" s="167" t="s">
        <v>3856</v>
      </c>
      <c r="AN72" s="167" t="s">
        <v>3427</v>
      </c>
      <c r="AO72" s="167" t="s">
        <v>4193</v>
      </c>
      <c r="AP72" s="167" t="s">
        <v>4194</v>
      </c>
      <c r="AQ72" s="167" t="s">
        <v>363</v>
      </c>
      <c r="AR72" s="167"/>
      <c r="AS72" s="167" t="s">
        <v>337</v>
      </c>
      <c r="AT72" s="167" t="s">
        <v>4195</v>
      </c>
      <c r="AU72" s="167" t="s">
        <v>813</v>
      </c>
      <c r="AV72" s="167" t="s">
        <v>911</v>
      </c>
      <c r="AW72" s="167" t="s">
        <v>4196</v>
      </c>
      <c r="AX72" s="245"/>
      <c r="AY72" s="245"/>
      <c r="AZ72" s="167" t="s">
        <v>4197</v>
      </c>
      <c r="BA72" s="167"/>
      <c r="BB72" s="173" t="s">
        <v>4135</v>
      </c>
      <c r="BC72" s="173" t="s">
        <v>2927</v>
      </c>
      <c r="BD72" s="173" t="s">
        <v>2768</v>
      </c>
      <c r="BE72" s="173" t="s">
        <v>4198</v>
      </c>
      <c r="BF72" s="173" t="s">
        <v>4199</v>
      </c>
      <c r="BG72" s="173" t="s">
        <v>411</v>
      </c>
      <c r="BH72" s="173" t="s">
        <v>4200</v>
      </c>
      <c r="BI72" s="173" t="s">
        <v>4201</v>
      </c>
      <c r="BJ72" s="173" t="s">
        <v>4202</v>
      </c>
      <c r="BK72" s="173" t="s">
        <v>4203</v>
      </c>
      <c r="BL72" s="173" t="s">
        <v>3729</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3837</v>
      </c>
      <c r="CB72" s="174" t="s">
        <v>4212</v>
      </c>
      <c r="CC72" s="249"/>
      <c r="CD72" s="249"/>
      <c r="CE72" s="249"/>
      <c r="CF72" s="251"/>
      <c r="CG72" s="177" t="s">
        <v>4213</v>
      </c>
      <c r="CH72" s="177" t="s">
        <v>4214</v>
      </c>
      <c r="CI72" s="177" t="s">
        <v>4215</v>
      </c>
      <c r="CJ72" s="177" t="s">
        <v>4216</v>
      </c>
      <c r="CK72" s="177"/>
      <c r="CL72" s="177" t="s">
        <v>1262</v>
      </c>
      <c r="CM72" s="177" t="s">
        <v>1441</v>
      </c>
      <c r="CN72" s="177" t="s">
        <v>889</v>
      </c>
      <c r="CO72" s="177" t="s">
        <v>3731</v>
      </c>
      <c r="CP72" s="177" t="s">
        <v>4217</v>
      </c>
      <c r="CQ72" s="177" t="s">
        <v>4218</v>
      </c>
      <c r="CR72" s="252"/>
      <c r="CS72" s="252"/>
      <c r="CT72" s="252"/>
      <c r="CU72" s="92"/>
      <c r="CV72" s="203" t="s">
        <v>4219</v>
      </c>
      <c r="CW72" s="203" t="s">
        <v>4220</v>
      </c>
      <c r="CX72" s="203" t="s">
        <v>4221</v>
      </c>
      <c r="CY72" s="203" t="s">
        <v>2512</v>
      </c>
      <c r="CZ72" s="203" t="s">
        <v>4222</v>
      </c>
      <c r="DA72" s="203" t="s">
        <v>4223</v>
      </c>
      <c r="DB72" s="203" t="s">
        <v>4224</v>
      </c>
      <c r="DC72" s="203" t="s">
        <v>4225</v>
      </c>
      <c r="DD72" s="203"/>
      <c r="DE72" s="253"/>
      <c r="DF72" s="253"/>
      <c r="DG72" s="253"/>
      <c r="DH72" s="263"/>
      <c r="DI72" s="204" t="s">
        <v>189</v>
      </c>
      <c r="DJ72" s="255"/>
      <c r="DK72" s="204" t="s">
        <v>4226</v>
      </c>
      <c r="DL72" s="204"/>
      <c r="DM72" s="204" t="s">
        <v>4227</v>
      </c>
      <c r="DN72" s="204" t="s">
        <v>4228</v>
      </c>
      <c r="DO72" s="204" t="s">
        <v>1593</v>
      </c>
      <c r="DP72" s="204" t="s">
        <v>1080</v>
      </c>
      <c r="DQ72" s="204" t="s">
        <v>4229</v>
      </c>
      <c r="DR72" s="204" t="s">
        <v>2258</v>
      </c>
      <c r="DS72" s="204" t="s">
        <v>3275</v>
      </c>
      <c r="DT72" s="204" t="s">
        <v>4104</v>
      </c>
      <c r="DU72" s="204" t="s">
        <v>4230</v>
      </c>
      <c r="DV72" s="204" t="s">
        <v>4231</v>
      </c>
      <c r="DW72" s="204" t="s">
        <v>966</v>
      </c>
      <c r="DX72" s="204" t="s">
        <v>4232</v>
      </c>
      <c r="DY72" s="204" t="s">
        <v>1312</v>
      </c>
      <c r="DZ72" s="204" t="s">
        <v>4126</v>
      </c>
      <c r="EA72" s="204" t="s">
        <v>4233</v>
      </c>
      <c r="EB72" s="204" t="s">
        <v>3686</v>
      </c>
      <c r="EC72" s="204" t="s">
        <v>4234</v>
      </c>
      <c r="ED72" s="287" t="s">
        <v>4235</v>
      </c>
    </row>
    <row r="73">
      <c r="A73" s="504" t="s">
        <v>4236</v>
      </c>
      <c r="B73" s="82" t="s">
        <v>4237</v>
      </c>
      <c r="C73" s="83" t="s">
        <v>437</v>
      </c>
      <c r="D73" s="84" t="s">
        <v>332</v>
      </c>
      <c r="E73" s="85" t="s">
        <v>437</v>
      </c>
      <c r="F73" s="86" t="s">
        <v>2714</v>
      </c>
      <c r="G73" s="82" t="s">
        <v>2714</v>
      </c>
      <c r="H73" s="99"/>
      <c r="I73" s="88" t="s">
        <v>1131</v>
      </c>
      <c r="J73" s="99"/>
      <c r="K73" s="88" t="s">
        <v>1262</v>
      </c>
      <c r="L73" s="99"/>
      <c r="M73" s="99"/>
      <c r="N73" s="88" t="s">
        <v>4238</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3586</v>
      </c>
      <c r="AH73" s="88" t="s">
        <v>4243</v>
      </c>
      <c r="AI73" s="99"/>
      <c r="AJ73" s="369"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3140</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3604</v>
      </c>
      <c r="BG74" s="172"/>
      <c r="BH74" s="172"/>
      <c r="BI74" s="173"/>
      <c r="BJ74" s="172"/>
      <c r="BK74" s="173" t="s">
        <v>1187</v>
      </c>
      <c r="BL74" s="173" t="s">
        <v>3938</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4107</v>
      </c>
      <c r="CO74" s="177" t="s">
        <v>4100</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2940</v>
      </c>
      <c r="G75" s="82" t="s">
        <v>2348</v>
      </c>
      <c r="H75" s="88" t="s">
        <v>4122</v>
      </c>
      <c r="I75" s="99"/>
      <c r="J75" s="99"/>
      <c r="K75" s="99"/>
      <c r="L75" s="94" t="s">
        <v>344</v>
      </c>
      <c r="M75" s="99"/>
      <c r="N75" s="99"/>
      <c r="O75" s="94" t="s">
        <v>4272</v>
      </c>
      <c r="P75" s="94" t="s">
        <v>2657</v>
      </c>
      <c r="Q75" s="98" t="s">
        <v>234</v>
      </c>
      <c r="R75" s="99"/>
      <c r="S75" s="99"/>
      <c r="T75" s="94" t="s">
        <v>2278</v>
      </c>
      <c r="U75" s="94" t="s">
        <v>3584</v>
      </c>
      <c r="V75" s="87" t="s">
        <v>4273</v>
      </c>
      <c r="W75" s="92"/>
      <c r="X75" s="99"/>
      <c r="Y75" s="94"/>
      <c r="Z75" s="94" t="s">
        <v>3147</v>
      </c>
      <c r="AA75" s="98" t="str">
        <f>HYPERLINK("https://youtu.be/esd_xoh2Wlk","14.77")</f>
        <v>14.77</v>
      </c>
      <c r="AB75" s="99"/>
      <c r="AC75" s="88" t="s">
        <v>3520</v>
      </c>
      <c r="AD75" s="94" t="s">
        <v>4274</v>
      </c>
      <c r="AE75" s="99"/>
      <c r="AF75" s="99"/>
      <c r="AG75" s="94" t="s">
        <v>3770</v>
      </c>
      <c r="AH75" s="94" t="s">
        <v>3291</v>
      </c>
      <c r="AI75" s="94"/>
      <c r="AJ75" s="94" t="s">
        <v>4275</v>
      </c>
      <c r="AK75" s="87" t="s">
        <v>4276</v>
      </c>
      <c r="AL75" s="97"/>
      <c r="AM75" s="99"/>
      <c r="AN75" s="99"/>
      <c r="AO75" s="88" t="s">
        <v>4277</v>
      </c>
      <c r="AP75" s="99"/>
      <c r="AQ75" s="161" t="s">
        <v>372</v>
      </c>
      <c r="AR75" s="88" t="s">
        <v>2372</v>
      </c>
      <c r="AS75" s="99"/>
      <c r="AT75" s="94" t="s">
        <v>3767</v>
      </c>
      <c r="AU75" s="94" t="s">
        <v>4278</v>
      </c>
      <c r="AV75" s="88" t="s">
        <v>870</v>
      </c>
      <c r="AW75" s="88" t="s">
        <v>1694</v>
      </c>
      <c r="AX75" s="99"/>
      <c r="AY75" s="99"/>
      <c r="AZ75" s="87" t="s">
        <v>4279</v>
      </c>
      <c r="BA75" s="99"/>
      <c r="BB75" s="99"/>
      <c r="BC75" s="99"/>
      <c r="BD75" s="94"/>
      <c r="BE75" s="88" t="s">
        <v>3749</v>
      </c>
      <c r="BF75" s="99"/>
      <c r="BG75" s="88" t="s">
        <v>2070</v>
      </c>
      <c r="BH75" s="99"/>
      <c r="BI75" s="88" t="s">
        <v>2580</v>
      </c>
      <c r="BJ75" s="99"/>
      <c r="BK75" s="99"/>
      <c r="BL75" s="94" t="s">
        <v>2680</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3113</v>
      </c>
      <c r="CH75" s="88" t="s">
        <v>3337</v>
      </c>
      <c r="CI75" s="272" t="s">
        <v>3490</v>
      </c>
      <c r="CJ75" s="94" t="s">
        <v>185</v>
      </c>
      <c r="CK75" s="94"/>
      <c r="CL75" s="94" t="s">
        <v>3340</v>
      </c>
      <c r="CM75" s="94" t="s">
        <v>1156</v>
      </c>
      <c r="CN75" s="94" t="s">
        <v>4243</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3584</v>
      </c>
      <c r="DM75" s="94" t="s">
        <v>529</v>
      </c>
      <c r="DN75" s="99"/>
      <c r="DO75" s="94" t="s">
        <v>1095</v>
      </c>
      <c r="DP75" s="94" t="s">
        <v>4288</v>
      </c>
      <c r="DQ75" s="99"/>
      <c r="DR75" s="99"/>
      <c r="DS75" s="88" t="s">
        <v>2248</v>
      </c>
      <c r="DT75" s="99"/>
      <c r="DU75" s="99"/>
      <c r="DV75" s="94" t="s">
        <v>2900</v>
      </c>
      <c r="DW75" s="99"/>
      <c r="DX75" s="99"/>
      <c r="DY75" s="94" t="s">
        <v>4289</v>
      </c>
      <c r="DZ75" s="98" t="s">
        <v>3055</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3176</v>
      </c>
      <c r="P76" s="166" t="s">
        <v>3303</v>
      </c>
      <c r="Q76" s="166" t="s">
        <v>4300</v>
      </c>
      <c r="R76" s="166" t="s">
        <v>624</v>
      </c>
      <c r="S76" s="166" t="s">
        <v>4301</v>
      </c>
      <c r="T76" s="242"/>
      <c r="U76" s="242"/>
      <c r="V76" s="166" t="s">
        <v>4302</v>
      </c>
      <c r="W76" s="92"/>
      <c r="X76" s="198" t="s">
        <v>4303</v>
      </c>
      <c r="Y76" s="198"/>
      <c r="Z76" s="198" t="s">
        <v>4304</v>
      </c>
      <c r="AA76" s="198" t="s">
        <v>2982</v>
      </c>
      <c r="AB76" s="198" t="s">
        <v>4305</v>
      </c>
      <c r="AC76" s="198" t="s">
        <v>3530</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3017</v>
      </c>
      <c r="BE76" s="173" t="s">
        <v>264</v>
      </c>
      <c r="BF76" s="173" t="s">
        <v>3906</v>
      </c>
      <c r="BG76" s="173" t="s">
        <v>1221</v>
      </c>
      <c r="BH76" s="173" t="s">
        <v>2951</v>
      </c>
      <c r="BI76" s="173" t="s">
        <v>517</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3293</v>
      </c>
      <c r="CO76" s="177" t="s">
        <v>3731</v>
      </c>
      <c r="CP76" s="252"/>
      <c r="CQ76" s="177" t="s">
        <v>1384</v>
      </c>
      <c r="CR76" s="177"/>
      <c r="CS76" s="177" t="s">
        <v>4339</v>
      </c>
      <c r="CT76" s="177" t="s">
        <v>4340</v>
      </c>
      <c r="CU76" s="92"/>
      <c r="CV76" s="203" t="s">
        <v>3044</v>
      </c>
      <c r="CW76" s="203" t="s">
        <v>4341</v>
      </c>
      <c r="CX76" s="203" t="s">
        <v>4342</v>
      </c>
      <c r="CY76" s="203" t="s">
        <v>1545</v>
      </c>
      <c r="CZ76" s="203" t="s">
        <v>4343</v>
      </c>
      <c r="DA76" s="203" t="s">
        <v>4344</v>
      </c>
      <c r="DB76" s="203" t="s">
        <v>4345</v>
      </c>
      <c r="DC76" s="203" t="s">
        <v>4346</v>
      </c>
      <c r="DD76" s="203" t="s">
        <v>726</v>
      </c>
      <c r="DE76" s="203" t="s">
        <v>4347</v>
      </c>
      <c r="DF76" s="203" t="s">
        <v>3132</v>
      </c>
      <c r="DG76" s="203" t="s">
        <v>4348</v>
      </c>
      <c r="DH76" s="203"/>
      <c r="DI76" s="204" t="s">
        <v>4349</v>
      </c>
      <c r="DJ76" s="204" t="s">
        <v>197</v>
      </c>
      <c r="DK76" s="204" t="s">
        <v>4350</v>
      </c>
      <c r="DL76" s="204"/>
      <c r="DM76" s="204" t="s">
        <v>4021</v>
      </c>
      <c r="DN76" s="204" t="s">
        <v>4351</v>
      </c>
      <c r="DO76" s="204" t="s">
        <v>393</v>
      </c>
      <c r="DP76" s="204" t="s">
        <v>4352</v>
      </c>
      <c r="DQ76" s="255"/>
      <c r="DR76" s="204" t="s">
        <v>4353</v>
      </c>
      <c r="DS76" s="204" t="s">
        <v>4354</v>
      </c>
      <c r="DT76" s="255"/>
      <c r="DU76" s="204" t="s">
        <v>3626</v>
      </c>
      <c r="DV76" s="204" t="s">
        <v>1360</v>
      </c>
      <c r="DW76" s="204" t="s">
        <v>966</v>
      </c>
      <c r="DX76" s="255"/>
      <c r="DY76" s="204" t="s">
        <v>2265</v>
      </c>
      <c r="DZ76" s="204" t="s">
        <v>3369</v>
      </c>
      <c r="EA76" s="204" t="s">
        <v>1016</v>
      </c>
      <c r="EB76" s="204" t="s">
        <v>4355</v>
      </c>
      <c r="EC76" s="204" t="s">
        <v>2421</v>
      </c>
      <c r="ED76" s="287" t="s">
        <v>3261</v>
      </c>
    </row>
    <row r="77">
      <c r="A77" s="81" t="s">
        <v>4356</v>
      </c>
      <c r="B77" s="82" t="s">
        <v>4357</v>
      </c>
      <c r="C77" s="83" t="s">
        <v>545</v>
      </c>
      <c r="D77" s="84" t="s">
        <v>1258</v>
      </c>
      <c r="E77" s="85" t="s">
        <v>1258</v>
      </c>
      <c r="F77" s="86" t="s">
        <v>648</v>
      </c>
      <c r="G77" s="82" t="s">
        <v>3499</v>
      </c>
      <c r="H77" s="94" t="s">
        <v>683</v>
      </c>
      <c r="I77" s="93" t="s">
        <v>4358</v>
      </c>
      <c r="J77" s="93" t="s">
        <v>3946</v>
      </c>
      <c r="K77" s="94" t="s">
        <v>2880</v>
      </c>
      <c r="L77" s="93" t="s">
        <v>4359</v>
      </c>
      <c r="M77" s="99"/>
      <c r="N77" s="93" t="s">
        <v>4360</v>
      </c>
      <c r="O77" s="93" t="s">
        <v>3203</v>
      </c>
      <c r="P77" s="94" t="s">
        <v>109</v>
      </c>
      <c r="Q77" s="99"/>
      <c r="R77" s="99"/>
      <c r="S77" s="94" t="s">
        <v>3207</v>
      </c>
      <c r="T77" s="94" t="s">
        <v>1789</v>
      </c>
      <c r="U77" s="99"/>
      <c r="V77" s="99"/>
      <c r="W77" s="92"/>
      <c r="X77" s="94" t="s">
        <v>4361</v>
      </c>
      <c r="Y77" s="94"/>
      <c r="Z77" s="94" t="s">
        <v>4362</v>
      </c>
      <c r="AA77" s="94" t="s">
        <v>4019</v>
      </c>
      <c r="AB77" s="94" t="s">
        <v>4363</v>
      </c>
      <c r="AC77" s="94" t="s">
        <v>4099</v>
      </c>
      <c r="AD77" s="94" t="s">
        <v>4364</v>
      </c>
      <c r="AE77" s="99"/>
      <c r="AF77" s="94"/>
      <c r="AG77" s="94" t="s">
        <v>3750</v>
      </c>
      <c r="AH77" s="99"/>
      <c r="AI77" s="94"/>
      <c r="AJ77" s="94" t="s">
        <v>2756</v>
      </c>
      <c r="AK77" s="99"/>
      <c r="AL77" s="97"/>
      <c r="AM77" s="94" t="s">
        <v>923</v>
      </c>
      <c r="AN77" s="94" t="s">
        <v>4365</v>
      </c>
      <c r="AO77" s="99"/>
      <c r="AP77" s="94" t="s">
        <v>1856</v>
      </c>
      <c r="AQ77" s="99"/>
      <c r="AR77" s="99"/>
      <c r="AS77" s="99"/>
      <c r="AT77" s="99"/>
      <c r="AU77" s="94" t="s">
        <v>4366</v>
      </c>
      <c r="AV77" s="94" t="s">
        <v>1370</v>
      </c>
      <c r="AW77" s="94"/>
      <c r="AX77" s="99"/>
      <c r="AY77" s="94" t="s">
        <v>130</v>
      </c>
      <c r="AZ77" s="99"/>
      <c r="BA77" s="99"/>
      <c r="BB77" s="94" t="s">
        <v>4367</v>
      </c>
      <c r="BC77" s="94" t="s">
        <v>449</v>
      </c>
      <c r="BD77" s="94" t="s">
        <v>3164</v>
      </c>
      <c r="BE77" s="93" t="s">
        <v>4368</v>
      </c>
      <c r="BF77" s="94" t="s">
        <v>1600</v>
      </c>
      <c r="BG77" s="99"/>
      <c r="BH77" s="99"/>
      <c r="BI77" s="94" t="s">
        <v>1326</v>
      </c>
      <c r="BJ77" s="94"/>
      <c r="BK77" s="94"/>
      <c r="BL77" s="94" t="s">
        <v>2055</v>
      </c>
      <c r="BM77" s="99"/>
      <c r="BN77" s="94" t="s">
        <v>3118</v>
      </c>
      <c r="BO77" s="94" t="s">
        <v>4322</v>
      </c>
      <c r="BP77" s="99"/>
      <c r="BQ77" s="237"/>
      <c r="BR77" s="94"/>
      <c r="BS77" s="93" t="s">
        <v>4369</v>
      </c>
      <c r="BT77" s="94" t="s">
        <v>4055</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2907</v>
      </c>
      <c r="CN77" s="94" t="s">
        <v>1546</v>
      </c>
      <c r="CO77" s="94" t="s">
        <v>2657</v>
      </c>
      <c r="CP77" s="99"/>
      <c r="CQ77" s="99"/>
      <c r="CR77" s="99"/>
      <c r="CS77" s="99"/>
      <c r="CT77" s="99"/>
      <c r="CU77" s="92"/>
      <c r="CV77" s="94" t="s">
        <v>4379</v>
      </c>
      <c r="CW77" s="99"/>
      <c r="CX77" s="94" t="s">
        <v>1780</v>
      </c>
      <c r="CY77" s="94" t="s">
        <v>3955</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3735</v>
      </c>
      <c r="M78" s="166" t="s">
        <v>4385</v>
      </c>
      <c r="N78" s="166" t="s">
        <v>4386</v>
      </c>
      <c r="O78" s="166" t="s">
        <v>4126</v>
      </c>
      <c r="P78" s="166" t="s">
        <v>4387</v>
      </c>
      <c r="Q78" s="242"/>
      <c r="R78" s="242"/>
      <c r="S78" s="242"/>
      <c r="T78" s="242"/>
      <c r="U78" s="242"/>
      <c r="V78" s="242"/>
      <c r="W78" s="92"/>
      <c r="X78" s="198" t="s">
        <v>1762</v>
      </c>
      <c r="Y78" s="198"/>
      <c r="Z78" s="198" t="s">
        <v>4388</v>
      </c>
      <c r="AA78" s="198" t="s">
        <v>4389</v>
      </c>
      <c r="AB78" s="198" t="s">
        <v>1226</v>
      </c>
      <c r="AC78" s="198" t="s">
        <v>1694</v>
      </c>
      <c r="AD78" s="198" t="s">
        <v>2951</v>
      </c>
      <c r="AE78" s="244"/>
      <c r="AF78" s="335" t="s">
        <v>1277</v>
      </c>
      <c r="AG78" s="198" t="s">
        <v>4046</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2354</v>
      </c>
      <c r="BC78" s="173" t="s">
        <v>4390</v>
      </c>
      <c r="BD78" s="173" t="s">
        <v>2677</v>
      </c>
      <c r="BE78" s="173" t="s">
        <v>4391</v>
      </c>
      <c r="BF78" s="173" t="s">
        <v>4392</v>
      </c>
      <c r="BG78" s="173" t="s">
        <v>4393</v>
      </c>
      <c r="BH78" s="172"/>
      <c r="BI78" s="173" t="s">
        <v>2934</v>
      </c>
      <c r="BJ78" s="173" t="s">
        <v>4394</v>
      </c>
      <c r="BK78" s="173" t="s">
        <v>4395</v>
      </c>
      <c r="BL78" s="173" t="s">
        <v>3786</v>
      </c>
      <c r="BM78" s="172"/>
      <c r="BN78" s="172"/>
      <c r="BO78" s="172"/>
      <c r="BP78" s="172"/>
      <c r="BQ78" s="247"/>
      <c r="BR78" s="174" t="s">
        <v>4396</v>
      </c>
      <c r="BS78" s="174" t="s">
        <v>4397</v>
      </c>
      <c r="BT78" s="174" t="s">
        <v>4055</v>
      </c>
      <c r="BU78" s="174" t="s">
        <v>3083</v>
      </c>
      <c r="BV78" s="174" t="s">
        <v>920</v>
      </c>
      <c r="BW78" s="174" t="s">
        <v>4398</v>
      </c>
      <c r="BX78" s="174" t="s">
        <v>4399</v>
      </c>
      <c r="BY78" s="174" t="s">
        <v>4400</v>
      </c>
      <c r="BZ78" s="174" t="s">
        <v>4401</v>
      </c>
      <c r="CA78" s="174" t="s">
        <v>3724</v>
      </c>
      <c r="CB78" s="249"/>
      <c r="CC78" s="249"/>
      <c r="CD78" s="249"/>
      <c r="CE78" s="249"/>
      <c r="CF78" s="251"/>
      <c r="CG78" s="177" t="s">
        <v>2209</v>
      </c>
      <c r="CH78" s="177" t="s">
        <v>2843</v>
      </c>
      <c r="CI78" s="177" t="s">
        <v>3890</v>
      </c>
      <c r="CJ78" s="177" t="s">
        <v>4402</v>
      </c>
      <c r="CK78" s="177"/>
      <c r="CL78" s="177" t="s">
        <v>4403</v>
      </c>
      <c r="CM78" s="177" t="s">
        <v>556</v>
      </c>
      <c r="CN78" s="177" t="s">
        <v>3973</v>
      </c>
      <c r="CO78" s="177" t="s">
        <v>3406</v>
      </c>
      <c r="CP78" s="252"/>
      <c r="CQ78" s="252"/>
      <c r="CR78" s="252"/>
      <c r="CS78" s="252"/>
      <c r="CT78" s="252"/>
      <c r="CU78" s="92"/>
      <c r="CV78" s="203" t="s">
        <v>4404</v>
      </c>
      <c r="CW78" s="203" t="s">
        <v>4405</v>
      </c>
      <c r="CX78" s="203" t="s">
        <v>4406</v>
      </c>
      <c r="CY78" s="203" t="s">
        <v>4407</v>
      </c>
      <c r="CZ78" s="203" t="s">
        <v>3324</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4245</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3638</v>
      </c>
      <c r="K79" s="94" t="s">
        <v>2282</v>
      </c>
      <c r="L79" s="94" t="s">
        <v>1035</v>
      </c>
      <c r="M79" s="94" t="s">
        <v>4416</v>
      </c>
      <c r="N79" s="94" t="s">
        <v>4417</v>
      </c>
      <c r="O79" s="94" t="s">
        <v>4418</v>
      </c>
      <c r="P79" s="94" t="s">
        <v>2657</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3008</v>
      </c>
      <c r="AG79" s="94" t="s">
        <v>4424</v>
      </c>
      <c r="AH79" s="94" t="s">
        <v>4425</v>
      </c>
      <c r="AI79" s="99"/>
      <c r="AJ79" s="99"/>
      <c r="AK79" s="99"/>
      <c r="AL79" s="97"/>
      <c r="AM79" s="99"/>
      <c r="AN79" s="94" t="s">
        <v>862</v>
      </c>
      <c r="AO79" s="99"/>
      <c r="AP79" s="99"/>
      <c r="AQ79" s="99"/>
      <c r="AR79" s="99"/>
      <c r="AS79" s="99"/>
      <c r="AT79" s="99"/>
      <c r="AU79" s="94" t="s">
        <v>1943</v>
      </c>
      <c r="AV79" s="94" t="s">
        <v>4004</v>
      </c>
      <c r="AW79" s="99"/>
      <c r="AX79" s="99"/>
      <c r="AY79" s="99"/>
      <c r="AZ79" s="99"/>
      <c r="BA79" s="99"/>
      <c r="BB79" s="94" t="s">
        <v>3200</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3554</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3153</v>
      </c>
      <c r="CZ79" s="314" t="s">
        <v>4441</v>
      </c>
      <c r="DA79" s="314" t="s">
        <v>1736</v>
      </c>
      <c r="DB79" s="316" t="s">
        <v>4442</v>
      </c>
      <c r="DC79" s="314" t="s">
        <v>3450</v>
      </c>
      <c r="DD79" s="99"/>
      <c r="DE79" s="99"/>
      <c r="DF79" s="99"/>
      <c r="DG79" s="99"/>
      <c r="DH79" s="237"/>
      <c r="DI79" s="314"/>
      <c r="DJ79" s="314"/>
      <c r="DK79" s="314"/>
      <c r="DL79" s="314"/>
      <c r="DM79" s="314"/>
      <c r="DN79" s="94" t="s">
        <v>4443</v>
      </c>
      <c r="DO79" s="314"/>
      <c r="DP79" s="314"/>
      <c r="DQ79" s="94" t="s">
        <v>3966</v>
      </c>
      <c r="DR79" s="94" t="s">
        <v>4444</v>
      </c>
      <c r="DS79" s="94" t="s">
        <v>4445</v>
      </c>
      <c r="DT79" s="94" t="s">
        <v>3770</v>
      </c>
      <c r="DU79" s="94" t="s">
        <v>3139</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2778</v>
      </c>
      <c r="G80" s="104" t="s">
        <v>1949</v>
      </c>
      <c r="H80" s="112" t="s">
        <v>2852</v>
      </c>
      <c r="I80" s="293" t="s">
        <v>4450</v>
      </c>
      <c r="J80" s="166" t="s">
        <v>108</v>
      </c>
      <c r="K80" s="166" t="s">
        <v>4451</v>
      </c>
      <c r="L80" s="166" t="s">
        <v>4452</v>
      </c>
      <c r="M80" s="166" t="s">
        <v>4453</v>
      </c>
      <c r="N80" s="166" t="s">
        <v>4454</v>
      </c>
      <c r="O80" s="166" t="s">
        <v>370</v>
      </c>
      <c r="P80" s="166" t="s">
        <v>2982</v>
      </c>
      <c r="Q80" s="112" t="s">
        <v>4455</v>
      </c>
      <c r="R80" s="166" t="s">
        <v>2555</v>
      </c>
      <c r="S80" s="239" t="s">
        <v>3018</v>
      </c>
      <c r="T80" s="166" t="s">
        <v>3009</v>
      </c>
      <c r="U80" s="166" t="s">
        <v>1840</v>
      </c>
      <c r="V80" s="166" t="s">
        <v>4456</v>
      </c>
      <c r="W80" s="92"/>
      <c r="X80" s="296" t="s">
        <v>4457</v>
      </c>
      <c r="Y80" s="198"/>
      <c r="Z80" s="198" t="s">
        <v>3096</v>
      </c>
      <c r="AA80" s="270" t="s">
        <v>3562</v>
      </c>
      <c r="AB80" s="197" t="s">
        <v>3765</v>
      </c>
      <c r="AC80" s="197" t="s">
        <v>4458</v>
      </c>
      <c r="AD80" s="116" t="s">
        <v>4459</v>
      </c>
      <c r="AE80" s="244"/>
      <c r="AF80" s="116" t="s">
        <v>3310</v>
      </c>
      <c r="AG80" s="270" t="s">
        <v>4460</v>
      </c>
      <c r="AH80" s="198" t="s">
        <v>1978</v>
      </c>
      <c r="AI80" s="244"/>
      <c r="AJ80" s="198" t="s">
        <v>4020</v>
      </c>
      <c r="AK80" s="198" t="s">
        <v>4461</v>
      </c>
      <c r="AL80" s="97"/>
      <c r="AM80" s="167" t="s">
        <v>141</v>
      </c>
      <c r="AN80" s="167" t="s">
        <v>4462</v>
      </c>
      <c r="AO80" s="167" t="s">
        <v>4463</v>
      </c>
      <c r="AP80" s="167" t="s">
        <v>4464</v>
      </c>
      <c r="AQ80" s="167" t="s">
        <v>1423</v>
      </c>
      <c r="AR80" s="167" t="s">
        <v>3761</v>
      </c>
      <c r="AS80" s="167" t="s">
        <v>3674</v>
      </c>
      <c r="AT80" s="167" t="s">
        <v>4465</v>
      </c>
      <c r="AU80" s="167" t="s">
        <v>2822</v>
      </c>
      <c r="AV80" s="167" t="s">
        <v>1623</v>
      </c>
      <c r="AW80" s="167" t="s">
        <v>4466</v>
      </c>
      <c r="AX80" s="245"/>
      <c r="AY80" s="167" t="s">
        <v>990</v>
      </c>
      <c r="AZ80" s="279" t="s">
        <v>4467</v>
      </c>
      <c r="BA80" s="167"/>
      <c r="BB80" s="173" t="s">
        <v>4468</v>
      </c>
      <c r="BC80" s="173" t="s">
        <v>4469</v>
      </c>
      <c r="BD80" s="126" t="s">
        <v>1393</v>
      </c>
      <c r="BE80" s="173" t="s">
        <v>4470</v>
      </c>
      <c r="BF80" s="173" t="s">
        <v>3739</v>
      </c>
      <c r="BG80" s="173" t="s">
        <v>4471</v>
      </c>
      <c r="BH80" s="173" t="s">
        <v>4472</v>
      </c>
      <c r="BI80" s="173" t="s">
        <v>2555</v>
      </c>
      <c r="BJ80" s="173" t="s">
        <v>4473</v>
      </c>
      <c r="BK80" s="173" t="s">
        <v>4474</v>
      </c>
      <c r="BL80" s="173" t="s">
        <v>2680</v>
      </c>
      <c r="BM80" s="173" t="s">
        <v>4475</v>
      </c>
      <c r="BN80" s="511" t="s">
        <v>3952</v>
      </c>
      <c r="BO80" s="173" t="s">
        <v>3787</v>
      </c>
      <c r="BP80" s="173" t="s">
        <v>4476</v>
      </c>
      <c r="BQ80" s="173"/>
      <c r="BR80" s="129" t="s">
        <v>4477</v>
      </c>
      <c r="BS80" s="174" t="s">
        <v>3366</v>
      </c>
      <c r="BT80" s="174" t="s">
        <v>4478</v>
      </c>
      <c r="BU80" s="129" t="s">
        <v>4479</v>
      </c>
      <c r="BV80" s="174" t="s">
        <v>4480</v>
      </c>
      <c r="BW80" s="174" t="s">
        <v>328</v>
      </c>
      <c r="BX80" s="249"/>
      <c r="BY80" s="174" t="s">
        <v>1768</v>
      </c>
      <c r="BZ80" s="175" t="s">
        <v>3667</v>
      </c>
      <c r="CA80" s="174" t="s">
        <v>4291</v>
      </c>
      <c r="CB80" s="174" t="s">
        <v>4481</v>
      </c>
      <c r="CC80" s="174" t="s">
        <v>4482</v>
      </c>
      <c r="CD80" s="174" t="s">
        <v>3231</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3298</v>
      </c>
      <c r="CZ80" s="203" t="s">
        <v>1480</v>
      </c>
      <c r="DA80" s="203" t="s">
        <v>4495</v>
      </c>
      <c r="DB80" s="233" t="s">
        <v>4496</v>
      </c>
      <c r="DC80" s="203" t="s">
        <v>4497</v>
      </c>
      <c r="DD80" s="203" t="s">
        <v>4498</v>
      </c>
      <c r="DE80" s="203" t="s">
        <v>3006</v>
      </c>
      <c r="DF80" s="203" t="s">
        <v>1207</v>
      </c>
      <c r="DG80" s="139" t="s">
        <v>4499</v>
      </c>
      <c r="DH80" s="203"/>
      <c r="DI80" s="255"/>
      <c r="DJ80" s="255"/>
      <c r="DK80" s="204" t="s">
        <v>4500</v>
      </c>
      <c r="DL80" s="255"/>
      <c r="DM80" s="144" t="s">
        <v>3292</v>
      </c>
      <c r="DN80" s="204" t="s">
        <v>1997</v>
      </c>
      <c r="DO80" s="204" t="s">
        <v>4033</v>
      </c>
      <c r="DP80" s="204" t="s">
        <v>4501</v>
      </c>
      <c r="DQ80" s="204" t="s">
        <v>4502</v>
      </c>
      <c r="DR80" s="204" t="s">
        <v>4277</v>
      </c>
      <c r="DS80" s="204" t="s">
        <v>2658</v>
      </c>
      <c r="DT80" s="204" t="s">
        <v>3855</v>
      </c>
      <c r="DU80" s="204" t="s">
        <v>1716</v>
      </c>
      <c r="DV80" s="204" t="s">
        <v>2787</v>
      </c>
      <c r="DW80" s="204" t="s">
        <v>4503</v>
      </c>
      <c r="DX80" s="204" t="s">
        <v>4504</v>
      </c>
      <c r="DY80" s="204" t="s">
        <v>4505</v>
      </c>
      <c r="DZ80" s="204" t="s">
        <v>4506</v>
      </c>
      <c r="EA80" s="204" t="s">
        <v>4507</v>
      </c>
      <c r="EB80" s="144" t="s">
        <v>4508</v>
      </c>
      <c r="EC80" s="144" t="s">
        <v>4117</v>
      </c>
      <c r="ED80" s="141" t="s">
        <v>3061</v>
      </c>
    </row>
    <row r="81">
      <c r="A81" s="81" t="s">
        <v>4509</v>
      </c>
      <c r="B81" s="82" t="s">
        <v>4510</v>
      </c>
      <c r="C81" s="83" t="s">
        <v>1258</v>
      </c>
      <c r="D81" s="84" t="s">
        <v>1258</v>
      </c>
      <c r="E81" s="85" t="s">
        <v>1258</v>
      </c>
      <c r="F81" s="86" t="s">
        <v>221</v>
      </c>
      <c r="G81" s="82" t="s">
        <v>3102</v>
      </c>
      <c r="H81" s="94"/>
      <c r="I81" s="88" t="s">
        <v>4511</v>
      </c>
      <c r="J81" s="99" t="s">
        <v>1726</v>
      </c>
      <c r="K81" s="161" t="s">
        <v>4512</v>
      </c>
      <c r="L81" s="88" t="s">
        <v>2589</v>
      </c>
      <c r="M81" s="258" t="s">
        <v>1639</v>
      </c>
      <c r="N81" s="99"/>
      <c r="O81" s="93" t="s">
        <v>4513</v>
      </c>
      <c r="P81" s="88" t="s">
        <v>2657</v>
      </c>
      <c r="Q81" s="99"/>
      <c r="R81" s="94"/>
      <c r="S81" s="94"/>
      <c r="T81" s="99"/>
      <c r="U81" s="99"/>
      <c r="V81" s="99"/>
      <c r="W81" s="92"/>
      <c r="X81" s="88" t="s">
        <v>1746</v>
      </c>
      <c r="Y81" s="94"/>
      <c r="Z81" s="94" t="s">
        <v>4421</v>
      </c>
      <c r="AA81" s="88" t="s">
        <v>1429</v>
      </c>
      <c r="AB81" s="94" t="s">
        <v>4514</v>
      </c>
      <c r="AC81" s="88" t="s">
        <v>3342</v>
      </c>
      <c r="AD81" s="94" t="s">
        <v>2858</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2908</v>
      </c>
      <c r="BU81" s="88" t="s">
        <v>3726</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3239</v>
      </c>
      <c r="CP81" s="99"/>
      <c r="CQ81" s="99"/>
      <c r="CR81" s="99"/>
      <c r="CS81" s="99"/>
      <c r="CT81" s="99"/>
      <c r="CU81" s="92"/>
      <c r="CV81" s="94" t="s">
        <v>4521</v>
      </c>
      <c r="CW81" s="99"/>
      <c r="CX81" s="93" t="s">
        <v>755</v>
      </c>
      <c r="CY81" s="94" t="s">
        <v>3272</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2949</v>
      </c>
      <c r="M82" s="112" t="s">
        <v>4526</v>
      </c>
      <c r="N82" s="293" t="s">
        <v>4527</v>
      </c>
      <c r="O82" s="293" t="s">
        <v>3882</v>
      </c>
      <c r="P82" s="293" t="s">
        <v>3108</v>
      </c>
      <c r="Q82" s="518"/>
      <c r="R82" s="518"/>
      <c r="S82" s="518"/>
      <c r="T82" s="518"/>
      <c r="U82" s="518"/>
      <c r="V82" s="518"/>
      <c r="W82" s="519"/>
      <c r="X82" s="296" t="s">
        <v>1844</v>
      </c>
      <c r="Y82" s="296"/>
      <c r="Z82" s="296" t="s">
        <v>3075</v>
      </c>
      <c r="AA82" s="296" t="s">
        <v>2207</v>
      </c>
      <c r="AB82" s="296" t="s">
        <v>3902</v>
      </c>
      <c r="AC82" s="296" t="s">
        <v>1694</v>
      </c>
      <c r="AD82" s="296" t="s">
        <v>3072</v>
      </c>
      <c r="AE82" s="520"/>
      <c r="AF82" s="296" t="s">
        <v>2364</v>
      </c>
      <c r="AG82" s="296" t="s">
        <v>2699</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2676</v>
      </c>
      <c r="BC82" s="303" t="s">
        <v>4529</v>
      </c>
      <c r="BD82" s="303" t="s">
        <v>296</v>
      </c>
      <c r="BE82" s="303" t="s">
        <v>4530</v>
      </c>
      <c r="BF82" s="303" t="s">
        <v>4531</v>
      </c>
      <c r="BG82" s="303"/>
      <c r="BH82" s="524"/>
      <c r="BI82" s="303" t="s">
        <v>1370</v>
      </c>
      <c r="BJ82" s="524"/>
      <c r="BK82" s="303" t="s">
        <v>4532</v>
      </c>
      <c r="BL82" s="303" t="s">
        <v>3597</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3653</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3765</v>
      </c>
      <c r="CZ82" s="301" t="s">
        <v>2201</v>
      </c>
      <c r="DA82" s="301" t="s">
        <v>3869</v>
      </c>
      <c r="DB82" s="301" t="s">
        <v>4549</v>
      </c>
      <c r="DC82" s="301" t="s">
        <v>4346</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4260</v>
      </c>
      <c r="T83" s="94" t="s">
        <v>2147</v>
      </c>
      <c r="U83" s="94" t="s">
        <v>4561</v>
      </c>
      <c r="V83" s="94" t="s">
        <v>4562</v>
      </c>
      <c r="W83" s="92"/>
      <c r="X83" s="88" t="s">
        <v>1467</v>
      </c>
      <c r="Y83" s="102"/>
      <c r="Z83" s="88" t="s">
        <v>467</v>
      </c>
      <c r="AA83" s="88" t="s">
        <v>294</v>
      </c>
      <c r="AB83" s="94" t="s">
        <v>4563</v>
      </c>
      <c r="AC83" s="94" t="s">
        <v>3161</v>
      </c>
      <c r="AD83" s="88" t="s">
        <v>2926</v>
      </c>
      <c r="AE83" s="88" t="s">
        <v>4564</v>
      </c>
      <c r="AF83" s="88" t="s">
        <v>4565</v>
      </c>
      <c r="AG83" s="88" t="s">
        <v>1561</v>
      </c>
      <c r="AH83" s="94" t="s">
        <v>4566</v>
      </c>
      <c r="AI83" s="94" t="s">
        <v>4567</v>
      </c>
      <c r="AJ83" s="94" t="s">
        <v>3645</v>
      </c>
      <c r="AK83" s="94" t="s">
        <v>4568</v>
      </c>
      <c r="AL83" s="97"/>
      <c r="AM83" s="94" t="s">
        <v>186</v>
      </c>
      <c r="AN83" s="94" t="s">
        <v>4569</v>
      </c>
      <c r="AO83" s="94" t="s">
        <v>4570</v>
      </c>
      <c r="AP83" s="94" t="s">
        <v>4571</v>
      </c>
      <c r="AQ83" s="94" t="s">
        <v>4572</v>
      </c>
      <c r="AR83" s="94"/>
      <c r="AS83" s="94" t="s">
        <v>3650</v>
      </c>
      <c r="AT83" s="94" t="s">
        <v>3025</v>
      </c>
      <c r="AU83" s="88" t="s">
        <v>2673</v>
      </c>
      <c r="AV83" s="88" t="s">
        <v>181</v>
      </c>
      <c r="AW83" s="88" t="s">
        <v>636</v>
      </c>
      <c r="AX83" s="94" t="s">
        <v>4573</v>
      </c>
      <c r="AY83" s="94" t="s">
        <v>3314</v>
      </c>
      <c r="AZ83" s="94" t="s">
        <v>4574</v>
      </c>
      <c r="BA83" s="94"/>
      <c r="BB83" s="88" t="s">
        <v>288</v>
      </c>
      <c r="BC83" s="88" t="s">
        <v>4320</v>
      </c>
      <c r="BD83" s="88" t="s">
        <v>4575</v>
      </c>
      <c r="BE83" s="88" t="s">
        <v>3566</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3333</v>
      </c>
      <c r="CK83" s="94"/>
      <c r="CL83" s="369" t="s">
        <v>4220</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3439</v>
      </c>
      <c r="CZ83" s="94" t="s">
        <v>548</v>
      </c>
      <c r="DA83" s="94" t="s">
        <v>4035</v>
      </c>
      <c r="DB83" s="88" t="s">
        <v>4596</v>
      </c>
      <c r="DC83" s="94" t="s">
        <v>361</v>
      </c>
      <c r="DD83" s="94" t="s">
        <v>4597</v>
      </c>
      <c r="DE83" s="94" t="s">
        <v>1851</v>
      </c>
      <c r="DF83" s="94" t="s">
        <v>4598</v>
      </c>
      <c r="DG83" s="94" t="s">
        <v>4599</v>
      </c>
      <c r="DH83" s="94"/>
      <c r="DI83" s="94" t="s">
        <v>4600</v>
      </c>
      <c r="DJ83" s="94" t="s">
        <v>4601</v>
      </c>
      <c r="DK83" s="94" t="s">
        <v>2728</v>
      </c>
      <c r="DL83" s="88" t="s">
        <v>1466</v>
      </c>
      <c r="DM83" s="88" t="s">
        <v>4021</v>
      </c>
      <c r="DN83" s="94" t="s">
        <v>4602</v>
      </c>
      <c r="DO83" s="94" t="s">
        <v>4603</v>
      </c>
      <c r="DP83" s="94" t="s">
        <v>3096</v>
      </c>
      <c r="DQ83" s="94" t="s">
        <v>4229</v>
      </c>
      <c r="DR83" s="88" t="s">
        <v>4604</v>
      </c>
      <c r="DS83" s="88" t="s">
        <v>3551</v>
      </c>
      <c r="DT83" s="88" t="s">
        <v>3800</v>
      </c>
      <c r="DU83" s="94" t="s">
        <v>2115</v>
      </c>
      <c r="DV83" s="94" t="s">
        <v>4605</v>
      </c>
      <c r="DW83" s="88" t="s">
        <v>2933</v>
      </c>
      <c r="DX83" s="94" t="s">
        <v>2233</v>
      </c>
      <c r="DY83" s="94" t="s">
        <v>1972</v>
      </c>
      <c r="DZ83" s="94" t="s">
        <v>2531</v>
      </c>
      <c r="EA83" s="94" t="s">
        <v>1455</v>
      </c>
      <c r="EB83" s="94" t="s">
        <v>1834</v>
      </c>
      <c r="EC83" s="94" t="s">
        <v>2709</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4071</v>
      </c>
      <c r="Q84" s="242"/>
      <c r="R84" s="166" t="s">
        <v>3761</v>
      </c>
      <c r="S84" s="166" t="s">
        <v>1503</v>
      </c>
      <c r="T84" s="242"/>
      <c r="U84" s="242"/>
      <c r="V84" s="242"/>
      <c r="W84" s="92"/>
      <c r="X84" s="198" t="s">
        <v>3593</v>
      </c>
      <c r="Y84" s="198"/>
      <c r="Z84" s="198" t="s">
        <v>361</v>
      </c>
      <c r="AA84" s="198" t="s">
        <v>2657</v>
      </c>
      <c r="AB84" s="335" t="s">
        <v>4615</v>
      </c>
      <c r="AC84" s="533" t="s">
        <v>4099</v>
      </c>
      <c r="AD84" s="198" t="s">
        <v>4616</v>
      </c>
      <c r="AE84" s="198"/>
      <c r="AF84" s="198" t="s">
        <v>4617</v>
      </c>
      <c r="AG84" s="198" t="s">
        <v>4618</v>
      </c>
      <c r="AH84" s="244"/>
      <c r="AI84" s="244"/>
      <c r="AJ84" s="244"/>
      <c r="AK84" s="198" t="s">
        <v>4619</v>
      </c>
      <c r="AL84" s="97"/>
      <c r="AM84" s="167"/>
      <c r="AN84" s="167" t="s">
        <v>4620</v>
      </c>
      <c r="AO84" s="245"/>
      <c r="AP84" s="167" t="s">
        <v>3135</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3690</v>
      </c>
      <c r="BT84" s="174" t="s">
        <v>3235</v>
      </c>
      <c r="BU84" s="174" t="s">
        <v>4291</v>
      </c>
      <c r="BV84" s="174" t="s">
        <v>3009</v>
      </c>
      <c r="BW84" s="174" t="s">
        <v>3171</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3999</v>
      </c>
      <c r="CY84" s="203" t="s">
        <v>4635</v>
      </c>
      <c r="CZ84" s="203" t="s">
        <v>4636</v>
      </c>
      <c r="DA84" s="203" t="s">
        <v>927</v>
      </c>
      <c r="DB84" s="203" t="s">
        <v>4637</v>
      </c>
      <c r="DC84" s="203" t="s">
        <v>4109</v>
      </c>
      <c r="DD84" s="253"/>
      <c r="DE84" s="253"/>
      <c r="DF84" s="253"/>
      <c r="DG84" s="203" t="s">
        <v>4638</v>
      </c>
      <c r="DH84" s="203"/>
      <c r="DI84" s="204" t="s">
        <v>4639</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2879</v>
      </c>
      <c r="K85" s="94" t="s">
        <v>3912</v>
      </c>
      <c r="L85" s="94" t="s">
        <v>4644</v>
      </c>
      <c r="M85" s="99"/>
      <c r="N85" s="94" t="s">
        <v>1227</v>
      </c>
      <c r="O85" s="94" t="s">
        <v>2510</v>
      </c>
      <c r="P85" s="94" t="s">
        <v>240</v>
      </c>
      <c r="Q85" s="99"/>
      <c r="R85" s="99"/>
      <c r="S85" s="99"/>
      <c r="T85" s="99"/>
      <c r="U85" s="99"/>
      <c r="V85" s="99"/>
      <c r="W85" s="92"/>
      <c r="X85" s="94" t="s">
        <v>4645</v>
      </c>
      <c r="Y85" s="94"/>
      <c r="Z85" s="94" t="s">
        <v>578</v>
      </c>
      <c r="AA85" s="94" t="s">
        <v>3639</v>
      </c>
      <c r="AB85" s="94" t="s">
        <v>4646</v>
      </c>
      <c r="AC85" s="94" t="s">
        <v>3702</v>
      </c>
      <c r="AD85" s="94" t="s">
        <v>4647</v>
      </c>
      <c r="AE85" s="99"/>
      <c r="AF85" s="99"/>
      <c r="AG85" s="94" t="s">
        <v>3269</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3594</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1851</v>
      </c>
      <c r="CH85" s="94" t="s">
        <v>539</v>
      </c>
      <c r="CI85" s="88" t="s">
        <v>4649</v>
      </c>
      <c r="CJ85" s="94" t="s">
        <v>4650</v>
      </c>
      <c r="CK85" s="94"/>
      <c r="CL85" s="94"/>
      <c r="CM85" s="94" t="s">
        <v>3614</v>
      </c>
      <c r="CN85" s="94" t="s">
        <v>2175</v>
      </c>
      <c r="CO85" s="94" t="s">
        <v>4546</v>
      </c>
      <c r="CP85" s="99"/>
      <c r="CQ85" s="99"/>
      <c r="CR85" s="99"/>
      <c r="CS85" s="99"/>
      <c r="CT85" s="99"/>
      <c r="CU85" s="92"/>
      <c r="CV85" s="94" t="s">
        <v>4651</v>
      </c>
      <c r="CW85" s="99"/>
      <c r="CX85" s="94" t="s">
        <v>1972</v>
      </c>
      <c r="CY85" s="88" t="s">
        <v>4652</v>
      </c>
      <c r="CZ85" s="94" t="s">
        <v>4653</v>
      </c>
      <c r="DA85" s="94" t="s">
        <v>3392</v>
      </c>
      <c r="DB85" s="94" t="s">
        <v>4654</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3102</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3892</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3683</v>
      </c>
      <c r="J87" s="94" t="s">
        <v>4664</v>
      </c>
      <c r="K87" s="94" t="s">
        <v>4665</v>
      </c>
      <c r="L87" s="94" t="s">
        <v>4666</v>
      </c>
      <c r="M87" s="99"/>
      <c r="N87" s="94" t="s">
        <v>4667</v>
      </c>
      <c r="O87" s="94" t="s">
        <v>4272</v>
      </c>
      <c r="P87" s="94" t="s">
        <v>4668</v>
      </c>
      <c r="Q87" s="99"/>
      <c r="R87" s="99"/>
      <c r="S87" s="94" t="s">
        <v>1206</v>
      </c>
      <c r="T87" s="99"/>
      <c r="U87" s="94" t="s">
        <v>1929</v>
      </c>
      <c r="V87" s="99"/>
      <c r="W87" s="92"/>
      <c r="X87" s="94" t="s">
        <v>1315</v>
      </c>
      <c r="Y87" s="94"/>
      <c r="Z87" s="94" t="s">
        <v>721</v>
      </c>
      <c r="AA87" s="94" t="s">
        <v>4669</v>
      </c>
      <c r="AB87" s="94" t="s">
        <v>3619</v>
      </c>
      <c r="AC87" s="94" t="s">
        <v>1780</v>
      </c>
      <c r="AD87" s="94" t="s">
        <v>1731</v>
      </c>
      <c r="AE87" s="99"/>
      <c r="AF87" s="94" t="s">
        <v>3151</v>
      </c>
      <c r="AG87" s="99"/>
      <c r="AH87" s="99"/>
      <c r="AI87" s="94"/>
      <c r="AJ87" s="94" t="s">
        <v>3145</v>
      </c>
      <c r="AK87" s="99"/>
      <c r="AL87" s="97"/>
      <c r="AM87" s="99"/>
      <c r="AN87" s="94" t="s">
        <v>4257</v>
      </c>
      <c r="AO87" s="99"/>
      <c r="AP87" s="94" t="s">
        <v>4670</v>
      </c>
      <c r="AQ87" s="99"/>
      <c r="AR87" s="99"/>
      <c r="AS87" s="99"/>
      <c r="AT87" s="99"/>
      <c r="AU87" s="94" t="s">
        <v>1943</v>
      </c>
      <c r="AV87" s="94" t="s">
        <v>1941</v>
      </c>
      <c r="AW87" s="99"/>
      <c r="AX87" s="94"/>
      <c r="AY87" s="94" t="s">
        <v>4671</v>
      </c>
      <c r="AZ87" s="99"/>
      <c r="BA87" s="99"/>
      <c r="BB87" s="94" t="s">
        <v>4672</v>
      </c>
      <c r="BC87" s="94" t="s">
        <v>4359</v>
      </c>
      <c r="BD87" s="99"/>
      <c r="BE87" s="94" t="s">
        <v>1424</v>
      </c>
      <c r="BF87" s="94" t="s">
        <v>1508</v>
      </c>
      <c r="BG87" s="99"/>
      <c r="BH87" s="99"/>
      <c r="BI87" s="94" t="s">
        <v>1175</v>
      </c>
      <c r="BJ87" s="94" t="s">
        <v>4673</v>
      </c>
      <c r="BK87" s="94"/>
      <c r="BL87" s="99"/>
      <c r="BM87" s="99"/>
      <c r="BN87" s="94" t="s">
        <v>3696</v>
      </c>
      <c r="BO87" s="99"/>
      <c r="BP87" s="99"/>
      <c r="BQ87" s="237"/>
      <c r="BR87" s="94" t="s">
        <v>4674</v>
      </c>
      <c r="BS87" s="94" t="s">
        <v>3690</v>
      </c>
      <c r="BT87" s="94" t="s">
        <v>2311</v>
      </c>
      <c r="BU87" s="94" t="s">
        <v>4675</v>
      </c>
      <c r="BV87" s="94" t="s">
        <v>244</v>
      </c>
      <c r="BW87" s="94" t="s">
        <v>3864</v>
      </c>
      <c r="BX87" s="99"/>
      <c r="BY87" s="94" t="s">
        <v>2455</v>
      </c>
      <c r="BZ87" s="94" t="s">
        <v>4676</v>
      </c>
      <c r="CA87" s="94"/>
      <c r="CB87" s="99"/>
      <c r="CC87" s="94" t="s">
        <v>1480</v>
      </c>
      <c r="CD87" s="94" t="s">
        <v>144</v>
      </c>
      <c r="CE87" s="99"/>
      <c r="CF87" s="237"/>
      <c r="CG87" s="94" t="s">
        <v>3237</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4364</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3690</v>
      </c>
      <c r="I88" s="541"/>
      <c r="J88" s="439" t="s">
        <v>4689</v>
      </c>
      <c r="K88" s="112" t="s">
        <v>1059</v>
      </c>
      <c r="L88" s="112" t="s">
        <v>2204</v>
      </c>
      <c r="M88" s="112" t="s">
        <v>4690</v>
      </c>
      <c r="N88" s="439"/>
      <c r="O88" s="439" t="s">
        <v>108</v>
      </c>
      <c r="P88" s="112" t="s">
        <v>555</v>
      </c>
      <c r="Q88" s="112" t="s">
        <v>4691</v>
      </c>
      <c r="R88" s="112" t="s">
        <v>4015</v>
      </c>
      <c r="S88" s="242"/>
      <c r="T88" s="112" t="s">
        <v>4692</v>
      </c>
      <c r="U88" s="242"/>
      <c r="V88" s="112" t="s">
        <v>4693</v>
      </c>
      <c r="W88" s="92"/>
      <c r="X88" s="117"/>
      <c r="Y88" s="117"/>
      <c r="Z88" s="117" t="s">
        <v>2703</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1390</v>
      </c>
      <c r="CH88" s="134" t="s">
        <v>2359</v>
      </c>
      <c r="CI88" s="134" t="s">
        <v>3143</v>
      </c>
      <c r="CJ88" s="135"/>
      <c r="CK88" s="135"/>
      <c r="CL88" s="135"/>
      <c r="CM88" s="135"/>
      <c r="CN88" s="134" t="s">
        <v>1694</v>
      </c>
      <c r="CO88" s="134" t="s">
        <v>3950</v>
      </c>
      <c r="CP88" s="542"/>
      <c r="CQ88" s="252"/>
      <c r="CR88" s="232" t="s">
        <v>4705</v>
      </c>
      <c r="CS88" s="134" t="s">
        <v>2069</v>
      </c>
      <c r="CT88" s="252"/>
      <c r="CU88" s="92"/>
      <c r="CV88" s="285"/>
      <c r="CW88" s="285"/>
      <c r="CX88" s="139" t="s">
        <v>4706</v>
      </c>
      <c r="CY88" s="139" t="s">
        <v>2212</v>
      </c>
      <c r="CZ88" s="285"/>
      <c r="DA88" s="285"/>
      <c r="DB88" s="139" t="s">
        <v>4224</v>
      </c>
      <c r="DC88" s="139" t="s">
        <v>3842</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3877</v>
      </c>
      <c r="H89" s="94" t="s">
        <v>4712</v>
      </c>
      <c r="I89" s="94" t="s">
        <v>4140</v>
      </c>
      <c r="J89" s="94" t="s">
        <v>4336</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3919</v>
      </c>
      <c r="AA89" s="94" t="s">
        <v>4719</v>
      </c>
      <c r="AB89" s="94" t="s">
        <v>2494</v>
      </c>
      <c r="AC89" s="94" t="s">
        <v>4167</v>
      </c>
      <c r="AD89" s="94" t="s">
        <v>2520</v>
      </c>
      <c r="AE89" s="94"/>
      <c r="AF89" s="94" t="s">
        <v>291</v>
      </c>
      <c r="AG89" s="94" t="s">
        <v>1432</v>
      </c>
      <c r="AH89" s="99"/>
      <c r="AI89" s="99"/>
      <c r="AJ89" s="94" t="s">
        <v>1886</v>
      </c>
      <c r="AK89" s="99"/>
      <c r="AL89" s="97"/>
      <c r="AM89" s="94" t="s">
        <v>1858</v>
      </c>
      <c r="AN89" s="94" t="s">
        <v>1574</v>
      </c>
      <c r="AO89" s="99"/>
      <c r="AP89" s="99"/>
      <c r="AQ89" s="99"/>
      <c r="AR89" s="99"/>
      <c r="AS89" s="99"/>
      <c r="AT89" s="99"/>
      <c r="AU89" s="94" t="s">
        <v>3731</v>
      </c>
      <c r="AV89" s="94" t="s">
        <v>3696</v>
      </c>
      <c r="AW89" s="99"/>
      <c r="AX89" s="99"/>
      <c r="AY89" s="94" t="s">
        <v>2200</v>
      </c>
      <c r="AZ89" s="99"/>
      <c r="BA89" s="99"/>
      <c r="BB89" s="94" t="s">
        <v>4720</v>
      </c>
      <c r="BC89" s="94" t="s">
        <v>148</v>
      </c>
      <c r="BD89" s="94" t="s">
        <v>2768</v>
      </c>
      <c r="BE89" s="94" t="s">
        <v>4721</v>
      </c>
      <c r="BF89" s="94" t="s">
        <v>3393</v>
      </c>
      <c r="BG89" s="94"/>
      <c r="BH89" s="99"/>
      <c r="BI89" s="94" t="s">
        <v>1835</v>
      </c>
      <c r="BJ89" s="94" t="s">
        <v>4722</v>
      </c>
      <c r="BK89" s="94"/>
      <c r="BL89" s="94" t="s">
        <v>2576</v>
      </c>
      <c r="BM89" s="94" t="s">
        <v>4723</v>
      </c>
      <c r="BN89" s="94" t="s">
        <v>3696</v>
      </c>
      <c r="BO89" s="99"/>
      <c r="BP89" s="99"/>
      <c r="BQ89" s="237"/>
      <c r="BR89" s="94"/>
      <c r="BS89" s="94" t="s">
        <v>2218</v>
      </c>
      <c r="BT89" s="94" t="s">
        <v>4478</v>
      </c>
      <c r="BU89" s="88" t="s">
        <v>887</v>
      </c>
      <c r="BV89" s="94" t="s">
        <v>4724</v>
      </c>
      <c r="BW89" s="88" t="s">
        <v>162</v>
      </c>
      <c r="BX89" s="94" t="s">
        <v>3467</v>
      </c>
      <c r="BY89" s="94" t="s">
        <v>4725</v>
      </c>
      <c r="BZ89" s="99"/>
      <c r="CA89" s="88" t="s">
        <v>1240</v>
      </c>
      <c r="CB89" s="94" t="s">
        <v>4726</v>
      </c>
      <c r="CC89" s="94" t="s">
        <v>4727</v>
      </c>
      <c r="CD89" s="94" t="s">
        <v>590</v>
      </c>
      <c r="CE89" s="99"/>
      <c r="CF89" s="237"/>
      <c r="CG89" s="94" t="s">
        <v>4728</v>
      </c>
      <c r="CH89" s="94" t="s">
        <v>3342</v>
      </c>
      <c r="CI89" s="94" t="s">
        <v>3534</v>
      </c>
      <c r="CJ89" s="94" t="s">
        <v>4729</v>
      </c>
      <c r="CK89" s="94"/>
      <c r="CL89" s="94"/>
      <c r="CM89" s="94" t="s">
        <v>4730</v>
      </c>
      <c r="CN89" s="94" t="s">
        <v>3847</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2964</v>
      </c>
      <c r="DT89" s="99"/>
      <c r="DU89" s="94" t="s">
        <v>4736</v>
      </c>
      <c r="DV89" s="94" t="s">
        <v>4737</v>
      </c>
      <c r="DW89" s="94" t="s">
        <v>3486</v>
      </c>
      <c r="DX89" s="99"/>
      <c r="DY89" s="99"/>
      <c r="DZ89" s="94" t="s">
        <v>4529</v>
      </c>
      <c r="EA89" s="94" t="s">
        <v>1318</v>
      </c>
      <c r="EB89" s="99"/>
      <c r="EC89" s="99"/>
      <c r="ED89" s="258"/>
    </row>
    <row r="90">
      <c r="A90" s="543" t="s">
        <v>4738</v>
      </c>
      <c r="B90" s="544" t="s">
        <v>4739</v>
      </c>
      <c r="C90" s="545" t="s">
        <v>1258</v>
      </c>
      <c r="D90" s="546" t="s">
        <v>1258</v>
      </c>
      <c r="E90" s="547" t="s">
        <v>1258</v>
      </c>
      <c r="F90" s="548" t="s">
        <v>2997</v>
      </c>
      <c r="G90" s="544" t="s">
        <v>1350</v>
      </c>
      <c r="H90" s="549" t="s">
        <v>4740</v>
      </c>
      <c r="I90" s="550" t="s">
        <v>4741</v>
      </c>
      <c r="J90" s="549" t="s">
        <v>4742</v>
      </c>
      <c r="K90" s="549" t="s">
        <v>2165</v>
      </c>
      <c r="L90" s="549" t="s">
        <v>2945</v>
      </c>
      <c r="M90" s="549" t="s">
        <v>4743</v>
      </c>
      <c r="N90" s="550" t="s">
        <v>4744</v>
      </c>
      <c r="O90" s="549" t="s">
        <v>370</v>
      </c>
      <c r="P90" s="551" t="s">
        <v>4745</v>
      </c>
      <c r="Q90" s="551" t="s">
        <v>4746</v>
      </c>
      <c r="R90" s="551" t="s">
        <v>2565</v>
      </c>
      <c r="S90" s="551" t="s">
        <v>3617</v>
      </c>
      <c r="T90" s="551" t="s">
        <v>1267</v>
      </c>
      <c r="U90" s="551" t="s">
        <v>4747</v>
      </c>
      <c r="V90" s="549" t="s">
        <v>4748</v>
      </c>
      <c r="W90" s="552"/>
      <c r="X90" s="553" t="s">
        <v>2970</v>
      </c>
      <c r="Y90" s="553"/>
      <c r="Z90" s="553" t="s">
        <v>4749</v>
      </c>
      <c r="AA90" s="554" t="s">
        <v>510</v>
      </c>
      <c r="AB90" s="554" t="s">
        <v>629</v>
      </c>
      <c r="AC90" s="553" t="s">
        <v>2302</v>
      </c>
      <c r="AD90" s="554" t="s">
        <v>4750</v>
      </c>
      <c r="AE90" s="553"/>
      <c r="AF90" s="553" t="s">
        <v>4751</v>
      </c>
      <c r="AG90" s="555" t="s">
        <v>4752</v>
      </c>
      <c r="AH90" s="553" t="s">
        <v>3633</v>
      </c>
      <c r="AI90" s="556" t="s">
        <v>1401</v>
      </c>
      <c r="AJ90" s="116" t="s">
        <v>2213</v>
      </c>
      <c r="AK90" s="556" t="s">
        <v>4753</v>
      </c>
      <c r="AL90" s="557"/>
      <c r="AM90" s="558" t="s">
        <v>3494</v>
      </c>
      <c r="AN90" s="558" t="s">
        <v>1305</v>
      </c>
      <c r="AO90" s="558" t="s">
        <v>4754</v>
      </c>
      <c r="AP90" s="559" t="s">
        <v>3001</v>
      </c>
      <c r="AQ90" s="559" t="s">
        <v>134</v>
      </c>
      <c r="AR90" s="559" t="s">
        <v>1861</v>
      </c>
      <c r="AS90" s="558" t="s">
        <v>4755</v>
      </c>
      <c r="AT90" s="559" t="s">
        <v>4756</v>
      </c>
      <c r="AU90" s="559" t="s">
        <v>3159</v>
      </c>
      <c r="AV90" s="560" t="s">
        <v>2577</v>
      </c>
      <c r="AW90" s="558" t="s">
        <v>3275</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2853</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3616</v>
      </c>
      <c r="CP90" s="574"/>
      <c r="CQ90" s="575" t="s">
        <v>3281</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3913</v>
      </c>
      <c r="DJ90" s="585"/>
      <c r="DK90" s="584" t="s">
        <v>4777</v>
      </c>
      <c r="DL90" s="584"/>
      <c r="DM90" s="586" t="s">
        <v>4778</v>
      </c>
      <c r="DN90" s="584" t="s">
        <v>4779</v>
      </c>
      <c r="DO90" s="584" t="s">
        <v>4780</v>
      </c>
      <c r="DP90" s="584" t="s">
        <v>2015</v>
      </c>
      <c r="DQ90" s="584" t="s">
        <v>4781</v>
      </c>
      <c r="DR90" s="584" t="s">
        <v>4782</v>
      </c>
      <c r="DS90" s="587" t="s">
        <v>4783</v>
      </c>
      <c r="DT90" s="584" t="s">
        <v>3354</v>
      </c>
      <c r="DU90" s="584" t="s">
        <v>4784</v>
      </c>
      <c r="DV90" s="588"/>
      <c r="DW90" s="586" t="s">
        <v>1625</v>
      </c>
      <c r="DX90" s="585"/>
      <c r="DY90" s="586" t="s">
        <v>3130</v>
      </c>
      <c r="DZ90" s="584" t="s">
        <v>2830</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3013</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3653</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3561</v>
      </c>
      <c r="CO91" s="88" t="s">
        <v>2737</v>
      </c>
      <c r="CP91" s="99"/>
      <c r="CQ91" s="99"/>
      <c r="CR91" s="99"/>
      <c r="CS91" s="99"/>
      <c r="CT91" s="99"/>
      <c r="CU91" s="92"/>
      <c r="CV91" s="88" t="s">
        <v>4802</v>
      </c>
      <c r="CW91" s="369" t="str">
        <f>HYPERLINK("https://youtu.be/E3G9EWGMU-8?t=986", "14.55")</f>
        <v>14.55</v>
      </c>
      <c r="CX91" s="88" t="s">
        <v>3530</v>
      </c>
      <c r="CY91" s="88" t="s">
        <v>4803</v>
      </c>
      <c r="CZ91" s="88" t="s">
        <v>623</v>
      </c>
      <c r="DA91" s="99"/>
      <c r="DB91" s="88" t="s">
        <v>4804</v>
      </c>
      <c r="DC91" s="88" t="s">
        <v>3960</v>
      </c>
      <c r="DD91" s="99"/>
      <c r="DE91" s="99"/>
      <c r="DF91" s="99"/>
      <c r="DG91" s="99"/>
      <c r="DH91" s="237"/>
      <c r="DI91" s="88" t="s">
        <v>2385</v>
      </c>
      <c r="DJ91" s="99"/>
      <c r="DK91" s="99"/>
      <c r="DL91" s="99"/>
      <c r="DM91" s="88" t="s">
        <v>529</v>
      </c>
      <c r="DN91" s="99"/>
      <c r="DO91" s="99"/>
      <c r="DP91" s="99"/>
      <c r="DQ91" s="99"/>
      <c r="DR91" s="88" t="s">
        <v>2878</v>
      </c>
      <c r="DS91" s="88" t="s">
        <v>2575</v>
      </c>
      <c r="DT91" s="99"/>
      <c r="DU91" s="99"/>
      <c r="DV91" s="99"/>
      <c r="DW91" s="99"/>
      <c r="DX91" s="99"/>
      <c r="DY91" s="99"/>
      <c r="DZ91" s="99"/>
      <c r="EA91" s="94" t="s">
        <v>4805</v>
      </c>
      <c r="EB91" s="88" t="s">
        <v>2806</v>
      </c>
      <c r="EC91" s="99"/>
      <c r="ED91" s="98" t="s">
        <v>1720</v>
      </c>
    </row>
    <row r="92">
      <c r="A92" s="165" t="s">
        <v>4806</v>
      </c>
      <c r="B92" s="104" t="s">
        <v>4807</v>
      </c>
      <c r="C92" s="105" t="s">
        <v>1258</v>
      </c>
      <c r="D92" s="106" t="s">
        <v>1258</v>
      </c>
      <c r="E92" s="107" t="s">
        <v>1258</v>
      </c>
      <c r="F92" s="108" t="s">
        <v>982</v>
      </c>
      <c r="G92" s="104" t="s">
        <v>1880</v>
      </c>
      <c r="H92" s="166" t="s">
        <v>3436</v>
      </c>
      <c r="I92" s="166" t="s">
        <v>4808</v>
      </c>
      <c r="J92" s="166" t="s">
        <v>1365</v>
      </c>
      <c r="K92" s="166" t="s">
        <v>4612</v>
      </c>
      <c r="L92" s="166" t="s">
        <v>4809</v>
      </c>
      <c r="M92" s="242"/>
      <c r="N92" s="166" t="s">
        <v>2247</v>
      </c>
      <c r="O92" s="166" t="s">
        <v>4426</v>
      </c>
      <c r="P92" s="166" t="s">
        <v>4810</v>
      </c>
      <c r="Q92" s="166" t="s">
        <v>2823</v>
      </c>
      <c r="R92" s="242"/>
      <c r="S92" s="166" t="s">
        <v>196</v>
      </c>
      <c r="T92" s="242"/>
      <c r="U92" s="242"/>
      <c r="V92" s="166" t="s">
        <v>4811</v>
      </c>
      <c r="W92" s="92"/>
      <c r="X92" s="198" t="s">
        <v>4812</v>
      </c>
      <c r="Y92" s="198"/>
      <c r="Z92" s="198" t="s">
        <v>4813</v>
      </c>
      <c r="AA92" s="198" t="s">
        <v>240</v>
      </c>
      <c r="AB92" s="198" t="s">
        <v>4814</v>
      </c>
      <c r="AC92" s="198" t="s">
        <v>4815</v>
      </c>
      <c r="AD92" s="198" t="s">
        <v>3012</v>
      </c>
      <c r="AE92" s="198" t="s">
        <v>4492</v>
      </c>
      <c r="AF92" s="198" t="s">
        <v>1383</v>
      </c>
      <c r="AG92" s="198" t="s">
        <v>4387</v>
      </c>
      <c r="AH92" s="198" t="s">
        <v>1340</v>
      </c>
      <c r="AI92" s="198"/>
      <c r="AJ92" s="116" t="s">
        <v>4816</v>
      </c>
      <c r="AK92" s="198" t="s">
        <v>4817</v>
      </c>
      <c r="AL92" s="97"/>
      <c r="AM92" s="167" t="s">
        <v>3741</v>
      </c>
      <c r="AN92" s="167" t="s">
        <v>389</v>
      </c>
      <c r="AO92" s="167" t="s">
        <v>4818</v>
      </c>
      <c r="AP92" s="167" t="s">
        <v>4819</v>
      </c>
      <c r="AQ92" s="167" t="s">
        <v>1571</v>
      </c>
      <c r="AR92" s="167"/>
      <c r="AS92" s="167" t="s">
        <v>1529</v>
      </c>
      <c r="AT92" s="167" t="s">
        <v>1816</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3358</v>
      </c>
      <c r="BO92" s="173" t="s">
        <v>2306</v>
      </c>
      <c r="BP92" s="173" t="s">
        <v>4827</v>
      </c>
      <c r="BQ92" s="173"/>
      <c r="BR92" s="249"/>
      <c r="BS92" s="249"/>
      <c r="BT92" s="174" t="s">
        <v>4828</v>
      </c>
      <c r="BU92" s="174" t="s">
        <v>2169</v>
      </c>
      <c r="BV92" s="174" t="s">
        <v>4829</v>
      </c>
      <c r="BW92" s="174" t="s">
        <v>2994</v>
      </c>
      <c r="BX92" s="249"/>
      <c r="BY92" s="174" t="s">
        <v>4830</v>
      </c>
      <c r="BZ92" s="249"/>
      <c r="CA92" s="174" t="s">
        <v>1037</v>
      </c>
      <c r="CB92" s="174" t="s">
        <v>4831</v>
      </c>
      <c r="CC92" s="174" t="s">
        <v>669</v>
      </c>
      <c r="CD92" s="174" t="s">
        <v>4152</v>
      </c>
      <c r="CE92" s="129" t="s">
        <v>4832</v>
      </c>
      <c r="CF92" s="299"/>
      <c r="CG92" s="177" t="s">
        <v>4833</v>
      </c>
      <c r="CH92" s="177" t="s">
        <v>1963</v>
      </c>
      <c r="CI92" s="252"/>
      <c r="CJ92" s="252"/>
      <c r="CK92" s="252"/>
      <c r="CL92" s="252" t="s">
        <v>3244</v>
      </c>
      <c r="CM92" s="252"/>
      <c r="CN92" s="177" t="s">
        <v>4834</v>
      </c>
      <c r="CO92" s="177" t="s">
        <v>3475</v>
      </c>
      <c r="CP92" s="252"/>
      <c r="CQ92" s="177" t="s">
        <v>4085</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4350</v>
      </c>
      <c r="DK92" s="255"/>
      <c r="DL92" s="204"/>
      <c r="DM92" s="204" t="s">
        <v>4668</v>
      </c>
      <c r="DN92" s="204" t="s">
        <v>4841</v>
      </c>
      <c r="DO92" s="144" t="s">
        <v>3967</v>
      </c>
      <c r="DP92" s="204" t="s">
        <v>3190</v>
      </c>
      <c r="DQ92" s="204" t="s">
        <v>2297</v>
      </c>
      <c r="DR92" s="204" t="s">
        <v>1104</v>
      </c>
      <c r="DS92" s="255"/>
      <c r="DT92" s="204" t="s">
        <v>4842</v>
      </c>
      <c r="DU92" s="204" t="s">
        <v>4843</v>
      </c>
      <c r="DV92" s="204" t="s">
        <v>4844</v>
      </c>
      <c r="DW92" s="204" t="s">
        <v>4845</v>
      </c>
      <c r="DX92" s="204" t="s">
        <v>1913</v>
      </c>
      <c r="DY92" s="204" t="s">
        <v>1312</v>
      </c>
      <c r="DZ92" s="204" t="s">
        <v>3581</v>
      </c>
      <c r="EA92" s="204" t="s">
        <v>3714</v>
      </c>
      <c r="EB92" s="204" t="s">
        <v>4846</v>
      </c>
      <c r="EC92" s="204" t="s">
        <v>1585</v>
      </c>
      <c r="ED92" s="287" t="s">
        <v>4847</v>
      </c>
    </row>
    <row r="93">
      <c r="A93" s="590" t="s">
        <v>4848</v>
      </c>
      <c r="B93" s="82" t="s">
        <v>4849</v>
      </c>
      <c r="C93" s="83" t="s">
        <v>1258</v>
      </c>
      <c r="D93" s="84" t="s">
        <v>1258</v>
      </c>
      <c r="E93" s="85" t="s">
        <v>1258</v>
      </c>
      <c r="F93" s="86" t="s">
        <v>221</v>
      </c>
      <c r="G93" s="82" t="s">
        <v>4850</v>
      </c>
      <c r="H93" s="102" t="s">
        <v>4136</v>
      </c>
      <c r="I93" s="95" t="s">
        <v>4851</v>
      </c>
      <c r="J93" s="88" t="s">
        <v>4852</v>
      </c>
      <c r="K93" s="88" t="s">
        <v>2880</v>
      </c>
      <c r="L93" s="102" t="s">
        <v>280</v>
      </c>
      <c r="M93" s="102"/>
      <c r="N93" s="102"/>
      <c r="O93" s="102" t="s">
        <v>3231</v>
      </c>
      <c r="P93" s="102" t="s">
        <v>992</v>
      </c>
      <c r="Q93" s="99"/>
      <c r="R93" s="99"/>
      <c r="S93" s="99"/>
      <c r="T93" s="99"/>
      <c r="U93" s="99"/>
      <c r="V93" s="99"/>
      <c r="W93" s="92"/>
      <c r="X93" s="266" t="s">
        <v>828</v>
      </c>
      <c r="Y93" s="102"/>
      <c r="Z93" s="102" t="s">
        <v>3855</v>
      </c>
      <c r="AA93" s="102" t="s">
        <v>3639</v>
      </c>
      <c r="AB93" s="266"/>
      <c r="AC93" s="102"/>
      <c r="AD93" s="102"/>
      <c r="AE93" s="99"/>
      <c r="AF93" s="102" t="s">
        <v>4853</v>
      </c>
      <c r="AG93" s="102" t="s">
        <v>3004</v>
      </c>
      <c r="AH93" s="99"/>
      <c r="AI93" s="99"/>
      <c r="AJ93" s="102"/>
      <c r="AK93" s="99"/>
      <c r="AL93" s="97"/>
      <c r="AM93" s="102"/>
      <c r="AN93" s="88" t="s">
        <v>1830</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2899</v>
      </c>
      <c r="BO93" s="102"/>
      <c r="BP93" s="99"/>
      <c r="BQ93" s="237"/>
      <c r="BR93" s="88" t="s">
        <v>156</v>
      </c>
      <c r="BS93" s="88" t="s">
        <v>372</v>
      </c>
      <c r="BT93" s="88" t="s">
        <v>3493</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3776</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3119</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2778</v>
      </c>
      <c r="G94" s="104" t="s">
        <v>2348</v>
      </c>
      <c r="H94" s="242"/>
      <c r="I94" s="242"/>
      <c r="J94" s="166" t="s">
        <v>4866</v>
      </c>
      <c r="K94" s="166" t="s">
        <v>1067</v>
      </c>
      <c r="L94" s="166" t="s">
        <v>4867</v>
      </c>
      <c r="M94" s="166" t="s">
        <v>4868</v>
      </c>
      <c r="N94" s="166" t="s">
        <v>4869</v>
      </c>
      <c r="O94" s="166" t="s">
        <v>2801</v>
      </c>
      <c r="P94" s="112" t="s">
        <v>3108</v>
      </c>
      <c r="Q94" s="242"/>
      <c r="R94" s="242"/>
      <c r="S94" s="242"/>
      <c r="T94" s="242"/>
      <c r="U94" s="242"/>
      <c r="V94" s="166" t="s">
        <v>4870</v>
      </c>
      <c r="W94" s="92"/>
      <c r="X94" s="296" t="s">
        <v>4871</v>
      </c>
      <c r="Y94" s="198"/>
      <c r="Z94" s="198" t="s">
        <v>1076</v>
      </c>
      <c r="AA94" s="116" t="s">
        <v>4460</v>
      </c>
      <c r="AB94" s="116" t="s">
        <v>4872</v>
      </c>
      <c r="AC94" s="116" t="s">
        <v>2340</v>
      </c>
      <c r="AD94" s="296" t="s">
        <v>4347</v>
      </c>
      <c r="AE94" s="198"/>
      <c r="AF94" s="197" t="s">
        <v>3505</v>
      </c>
      <c r="AG94" s="116" t="s">
        <v>1893</v>
      </c>
      <c r="AH94" s="244"/>
      <c r="AI94" s="244"/>
      <c r="AJ94" s="198" t="s">
        <v>1824</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2758</v>
      </c>
      <c r="BJ94" s="172"/>
      <c r="BK94" s="173" t="s">
        <v>4876</v>
      </c>
      <c r="BL94" s="172"/>
      <c r="BM94" s="173"/>
      <c r="BN94" s="173" t="s">
        <v>3281</v>
      </c>
      <c r="BO94" s="173" t="s">
        <v>4500</v>
      </c>
      <c r="BP94" s="172"/>
      <c r="BQ94" s="247"/>
      <c r="BR94" s="249"/>
      <c r="BS94" s="174" t="s">
        <v>2241</v>
      </c>
      <c r="BT94" s="128" t="s">
        <v>3695</v>
      </c>
      <c r="BU94" s="174" t="s">
        <v>2085</v>
      </c>
      <c r="BV94" s="174" t="s">
        <v>4877</v>
      </c>
      <c r="BW94" s="174" t="s">
        <v>2994</v>
      </c>
      <c r="BX94" s="249"/>
      <c r="BY94" s="249"/>
      <c r="BZ94" s="249"/>
      <c r="CA94" s="129" t="s">
        <v>4768</v>
      </c>
      <c r="CB94" s="129" t="s">
        <v>4878</v>
      </c>
      <c r="CC94" s="249"/>
      <c r="CD94" s="129" t="s">
        <v>3176</v>
      </c>
      <c r="CE94" s="174" t="s">
        <v>4879</v>
      </c>
      <c r="CF94" s="174"/>
      <c r="CG94" s="177" t="s">
        <v>4880</v>
      </c>
      <c r="CH94" s="134" t="s">
        <v>296</v>
      </c>
      <c r="CI94" s="177" t="s">
        <v>1666</v>
      </c>
      <c r="CJ94" s="177" t="s">
        <v>4881</v>
      </c>
      <c r="CK94" s="177"/>
      <c r="CL94" s="177"/>
      <c r="CM94" s="252"/>
      <c r="CN94" s="177" t="s">
        <v>4689</v>
      </c>
      <c r="CO94" s="134" t="s">
        <v>2737</v>
      </c>
      <c r="CP94" s="252"/>
      <c r="CQ94" s="177"/>
      <c r="CR94" s="252"/>
      <c r="CS94" s="252"/>
      <c r="CT94" s="177" t="s">
        <v>4882</v>
      </c>
      <c r="CU94" s="92"/>
      <c r="CV94" s="203" t="s">
        <v>4747</v>
      </c>
      <c r="CW94" s="253"/>
      <c r="CX94" s="301" t="s">
        <v>1602</v>
      </c>
      <c r="CY94" s="203" t="s">
        <v>4440</v>
      </c>
      <c r="CZ94" s="203" t="s">
        <v>4883</v>
      </c>
      <c r="DA94" s="203" t="s">
        <v>4884</v>
      </c>
      <c r="DB94" s="301" t="s">
        <v>4681</v>
      </c>
      <c r="DC94" s="203" t="s">
        <v>4109</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2880</v>
      </c>
      <c r="L95" s="94" t="s">
        <v>4652</v>
      </c>
      <c r="M95" s="88" t="s">
        <v>4893</v>
      </c>
      <c r="N95" s="99"/>
      <c r="O95" s="94" t="s">
        <v>926</v>
      </c>
      <c r="P95" s="94" t="s">
        <v>2657</v>
      </c>
      <c r="Q95" s="99"/>
      <c r="R95" s="99"/>
      <c r="S95" s="99"/>
      <c r="T95" s="99"/>
      <c r="U95" s="99"/>
      <c r="V95" s="99"/>
      <c r="W95" s="92"/>
      <c r="X95" s="94" t="s">
        <v>4894</v>
      </c>
      <c r="Y95" s="94"/>
      <c r="Z95" s="94" t="s">
        <v>2818</v>
      </c>
      <c r="AA95" s="99"/>
      <c r="AB95" s="94" t="s">
        <v>3092</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3334</v>
      </c>
      <c r="BZ95" s="94" t="s">
        <v>4899</v>
      </c>
      <c r="CA95" s="94" t="s">
        <v>4900</v>
      </c>
      <c r="CB95" s="99"/>
      <c r="CC95" s="99"/>
      <c r="CD95" s="99"/>
      <c r="CE95" s="99"/>
      <c r="CF95" s="237"/>
      <c r="CG95" s="88" t="s">
        <v>171</v>
      </c>
      <c r="CH95" s="94" t="s">
        <v>889</v>
      </c>
      <c r="CI95" s="99"/>
      <c r="CJ95" s="88" t="s">
        <v>4901</v>
      </c>
      <c r="CK95" s="93"/>
      <c r="CL95" s="93"/>
      <c r="CM95" s="94" t="s">
        <v>3717</v>
      </c>
      <c r="CN95" s="94" t="s">
        <v>1124</v>
      </c>
      <c r="CO95" s="99"/>
      <c r="CP95" s="88" t="s">
        <v>4902</v>
      </c>
      <c r="CQ95" s="99"/>
      <c r="CR95" s="99"/>
      <c r="CS95" s="99"/>
      <c r="CT95" s="99"/>
      <c r="CU95" s="92"/>
      <c r="CV95" s="94" t="s">
        <v>1785</v>
      </c>
      <c r="CW95" s="99"/>
      <c r="CX95" s="94" t="s">
        <v>2175</v>
      </c>
      <c r="CY95" s="99"/>
      <c r="CZ95" s="94" t="s">
        <v>4903</v>
      </c>
      <c r="DA95" s="94" t="s">
        <v>1841</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3912</v>
      </c>
      <c r="L96" s="112" t="s">
        <v>2953</v>
      </c>
      <c r="M96" s="112" t="s">
        <v>3413</v>
      </c>
      <c r="N96" s="112" t="s">
        <v>4910</v>
      </c>
      <c r="O96" s="112" t="s">
        <v>4272</v>
      </c>
      <c r="P96" s="112" t="s">
        <v>4911</v>
      </c>
      <c r="Q96" s="112" t="s">
        <v>4912</v>
      </c>
      <c r="R96" s="242"/>
      <c r="S96" s="112" t="s">
        <v>3078</v>
      </c>
      <c r="T96" s="112" t="s">
        <v>4913</v>
      </c>
      <c r="U96" s="242"/>
      <c r="V96" s="166" t="s">
        <v>4914</v>
      </c>
      <c r="W96" s="92"/>
      <c r="X96" s="116" t="s">
        <v>1659</v>
      </c>
      <c r="Y96" s="244"/>
      <c r="Z96" s="244"/>
      <c r="AA96" s="116" t="s">
        <v>992</v>
      </c>
      <c r="AB96" s="197" t="s">
        <v>4915</v>
      </c>
      <c r="AC96" s="116" t="s">
        <v>1481</v>
      </c>
      <c r="AD96" s="198" t="s">
        <v>2885</v>
      </c>
      <c r="AE96" s="244"/>
      <c r="AF96" s="116" t="s">
        <v>3505</v>
      </c>
      <c r="AG96" s="116" t="s">
        <v>4916</v>
      </c>
      <c r="AH96" s="244"/>
      <c r="AI96" s="198" t="s">
        <v>2932</v>
      </c>
      <c r="AJ96" s="198" t="s">
        <v>756</v>
      </c>
      <c r="AK96" s="244"/>
      <c r="AL96" s="97"/>
      <c r="AM96" s="167" t="s">
        <v>4917</v>
      </c>
      <c r="AN96" s="167" t="s">
        <v>4918</v>
      </c>
      <c r="AO96" s="245"/>
      <c r="AP96" s="167" t="s">
        <v>4919</v>
      </c>
      <c r="AQ96" s="245"/>
      <c r="AR96" s="245"/>
      <c r="AS96" s="245"/>
      <c r="AT96" s="167" t="s">
        <v>3230</v>
      </c>
      <c r="AU96" s="121" t="s">
        <v>3450</v>
      </c>
      <c r="AV96" s="121" t="s">
        <v>3184</v>
      </c>
      <c r="AW96" s="121" t="s">
        <v>4920</v>
      </c>
      <c r="AX96" s="245"/>
      <c r="AY96" s="121" t="s">
        <v>4301</v>
      </c>
      <c r="AZ96" s="245"/>
      <c r="BA96" s="245"/>
      <c r="BB96" s="173" t="s">
        <v>2091</v>
      </c>
      <c r="BC96" s="173" t="s">
        <v>2831</v>
      </c>
      <c r="BD96" s="173" t="s">
        <v>1835</v>
      </c>
      <c r="BE96" s="126" t="s">
        <v>2426</v>
      </c>
      <c r="BF96" s="126" t="s">
        <v>4647</v>
      </c>
      <c r="BG96" s="172"/>
      <c r="BH96" s="172"/>
      <c r="BI96" s="126" t="s">
        <v>2934</v>
      </c>
      <c r="BJ96" s="172"/>
      <c r="BK96" s="126" t="s">
        <v>4921</v>
      </c>
      <c r="BL96" s="126" t="s">
        <v>2710</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4079</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3382</v>
      </c>
      <c r="DQ96" s="204" t="s">
        <v>4862</v>
      </c>
      <c r="DR96" s="255"/>
      <c r="DS96" s="255"/>
      <c r="DT96" s="204" t="s">
        <v>2929</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2997</v>
      </c>
      <c r="G97" s="82" t="s">
        <v>1633</v>
      </c>
      <c r="H97" s="94" t="s">
        <v>3282</v>
      </c>
      <c r="I97" s="94" t="s">
        <v>4941</v>
      </c>
      <c r="J97" s="94" t="s">
        <v>4942</v>
      </c>
      <c r="K97" s="266" t="s">
        <v>2880</v>
      </c>
      <c r="L97" s="88" t="s">
        <v>4943</v>
      </c>
      <c r="M97" s="99"/>
      <c r="N97" s="99"/>
      <c r="O97" s="99"/>
      <c r="P97" s="88" t="s">
        <v>2657</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3859</v>
      </c>
      <c r="AH97" s="99"/>
      <c r="AI97" s="99"/>
      <c r="AJ97" s="99"/>
      <c r="AK97" s="99"/>
      <c r="AL97" s="97"/>
      <c r="AM97" s="99"/>
      <c r="AN97" s="99"/>
      <c r="AO97" s="99"/>
      <c r="AP97" s="88" t="s">
        <v>4947</v>
      </c>
      <c r="AQ97" s="99"/>
      <c r="AR97" s="88" t="s">
        <v>135</v>
      </c>
      <c r="AS97" s="99"/>
      <c r="AT97" s="99"/>
      <c r="AU97" s="99"/>
      <c r="AV97" s="99"/>
      <c r="AW97" s="88" t="s">
        <v>3260</v>
      </c>
      <c r="AX97" s="99"/>
      <c r="AY97" s="99"/>
      <c r="AZ97" s="99"/>
      <c r="BA97" s="99"/>
      <c r="BB97" s="99"/>
      <c r="BC97" s="94" t="s">
        <v>4469</v>
      </c>
      <c r="BD97" s="88" t="s">
        <v>2226</v>
      </c>
      <c r="BE97" s="88" t="s">
        <v>4123</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3722</v>
      </c>
      <c r="I98" s="293" t="s">
        <v>3659</v>
      </c>
      <c r="J98" s="293" t="s">
        <v>2115</v>
      </c>
      <c r="K98" s="112" t="s">
        <v>1952</v>
      </c>
      <c r="L98" s="293" t="s">
        <v>1015</v>
      </c>
      <c r="M98" s="112" t="s">
        <v>4962</v>
      </c>
      <c r="N98" s="293" t="s">
        <v>4963</v>
      </c>
      <c r="O98" s="293" t="s">
        <v>2426</v>
      </c>
      <c r="P98" s="293" t="s">
        <v>3108</v>
      </c>
      <c r="Q98" s="293" t="s">
        <v>4964</v>
      </c>
      <c r="R98" s="112" t="s">
        <v>3258</v>
      </c>
      <c r="S98" s="112" t="s">
        <v>4820</v>
      </c>
      <c r="T98" s="242"/>
      <c r="U98" s="112" t="s">
        <v>679</v>
      </c>
      <c r="V98" s="112" t="s">
        <v>4965</v>
      </c>
      <c r="W98" s="92"/>
      <c r="X98" s="296" t="s">
        <v>3027</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3115</v>
      </c>
      <c r="AV98" s="121" t="s">
        <v>4974</v>
      </c>
      <c r="AW98" s="121" t="s">
        <v>4975</v>
      </c>
      <c r="AX98" s="121" t="s">
        <v>4976</v>
      </c>
      <c r="AY98" s="121" t="s">
        <v>1500</v>
      </c>
      <c r="AZ98" s="245"/>
      <c r="BA98" s="245"/>
      <c r="BB98" s="303" t="s">
        <v>363</v>
      </c>
      <c r="BC98" s="126" t="s">
        <v>4977</v>
      </c>
      <c r="BD98" s="303" t="s">
        <v>2796</v>
      </c>
      <c r="BE98" s="303" t="s">
        <v>4978</v>
      </c>
      <c r="BF98" s="126" t="s">
        <v>3312</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3830</v>
      </c>
      <c r="CJ98" s="177" t="s">
        <v>4993</v>
      </c>
      <c r="CK98" s="177"/>
      <c r="CL98" s="450" t="s">
        <v>4994</v>
      </c>
      <c r="CM98" s="177" t="s">
        <v>4995</v>
      </c>
      <c r="CN98" s="134" t="s">
        <v>1436</v>
      </c>
      <c r="CO98" s="134" t="s">
        <v>3616</v>
      </c>
      <c r="CP98" s="252"/>
      <c r="CQ98" s="252"/>
      <c r="CR98" s="252"/>
      <c r="CS98" s="252"/>
      <c r="CT98" s="134" t="s">
        <v>4996</v>
      </c>
      <c r="CU98" s="92"/>
      <c r="CV98" s="139" t="s">
        <v>1820</v>
      </c>
      <c r="CW98" s="301" t="s">
        <v>4024</v>
      </c>
      <c r="CX98" s="301" t="s">
        <v>4368</v>
      </c>
      <c r="CY98" s="301" t="s">
        <v>2947</v>
      </c>
      <c r="CZ98" s="139" t="s">
        <v>4997</v>
      </c>
      <c r="DA98" s="301" t="s">
        <v>2163</v>
      </c>
      <c r="DB98" s="301" t="s">
        <v>4998</v>
      </c>
      <c r="DC98" s="301" t="s">
        <v>2896</v>
      </c>
      <c r="DD98" s="253"/>
      <c r="DE98" s="253"/>
      <c r="DF98" s="253"/>
      <c r="DG98" s="139" t="s">
        <v>477</v>
      </c>
      <c r="DH98" s="139"/>
      <c r="DI98" s="204" t="s">
        <v>1823</v>
      </c>
      <c r="DJ98" s="255"/>
      <c r="DK98" s="255"/>
      <c r="DL98" s="255"/>
      <c r="DM98" s="179" t="s">
        <v>179</v>
      </c>
      <c r="DN98" s="144" t="s">
        <v>4228</v>
      </c>
      <c r="DO98" s="255"/>
      <c r="DP98" s="255"/>
      <c r="DQ98" s="255"/>
      <c r="DR98" s="204" t="s">
        <v>2859</v>
      </c>
      <c r="DS98" s="204" t="s">
        <v>2935</v>
      </c>
      <c r="DT98" s="255"/>
      <c r="DU98" s="144" t="s">
        <v>2159</v>
      </c>
      <c r="DV98" s="255"/>
      <c r="DW98" s="204" t="s">
        <v>895</v>
      </c>
      <c r="DX98" s="255"/>
      <c r="DY98" s="144" t="s">
        <v>3034</v>
      </c>
      <c r="DZ98" s="204" t="s">
        <v>2033</v>
      </c>
      <c r="EA98" s="255"/>
      <c r="EB98" s="255"/>
      <c r="EC98" s="255"/>
      <c r="ED98" s="141" t="s">
        <v>2583</v>
      </c>
    </row>
    <row r="99">
      <c r="A99" s="597" t="s">
        <v>4999</v>
      </c>
      <c r="B99" s="471" t="s">
        <v>5000</v>
      </c>
      <c r="C99" s="472" t="s">
        <v>1258</v>
      </c>
      <c r="D99" s="473" t="s">
        <v>1258</v>
      </c>
      <c r="E99" s="474" t="s">
        <v>1258</v>
      </c>
      <c r="F99" s="475" t="s">
        <v>982</v>
      </c>
      <c r="G99" s="471" t="s">
        <v>3386</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3282</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3655</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2941</v>
      </c>
      <c r="J100" s="166" t="s">
        <v>3465</v>
      </c>
      <c r="K100" s="166" t="s">
        <v>1556</v>
      </c>
      <c r="L100" s="442" t="s">
        <v>5008</v>
      </c>
      <c r="M100" s="242"/>
      <c r="N100" s="166" t="s">
        <v>5009</v>
      </c>
      <c r="O100" s="166" t="s">
        <v>5010</v>
      </c>
      <c r="P100" s="166" t="s">
        <v>3108</v>
      </c>
      <c r="Q100" s="242"/>
      <c r="R100" s="242"/>
      <c r="S100" s="242"/>
      <c r="T100" s="242"/>
      <c r="U100" s="242"/>
      <c r="V100" s="242"/>
      <c r="W100" s="92"/>
      <c r="X100" s="198" t="s">
        <v>5011</v>
      </c>
      <c r="Y100" s="198"/>
      <c r="Z100" s="198" t="s">
        <v>1428</v>
      </c>
      <c r="AA100" s="198" t="s">
        <v>1822</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2918</v>
      </c>
      <c r="BT100" s="174" t="s">
        <v>5013</v>
      </c>
      <c r="BU100" s="174" t="s">
        <v>3444</v>
      </c>
      <c r="BV100" s="174" t="s">
        <v>5014</v>
      </c>
      <c r="BW100" s="174" t="s">
        <v>3486</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2861</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3533</v>
      </c>
      <c r="L101" s="258" t="s">
        <v>5023</v>
      </c>
      <c r="M101" s="258"/>
      <c r="N101" s="258" t="s">
        <v>2921</v>
      </c>
      <c r="O101" s="258" t="s">
        <v>1448</v>
      </c>
      <c r="P101" s="258" t="s">
        <v>2929</v>
      </c>
      <c r="Q101" s="601"/>
      <c r="R101" s="601"/>
      <c r="S101" s="601"/>
      <c r="T101" s="601"/>
      <c r="U101" s="601"/>
      <c r="V101" s="601"/>
      <c r="W101" s="92"/>
      <c r="X101" s="258" t="s">
        <v>3989</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3364</v>
      </c>
      <c r="AV101" s="258" t="s">
        <v>5027</v>
      </c>
      <c r="AW101" s="258"/>
      <c r="AX101" s="601"/>
      <c r="AY101" s="601"/>
      <c r="AZ101" s="601"/>
      <c r="BA101" s="601"/>
      <c r="BB101" s="258" t="s">
        <v>4062</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3482</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2835</v>
      </c>
      <c r="CO101" s="258" t="s">
        <v>3831</v>
      </c>
      <c r="CP101" s="607"/>
      <c r="CQ101" s="601"/>
      <c r="CR101" s="601"/>
      <c r="CS101" s="601"/>
      <c r="CT101" s="601"/>
      <c r="CU101" s="608"/>
      <c r="CV101" s="258" t="s">
        <v>3956</v>
      </c>
      <c r="CW101" s="258" t="s">
        <v>241</v>
      </c>
      <c r="CX101" s="258" t="s">
        <v>1624</v>
      </c>
      <c r="CY101" s="258" t="s">
        <v>1065</v>
      </c>
      <c r="CZ101" s="258" t="s">
        <v>3836</v>
      </c>
      <c r="DA101" s="258" t="s">
        <v>4344</v>
      </c>
      <c r="DB101" s="258" t="s">
        <v>5037</v>
      </c>
      <c r="DC101" s="258" t="s">
        <v>4410</v>
      </c>
      <c r="DD101" s="601"/>
      <c r="DE101" s="601"/>
      <c r="DF101" s="601"/>
      <c r="DG101" s="601"/>
      <c r="DH101" s="605"/>
      <c r="DI101" s="258"/>
      <c r="DJ101" s="601"/>
      <c r="DK101" s="601"/>
      <c r="DL101" s="258"/>
      <c r="DM101" s="258"/>
      <c r="DN101" s="258"/>
      <c r="DO101" s="601"/>
      <c r="DP101" s="601"/>
      <c r="DQ101" s="601"/>
      <c r="DR101" s="258" t="s">
        <v>3255</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2785</v>
      </c>
      <c r="K102" s="293" t="s">
        <v>5041</v>
      </c>
      <c r="L102" s="293" t="s">
        <v>5042</v>
      </c>
      <c r="M102" s="439"/>
      <c r="N102" s="439" t="s">
        <v>4417</v>
      </c>
      <c r="O102" s="439" t="s">
        <v>417</v>
      </c>
      <c r="P102" s="293" t="s">
        <v>3108</v>
      </c>
      <c r="Q102" s="242"/>
      <c r="R102" s="242"/>
      <c r="S102" s="242"/>
      <c r="T102" s="242"/>
      <c r="U102" s="242"/>
      <c r="V102" s="242"/>
      <c r="W102" s="92"/>
      <c r="X102" s="117" t="s">
        <v>3840</v>
      </c>
      <c r="Y102" s="117"/>
      <c r="Z102" s="116" t="s">
        <v>1565</v>
      </c>
      <c r="AA102" s="117" t="s">
        <v>5043</v>
      </c>
      <c r="AB102" s="296" t="s">
        <v>5044</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3730</v>
      </c>
      <c r="BT102" s="130" t="s">
        <v>3781</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3159</v>
      </c>
      <c r="CP102" s="610" t="s">
        <v>5055</v>
      </c>
      <c r="CQ102" s="252"/>
      <c r="CR102" s="252"/>
      <c r="CS102" s="252"/>
      <c r="CT102" s="252"/>
      <c r="CU102" s="92"/>
      <c r="CV102" s="285" t="s">
        <v>5056</v>
      </c>
      <c r="CW102" s="285" t="s">
        <v>4220</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3277</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2953</v>
      </c>
      <c r="M103" s="94" t="s">
        <v>5065</v>
      </c>
      <c r="N103" s="94" t="s">
        <v>5066</v>
      </c>
      <c r="O103" s="94" t="s">
        <v>1966</v>
      </c>
      <c r="P103" s="94" t="s">
        <v>5067</v>
      </c>
      <c r="Q103" s="99"/>
      <c r="R103" s="99"/>
      <c r="S103" s="94" t="s">
        <v>3206</v>
      </c>
      <c r="T103" s="99"/>
      <c r="U103" s="94" t="s">
        <v>637</v>
      </c>
      <c r="V103" s="99"/>
      <c r="W103" s="92"/>
      <c r="X103" s="94" t="s">
        <v>2072</v>
      </c>
      <c r="Y103" s="94"/>
      <c r="Z103" s="94" t="s">
        <v>1967</v>
      </c>
      <c r="AA103" s="94" t="s">
        <v>5068</v>
      </c>
      <c r="AB103" s="94" t="s">
        <v>3697</v>
      </c>
      <c r="AC103" s="612" t="s">
        <v>4243</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4218</v>
      </c>
      <c r="AX103" s="99"/>
      <c r="AY103" s="94" t="s">
        <v>5071</v>
      </c>
      <c r="AZ103" s="94" t="s">
        <v>5072</v>
      </c>
      <c r="BA103" s="94"/>
      <c r="BB103" s="94" t="s">
        <v>5073</v>
      </c>
      <c r="BC103" s="94" t="s">
        <v>5074</v>
      </c>
      <c r="BD103" s="94" t="s">
        <v>1111</v>
      </c>
      <c r="BE103" s="94" t="s">
        <v>1090</v>
      </c>
      <c r="BF103" s="94" t="s">
        <v>3045</v>
      </c>
      <c r="BG103" s="94" t="s">
        <v>2844</v>
      </c>
      <c r="BH103" s="94" t="s">
        <v>5075</v>
      </c>
      <c r="BI103" s="94" t="s">
        <v>5076</v>
      </c>
      <c r="BJ103" s="99"/>
      <c r="BK103" s="94" t="s">
        <v>5077</v>
      </c>
      <c r="BL103" s="94" t="s">
        <v>2860</v>
      </c>
      <c r="BM103" s="99"/>
      <c r="BN103" s="99"/>
      <c r="BO103" s="94"/>
      <c r="BP103" s="99"/>
      <c r="BQ103" s="237"/>
      <c r="BR103" s="99"/>
      <c r="BS103" s="99"/>
      <c r="BT103" s="94" t="s">
        <v>5078</v>
      </c>
      <c r="BU103" s="94" t="s">
        <v>2242</v>
      </c>
      <c r="BV103" s="99"/>
      <c r="BW103" s="94" t="s">
        <v>3517</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3155</v>
      </c>
      <c r="CP103" s="99"/>
      <c r="CQ103" s="99"/>
      <c r="CR103" s="94"/>
      <c r="CS103" s="94" t="s">
        <v>5083</v>
      </c>
      <c r="CT103" s="99"/>
      <c r="CU103" s="92"/>
      <c r="CV103" s="94" t="s">
        <v>5084</v>
      </c>
      <c r="CW103" s="94" t="s">
        <v>2468</v>
      </c>
      <c r="CX103" s="94" t="s">
        <v>5085</v>
      </c>
      <c r="CY103" s="94" t="s">
        <v>4423</v>
      </c>
      <c r="CZ103" s="99"/>
      <c r="DA103" s="94" t="s">
        <v>388</v>
      </c>
      <c r="DB103" s="94" t="s">
        <v>5086</v>
      </c>
      <c r="DC103" s="94" t="s">
        <v>4278</v>
      </c>
      <c r="DD103" s="99"/>
      <c r="DE103" s="99"/>
      <c r="DF103" s="94" t="s">
        <v>3570</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3024</v>
      </c>
      <c r="J104" s="112" t="s">
        <v>4015</v>
      </c>
      <c r="K104" s="166" t="s">
        <v>1272</v>
      </c>
      <c r="L104" s="166" t="s">
        <v>5094</v>
      </c>
      <c r="M104" s="166" t="s">
        <v>5095</v>
      </c>
      <c r="N104" s="166" t="s">
        <v>5096</v>
      </c>
      <c r="O104" s="166" t="s">
        <v>5097</v>
      </c>
      <c r="P104" s="112" t="s">
        <v>4071</v>
      </c>
      <c r="Q104" s="166" t="s">
        <v>5098</v>
      </c>
      <c r="R104" s="242"/>
      <c r="S104" s="166" t="s">
        <v>1384</v>
      </c>
      <c r="T104" s="242"/>
      <c r="U104" s="166" t="s">
        <v>235</v>
      </c>
      <c r="V104" s="321" t="s">
        <v>5099</v>
      </c>
      <c r="W104" s="226"/>
      <c r="X104" s="198" t="s">
        <v>1600</v>
      </c>
      <c r="Y104" s="270"/>
      <c r="Z104" s="270" t="s">
        <v>3731</v>
      </c>
      <c r="AA104" s="198" t="s">
        <v>5100</v>
      </c>
      <c r="AB104" s="198" t="s">
        <v>5101</v>
      </c>
      <c r="AC104" s="198" t="s">
        <v>2262</v>
      </c>
      <c r="AD104" s="198" t="s">
        <v>5102</v>
      </c>
      <c r="AE104" s="244"/>
      <c r="AF104" s="198" t="s">
        <v>5103</v>
      </c>
      <c r="AG104" s="198" t="s">
        <v>1039</v>
      </c>
      <c r="AH104" s="198" t="s">
        <v>2700</v>
      </c>
      <c r="AI104" s="198"/>
      <c r="AJ104" s="198" t="s">
        <v>5104</v>
      </c>
      <c r="AK104" s="335" t="s">
        <v>5105</v>
      </c>
      <c r="AL104" s="97"/>
      <c r="AM104" s="167" t="s">
        <v>1928</v>
      </c>
      <c r="AN104" s="167" t="s">
        <v>5106</v>
      </c>
      <c r="AO104" s="167" t="s">
        <v>5107</v>
      </c>
      <c r="AP104" s="167" t="s">
        <v>1499</v>
      </c>
      <c r="AQ104" s="167" t="s">
        <v>3775</v>
      </c>
      <c r="AR104" s="167" t="s">
        <v>1356</v>
      </c>
      <c r="AS104" s="245"/>
      <c r="AT104" s="167" t="s">
        <v>5108</v>
      </c>
      <c r="AU104" s="121" t="s">
        <v>5109</v>
      </c>
      <c r="AV104" s="167" t="s">
        <v>3277</v>
      </c>
      <c r="AW104" s="167" t="s">
        <v>4167</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3718</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1837</v>
      </c>
      <c r="BV104" s="249"/>
      <c r="BW104" s="175" t="s">
        <v>430</v>
      </c>
      <c r="BX104" s="249"/>
      <c r="BY104" s="249"/>
      <c r="BZ104" s="174" t="s">
        <v>3827</v>
      </c>
      <c r="CA104" s="174" t="s">
        <v>640</v>
      </c>
      <c r="CB104" s="129" t="s">
        <v>5116</v>
      </c>
      <c r="CC104" s="174" t="s">
        <v>5117</v>
      </c>
      <c r="CD104" s="174" t="s">
        <v>3670</v>
      </c>
      <c r="CE104" s="174" t="s">
        <v>5118</v>
      </c>
      <c r="CF104" s="299"/>
      <c r="CG104" s="177" t="s">
        <v>1329</v>
      </c>
      <c r="CH104" s="177" t="s">
        <v>2491</v>
      </c>
      <c r="CI104" s="177" t="s">
        <v>3162</v>
      </c>
      <c r="CJ104" s="177" t="s">
        <v>5119</v>
      </c>
      <c r="CK104" s="177"/>
      <c r="CL104" s="177" t="s">
        <v>5120</v>
      </c>
      <c r="CM104" s="252"/>
      <c r="CN104" s="177" t="s">
        <v>2992</v>
      </c>
      <c r="CO104" s="177" t="s">
        <v>1542</v>
      </c>
      <c r="CP104" s="177" t="s">
        <v>5121</v>
      </c>
      <c r="CQ104" s="177" t="s">
        <v>5122</v>
      </c>
      <c r="CR104" s="177"/>
      <c r="CS104" s="177" t="s">
        <v>5123</v>
      </c>
      <c r="CT104" s="177" t="s">
        <v>5124</v>
      </c>
      <c r="CU104" s="92"/>
      <c r="CV104" s="203" t="s">
        <v>2477</v>
      </c>
      <c r="CW104" s="203" t="s">
        <v>3920</v>
      </c>
      <c r="CX104" s="139" t="s">
        <v>5125</v>
      </c>
      <c r="CY104" s="203" t="s">
        <v>1846</v>
      </c>
      <c r="CZ104" s="253"/>
      <c r="DA104" s="203" t="s">
        <v>4336</v>
      </c>
      <c r="DB104" s="203" t="s">
        <v>5126</v>
      </c>
      <c r="DC104" s="203" t="s">
        <v>3616</v>
      </c>
      <c r="DD104" s="203" t="s">
        <v>5127</v>
      </c>
      <c r="DE104" s="203" t="s">
        <v>3492</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3102</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3110</v>
      </c>
      <c r="AA105" s="94" t="s">
        <v>1692</v>
      </c>
      <c r="AB105" s="93" t="s">
        <v>2071</v>
      </c>
      <c r="AC105" s="94" t="s">
        <v>3493</v>
      </c>
      <c r="AD105" s="94" t="s">
        <v>5054</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3856</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550</v>
      </c>
      <c r="CM105" s="99"/>
      <c r="CN105" s="93" t="s">
        <v>4099</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2687</v>
      </c>
      <c r="I106" s="166" t="s">
        <v>4031</v>
      </c>
      <c r="J106" s="166" t="s">
        <v>5154</v>
      </c>
      <c r="K106" s="166" t="s">
        <v>3981</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3906</v>
      </c>
      <c r="CN106" s="177" t="s">
        <v>3530</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2918</v>
      </c>
      <c r="I107" s="94" t="s">
        <v>5173</v>
      </c>
      <c r="J107" s="94" t="s">
        <v>5174</v>
      </c>
      <c r="K107" s="94" t="s">
        <v>4296</v>
      </c>
      <c r="L107" s="94" t="s">
        <v>2328</v>
      </c>
      <c r="M107" s="99"/>
      <c r="N107" s="94" t="s">
        <v>4360</v>
      </c>
      <c r="O107" s="94" t="s">
        <v>5175</v>
      </c>
      <c r="P107" s="94" t="s">
        <v>4071</v>
      </c>
      <c r="Q107" s="99"/>
      <c r="R107" s="99"/>
      <c r="S107" s="99"/>
      <c r="T107" s="99"/>
      <c r="U107" s="99"/>
      <c r="V107" s="99"/>
      <c r="W107" s="92"/>
      <c r="X107" s="94" t="s">
        <v>4816</v>
      </c>
      <c r="Y107" s="94"/>
      <c r="Z107" s="94" t="s">
        <v>3364</v>
      </c>
      <c r="AA107" s="94" t="s">
        <v>5176</v>
      </c>
      <c r="AB107" s="94" t="s">
        <v>4915</v>
      </c>
      <c r="AC107" s="99"/>
      <c r="AD107" s="94" t="s">
        <v>4192</v>
      </c>
      <c r="AE107" s="99"/>
      <c r="AF107" s="94" t="s">
        <v>3310</v>
      </c>
      <c r="AG107" s="94" t="s">
        <v>5177</v>
      </c>
      <c r="AH107" s="99"/>
      <c r="AI107" s="99"/>
      <c r="AJ107" s="99"/>
      <c r="AK107" s="99"/>
      <c r="AL107" s="97"/>
      <c r="AM107" s="94" t="s">
        <v>4113</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4153</v>
      </c>
      <c r="BG107" s="94" t="s">
        <v>1340</v>
      </c>
      <c r="BH107" s="99"/>
      <c r="BI107" s="94" t="s">
        <v>2768</v>
      </c>
      <c r="BJ107" s="94" t="s">
        <v>5180</v>
      </c>
      <c r="BK107" s="94"/>
      <c r="BL107" s="99"/>
      <c r="BM107" s="99"/>
      <c r="BN107" s="99"/>
      <c r="BO107" s="99"/>
      <c r="BP107" s="99"/>
      <c r="BQ107" s="237"/>
      <c r="BR107" s="94" t="s">
        <v>3799</v>
      </c>
      <c r="BS107" s="99"/>
      <c r="BT107" s="94" t="s">
        <v>2648</v>
      </c>
      <c r="BU107" s="94" t="s">
        <v>5181</v>
      </c>
      <c r="BV107" s="99"/>
      <c r="BW107" s="94" t="s">
        <v>5182</v>
      </c>
      <c r="BX107" s="99"/>
      <c r="BY107" s="99"/>
      <c r="BZ107" s="94" t="s">
        <v>3827</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4217</v>
      </c>
      <c r="J108" s="166" t="s">
        <v>5190</v>
      </c>
      <c r="K108" s="225" t="s">
        <v>4403</v>
      </c>
      <c r="L108" s="166" t="s">
        <v>5191</v>
      </c>
      <c r="M108" s="242"/>
      <c r="N108" s="166" t="s">
        <v>674</v>
      </c>
      <c r="O108" s="166" t="s">
        <v>3854</v>
      </c>
      <c r="P108" s="166" t="s">
        <v>4362</v>
      </c>
      <c r="Q108" s="166" t="s">
        <v>5192</v>
      </c>
      <c r="R108" s="166"/>
      <c r="S108" s="166" t="s">
        <v>232</v>
      </c>
      <c r="T108" s="242"/>
      <c r="U108" s="166" t="s">
        <v>2412</v>
      </c>
      <c r="V108" s="166" t="s">
        <v>5193</v>
      </c>
      <c r="W108" s="92"/>
      <c r="X108" s="198" t="s">
        <v>5194</v>
      </c>
      <c r="Y108" s="270"/>
      <c r="Z108" s="270" t="s">
        <v>2786</v>
      </c>
      <c r="AA108" s="198" t="s">
        <v>2952</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3967</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3322</v>
      </c>
      <c r="Y109" s="94"/>
      <c r="Z109" s="94" t="s">
        <v>4421</v>
      </c>
      <c r="AA109" s="94" t="s">
        <v>4104</v>
      </c>
      <c r="AB109" s="94" t="s">
        <v>4943</v>
      </c>
      <c r="AC109" s="94" t="s">
        <v>4335</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4468</v>
      </c>
      <c r="BC109" s="94" t="s">
        <v>3880</v>
      </c>
      <c r="BD109" s="99"/>
      <c r="BE109" s="94" t="s">
        <v>4426</v>
      </c>
      <c r="BF109" s="94" t="s">
        <v>5209</v>
      </c>
      <c r="BG109" s="99"/>
      <c r="BH109" s="99"/>
      <c r="BI109" s="94" t="s">
        <v>3361</v>
      </c>
      <c r="BJ109" s="94" t="s">
        <v>5210</v>
      </c>
      <c r="BK109" s="99"/>
      <c r="BL109" s="94" t="s">
        <v>1490</v>
      </c>
      <c r="BM109" s="99"/>
      <c r="BN109" s="99"/>
      <c r="BO109" s="99"/>
      <c r="BP109" s="99"/>
      <c r="BQ109" s="237"/>
      <c r="BR109" s="94" t="s">
        <v>5211</v>
      </c>
      <c r="BS109" s="94" t="s">
        <v>4306</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3506</v>
      </c>
      <c r="CN109" s="94" t="s">
        <v>3888</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3874</v>
      </c>
      <c r="BD110" s="200"/>
      <c r="BE110" s="200" t="s">
        <v>5241</v>
      </c>
      <c r="BF110" s="200" t="s">
        <v>5242</v>
      </c>
      <c r="BG110" s="200"/>
      <c r="BH110" s="624"/>
      <c r="BI110" s="200" t="s">
        <v>5243</v>
      </c>
      <c r="BJ110" s="624"/>
      <c r="BK110" s="200" t="s">
        <v>5244</v>
      </c>
      <c r="BL110" s="200"/>
      <c r="BM110" s="624"/>
      <c r="BN110" s="625" t="s">
        <v>3662</v>
      </c>
      <c r="BO110" s="200" t="s">
        <v>2968</v>
      </c>
      <c r="BP110" s="624"/>
      <c r="BQ110" s="626"/>
      <c r="BR110" s="444"/>
      <c r="BS110" s="444" t="s">
        <v>5245</v>
      </c>
      <c r="BT110" s="444" t="s">
        <v>3952</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4153</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3411</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3978</v>
      </c>
      <c r="G112" s="104" t="s">
        <v>983</v>
      </c>
      <c r="H112" s="112" t="s">
        <v>5272</v>
      </c>
      <c r="I112" s="112" t="s">
        <v>5273</v>
      </c>
      <c r="J112" s="112" t="s">
        <v>4942</v>
      </c>
      <c r="K112" s="112" t="s">
        <v>4063</v>
      </c>
      <c r="L112" s="112" t="s">
        <v>4122</v>
      </c>
      <c r="M112" s="166" t="s">
        <v>864</v>
      </c>
      <c r="N112" s="166" t="s">
        <v>5274</v>
      </c>
      <c r="O112" s="293" t="s">
        <v>155</v>
      </c>
      <c r="P112" s="112" t="s">
        <v>2784</v>
      </c>
      <c r="Q112" s="242"/>
      <c r="R112" s="242"/>
      <c r="S112" s="166" t="s">
        <v>3293</v>
      </c>
      <c r="T112" s="242"/>
      <c r="U112" s="112" t="s">
        <v>5275</v>
      </c>
      <c r="V112" s="242"/>
      <c r="W112" s="92"/>
      <c r="X112" s="296" t="s">
        <v>4816</v>
      </c>
      <c r="Y112" s="296"/>
      <c r="Z112" s="296" t="s">
        <v>3919</v>
      </c>
      <c r="AA112" s="116" t="s">
        <v>5276</v>
      </c>
      <c r="AB112" s="198" t="s">
        <v>5277</v>
      </c>
      <c r="AC112" s="116" t="s">
        <v>2630</v>
      </c>
      <c r="AD112" s="296" t="s">
        <v>5278</v>
      </c>
      <c r="AE112" s="244"/>
      <c r="AF112" s="198" t="s">
        <v>5279</v>
      </c>
      <c r="AG112" s="296" t="s">
        <v>5196</v>
      </c>
      <c r="AH112" s="198" t="s">
        <v>1695</v>
      </c>
      <c r="AI112" s="244"/>
      <c r="AJ112" s="116" t="s">
        <v>3728</v>
      </c>
      <c r="AK112" s="244"/>
      <c r="AL112" s="97"/>
      <c r="AM112" s="167" t="s">
        <v>4469</v>
      </c>
      <c r="AN112" s="167" t="s">
        <v>1120</v>
      </c>
      <c r="AO112" s="245"/>
      <c r="AP112" s="167" t="s">
        <v>5280</v>
      </c>
      <c r="AQ112" s="167" t="s">
        <v>5281</v>
      </c>
      <c r="AR112" s="167" t="s">
        <v>2467</v>
      </c>
      <c r="AS112" s="121" t="s">
        <v>1747</v>
      </c>
      <c r="AT112" s="245"/>
      <c r="AU112" s="455" t="s">
        <v>3713</v>
      </c>
      <c r="AV112" s="279" t="s">
        <v>4716</v>
      </c>
      <c r="AW112" s="121" t="s">
        <v>4068</v>
      </c>
      <c r="AX112" s="245"/>
      <c r="AY112" s="167" t="s">
        <v>5282</v>
      </c>
      <c r="AZ112" s="245"/>
      <c r="BA112" s="245"/>
      <c r="BB112" s="173" t="s">
        <v>4376</v>
      </c>
      <c r="BC112" s="173" t="s">
        <v>198</v>
      </c>
      <c r="BD112" s="126" t="s">
        <v>4685</v>
      </c>
      <c r="BE112" s="173" t="s">
        <v>3117</v>
      </c>
      <c r="BF112" s="173" t="s">
        <v>4364</v>
      </c>
      <c r="BG112" s="173" t="s">
        <v>2578</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3950</v>
      </c>
      <c r="DN112" s="255"/>
      <c r="DO112" s="255"/>
      <c r="DP112" s="144" t="s">
        <v>5304</v>
      </c>
      <c r="DQ112" s="255"/>
      <c r="DR112" s="204" t="s">
        <v>5305</v>
      </c>
      <c r="DS112" s="204" t="s">
        <v>5296</v>
      </c>
      <c r="DT112" s="204" t="s">
        <v>5306</v>
      </c>
      <c r="DU112" s="255"/>
      <c r="DV112" s="204" t="s">
        <v>3273</v>
      </c>
      <c r="DW112" s="144" t="s">
        <v>3374</v>
      </c>
      <c r="DX112" s="255"/>
      <c r="DY112" s="255"/>
      <c r="DZ112" s="255"/>
      <c r="EA112" s="255"/>
      <c r="EB112" s="255"/>
      <c r="EC112" s="255"/>
      <c r="ED112" s="287"/>
    </row>
    <row r="113">
      <c r="A113" s="81" t="s">
        <v>5307</v>
      </c>
      <c r="B113" s="82" t="s">
        <v>5308</v>
      </c>
      <c r="C113" s="83" t="s">
        <v>1258</v>
      </c>
      <c r="D113" s="84" t="s">
        <v>1258</v>
      </c>
      <c r="E113" s="85" t="s">
        <v>1258</v>
      </c>
      <c r="F113" s="86" t="s">
        <v>545</v>
      </c>
      <c r="G113" s="82" t="s">
        <v>3350</v>
      </c>
      <c r="H113" s="99"/>
      <c r="I113" s="94" t="s">
        <v>5309</v>
      </c>
      <c r="J113" s="88" t="s">
        <v>5310</v>
      </c>
      <c r="K113" s="94" t="s">
        <v>4512</v>
      </c>
      <c r="L113" s="266" t="s">
        <v>564</v>
      </c>
      <c r="M113" s="99"/>
      <c r="N113" s="94" t="s">
        <v>5311</v>
      </c>
      <c r="O113" s="94" t="s">
        <v>1090</v>
      </c>
      <c r="P113" s="94" t="s">
        <v>3639</v>
      </c>
      <c r="Q113" s="99"/>
      <c r="R113" s="99"/>
      <c r="S113" s="99"/>
      <c r="T113" s="99"/>
      <c r="U113" s="99"/>
      <c r="V113" s="99"/>
      <c r="W113" s="92"/>
      <c r="X113" s="94" t="s">
        <v>2642</v>
      </c>
      <c r="Y113" s="94"/>
      <c r="Z113" s="94" t="s">
        <v>1076</v>
      </c>
      <c r="AA113" s="94" t="s">
        <v>3269</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3522</v>
      </c>
      <c r="L114" s="166" t="s">
        <v>5325</v>
      </c>
      <c r="M114" s="110" t="str">
        <f>HYPERLINK("https://www.twitch.tv/videos/204820156","2:20.22")</f>
        <v>2:20.22</v>
      </c>
      <c r="N114" s="166" t="s">
        <v>1044</v>
      </c>
      <c r="O114" s="166" t="s">
        <v>1157</v>
      </c>
      <c r="P114" s="549" t="s">
        <v>2720</v>
      </c>
      <c r="Q114" s="166"/>
      <c r="R114" s="166"/>
      <c r="S114" s="166"/>
      <c r="T114" s="166"/>
      <c r="U114" s="166"/>
      <c r="V114" s="242"/>
      <c r="W114" s="92"/>
      <c r="X114" s="198" t="s">
        <v>777</v>
      </c>
      <c r="Y114" s="335"/>
      <c r="Z114" s="335" t="s">
        <v>5326</v>
      </c>
      <c r="AA114" s="198" t="s">
        <v>510</v>
      </c>
      <c r="AB114" s="198" t="s">
        <v>5044</v>
      </c>
      <c r="AC114" s="198" t="s">
        <v>4335</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4913</v>
      </c>
      <c r="BC114" s="173" t="s">
        <v>3325</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3713</v>
      </c>
      <c r="CP114" s="177"/>
      <c r="CQ114" s="177"/>
      <c r="CR114" s="177"/>
      <c r="CS114" s="177"/>
      <c r="CT114" s="177"/>
      <c r="CU114" s="92"/>
      <c r="CV114" s="203" t="s">
        <v>5333</v>
      </c>
      <c r="CW114" s="203" t="s">
        <v>3004</v>
      </c>
      <c r="CX114" s="203" t="s">
        <v>5027</v>
      </c>
      <c r="CY114" s="203" t="s">
        <v>1146</v>
      </c>
      <c r="CZ114" s="203" t="s">
        <v>5334</v>
      </c>
      <c r="DA114" s="203"/>
      <c r="DB114" s="203" t="s">
        <v>5335</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3578</v>
      </c>
      <c r="H115" s="94" t="s">
        <v>777</v>
      </c>
      <c r="I115" s="306" t="s">
        <v>3613</v>
      </c>
      <c r="J115" s="94" t="s">
        <v>5338</v>
      </c>
      <c r="K115" s="88" t="s">
        <v>2880</v>
      </c>
      <c r="L115" s="94" t="s">
        <v>4860</v>
      </c>
      <c r="M115" s="99"/>
      <c r="N115" s="99"/>
      <c r="O115" s="94" t="s">
        <v>261</v>
      </c>
      <c r="P115" s="94" t="s">
        <v>109</v>
      </c>
      <c r="Q115" s="99"/>
      <c r="R115" s="99"/>
      <c r="S115" s="94" t="s">
        <v>2646</v>
      </c>
      <c r="T115" s="99"/>
      <c r="U115" s="99"/>
      <c r="V115" s="99"/>
      <c r="W115" s="92"/>
      <c r="X115" s="88" t="s">
        <v>3088</v>
      </c>
      <c r="Y115" s="93"/>
      <c r="Z115" s="93" t="s">
        <v>2498</v>
      </c>
      <c r="AA115" s="93" t="s">
        <v>4104</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3862</v>
      </c>
      <c r="CW115" s="94" t="s">
        <v>4403</v>
      </c>
      <c r="CX115" s="93" t="s">
        <v>3460</v>
      </c>
      <c r="CY115" s="94" t="s">
        <v>1004</v>
      </c>
      <c r="CZ115" s="94" t="s">
        <v>2878</v>
      </c>
      <c r="DA115" s="99"/>
      <c r="DB115" s="94" t="s">
        <v>3942</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1852</v>
      </c>
      <c r="N116" s="166" t="s">
        <v>4699</v>
      </c>
      <c r="O116" s="646" t="s">
        <v>3118</v>
      </c>
      <c r="P116" s="646" t="s">
        <v>4862</v>
      </c>
      <c r="Q116" s="242"/>
      <c r="R116" s="242"/>
      <c r="S116" s="646" t="s">
        <v>5354</v>
      </c>
      <c r="T116" s="242"/>
      <c r="U116" s="242"/>
      <c r="V116" s="242"/>
      <c r="W116" s="92"/>
      <c r="X116" s="647" t="s">
        <v>1978</v>
      </c>
      <c r="Y116" s="270"/>
      <c r="Z116" s="648" t="s">
        <v>2686</v>
      </c>
      <c r="AA116" s="198" t="s">
        <v>455</v>
      </c>
      <c r="AB116" s="649" t="s">
        <v>3318</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4303</v>
      </c>
      <c r="BG116" s="172"/>
      <c r="BH116" s="172"/>
      <c r="BI116" s="297" t="s">
        <v>1963</v>
      </c>
      <c r="BJ116" s="652"/>
      <c r="BK116" s="297" t="s">
        <v>5363</v>
      </c>
      <c r="BL116" s="297" t="s">
        <v>5364</v>
      </c>
      <c r="BM116" s="173"/>
      <c r="BN116" s="126" t="s">
        <v>3281</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3374</v>
      </c>
      <c r="CB116" s="249"/>
      <c r="CC116" s="249"/>
      <c r="CD116" s="299" t="s">
        <v>2751</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3551</v>
      </c>
      <c r="EA116" s="658" t="s">
        <v>3119</v>
      </c>
      <c r="EB116" s="255"/>
      <c r="EC116" s="255"/>
      <c r="ED116" s="287"/>
    </row>
    <row r="117">
      <c r="A117" s="453" t="s">
        <v>5378</v>
      </c>
      <c r="B117" s="82" t="s">
        <v>5379</v>
      </c>
      <c r="C117" s="83" t="s">
        <v>1258</v>
      </c>
      <c r="D117" s="84" t="s">
        <v>1258</v>
      </c>
      <c r="E117" s="85" t="s">
        <v>1258</v>
      </c>
      <c r="F117" s="86" t="s">
        <v>2744</v>
      </c>
      <c r="G117" s="82" t="s">
        <v>5092</v>
      </c>
      <c r="H117" s="94" t="s">
        <v>3362</v>
      </c>
      <c r="I117" s="94" t="s">
        <v>5380</v>
      </c>
      <c r="J117" s="94" t="s">
        <v>5381</v>
      </c>
      <c r="K117" s="94" t="s">
        <v>753</v>
      </c>
      <c r="L117" s="94" t="s">
        <v>828</v>
      </c>
      <c r="M117" s="99"/>
      <c r="N117" s="94" t="s">
        <v>5382</v>
      </c>
      <c r="O117" s="94" t="s">
        <v>4529</v>
      </c>
      <c r="P117" s="88" t="s">
        <v>555</v>
      </c>
      <c r="Q117" s="94" t="s">
        <v>2444</v>
      </c>
      <c r="R117" s="99"/>
      <c r="S117" s="88" t="s">
        <v>2763</v>
      </c>
      <c r="T117" s="99"/>
      <c r="U117" s="94" t="s">
        <v>5383</v>
      </c>
      <c r="V117" s="88" t="s">
        <v>5384</v>
      </c>
      <c r="W117" s="92"/>
      <c r="X117" s="94" t="s">
        <v>4280</v>
      </c>
      <c r="Y117" s="94"/>
      <c r="Z117" s="94" t="s">
        <v>1574</v>
      </c>
      <c r="AA117" s="94" t="s">
        <v>1511</v>
      </c>
      <c r="AB117" s="94" t="s">
        <v>609</v>
      </c>
      <c r="AC117" s="94" t="s">
        <v>3834</v>
      </c>
      <c r="AD117" s="94" t="s">
        <v>5385</v>
      </c>
      <c r="AE117" s="94"/>
      <c r="AF117" s="94" t="s">
        <v>4006</v>
      </c>
      <c r="AG117" s="88" t="s">
        <v>2068</v>
      </c>
      <c r="AH117" s="94" t="s">
        <v>2808</v>
      </c>
      <c r="AI117" s="102"/>
      <c r="AJ117" s="88" t="s">
        <v>3072</v>
      </c>
      <c r="AK117" s="94" t="s">
        <v>5386</v>
      </c>
      <c r="AL117" s="97"/>
      <c r="AM117" s="94" t="s">
        <v>3584</v>
      </c>
      <c r="AN117" s="94" t="s">
        <v>1305</v>
      </c>
      <c r="AO117" s="99"/>
      <c r="AP117" s="88" t="s">
        <v>5387</v>
      </c>
      <c r="AQ117" s="94" t="s">
        <v>967</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836</v>
      </c>
      <c r="BF117" s="94" t="s">
        <v>2611</v>
      </c>
      <c r="BG117" s="94" t="s">
        <v>3278</v>
      </c>
      <c r="BH117" s="99"/>
      <c r="BI117" s="94" t="s">
        <v>5394</v>
      </c>
      <c r="BJ117" s="94" t="s">
        <v>1145</v>
      </c>
      <c r="BK117" s="99"/>
      <c r="BL117" s="161" t="s">
        <v>5364</v>
      </c>
      <c r="BM117" s="94" t="s">
        <v>5395</v>
      </c>
      <c r="BN117" s="94" t="s">
        <v>4085</v>
      </c>
      <c r="BO117" s="99"/>
      <c r="BP117" s="94" t="s">
        <v>5396</v>
      </c>
      <c r="BQ117" s="94"/>
      <c r="BR117" s="99"/>
      <c r="BS117" s="94" t="s">
        <v>5397</v>
      </c>
      <c r="BT117" s="94" t="s">
        <v>232</v>
      </c>
      <c r="BU117" s="94" t="s">
        <v>579</v>
      </c>
      <c r="BV117" s="94" t="s">
        <v>5398</v>
      </c>
      <c r="BW117" s="94" t="s">
        <v>5399</v>
      </c>
      <c r="BX117" s="99"/>
      <c r="BY117" s="88" t="s">
        <v>3126</v>
      </c>
      <c r="BZ117" s="99"/>
      <c r="CA117" s="88" t="s">
        <v>3838</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3639</v>
      </c>
      <c r="CP117" s="99"/>
      <c r="CQ117" s="94" t="s">
        <v>5406</v>
      </c>
      <c r="CR117" s="99"/>
      <c r="CS117" s="99"/>
      <c r="CT117" s="94" t="s">
        <v>3555</v>
      </c>
      <c r="CU117" s="92"/>
      <c r="CV117" s="94" t="s">
        <v>2621</v>
      </c>
      <c r="CW117" s="94" t="s">
        <v>4732</v>
      </c>
      <c r="CX117" s="94" t="s">
        <v>3330</v>
      </c>
      <c r="CY117" s="94" t="s">
        <v>660</v>
      </c>
      <c r="CZ117" s="99"/>
      <c r="DA117" s="99"/>
      <c r="DB117" s="88" t="s">
        <v>5407</v>
      </c>
      <c r="DC117" s="88" t="s">
        <v>2423</v>
      </c>
      <c r="DD117" s="94" t="s">
        <v>5408</v>
      </c>
      <c r="DE117" s="94" t="s">
        <v>5325</v>
      </c>
      <c r="DF117" s="94" t="s">
        <v>5409</v>
      </c>
      <c r="DG117" s="94" t="s">
        <v>5410</v>
      </c>
      <c r="DH117" s="94"/>
      <c r="DI117" s="94" t="s">
        <v>4145</v>
      </c>
      <c r="DJ117" s="94"/>
      <c r="DK117" s="94" t="s">
        <v>5411</v>
      </c>
      <c r="DL117" s="94"/>
      <c r="DM117" s="94" t="s">
        <v>5412</v>
      </c>
      <c r="DN117" s="94" t="s">
        <v>2479</v>
      </c>
      <c r="DO117" s="161" t="s">
        <v>5413</v>
      </c>
      <c r="DP117" s="94" t="s">
        <v>4127</v>
      </c>
      <c r="DQ117" s="99"/>
      <c r="DR117" s="94" t="s">
        <v>5414</v>
      </c>
      <c r="DS117" s="94" t="s">
        <v>5415</v>
      </c>
      <c r="DT117" s="94" t="s">
        <v>3777</v>
      </c>
      <c r="DU117" s="94" t="s">
        <v>3502</v>
      </c>
      <c r="DV117" s="94" t="s">
        <v>1000</v>
      </c>
      <c r="DW117" s="94" t="s">
        <v>1343</v>
      </c>
      <c r="DX117" s="94" t="s">
        <v>4175</v>
      </c>
      <c r="DY117" s="94" t="s">
        <v>1085</v>
      </c>
      <c r="DZ117" s="94" t="s">
        <v>2865</v>
      </c>
      <c r="EA117" s="94" t="s">
        <v>3987</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1819</v>
      </c>
      <c r="AN118" s="167" t="s">
        <v>4288</v>
      </c>
      <c r="AO118" s="245"/>
      <c r="AP118" s="245"/>
      <c r="AQ118" s="245"/>
      <c r="AR118" s="245"/>
      <c r="AS118" s="167" t="s">
        <v>4046</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4261</v>
      </c>
      <c r="BH118" s="173" t="s">
        <v>4576</v>
      </c>
      <c r="BI118" s="173" t="s">
        <v>5435</v>
      </c>
      <c r="BJ118" s="173" t="s">
        <v>963</v>
      </c>
      <c r="BK118" s="173"/>
      <c r="BL118" s="173" t="s">
        <v>5436</v>
      </c>
      <c r="BM118" s="172"/>
      <c r="BN118" s="173" t="s">
        <v>1913</v>
      </c>
      <c r="BO118" s="173" t="s">
        <v>2989</v>
      </c>
      <c r="BP118" s="172"/>
      <c r="BQ118" s="247"/>
      <c r="BR118" s="174"/>
      <c r="BS118" s="174" t="s">
        <v>5437</v>
      </c>
      <c r="BT118" s="174" t="s">
        <v>2935</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3115</v>
      </c>
      <c r="CP118" s="177" t="s">
        <v>5447</v>
      </c>
      <c r="CQ118" s="177" t="s">
        <v>549</v>
      </c>
      <c r="CR118" s="177"/>
      <c r="CS118" s="177" t="s">
        <v>5295</v>
      </c>
      <c r="CT118" s="252"/>
      <c r="CU118" s="92"/>
      <c r="CV118" s="203" t="s">
        <v>5448</v>
      </c>
      <c r="CW118" s="203" t="s">
        <v>5449</v>
      </c>
      <c r="CX118" s="203" t="s">
        <v>3403</v>
      </c>
      <c r="CY118" s="203" t="s">
        <v>1853</v>
      </c>
      <c r="CZ118" s="203" t="s">
        <v>5450</v>
      </c>
      <c r="DA118" s="203" t="s">
        <v>4036</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4121</v>
      </c>
      <c r="H119" s="94" t="s">
        <v>3841</v>
      </c>
      <c r="I119" s="94" t="s">
        <v>5455</v>
      </c>
      <c r="J119" s="447" t="s">
        <v>5456</v>
      </c>
      <c r="K119" s="94" t="s">
        <v>3981</v>
      </c>
      <c r="L119" s="93" t="s">
        <v>4051</v>
      </c>
      <c r="M119" s="99"/>
      <c r="N119" s="99"/>
      <c r="O119" s="93" t="s">
        <v>1371</v>
      </c>
      <c r="P119" s="94" t="s">
        <v>2784</v>
      </c>
      <c r="Q119" s="99"/>
      <c r="R119" s="94"/>
      <c r="S119" s="94"/>
      <c r="T119" s="99"/>
      <c r="U119" s="99"/>
      <c r="V119" s="99"/>
      <c r="W119" s="92"/>
      <c r="X119" s="94" t="s">
        <v>3165</v>
      </c>
      <c r="Y119" s="99"/>
      <c r="Z119" s="99"/>
      <c r="AA119" s="94" t="s">
        <v>1278</v>
      </c>
      <c r="AB119" s="94" t="s">
        <v>5457</v>
      </c>
      <c r="AC119" s="94" t="s">
        <v>3702</v>
      </c>
      <c r="AD119" s="99"/>
      <c r="AE119" s="99"/>
      <c r="AF119" s="99"/>
      <c r="AG119" s="94" t="s">
        <v>3706</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3923</v>
      </c>
      <c r="BT119" s="94" t="s">
        <v>5354</v>
      </c>
      <c r="BU119" s="94" t="s">
        <v>643</v>
      </c>
      <c r="BV119" s="99"/>
      <c r="BW119" s="94" t="s">
        <v>5460</v>
      </c>
      <c r="BX119" s="99"/>
      <c r="BY119" s="99"/>
      <c r="BZ119" s="99"/>
      <c r="CA119" s="99"/>
      <c r="CB119" s="99"/>
      <c r="CC119" s="99"/>
      <c r="CD119" s="99"/>
      <c r="CE119" s="99"/>
      <c r="CF119" s="237"/>
      <c r="CG119" s="94" t="s">
        <v>5461</v>
      </c>
      <c r="CH119" s="93" t="s">
        <v>3184</v>
      </c>
      <c r="CI119" s="99"/>
      <c r="CJ119" s="661" t="s">
        <v>5462</v>
      </c>
      <c r="CK119" s="661" t="s">
        <v>5463</v>
      </c>
      <c r="CL119" s="99"/>
      <c r="CM119" s="94" t="s">
        <v>3989</v>
      </c>
      <c r="CN119" s="94" t="s">
        <v>1606</v>
      </c>
      <c r="CO119" s="98" t="str">
        <f>HYPERLINK("https://clips.twitch.tv/GlutenFreeFlirtyAmazonNinjaGrumpy","18.93")</f>
        <v>18.93</v>
      </c>
      <c r="CP119" s="99"/>
      <c r="CQ119" s="99"/>
      <c r="CR119" s="99"/>
      <c r="CS119" s="99"/>
      <c r="CT119" s="99"/>
      <c r="CU119" s="92"/>
      <c r="CV119" s="447"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4063</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3037</v>
      </c>
      <c r="CX120" s="203" t="s">
        <v>4232</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3753</v>
      </c>
      <c r="AO121" s="99"/>
      <c r="AP121" s="99"/>
      <c r="AQ121" s="99"/>
      <c r="AR121" s="99"/>
      <c r="AS121" s="94" t="s">
        <v>5507</v>
      </c>
      <c r="AT121" s="99"/>
      <c r="AU121" s="94" t="s">
        <v>1710</v>
      </c>
      <c r="AV121" s="94" t="s">
        <v>2115</v>
      </c>
      <c r="AW121" s="94" t="s">
        <v>5508</v>
      </c>
      <c r="AX121" s="99"/>
      <c r="AY121" s="94" t="s">
        <v>5503</v>
      </c>
      <c r="AZ121" s="99"/>
      <c r="BA121" s="99"/>
      <c r="BB121" s="94" t="s">
        <v>5509</v>
      </c>
      <c r="BC121" s="94" t="s">
        <v>2771</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3582</v>
      </c>
      <c r="BP121" s="99"/>
      <c r="BQ121" s="237"/>
      <c r="BR121" s="94" t="s">
        <v>5516</v>
      </c>
      <c r="BS121" s="99"/>
      <c r="BT121" s="94" t="s">
        <v>4478</v>
      </c>
      <c r="BU121" s="94" t="s">
        <v>5517</v>
      </c>
      <c r="BV121" s="94" t="s">
        <v>5518</v>
      </c>
      <c r="BW121" s="94" t="s">
        <v>5519</v>
      </c>
      <c r="BX121" s="99"/>
      <c r="BY121" s="94" t="s">
        <v>3873</v>
      </c>
      <c r="BZ121" s="94" t="s">
        <v>5520</v>
      </c>
      <c r="CA121" s="94" t="s">
        <v>5521</v>
      </c>
      <c r="CB121" s="99"/>
      <c r="CC121" s="99"/>
      <c r="CD121" s="99"/>
      <c r="CE121" s="99"/>
      <c r="CF121" s="237"/>
      <c r="CG121" s="94" t="s">
        <v>5522</v>
      </c>
      <c r="CH121" s="94" t="s">
        <v>5134</v>
      </c>
      <c r="CI121" s="94" t="s">
        <v>1058</v>
      </c>
      <c r="CJ121" s="94" t="s">
        <v>5523</v>
      </c>
      <c r="CK121" s="94"/>
      <c r="CL121" s="94" t="s">
        <v>4185</v>
      </c>
      <c r="CM121" s="94" t="s">
        <v>5524</v>
      </c>
      <c r="CN121" s="94" t="s">
        <v>5525</v>
      </c>
      <c r="CO121" s="94" t="s">
        <v>4166</v>
      </c>
      <c r="CP121" s="99"/>
      <c r="CQ121" s="94" t="s">
        <v>5526</v>
      </c>
      <c r="CR121" s="99"/>
      <c r="CS121" s="99"/>
      <c r="CT121" s="99"/>
      <c r="CU121" s="92"/>
      <c r="CV121" s="94" t="s">
        <v>1646</v>
      </c>
      <c r="CW121" s="94" t="s">
        <v>5527</v>
      </c>
      <c r="CX121" s="94" t="s">
        <v>5528</v>
      </c>
      <c r="CY121" s="94" t="s">
        <v>3504</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3463</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3968</v>
      </c>
      <c r="AA122" s="296" t="s">
        <v>5548</v>
      </c>
      <c r="AB122" s="296" t="s">
        <v>3545</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3012</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3817</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3594</v>
      </c>
      <c r="CJ122" s="177" t="s">
        <v>5569</v>
      </c>
      <c r="CK122" s="177"/>
      <c r="CL122" s="177" t="s">
        <v>4185</v>
      </c>
      <c r="CM122" s="177" t="s">
        <v>5570</v>
      </c>
      <c r="CN122" s="177" t="s">
        <v>5571</v>
      </c>
      <c r="CO122" s="177" t="s">
        <v>5572</v>
      </c>
      <c r="CP122" s="252"/>
      <c r="CQ122" s="252"/>
      <c r="CR122" s="252"/>
      <c r="CS122" s="252"/>
      <c r="CT122" s="252"/>
      <c r="CU122" s="92"/>
      <c r="CV122" s="203" t="s">
        <v>5573</v>
      </c>
      <c r="CW122" s="203" t="s">
        <v>3183</v>
      </c>
      <c r="CX122" s="203" t="s">
        <v>5574</v>
      </c>
      <c r="CY122" s="203" t="s">
        <v>5575</v>
      </c>
      <c r="CZ122" s="203" t="s">
        <v>5576</v>
      </c>
      <c r="DA122" s="203" t="s">
        <v>1963</v>
      </c>
      <c r="DB122" s="203" t="s">
        <v>5577</v>
      </c>
      <c r="DC122" s="203" t="s">
        <v>3213</v>
      </c>
      <c r="DD122" s="253"/>
      <c r="DE122" s="253"/>
      <c r="DF122" s="253"/>
      <c r="DG122" s="203" t="s">
        <v>5578</v>
      </c>
      <c r="DH122" s="310"/>
      <c r="DI122" s="204" t="s">
        <v>2420</v>
      </c>
      <c r="DJ122" s="255"/>
      <c r="DK122" s="255"/>
      <c r="DL122" s="204"/>
      <c r="DM122" s="255"/>
      <c r="DN122" s="204" t="s">
        <v>5579</v>
      </c>
      <c r="DO122" s="204" t="s">
        <v>3810</v>
      </c>
      <c r="DP122" s="204" t="s">
        <v>1185</v>
      </c>
      <c r="DQ122" s="255"/>
      <c r="DR122" s="204" t="s">
        <v>5580</v>
      </c>
      <c r="DS122" s="204"/>
      <c r="DT122" s="255"/>
      <c r="DU122" s="255"/>
      <c r="DV122" s="204" t="s">
        <v>3091</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3095</v>
      </c>
      <c r="AA123" s="88" t="s">
        <v>5591</v>
      </c>
      <c r="AB123" s="88" t="s">
        <v>5592</v>
      </c>
      <c r="AC123" s="88" t="s">
        <v>1516</v>
      </c>
      <c r="AD123" s="88" t="s">
        <v>3767</v>
      </c>
      <c r="AE123" s="88" t="s">
        <v>3114</v>
      </c>
      <c r="AF123" s="88" t="s">
        <v>2664</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3616</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2744</v>
      </c>
      <c r="H124" s="242"/>
      <c r="I124" s="166" t="s">
        <v>3852</v>
      </c>
      <c r="J124" s="242"/>
      <c r="K124" s="110" t="str">
        <f>HYPERLINK("https://www.youtube.com/watch?v=fhmkEG98u50","13.86")</f>
        <v>13.86</v>
      </c>
      <c r="L124" s="242" t="s">
        <v>1815</v>
      </c>
      <c r="M124" s="242"/>
      <c r="N124" s="242"/>
      <c r="O124" s="110" t="s">
        <v>3635</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4185</v>
      </c>
      <c r="Q125" s="99"/>
      <c r="R125" s="99"/>
      <c r="S125" s="99"/>
      <c r="T125" s="99"/>
      <c r="U125" s="99"/>
      <c r="V125" s="99"/>
      <c r="W125" s="92"/>
      <c r="X125" s="94" t="s">
        <v>3009</v>
      </c>
      <c r="Y125" s="94"/>
      <c r="Z125" s="94" t="s">
        <v>5618</v>
      </c>
      <c r="AA125" s="94" t="s">
        <v>4749</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1835</v>
      </c>
      <c r="BE125" s="94" t="s">
        <v>5624</v>
      </c>
      <c r="BF125" s="94" t="s">
        <v>4694</v>
      </c>
      <c r="BG125" s="94" t="s">
        <v>4154</v>
      </c>
      <c r="BH125" s="99"/>
      <c r="BI125" s="266" t="s">
        <v>610</v>
      </c>
      <c r="BJ125" s="94" t="s">
        <v>5625</v>
      </c>
      <c r="BK125" s="94" t="s">
        <v>5626</v>
      </c>
      <c r="BL125" s="94" t="s">
        <v>5627</v>
      </c>
      <c r="BM125" s="99"/>
      <c r="BN125" s="99"/>
      <c r="BO125" s="99"/>
      <c r="BP125" s="99"/>
      <c r="BQ125" s="237"/>
      <c r="BR125" s="94" t="s">
        <v>5628</v>
      </c>
      <c r="BS125" s="94" t="s">
        <v>3113</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4130</v>
      </c>
      <c r="CJ125" s="94" t="s">
        <v>5633</v>
      </c>
      <c r="CK125" s="94"/>
      <c r="CL125" s="94"/>
      <c r="CM125" s="94" t="s">
        <v>5634</v>
      </c>
      <c r="CN125" s="94" t="s">
        <v>1626</v>
      </c>
      <c r="CO125" s="94" t="s">
        <v>5033</v>
      </c>
      <c r="CP125" s="99"/>
      <c r="CQ125" s="99"/>
      <c r="CR125" s="99"/>
      <c r="CS125" s="99"/>
      <c r="CT125" s="99"/>
      <c r="CU125" s="92"/>
      <c r="CV125" s="94" t="s">
        <v>5635</v>
      </c>
      <c r="CW125" s="94" t="s">
        <v>4104</v>
      </c>
      <c r="CX125" s="94" t="s">
        <v>3281</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3081</v>
      </c>
      <c r="P126" s="166" t="s">
        <v>5646</v>
      </c>
      <c r="Q126" s="242"/>
      <c r="R126" s="242"/>
      <c r="S126" s="242"/>
      <c r="T126" s="242"/>
      <c r="U126" s="242"/>
      <c r="V126" s="242"/>
      <c r="W126" s="92"/>
      <c r="X126" s="198" t="s">
        <v>3480</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3259</v>
      </c>
      <c r="CY126" s="203" t="s">
        <v>4561</v>
      </c>
      <c r="CZ126" s="203" t="s">
        <v>5315</v>
      </c>
      <c r="DA126" s="203" t="s">
        <v>4791</v>
      </c>
      <c r="DB126" s="203" t="s">
        <v>5666</v>
      </c>
      <c r="DC126" s="203" t="s">
        <v>3887</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4190</v>
      </c>
      <c r="T127" s="99"/>
      <c r="U127" s="94" t="s">
        <v>3219</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3521</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4268</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2936</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3623</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2752</v>
      </c>
      <c r="M128" s="242"/>
      <c r="N128" s="166" t="s">
        <v>5698</v>
      </c>
      <c r="O128" s="166" t="s">
        <v>690</v>
      </c>
      <c r="P128" s="166" t="s">
        <v>1271</v>
      </c>
      <c r="Q128" s="242"/>
      <c r="R128" s="242"/>
      <c r="S128" s="242"/>
      <c r="T128" s="242"/>
      <c r="U128" s="242"/>
      <c r="V128" s="242"/>
      <c r="W128" s="92"/>
      <c r="X128" s="198" t="s">
        <v>2526</v>
      </c>
      <c r="Y128" s="198"/>
      <c r="Z128" s="198" t="s">
        <v>3842</v>
      </c>
      <c r="AA128" s="198" t="s">
        <v>5675</v>
      </c>
      <c r="AB128" s="198" t="s">
        <v>5699</v>
      </c>
      <c r="AC128" s="198" t="s">
        <v>4233</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3427</v>
      </c>
      <c r="AV128" s="167" t="s">
        <v>290</v>
      </c>
      <c r="AW128" s="245"/>
      <c r="AX128" s="245"/>
      <c r="AY128" s="245"/>
      <c r="AZ128" s="245"/>
      <c r="BA128" s="245"/>
      <c r="BB128" s="173" t="s">
        <v>4327</v>
      </c>
      <c r="BC128" s="173" t="s">
        <v>580</v>
      </c>
      <c r="BD128" s="173" t="s">
        <v>3685</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3115</v>
      </c>
      <c r="CP128" s="252"/>
      <c r="CQ128" s="252"/>
      <c r="CR128" s="252"/>
      <c r="CS128" s="252"/>
      <c r="CT128" s="252"/>
      <c r="CU128" s="92"/>
      <c r="CV128" s="203" t="s">
        <v>3658</v>
      </c>
      <c r="CW128" s="203" t="s">
        <v>2839</v>
      </c>
      <c r="CX128" s="203" t="s">
        <v>5134</v>
      </c>
      <c r="CY128" s="203" t="s">
        <v>908</v>
      </c>
      <c r="CZ128" s="203" t="s">
        <v>1675</v>
      </c>
      <c r="DA128" s="253"/>
      <c r="DB128" s="203" t="s">
        <v>5037</v>
      </c>
      <c r="DC128" s="203" t="s">
        <v>4278</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3193</v>
      </c>
      <c r="Y129" s="102"/>
      <c r="Z129" s="88" t="s">
        <v>2524</v>
      </c>
      <c r="AA129" s="266" t="s">
        <v>5717</v>
      </c>
      <c r="AB129" s="94" t="s">
        <v>5718</v>
      </c>
      <c r="AC129" s="88" t="s">
        <v>3892</v>
      </c>
      <c r="AD129" s="266" t="s">
        <v>3453</v>
      </c>
      <c r="AE129" s="99"/>
      <c r="AF129" s="266" t="s">
        <v>5719</v>
      </c>
      <c r="AG129" s="88" t="s">
        <v>4752</v>
      </c>
      <c r="AH129" s="99"/>
      <c r="AI129" s="99"/>
      <c r="AJ129" s="99"/>
      <c r="AK129" s="99"/>
      <c r="AL129" s="97"/>
      <c r="AM129" s="99"/>
      <c r="AN129" s="99"/>
      <c r="AO129" s="99"/>
      <c r="AP129" s="99"/>
      <c r="AQ129" s="99"/>
      <c r="AR129" s="99"/>
      <c r="AS129" s="99"/>
      <c r="AT129" s="99"/>
      <c r="AU129" s="88" t="s">
        <v>3155</v>
      </c>
      <c r="AV129" s="88" t="s">
        <v>3972</v>
      </c>
      <c r="AW129" s="99"/>
      <c r="AX129" s="99"/>
      <c r="AY129" s="99"/>
      <c r="AZ129" s="99"/>
      <c r="BA129" s="99"/>
      <c r="BB129" s="88" t="s">
        <v>5720</v>
      </c>
      <c r="BC129" s="266" t="s">
        <v>4242</v>
      </c>
      <c r="BD129" s="266" t="s">
        <v>5632</v>
      </c>
      <c r="BE129" s="88" t="s">
        <v>3359</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3586</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2778</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3071</v>
      </c>
      <c r="BJ130" s="173" t="s">
        <v>5754</v>
      </c>
      <c r="BK130" s="372"/>
      <c r="BL130" s="372" t="s">
        <v>5755</v>
      </c>
      <c r="BM130" s="172"/>
      <c r="BN130" s="172"/>
      <c r="BO130" s="372"/>
      <c r="BP130" s="172"/>
      <c r="BQ130" s="247"/>
      <c r="BR130" s="130" t="s">
        <v>5756</v>
      </c>
      <c r="BS130" s="130" t="s">
        <v>4334</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2820</v>
      </c>
      <c r="CL130" s="135" t="s">
        <v>5603</v>
      </c>
      <c r="CM130" s="135" t="s">
        <v>3317</v>
      </c>
      <c r="CN130" s="135" t="s">
        <v>1581</v>
      </c>
      <c r="CO130" s="135" t="s">
        <v>3364</v>
      </c>
      <c r="CP130" s="542"/>
      <c r="CQ130" s="252"/>
      <c r="CR130" s="252"/>
      <c r="CS130" s="252"/>
      <c r="CT130" s="252"/>
      <c r="CU130" s="92"/>
      <c r="CV130" s="285" t="s">
        <v>4309</v>
      </c>
      <c r="CW130" s="285" t="s">
        <v>5766</v>
      </c>
      <c r="CX130" s="285" t="s">
        <v>2639</v>
      </c>
      <c r="CY130" s="285" t="s">
        <v>2660</v>
      </c>
      <c r="CZ130" s="285" t="s">
        <v>1011</v>
      </c>
      <c r="DA130" s="285" t="s">
        <v>3790</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2738</v>
      </c>
      <c r="P131" s="94" t="s">
        <v>3583</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2875</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3146</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3380</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3565</v>
      </c>
      <c r="M133" s="99"/>
      <c r="N133" s="94" t="s">
        <v>5469</v>
      </c>
      <c r="O133" s="94" t="s">
        <v>851</v>
      </c>
      <c r="P133" s="94" t="s">
        <v>3269</v>
      </c>
      <c r="Q133" s="99"/>
      <c r="R133" s="99"/>
      <c r="S133" s="99"/>
      <c r="T133" s="99"/>
      <c r="U133" s="94" t="s">
        <v>3219</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2721</v>
      </c>
      <c r="L134" s="321" t="s">
        <v>2099</v>
      </c>
      <c r="M134" s="321" t="s">
        <v>5798</v>
      </c>
      <c r="N134" s="321" t="s">
        <v>5799</v>
      </c>
      <c r="O134" s="321" t="s">
        <v>3962</v>
      </c>
      <c r="P134" s="321" t="s">
        <v>4969</v>
      </c>
      <c r="Q134" s="166" t="s">
        <v>5800</v>
      </c>
      <c r="R134" s="242"/>
      <c r="S134" s="166" t="s">
        <v>3816</v>
      </c>
      <c r="T134" s="242"/>
      <c r="U134" s="166" t="s">
        <v>1266</v>
      </c>
      <c r="V134" s="166" t="s">
        <v>5801</v>
      </c>
      <c r="W134" s="92"/>
      <c r="X134" s="335" t="s">
        <v>5019</v>
      </c>
      <c r="Y134" s="335"/>
      <c r="Z134" s="335" t="s">
        <v>3603</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4347</v>
      </c>
      <c r="BH134" s="173" t="s">
        <v>5810</v>
      </c>
      <c r="BI134" s="200" t="s">
        <v>4445</v>
      </c>
      <c r="BJ134" s="172"/>
      <c r="BK134" s="200" t="s">
        <v>5811</v>
      </c>
      <c r="BL134" s="200" t="s">
        <v>2860</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3414</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3332</v>
      </c>
      <c r="CZ134" s="284" t="s">
        <v>5828</v>
      </c>
      <c r="DA134" s="284" t="s">
        <v>4062</v>
      </c>
      <c r="DB134" s="284" t="s">
        <v>5829</v>
      </c>
      <c r="DC134" s="284" t="s">
        <v>5830</v>
      </c>
      <c r="DD134" s="203" t="s">
        <v>5831</v>
      </c>
      <c r="DE134" s="253"/>
      <c r="DF134" s="253"/>
      <c r="DG134" s="203" t="s">
        <v>5832</v>
      </c>
      <c r="DH134" s="263"/>
      <c r="DI134" s="287" t="s">
        <v>568</v>
      </c>
      <c r="DJ134" s="255"/>
      <c r="DK134" s="204" t="s">
        <v>4031</v>
      </c>
      <c r="DL134" s="287" t="s">
        <v>5833</v>
      </c>
      <c r="DM134" s="287" t="s">
        <v>3990</v>
      </c>
      <c r="DN134" s="287" t="s">
        <v>3164</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3956</v>
      </c>
      <c r="ED134" s="287" t="s">
        <v>5841</v>
      </c>
    </row>
    <row r="135">
      <c r="A135" s="674" t="s">
        <v>5842</v>
      </c>
      <c r="B135" s="82" t="s">
        <v>5843</v>
      </c>
      <c r="C135" s="83" t="s">
        <v>1258</v>
      </c>
      <c r="D135" s="84" t="s">
        <v>1258</v>
      </c>
      <c r="E135" s="85" t="s">
        <v>1258</v>
      </c>
      <c r="F135" s="86" t="s">
        <v>3978</v>
      </c>
      <c r="G135" s="82" t="s">
        <v>3978</v>
      </c>
      <c r="H135" s="88" t="s">
        <v>5844</v>
      </c>
      <c r="I135" s="88" t="s">
        <v>5845</v>
      </c>
      <c r="J135" s="88" t="s">
        <v>4671</v>
      </c>
      <c r="K135" s="99"/>
      <c r="L135" s="88" t="s">
        <v>5846</v>
      </c>
      <c r="M135" s="88" t="s">
        <v>5847</v>
      </c>
      <c r="N135" s="99"/>
      <c r="O135" s="99"/>
      <c r="P135" s="88" t="s">
        <v>3639</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2997</v>
      </c>
      <c r="H136" s="166" t="s">
        <v>5856</v>
      </c>
      <c r="I136" s="166" t="s">
        <v>5857</v>
      </c>
      <c r="J136" s="166" t="s">
        <v>916</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3165</v>
      </c>
      <c r="BC136" s="173" t="s">
        <v>5864</v>
      </c>
      <c r="BD136" s="173" t="s">
        <v>4164</v>
      </c>
      <c r="BE136" s="172"/>
      <c r="BF136" s="172"/>
      <c r="BG136" s="172"/>
      <c r="BH136" s="172"/>
      <c r="BI136" s="173" t="s">
        <v>911</v>
      </c>
      <c r="BJ136" s="172"/>
      <c r="BK136" s="172"/>
      <c r="BL136" s="172"/>
      <c r="BM136" s="172"/>
      <c r="BN136" s="172"/>
      <c r="BO136" s="172"/>
      <c r="BP136" s="172"/>
      <c r="BQ136" s="247"/>
      <c r="BR136" s="174"/>
      <c r="BS136" s="174" t="s">
        <v>3276</v>
      </c>
      <c r="BT136" s="174" t="s">
        <v>4828</v>
      </c>
      <c r="BU136" s="174" t="s">
        <v>1841</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3102</v>
      </c>
      <c r="H137" s="94" t="s">
        <v>4213</v>
      </c>
      <c r="I137" s="94" t="s">
        <v>5871</v>
      </c>
      <c r="J137" s="94" t="s">
        <v>3365</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3852</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4287</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3111</v>
      </c>
      <c r="L138" s="482" t="s">
        <v>5219</v>
      </c>
      <c r="M138" s="483"/>
      <c r="N138" s="431" t="s">
        <v>5890</v>
      </c>
      <c r="O138" s="431" t="s">
        <v>5780</v>
      </c>
      <c r="P138" s="482" t="s">
        <v>3269</v>
      </c>
      <c r="Q138" s="483"/>
      <c r="R138" s="483"/>
      <c r="S138" s="483" t="s">
        <v>4107</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3493</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3745</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3477</v>
      </c>
      <c r="CY138" s="497" t="s">
        <v>5901</v>
      </c>
      <c r="CZ138" s="681" t="s">
        <v>5902</v>
      </c>
      <c r="DA138" s="498" t="s">
        <v>1854</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3790</v>
      </c>
      <c r="I139" s="266" t="s">
        <v>5908</v>
      </c>
      <c r="J139" s="266" t="s">
        <v>1730</v>
      </c>
      <c r="K139" s="258" t="s">
        <v>351</v>
      </c>
      <c r="L139" s="258" t="s">
        <v>609</v>
      </c>
      <c r="M139" s="258" t="s">
        <v>5909</v>
      </c>
      <c r="N139" s="258" t="s">
        <v>5910</v>
      </c>
      <c r="O139" s="93" t="s">
        <v>242</v>
      </c>
      <c r="P139" s="258" t="s">
        <v>4862</v>
      </c>
      <c r="Q139" s="94" t="s">
        <v>5911</v>
      </c>
      <c r="R139" s="99"/>
      <c r="S139" s="94" t="s">
        <v>4107</v>
      </c>
      <c r="T139" s="99"/>
      <c r="U139" s="94" t="s">
        <v>2097</v>
      </c>
      <c r="V139" s="94" t="s">
        <v>5912</v>
      </c>
      <c r="W139" s="92"/>
      <c r="X139" s="457" t="s">
        <v>5016</v>
      </c>
      <c r="Y139" s="161"/>
      <c r="Z139" s="161" t="s">
        <v>5531</v>
      </c>
      <c r="AA139" s="88" t="s">
        <v>414</v>
      </c>
      <c r="AB139" s="266" t="s">
        <v>2670</v>
      </c>
      <c r="AC139" s="266" t="s">
        <v>3888</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4312</v>
      </c>
      <c r="AV139" s="258" t="s">
        <v>3502</v>
      </c>
      <c r="AW139" s="258" t="s">
        <v>4196</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3874</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3407</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2830</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4152</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2923</v>
      </c>
      <c r="BH141" s="99"/>
      <c r="BI141" s="94" t="s">
        <v>900</v>
      </c>
      <c r="BJ141" s="99"/>
      <c r="BK141" s="99"/>
      <c r="BL141" s="99"/>
      <c r="BM141" s="99"/>
      <c r="BN141" s="99"/>
      <c r="BO141" s="99"/>
      <c r="BP141" s="99"/>
      <c r="BQ141" s="237"/>
      <c r="BR141" s="94" t="s">
        <v>5949</v>
      </c>
      <c r="BS141" s="94" t="s">
        <v>5950</v>
      </c>
      <c r="BT141" s="94" t="s">
        <v>495</v>
      </c>
      <c r="BU141" s="266" t="s">
        <v>3097</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3713</v>
      </c>
      <c r="CP141" s="99"/>
      <c r="CQ141" s="99"/>
      <c r="CR141" s="99"/>
      <c r="CS141" s="99"/>
      <c r="CT141" s="99"/>
      <c r="CU141" s="92"/>
      <c r="CV141" s="94" t="s">
        <v>2918</v>
      </c>
      <c r="CW141" s="94" t="s">
        <v>3676</v>
      </c>
      <c r="CX141" s="94" t="s">
        <v>2810</v>
      </c>
      <c r="CY141" s="94" t="s">
        <v>5960</v>
      </c>
      <c r="CZ141" s="94" t="s">
        <v>3733</v>
      </c>
      <c r="DA141" s="94" t="s">
        <v>1813</v>
      </c>
      <c r="DB141" s="94" t="s">
        <v>5961</v>
      </c>
      <c r="DC141" s="94" t="s">
        <v>3848</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2745</v>
      </c>
      <c r="H142" s="166" t="s">
        <v>5965</v>
      </c>
      <c r="I142" s="293" t="s">
        <v>1589</v>
      </c>
      <c r="J142" s="166" t="s">
        <v>5966</v>
      </c>
      <c r="K142" s="166" t="s">
        <v>5967</v>
      </c>
      <c r="L142" s="166" t="s">
        <v>5968</v>
      </c>
      <c r="M142" s="242"/>
      <c r="N142" s="166" t="s">
        <v>5969</v>
      </c>
      <c r="O142" s="166" t="s">
        <v>3594</v>
      </c>
      <c r="P142" s="166" t="s">
        <v>999</v>
      </c>
      <c r="Q142" s="242"/>
      <c r="R142" s="166" t="s">
        <v>324</v>
      </c>
      <c r="S142" s="166" t="s">
        <v>2221</v>
      </c>
      <c r="T142" s="242"/>
      <c r="U142" s="166" t="s">
        <v>3231</v>
      </c>
      <c r="V142" s="242"/>
      <c r="W142" s="92"/>
      <c r="X142" s="198" t="s">
        <v>5970</v>
      </c>
      <c r="Y142" s="117"/>
      <c r="Z142" s="116" t="s">
        <v>2398</v>
      </c>
      <c r="AA142" s="198" t="s">
        <v>4528</v>
      </c>
      <c r="AB142" s="198" t="s">
        <v>1678</v>
      </c>
      <c r="AC142" s="198" t="s">
        <v>3890</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3584</v>
      </c>
      <c r="BF142" s="173" t="s">
        <v>5790</v>
      </c>
      <c r="BG142" s="172"/>
      <c r="BH142" s="172"/>
      <c r="BI142" s="173" t="s">
        <v>4027</v>
      </c>
      <c r="BJ142" s="173" t="s">
        <v>5974</v>
      </c>
      <c r="BK142" s="173"/>
      <c r="BL142" s="173" t="s">
        <v>2629</v>
      </c>
      <c r="BM142" s="172"/>
      <c r="BN142" s="173" t="s">
        <v>4234</v>
      </c>
      <c r="BO142" s="172"/>
      <c r="BP142" s="172"/>
      <c r="BQ142" s="247"/>
      <c r="BR142" s="174" t="s">
        <v>5975</v>
      </c>
      <c r="BS142" s="174" t="s">
        <v>4253</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4312</v>
      </c>
      <c r="CP142" s="252"/>
      <c r="CQ142" s="252"/>
      <c r="CR142" s="252"/>
      <c r="CS142" s="252"/>
      <c r="CT142" s="252"/>
      <c r="CU142" s="92"/>
      <c r="CV142" s="203" t="s">
        <v>5983</v>
      </c>
      <c r="CW142" s="203" t="s">
        <v>2839</v>
      </c>
      <c r="CX142" s="203" t="s">
        <v>3761</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4107</v>
      </c>
      <c r="DX142" s="204" t="s">
        <v>5989</v>
      </c>
      <c r="DY142" s="204" t="s">
        <v>2192</v>
      </c>
      <c r="DZ142" s="204" t="s">
        <v>5990</v>
      </c>
      <c r="EA142" s="204" t="s">
        <v>3412</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2714</v>
      </c>
      <c r="H144" s="321" t="s">
        <v>6004</v>
      </c>
      <c r="I144" s="321" t="s">
        <v>6005</v>
      </c>
      <c r="J144" s="321" t="s">
        <v>6006</v>
      </c>
      <c r="K144" s="321" t="s">
        <v>1952</v>
      </c>
      <c r="L144" s="550" t="s">
        <v>3690</v>
      </c>
      <c r="M144" s="321" t="s">
        <v>6007</v>
      </c>
      <c r="N144" s="321" t="s">
        <v>6008</v>
      </c>
      <c r="O144" s="321" t="s">
        <v>3143</v>
      </c>
      <c r="P144" s="321" t="s">
        <v>251</v>
      </c>
      <c r="Q144" s="688"/>
      <c r="R144" s="688"/>
      <c r="S144" s="689">
        <v>37.85</v>
      </c>
      <c r="T144" s="688"/>
      <c r="U144" s="166" t="s">
        <v>1905</v>
      </c>
      <c r="V144" s="689" t="s">
        <v>6009</v>
      </c>
      <c r="W144" s="690"/>
      <c r="X144" s="691"/>
      <c r="Y144" s="691"/>
      <c r="Z144" s="691"/>
      <c r="AA144" s="117" t="s">
        <v>3039</v>
      </c>
      <c r="AB144" s="692"/>
      <c r="AC144" s="335" t="s">
        <v>3561</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3071</v>
      </c>
      <c r="BJ144" s="699"/>
      <c r="BK144" s="372" t="s">
        <v>6010</v>
      </c>
      <c r="BL144" s="200" t="s">
        <v>3786</v>
      </c>
      <c r="BM144" s="699"/>
      <c r="BN144" s="700">
        <v>35.32</v>
      </c>
      <c r="BO144" s="698"/>
      <c r="BP144" s="699"/>
      <c r="BQ144" s="701"/>
      <c r="BR144" s="702"/>
      <c r="BS144" s="702"/>
      <c r="BT144" s="444" t="s">
        <v>2781</v>
      </c>
      <c r="BU144" s="444" t="s">
        <v>6011</v>
      </c>
      <c r="BV144" s="702"/>
      <c r="BW144" s="444" t="s">
        <v>3120</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3311</v>
      </c>
      <c r="CX144" s="285" t="s">
        <v>2992</v>
      </c>
      <c r="CY144" s="710"/>
      <c r="CZ144" s="710"/>
      <c r="DA144" s="284" t="s">
        <v>2371</v>
      </c>
      <c r="DB144" s="711" t="s">
        <v>6015</v>
      </c>
      <c r="DC144" s="710"/>
      <c r="DD144" s="712"/>
      <c r="DE144" s="712"/>
      <c r="DF144" s="712"/>
      <c r="DG144" s="712"/>
      <c r="DH144" s="713"/>
      <c r="DI144" s="714"/>
      <c r="DJ144" s="715"/>
      <c r="DK144" s="715"/>
      <c r="DL144" s="714"/>
      <c r="DM144" s="714"/>
      <c r="DN144" s="287" t="s">
        <v>3922</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1851</v>
      </c>
      <c r="I145" s="94" t="s">
        <v>3721</v>
      </c>
      <c r="J145" s="94" t="s">
        <v>572</v>
      </c>
      <c r="K145" s="94" t="s">
        <v>2721</v>
      </c>
      <c r="L145" s="94" t="s">
        <v>4122</v>
      </c>
      <c r="M145" s="94" t="s">
        <v>6019</v>
      </c>
      <c r="N145" s="94" t="s">
        <v>6020</v>
      </c>
      <c r="O145" s="94" t="s">
        <v>444</v>
      </c>
      <c r="P145" s="94" t="s">
        <v>3960</v>
      </c>
      <c r="Q145" s="99"/>
      <c r="R145" s="99"/>
      <c r="S145" s="99"/>
      <c r="T145" s="99"/>
      <c r="U145" s="99"/>
      <c r="V145" s="99"/>
      <c r="W145" s="92"/>
      <c r="X145" s="94" t="s">
        <v>5019</v>
      </c>
      <c r="Y145" s="94"/>
      <c r="Z145" s="94" t="s">
        <v>4257</v>
      </c>
      <c r="AA145" s="94" t="s">
        <v>5607</v>
      </c>
      <c r="AB145" s="94" t="s">
        <v>784</v>
      </c>
      <c r="AC145" s="94" t="s">
        <v>4342</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2959</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4050</v>
      </c>
      <c r="BJ148" s="172"/>
      <c r="BK148" s="172"/>
      <c r="BL148" s="126" t="s">
        <v>2111</v>
      </c>
      <c r="BM148" s="172"/>
      <c r="BN148" s="172"/>
      <c r="BO148" s="172"/>
      <c r="BP148" s="172"/>
      <c r="BQ148" s="247"/>
      <c r="BR148" s="249"/>
      <c r="BS148" s="249"/>
      <c r="BT148" s="249"/>
      <c r="BU148" s="129" t="s">
        <v>1077</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3623</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3937</v>
      </c>
      <c r="I149" s="94" t="s">
        <v>4087</v>
      </c>
      <c r="J149" s="94" t="s">
        <v>678</v>
      </c>
      <c r="K149" s="94" t="s">
        <v>6039</v>
      </c>
      <c r="L149" s="94" t="s">
        <v>6055</v>
      </c>
      <c r="M149" s="94" t="s">
        <v>6056</v>
      </c>
      <c r="N149" s="94" t="s">
        <v>6057</v>
      </c>
      <c r="O149" s="94" t="s">
        <v>3138</v>
      </c>
      <c r="P149" s="94" t="s">
        <v>4166</v>
      </c>
      <c r="Q149" s="94" t="s">
        <v>6058</v>
      </c>
      <c r="R149" s="99"/>
      <c r="S149" s="94" t="s">
        <v>972</v>
      </c>
      <c r="T149" s="99"/>
      <c r="U149" s="94" t="s">
        <v>6059</v>
      </c>
      <c r="V149" s="94" t="s">
        <v>6060</v>
      </c>
      <c r="W149" s="92"/>
      <c r="X149" s="94" t="s">
        <v>6061</v>
      </c>
      <c r="Y149" s="94"/>
      <c r="Z149" s="94" t="s">
        <v>2086</v>
      </c>
      <c r="AA149" s="94" t="s">
        <v>3643</v>
      </c>
      <c r="AB149" s="94" t="s">
        <v>3690</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3184</v>
      </c>
      <c r="BE149" s="94" t="s">
        <v>3771</v>
      </c>
      <c r="BF149" s="94" t="s">
        <v>6078</v>
      </c>
      <c r="BG149" s="94" t="s">
        <v>6079</v>
      </c>
      <c r="BH149" s="94" t="s">
        <v>6080</v>
      </c>
      <c r="BI149" s="94" t="s">
        <v>6081</v>
      </c>
      <c r="BJ149" s="99"/>
      <c r="BK149" s="99"/>
      <c r="BL149" s="94" t="s">
        <v>456</v>
      </c>
      <c r="BM149" s="94" t="s">
        <v>2178</v>
      </c>
      <c r="BN149" s="94" t="s">
        <v>4289</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3817</v>
      </c>
      <c r="CO149" s="94" t="s">
        <v>2122</v>
      </c>
      <c r="CP149" s="94" t="s">
        <v>6092</v>
      </c>
      <c r="CQ149" s="94" t="s">
        <v>6093</v>
      </c>
      <c r="CR149" s="99"/>
      <c r="CS149" s="94" t="s">
        <v>5042</v>
      </c>
      <c r="CT149" s="94" t="s">
        <v>6094</v>
      </c>
      <c r="CU149" s="92"/>
      <c r="CV149" s="94" t="s">
        <v>2902</v>
      </c>
      <c r="CW149" s="94" t="s">
        <v>6095</v>
      </c>
      <c r="CX149" s="94" t="s">
        <v>2445</v>
      </c>
      <c r="CY149" s="94" t="s">
        <v>6096</v>
      </c>
      <c r="CZ149" s="94" t="s">
        <v>1431</v>
      </c>
      <c r="DA149" s="94" t="s">
        <v>4222</v>
      </c>
      <c r="DB149" s="94" t="s">
        <v>6097</v>
      </c>
      <c r="DC149" s="94" t="s">
        <v>6098</v>
      </c>
      <c r="DD149" s="94" t="s">
        <v>6099</v>
      </c>
      <c r="DE149" s="94" t="s">
        <v>4184</v>
      </c>
      <c r="DF149" s="94" t="s">
        <v>1888</v>
      </c>
      <c r="DG149" s="94" t="s">
        <v>6100</v>
      </c>
      <c r="DH149" s="237"/>
      <c r="DI149" s="94" t="s">
        <v>4051</v>
      </c>
      <c r="DJ149" s="99"/>
      <c r="DK149" s="94" t="s">
        <v>2800</v>
      </c>
      <c r="DL149" s="94" t="s">
        <v>2113</v>
      </c>
      <c r="DM149" s="94" t="s">
        <v>3706</v>
      </c>
      <c r="DN149" s="94" t="s">
        <v>2421</v>
      </c>
      <c r="DO149" s="94" t="s">
        <v>4137</v>
      </c>
      <c r="DP149" s="94" t="s">
        <v>6101</v>
      </c>
      <c r="DQ149" s="94" t="s">
        <v>179</v>
      </c>
      <c r="DR149" s="94" t="s">
        <v>6102</v>
      </c>
      <c r="DS149" s="94" t="s">
        <v>3139</v>
      </c>
      <c r="DT149" s="94" t="s">
        <v>4838</v>
      </c>
      <c r="DU149" s="94" t="s">
        <v>6103</v>
      </c>
      <c r="DV149" s="94" t="s">
        <v>6104</v>
      </c>
      <c r="DW149" s="94" t="s">
        <v>1047</v>
      </c>
      <c r="DX149" s="94" t="s">
        <v>3890</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4363</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3814</v>
      </c>
      <c r="AD150" s="244"/>
      <c r="AE150" s="244"/>
      <c r="AF150" s="244"/>
      <c r="AG150" s="116" t="s">
        <v>2665</v>
      </c>
      <c r="AH150" s="244"/>
      <c r="AI150" s="244"/>
      <c r="AJ150" s="244"/>
      <c r="AK150" s="244"/>
      <c r="AL150" s="97"/>
      <c r="AM150" s="245"/>
      <c r="AN150" s="121" t="s">
        <v>4257</v>
      </c>
      <c r="AO150" s="245"/>
      <c r="AP150" s="245"/>
      <c r="AQ150" s="245"/>
      <c r="AR150" s="245"/>
      <c r="AS150" s="245"/>
      <c r="AT150" s="245"/>
      <c r="AU150" s="121" t="s">
        <v>2637</v>
      </c>
      <c r="AV150" s="167" t="s">
        <v>3396</v>
      </c>
      <c r="AW150" s="121" t="s">
        <v>3015</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4841</v>
      </c>
      <c r="BX150" s="249"/>
      <c r="BY150" s="249"/>
      <c r="BZ150" s="249"/>
      <c r="CA150" s="249"/>
      <c r="CB150" s="249"/>
      <c r="CC150" s="249"/>
      <c r="CD150" s="249"/>
      <c r="CE150" s="249"/>
      <c r="CF150" s="251"/>
      <c r="CG150" s="252"/>
      <c r="CH150" s="134" t="s">
        <v>1656</v>
      </c>
      <c r="CI150" s="252"/>
      <c r="CJ150" s="262" t="s">
        <v>3899</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3059</v>
      </c>
      <c r="BJ151" s="266" t="s">
        <v>6125</v>
      </c>
      <c r="BK151" s="102"/>
      <c r="BL151" s="102"/>
      <c r="BM151" s="99"/>
      <c r="BN151" s="99"/>
      <c r="BO151" s="102"/>
      <c r="BP151" s="99"/>
      <c r="BQ151" s="237"/>
      <c r="BR151" s="102" t="s">
        <v>2549</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3064</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2940</v>
      </c>
      <c r="H153" s="258"/>
      <c r="I153" s="258" t="s">
        <v>2820</v>
      </c>
      <c r="J153" s="98" t="s">
        <v>6144</v>
      </c>
      <c r="K153" s="258" t="s">
        <v>6145</v>
      </c>
      <c r="L153" s="102" t="s">
        <v>4153</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3420</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3017</v>
      </c>
      <c r="T154" s="620"/>
      <c r="U154" s="620"/>
      <c r="V154" s="620"/>
      <c r="W154" s="608"/>
      <c r="X154" s="335" t="s">
        <v>6159</v>
      </c>
      <c r="Y154" s="335"/>
      <c r="Z154" s="335" t="s">
        <v>2842</v>
      </c>
      <c r="AA154" s="335" t="s">
        <v>131</v>
      </c>
      <c r="AB154" s="335" t="s">
        <v>6160</v>
      </c>
      <c r="AC154" s="335" t="s">
        <v>3888</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3647</v>
      </c>
      <c r="AV154" s="455" t="s">
        <v>770</v>
      </c>
      <c r="AW154" s="455"/>
      <c r="AX154" s="623"/>
      <c r="AY154" s="623"/>
      <c r="AZ154" s="623"/>
      <c r="BA154" s="623"/>
      <c r="BB154" s="200"/>
      <c r="BC154" s="200" t="s">
        <v>6163</v>
      </c>
      <c r="BD154" s="200" t="s">
        <v>3342</v>
      </c>
      <c r="BE154" s="200" t="s">
        <v>6164</v>
      </c>
      <c r="BF154" s="200" t="s">
        <v>2428</v>
      </c>
      <c r="BG154" s="200" t="s">
        <v>6165</v>
      </c>
      <c r="BH154" s="624"/>
      <c r="BI154" s="200" t="s">
        <v>2824</v>
      </c>
      <c r="BJ154" s="624"/>
      <c r="BK154" s="200" t="s">
        <v>6166</v>
      </c>
      <c r="BL154" s="200" t="s">
        <v>4220</v>
      </c>
      <c r="BM154" s="624"/>
      <c r="BN154" s="624"/>
      <c r="BO154" s="200"/>
      <c r="BP154" s="624"/>
      <c r="BQ154" s="626"/>
      <c r="BR154" s="444"/>
      <c r="BS154" s="444" t="s">
        <v>6167</v>
      </c>
      <c r="BT154" s="444" t="s">
        <v>4239</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2718</v>
      </c>
      <c r="CO154" s="336" t="s">
        <v>6174</v>
      </c>
      <c r="CP154" s="630"/>
      <c r="CQ154" s="632"/>
      <c r="CR154" s="632"/>
      <c r="CS154" s="632"/>
      <c r="CT154" s="632"/>
      <c r="CU154" s="608"/>
      <c r="CV154" s="284" t="s">
        <v>2076</v>
      </c>
      <c r="CW154" s="284"/>
      <c r="CX154" s="284" t="s">
        <v>3948</v>
      </c>
      <c r="CY154" s="284"/>
      <c r="CZ154" s="284"/>
      <c r="DA154" s="284"/>
      <c r="DB154" s="284" t="s">
        <v>6175</v>
      </c>
      <c r="DC154" s="284" t="s">
        <v>3713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3694</v>
      </c>
      <c r="AE155" s="99"/>
      <c r="AF155" s="102" t="s">
        <v>6184</v>
      </c>
      <c r="AG155" s="102" t="s">
        <v>6185</v>
      </c>
      <c r="AH155" s="99"/>
      <c r="AI155" s="99"/>
      <c r="AJ155" s="102"/>
      <c r="AK155" s="99"/>
      <c r="AL155" s="97"/>
      <c r="AM155" s="102"/>
      <c r="AN155" s="102"/>
      <c r="AO155" s="99"/>
      <c r="AP155" s="99"/>
      <c r="AQ155" s="94"/>
      <c r="AR155" s="94"/>
      <c r="AS155" s="99"/>
      <c r="AT155" s="99"/>
      <c r="AU155" s="102" t="s">
        <v>3848</v>
      </c>
      <c r="AV155" s="102" t="s">
        <v>4268</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4211</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2720</v>
      </c>
      <c r="CX155" s="102" t="s">
        <v>1790</v>
      </c>
      <c r="CY155" s="102" t="s">
        <v>4231</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3748</v>
      </c>
      <c r="O156" s="166" t="s">
        <v>5294</v>
      </c>
      <c r="P156" s="166" t="s">
        <v>3960</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3111</v>
      </c>
      <c r="L158" s="166" t="s">
        <v>2481</v>
      </c>
      <c r="M158" s="166" t="s">
        <v>6223</v>
      </c>
      <c r="N158" s="166" t="s">
        <v>6224</v>
      </c>
      <c r="O158" s="166" t="s">
        <v>6225</v>
      </c>
      <c r="P158" s="166" t="s">
        <v>4166</v>
      </c>
      <c r="Q158" s="242"/>
      <c r="R158" s="242"/>
      <c r="S158" s="242"/>
      <c r="T158" s="242"/>
      <c r="U158" s="242"/>
      <c r="V158" s="242"/>
      <c r="W158" s="92"/>
      <c r="X158" s="198" t="s">
        <v>5422</v>
      </c>
      <c r="Y158" s="198"/>
      <c r="Z158" s="198" t="s">
        <v>2134</v>
      </c>
      <c r="AA158" s="198" t="s">
        <v>2255</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4078</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1845</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2940</v>
      </c>
      <c r="H159" s="94" t="s">
        <v>2798</v>
      </c>
      <c r="I159" s="94" t="s">
        <v>6235</v>
      </c>
      <c r="J159" s="94" t="s">
        <v>4866</v>
      </c>
      <c r="K159" s="94" t="s">
        <v>550</v>
      </c>
      <c r="L159" s="94" t="s">
        <v>6236</v>
      </c>
      <c r="M159" s="99"/>
      <c r="N159" s="99"/>
      <c r="O159" s="94" t="s">
        <v>1903</v>
      </c>
      <c r="P159" s="94" t="s">
        <v>350</v>
      </c>
      <c r="Q159" s="94"/>
      <c r="R159" s="99"/>
      <c r="S159" s="94" t="s">
        <v>6237</v>
      </c>
      <c r="T159" s="99"/>
      <c r="U159" s="94" t="s">
        <v>2960</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3635</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3978</v>
      </c>
      <c r="H161" s="94" t="s">
        <v>6253</v>
      </c>
      <c r="I161" s="94" t="s">
        <v>4949</v>
      </c>
      <c r="J161" s="94" t="s">
        <v>2397</v>
      </c>
      <c r="K161" s="94" t="s">
        <v>1429</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4063</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3386</v>
      </c>
      <c r="H164" s="166" t="s">
        <v>3730</v>
      </c>
      <c r="I164" s="242"/>
      <c r="J164" s="166" t="s">
        <v>5297</v>
      </c>
      <c r="K164" s="166" t="s">
        <v>4063</v>
      </c>
      <c r="L164" s="166" t="s">
        <v>5111</v>
      </c>
      <c r="M164" s="242"/>
      <c r="N164" s="242"/>
      <c r="O164" s="166" t="s">
        <v>1929</v>
      </c>
      <c r="P164" s="242"/>
      <c r="Q164" s="242"/>
      <c r="R164" s="242"/>
      <c r="S164" s="242"/>
      <c r="T164" s="242"/>
      <c r="U164" s="242"/>
      <c r="V164" s="242"/>
      <c r="W164" s="92"/>
      <c r="X164" s="198" t="s">
        <v>6276</v>
      </c>
      <c r="Y164" s="198"/>
      <c r="Z164" s="198" t="s">
        <v>3831</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3545</v>
      </c>
      <c r="I165" s="93" t="s">
        <v>6281</v>
      </c>
      <c r="J165" s="93" t="s">
        <v>4591</v>
      </c>
      <c r="K165" s="94" t="s">
        <v>1952</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3386</v>
      </c>
      <c r="H166" s="166" t="s">
        <v>1978</v>
      </c>
      <c r="I166" s="166" t="s">
        <v>2181</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2714</v>
      </c>
      <c r="H167" s="102"/>
      <c r="I167" s="95"/>
      <c r="J167" s="102"/>
      <c r="K167" s="88" t="s">
        <v>2355</v>
      </c>
      <c r="L167" s="88" t="s">
        <v>6294</v>
      </c>
      <c r="M167" s="102" t="s">
        <v>6295</v>
      </c>
      <c r="N167" s="102"/>
      <c r="O167" s="102"/>
      <c r="P167" s="102" t="s">
        <v>4166</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3848</v>
      </c>
      <c r="AV167" s="88" t="s">
        <v>6300</v>
      </c>
      <c r="AW167" s="102"/>
      <c r="AX167" s="99"/>
      <c r="AY167" s="99"/>
      <c r="AZ167" s="99"/>
      <c r="BA167" s="99"/>
      <c r="BB167" s="102" t="s">
        <v>6301</v>
      </c>
      <c r="BC167" s="88" t="s">
        <v>6302</v>
      </c>
      <c r="BD167" s="102" t="s">
        <v>3260</v>
      </c>
      <c r="BE167" s="88" t="s">
        <v>956</v>
      </c>
      <c r="BF167" s="88" t="s">
        <v>6303</v>
      </c>
      <c r="BG167" s="88" t="s">
        <v>3722</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3587</v>
      </c>
      <c r="I168" s="242" t="s">
        <v>6317</v>
      </c>
      <c r="J168" s="242" t="s">
        <v>450</v>
      </c>
      <c r="K168" s="242" t="s">
        <v>4389</v>
      </c>
      <c r="L168" s="242" t="s">
        <v>2845</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6" t="s">
        <v>1971</v>
      </c>
      <c r="Y170" s="244"/>
      <c r="Z170" s="244"/>
      <c r="AA170" s="198" t="s">
        <v>3209</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3023</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3678</v>
      </c>
      <c r="BF174" s="173" t="s">
        <v>6354</v>
      </c>
      <c r="BG174" s="172"/>
      <c r="BH174" s="172"/>
      <c r="BI174" s="173" t="s">
        <v>3275</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3113</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4060</v>
      </c>
      <c r="H175" s="735" t="s">
        <v>3009</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3904</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4196</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3676</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2778</v>
      </c>
      <c r="G177" s="82" t="s">
        <v>2778</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3522</v>
      </c>
      <c r="CX177" s="102"/>
      <c r="CY177" s="102"/>
      <c r="CZ177" s="102"/>
      <c r="DA177" s="102"/>
      <c r="DB177" s="88" t="s">
        <v>4776</v>
      </c>
      <c r="DC177" s="102"/>
      <c r="DD177" s="99"/>
      <c r="DE177" s="99"/>
      <c r="DF177" s="99"/>
      <c r="DG177" s="99"/>
      <c r="DH177" s="237"/>
      <c r="DI177" s="88" t="s">
        <v>3272</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4111</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4196</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2841</v>
      </c>
      <c r="BZ181" s="99"/>
      <c r="CA181" s="94" t="s">
        <v>2083</v>
      </c>
      <c r="CB181" s="99"/>
      <c r="CC181" s="99"/>
      <c r="CD181" s="99"/>
      <c r="CE181" s="99"/>
      <c r="CF181" s="237"/>
      <c r="CG181" s="94" t="s">
        <v>4964</v>
      </c>
      <c r="CH181" s="94" t="s">
        <v>2566</v>
      </c>
      <c r="CI181" s="94" t="s">
        <v>2627</v>
      </c>
      <c r="CJ181" s="94" t="s">
        <v>6404</v>
      </c>
      <c r="CK181" s="94"/>
      <c r="CL181" s="94" t="s">
        <v>2703</v>
      </c>
      <c r="CM181" s="99"/>
      <c r="CN181" s="94" t="s">
        <v>3282</v>
      </c>
      <c r="CO181" s="94" t="s">
        <v>3331</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3426</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2721</v>
      </c>
      <c r="L185" s="94" t="s">
        <v>2951</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2756</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3778</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2714</v>
      </c>
      <c r="H186" s="242"/>
      <c r="I186" s="166" t="s">
        <v>6448</v>
      </c>
      <c r="J186" s="166" t="s">
        <v>302</v>
      </c>
      <c r="K186" s="166" t="s">
        <v>125</v>
      </c>
      <c r="L186" s="166" t="s">
        <v>4032</v>
      </c>
      <c r="M186" s="166" t="s">
        <v>6449</v>
      </c>
      <c r="N186" s="242"/>
      <c r="O186" s="166" t="s">
        <v>3604</v>
      </c>
      <c r="P186" s="166" t="s">
        <v>1616</v>
      </c>
      <c r="Q186" s="242"/>
      <c r="R186" s="242"/>
      <c r="S186" s="242"/>
      <c r="T186" s="242"/>
      <c r="U186" s="242"/>
      <c r="V186" s="242"/>
      <c r="W186" s="92"/>
      <c r="X186" s="198" t="s">
        <v>6450</v>
      </c>
      <c r="Y186" s="198"/>
      <c r="Z186" s="198" t="s">
        <v>3628</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2942</v>
      </c>
      <c r="AW186" s="245"/>
      <c r="AX186" s="245"/>
      <c r="AY186" s="245"/>
      <c r="AZ186" s="245"/>
      <c r="BA186" s="245"/>
      <c r="BB186" s="173" t="s">
        <v>3835</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3869</v>
      </c>
      <c r="CB186" s="249"/>
      <c r="CC186" s="249"/>
      <c r="CD186" s="249"/>
      <c r="CE186" s="249"/>
      <c r="CF186" s="251"/>
      <c r="CG186" s="177" t="s">
        <v>1706</v>
      </c>
      <c r="CH186" s="177" t="s">
        <v>3540</v>
      </c>
      <c r="CI186" s="177" t="s">
        <v>754</v>
      </c>
      <c r="CJ186" s="177" t="s">
        <v>6455</v>
      </c>
      <c r="CK186" s="177"/>
      <c r="CL186" s="177"/>
      <c r="CM186" s="252"/>
      <c r="CN186" s="177" t="s">
        <v>3826</v>
      </c>
      <c r="CO186" s="177" t="s">
        <v>6332</v>
      </c>
      <c r="CP186" s="252"/>
      <c r="CQ186" s="252"/>
      <c r="CR186" s="252"/>
      <c r="CS186" s="252"/>
      <c r="CT186" s="252"/>
      <c r="CU186" s="92"/>
      <c r="CV186" s="203" t="s">
        <v>5142</v>
      </c>
      <c r="CW186" s="203" t="s">
        <v>1932</v>
      </c>
      <c r="CX186" s="203" t="s">
        <v>3081</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2875</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4147</v>
      </c>
      <c r="M193" s="102"/>
      <c r="N193" s="102"/>
      <c r="O193" s="102" t="s">
        <v>3163</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3258</v>
      </c>
      <c r="AO193" s="99"/>
      <c r="AP193" s="99"/>
      <c r="AQ193" s="94"/>
      <c r="AR193" s="94"/>
      <c r="AS193" s="99"/>
      <c r="AT193" s="99"/>
      <c r="AU193" s="102" t="s">
        <v>2317</v>
      </c>
      <c r="AV193" s="102" t="s">
        <v>2647</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2778</v>
      </c>
      <c r="H195" s="99"/>
      <c r="I195" s="99"/>
      <c r="J195" s="99"/>
      <c r="K195" s="94" t="s">
        <v>3111</v>
      </c>
      <c r="L195" s="99"/>
      <c r="M195" s="99"/>
      <c r="N195" s="99"/>
      <c r="O195" s="99"/>
      <c r="P195" s="99"/>
      <c r="Q195" s="99"/>
      <c r="R195" s="99"/>
      <c r="S195" s="99"/>
      <c r="T195" s="99"/>
      <c r="U195" s="99"/>
      <c r="V195" s="99"/>
      <c r="W195" s="92"/>
      <c r="X195" s="94" t="s">
        <v>3904</v>
      </c>
      <c r="Y195" s="99"/>
      <c r="Z195" s="99"/>
      <c r="AA195" s="94" t="s">
        <v>1701</v>
      </c>
      <c r="AB195" s="99"/>
      <c r="AC195" s="88" t="s">
        <v>4733</v>
      </c>
      <c r="AD195" s="94" t="s">
        <v>3091</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2951</v>
      </c>
      <c r="P197" s="102"/>
      <c r="Q197" s="99"/>
      <c r="R197" s="99"/>
      <c r="S197" s="99"/>
      <c r="T197" s="99"/>
      <c r="U197" s="99"/>
      <c r="V197" s="99"/>
      <c r="W197" s="92"/>
      <c r="X197" s="88" t="s">
        <v>3645</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3770</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3642</v>
      </c>
      <c r="CK201" s="94"/>
      <c r="CL201" s="94" t="s">
        <v>369</v>
      </c>
      <c r="CM201" s="94" t="s">
        <v>6547</v>
      </c>
      <c r="CN201" s="94" t="s">
        <v>6548</v>
      </c>
      <c r="CO201" s="94" t="s">
        <v>3894</v>
      </c>
      <c r="CP201" s="99"/>
      <c r="CQ201" s="99"/>
      <c r="CR201" s="99"/>
      <c r="CS201" s="99"/>
      <c r="CT201" s="99"/>
      <c r="CU201" s="92"/>
      <c r="CV201" s="99" t="s">
        <v>6549</v>
      </c>
      <c r="CW201" s="99" t="s">
        <v>2189</v>
      </c>
      <c r="CX201" s="99" t="s">
        <v>1023</v>
      </c>
      <c r="CY201" s="99" t="s">
        <v>6550</v>
      </c>
      <c r="CZ201" s="99" t="s">
        <v>6551</v>
      </c>
      <c r="DA201" s="99" t="s">
        <v>4527</v>
      </c>
      <c r="DB201" s="99" t="s">
        <v>6552</v>
      </c>
      <c r="DC201" s="94" t="s">
        <v>3342</v>
      </c>
      <c r="DD201" s="99"/>
      <c r="DE201" s="99"/>
      <c r="DF201" s="99"/>
      <c r="DG201" s="99"/>
      <c r="DH201" s="237"/>
      <c r="DI201" s="99"/>
      <c r="DJ201" s="99"/>
      <c r="DK201" s="99"/>
      <c r="DL201" s="99"/>
      <c r="DM201" s="99" t="s">
        <v>5618</v>
      </c>
      <c r="DN201" s="94"/>
      <c r="DO201" s="94" t="s">
        <v>6553</v>
      </c>
      <c r="DP201" s="94" t="s">
        <v>3885</v>
      </c>
      <c r="DQ201" s="94" t="s">
        <v>3014</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3064</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3499</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3861</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3591</v>
      </c>
      <c r="CB204" s="249"/>
      <c r="CC204" s="249"/>
      <c r="CD204" s="249"/>
      <c r="CE204" s="249"/>
      <c r="CF204" s="251"/>
      <c r="CG204" s="177" t="s">
        <v>6600</v>
      </c>
      <c r="CH204" s="177" t="s">
        <v>6601</v>
      </c>
      <c r="CI204" s="177" t="s">
        <v>2941</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4060</v>
      </c>
      <c r="H205" s="94" t="s">
        <v>6613</v>
      </c>
      <c r="I205" s="94" t="s">
        <v>6614</v>
      </c>
      <c r="J205" s="94" t="s">
        <v>6615</v>
      </c>
      <c r="K205" s="94" t="s">
        <v>1616</v>
      </c>
      <c r="L205" s="94" t="s">
        <v>4078</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3421</v>
      </c>
      <c r="BC205" s="99"/>
      <c r="BD205" s="94" t="s">
        <v>2575</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4180</v>
      </c>
      <c r="C209" s="83" t="s">
        <v>1258</v>
      </c>
      <c r="D209" s="84" t="s">
        <v>1258</v>
      </c>
      <c r="E209" s="85" t="s">
        <v>1258</v>
      </c>
      <c r="F209" s="86" t="s">
        <v>1258</v>
      </c>
      <c r="G209" s="82" t="s">
        <v>2875</v>
      </c>
      <c r="H209" s="94"/>
      <c r="I209" s="94" t="s">
        <v>6628</v>
      </c>
      <c r="J209" s="94" t="s">
        <v>3291</v>
      </c>
      <c r="K209" s="94" t="s">
        <v>1958</v>
      </c>
      <c r="L209" s="99"/>
      <c r="M209" s="99"/>
      <c r="N209" s="99"/>
      <c r="O209" s="99"/>
      <c r="P209" s="94" t="s">
        <v>941</v>
      </c>
      <c r="Q209" s="99"/>
      <c r="R209" s="99"/>
      <c r="S209" s="99"/>
      <c r="T209" s="99"/>
      <c r="U209" s="99"/>
      <c r="V209" s="99"/>
      <c r="W209" s="92"/>
      <c r="X209" s="99"/>
      <c r="Y209" s="99"/>
      <c r="Z209" s="99"/>
      <c r="AA209" s="94" t="s">
        <v>3848</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2778</v>
      </c>
      <c r="G215" s="82" t="s">
        <v>2778</v>
      </c>
      <c r="H215" s="612" t="s">
        <v>6642</v>
      </c>
      <c r="I215" s="94"/>
      <c r="J215" s="99"/>
      <c r="K215" s="369" t="s">
        <v>4304</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3160</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1054</v>
      </c>
      <c r="E4" s="812" t="s">
        <v>982</v>
      </c>
      <c r="F4" s="813" t="s">
        <v>2714</v>
      </c>
      <c r="G4" s="809" t="s">
        <v>6709</v>
      </c>
      <c r="H4" s="814" t="s">
        <v>1294</v>
      </c>
      <c r="I4" s="815" t="s">
        <v>6710</v>
      </c>
      <c r="J4" s="816" t="s">
        <v>6711</v>
      </c>
      <c r="K4" s="817" t="s">
        <v>6712</v>
      </c>
      <c r="L4" s="815" t="s">
        <v>6713</v>
      </c>
      <c r="M4" s="333"/>
      <c r="N4" s="818" t="s">
        <v>6714</v>
      </c>
      <c r="O4" s="818" t="s">
        <v>6715</v>
      </c>
      <c r="P4" s="819"/>
      <c r="Q4" s="818" t="s">
        <v>6716</v>
      </c>
      <c r="R4" s="820" t="s">
        <v>3184</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3562</v>
      </c>
      <c r="BD4" s="821"/>
      <c r="BE4" s="820" t="s">
        <v>6739</v>
      </c>
      <c r="BF4" s="824"/>
      <c r="BG4" s="814" t="s">
        <v>3241</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2747</v>
      </c>
      <c r="CA4" s="333"/>
      <c r="CB4" s="815" t="s">
        <v>2409</v>
      </c>
      <c r="CC4" s="817"/>
      <c r="CD4" s="817" t="s">
        <v>2957</v>
      </c>
      <c r="CE4" s="818" t="s">
        <v>6752</v>
      </c>
      <c r="CF4" s="820" t="s">
        <v>6753</v>
      </c>
      <c r="CG4" s="818" t="s">
        <v>6754</v>
      </c>
      <c r="CH4" s="818" t="s">
        <v>6755</v>
      </c>
      <c r="CI4" s="818" t="s">
        <v>3651</v>
      </c>
      <c r="CJ4" s="818" t="s">
        <v>5076</v>
      </c>
      <c r="CK4" s="826"/>
    </row>
    <row r="5">
      <c r="A5" s="827" t="s">
        <v>6756</v>
      </c>
      <c r="B5" s="828" t="s">
        <v>6757</v>
      </c>
      <c r="C5" s="829" t="s">
        <v>4121</v>
      </c>
      <c r="D5" s="830" t="s">
        <v>648</v>
      </c>
      <c r="E5" s="831" t="s">
        <v>648</v>
      </c>
      <c r="F5" s="832" t="s">
        <v>1633</v>
      </c>
      <c r="G5" s="833" t="s">
        <v>2465</v>
      </c>
      <c r="H5" s="834" t="s">
        <v>2999</v>
      </c>
      <c r="I5" s="835"/>
      <c r="J5" s="834" t="s">
        <v>2030</v>
      </c>
      <c r="K5" s="836" t="s">
        <v>6758</v>
      </c>
      <c r="L5" s="836" t="s">
        <v>6759</v>
      </c>
      <c r="M5" s="837" t="s">
        <v>3230</v>
      </c>
      <c r="N5" s="835"/>
      <c r="O5" s="838" t="s">
        <v>6760</v>
      </c>
      <c r="P5" s="839"/>
      <c r="Q5" s="840" t="s">
        <v>6761</v>
      </c>
      <c r="R5" s="841" t="s">
        <v>1736</v>
      </c>
      <c r="S5" s="842" t="s">
        <v>5103</v>
      </c>
      <c r="T5" s="842" t="s">
        <v>5701</v>
      </c>
      <c r="U5" s="842"/>
      <c r="V5" s="840" t="s">
        <v>6762</v>
      </c>
      <c r="W5" s="839"/>
      <c r="X5" s="843" t="s">
        <v>2385</v>
      </c>
      <c r="Y5" s="844" t="s">
        <v>6763</v>
      </c>
      <c r="Z5" s="845" t="s">
        <v>6764</v>
      </c>
      <c r="AA5" s="845" t="s">
        <v>6765</v>
      </c>
      <c r="AB5" s="845" t="s">
        <v>6766</v>
      </c>
      <c r="AC5" s="844" t="s">
        <v>747</v>
      </c>
      <c r="AD5" s="846" t="s">
        <v>4278</v>
      </c>
      <c r="AE5" s="846" t="s">
        <v>2570</v>
      </c>
      <c r="AF5" s="847"/>
      <c r="AG5" s="845" t="s">
        <v>6767</v>
      </c>
      <c r="AH5" s="848"/>
      <c r="AI5" s="849"/>
      <c r="AJ5" s="850"/>
      <c r="AK5" s="851"/>
      <c r="AL5" s="851"/>
      <c r="AM5" s="852" t="s">
        <v>4240</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4284</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3396</v>
      </c>
      <c r="BZ5" s="871" t="s">
        <v>6188</v>
      </c>
      <c r="CA5" s="840" t="s">
        <v>6782</v>
      </c>
      <c r="CB5" s="872"/>
      <c r="CC5" s="873"/>
      <c r="CD5" s="840" t="s">
        <v>6783</v>
      </c>
      <c r="CE5" s="874" t="s">
        <v>6784</v>
      </c>
      <c r="CF5" s="840" t="s">
        <v>1590</v>
      </c>
      <c r="CG5" s="841" t="s">
        <v>5133</v>
      </c>
      <c r="CH5" s="875" t="s">
        <v>6785</v>
      </c>
      <c r="CI5" s="840" t="s">
        <v>1088</v>
      </c>
      <c r="CJ5" s="840" t="s">
        <v>2220</v>
      </c>
      <c r="CK5" s="840" t="s">
        <v>3880</v>
      </c>
    </row>
    <row r="6">
      <c r="A6" s="876" t="s">
        <v>6786</v>
      </c>
      <c r="B6" s="833" t="s">
        <v>6787</v>
      </c>
      <c r="C6" s="829" t="s">
        <v>437</v>
      </c>
      <c r="D6" s="830" t="s">
        <v>648</v>
      </c>
      <c r="E6" s="831" t="s">
        <v>648</v>
      </c>
      <c r="F6" s="832" t="s">
        <v>2875</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5698</v>
      </c>
      <c r="AB6" s="844" t="s">
        <v>791</v>
      </c>
      <c r="AC6" s="846" t="s">
        <v>2983</v>
      </c>
      <c r="AD6" s="888" t="s">
        <v>1216</v>
      </c>
      <c r="AE6" s="846" t="s">
        <v>2738</v>
      </c>
      <c r="AF6" s="847"/>
      <c r="AG6" s="844" t="s">
        <v>6795</v>
      </c>
      <c r="AH6" s="848"/>
      <c r="AI6" s="855"/>
      <c r="AJ6" s="889"/>
      <c r="AK6" s="889" t="s">
        <v>4082</v>
      </c>
      <c r="AL6" s="890"/>
      <c r="AM6" s="889" t="s">
        <v>4645</v>
      </c>
      <c r="AN6" s="889"/>
      <c r="AO6" s="891" t="s">
        <v>2392</v>
      </c>
      <c r="AP6" s="890"/>
      <c r="AQ6" s="892" t="s">
        <v>6796</v>
      </c>
      <c r="AR6" s="889" t="s">
        <v>6797</v>
      </c>
      <c r="AS6" s="889" t="s">
        <v>6798</v>
      </c>
      <c r="AT6" s="890"/>
      <c r="AU6" s="890"/>
      <c r="AV6" s="890"/>
      <c r="AW6" s="893" t="s">
        <v>4241</v>
      </c>
      <c r="AX6" s="894" t="s">
        <v>3768</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3868</v>
      </c>
      <c r="BW6" s="905" t="s">
        <v>6154</v>
      </c>
      <c r="BX6" s="855"/>
      <c r="BY6" s="907" t="s">
        <v>2814</v>
      </c>
      <c r="BZ6" s="908" t="s">
        <v>4218</v>
      </c>
      <c r="CA6" s="909"/>
      <c r="CB6" s="909"/>
      <c r="CC6" s="909"/>
      <c r="CD6" s="908" t="s">
        <v>1397</v>
      </c>
      <c r="CE6" s="910" t="s">
        <v>4746</v>
      </c>
      <c r="CF6" s="908" t="s">
        <v>6806</v>
      </c>
      <c r="CG6" s="909"/>
      <c r="CH6" s="909"/>
      <c r="CI6" s="909"/>
      <c r="CJ6" s="909"/>
      <c r="CK6" s="909"/>
    </row>
    <row r="7">
      <c r="A7" s="911" t="s">
        <v>979</v>
      </c>
      <c r="B7" s="833" t="s">
        <v>6807</v>
      </c>
      <c r="C7" s="829" t="s">
        <v>3386</v>
      </c>
      <c r="D7" s="830" t="s">
        <v>1199</v>
      </c>
      <c r="E7" s="831" t="s">
        <v>1199</v>
      </c>
      <c r="F7" s="832" t="s">
        <v>2997</v>
      </c>
      <c r="G7" s="833" t="s">
        <v>4850</v>
      </c>
      <c r="H7" s="912" t="s">
        <v>4823</v>
      </c>
      <c r="I7" s="877"/>
      <c r="J7" s="879" t="s">
        <v>6808</v>
      </c>
      <c r="K7" s="913" t="s">
        <v>6398</v>
      </c>
      <c r="L7" s="877"/>
      <c r="M7" s="877"/>
      <c r="N7" s="877"/>
      <c r="O7" s="913" t="s">
        <v>6809</v>
      </c>
      <c r="P7" s="839"/>
      <c r="Q7" s="914" t="s">
        <v>3732</v>
      </c>
      <c r="R7" s="915" t="s">
        <v>4660</v>
      </c>
      <c r="S7" s="915" t="s">
        <v>2846</v>
      </c>
      <c r="T7" s="915" t="s">
        <v>4889</v>
      </c>
      <c r="U7" s="915" t="s">
        <v>1186</v>
      </c>
      <c r="V7" s="885" t="s">
        <v>6810</v>
      </c>
      <c r="W7" s="839"/>
      <c r="X7" s="886" t="s">
        <v>377</v>
      </c>
      <c r="Y7" s="916"/>
      <c r="Z7" s="888" t="s">
        <v>3304</v>
      </c>
      <c r="AA7" s="844" t="s">
        <v>6811</v>
      </c>
      <c r="AB7" s="886" t="s">
        <v>503</v>
      </c>
      <c r="AC7" s="887" t="s">
        <v>1044</v>
      </c>
      <c r="AD7" s="845" t="s">
        <v>1701</v>
      </c>
      <c r="AE7" s="845" t="s">
        <v>3176</v>
      </c>
      <c r="AF7" s="886"/>
      <c r="AG7" s="886" t="s">
        <v>6812</v>
      </c>
      <c r="AH7" s="848"/>
      <c r="AI7" s="839"/>
      <c r="AJ7" s="890"/>
      <c r="AK7" s="890"/>
      <c r="AL7" s="890"/>
      <c r="AM7" s="891" t="s">
        <v>495</v>
      </c>
      <c r="AN7" s="891" t="s">
        <v>4085</v>
      </c>
      <c r="AO7" s="890"/>
      <c r="AP7" s="890"/>
      <c r="AQ7" s="890"/>
      <c r="AR7" s="891" t="s">
        <v>6813</v>
      </c>
      <c r="AS7" s="890"/>
      <c r="AT7" s="917" t="s">
        <v>6814</v>
      </c>
      <c r="AU7" s="890"/>
      <c r="AV7" s="890"/>
      <c r="AW7" s="891" t="s">
        <v>3344</v>
      </c>
      <c r="AX7" s="917" t="s">
        <v>6815</v>
      </c>
      <c r="AY7" s="917" t="s">
        <v>964</v>
      </c>
      <c r="AZ7" s="855"/>
      <c r="BA7" s="918"/>
      <c r="BB7" s="919"/>
      <c r="BC7" s="920" t="s">
        <v>443</v>
      </c>
      <c r="BD7" s="895" t="s">
        <v>6816</v>
      </c>
      <c r="BE7" s="919" t="s">
        <v>6817</v>
      </c>
      <c r="BF7" s="855"/>
      <c r="BG7" s="901"/>
      <c r="BH7" s="901"/>
      <c r="BI7" s="921" t="s">
        <v>6818</v>
      </c>
      <c r="BJ7" s="921" t="s">
        <v>6819</v>
      </c>
      <c r="BK7" s="901"/>
      <c r="BL7" s="901"/>
      <c r="BM7" s="899" t="s">
        <v>6820</v>
      </c>
      <c r="BN7" s="839"/>
      <c r="BO7" s="904"/>
      <c r="BP7" s="922"/>
      <c r="BQ7" s="906" t="s">
        <v>5070</v>
      </c>
      <c r="BR7" s="903"/>
      <c r="BS7" s="903"/>
      <c r="BT7" s="906" t="s">
        <v>6821</v>
      </c>
      <c r="BU7" s="904" t="s">
        <v>4648</v>
      </c>
      <c r="BV7" s="923" t="s">
        <v>6822</v>
      </c>
      <c r="BW7" s="924" t="s">
        <v>6010</v>
      </c>
      <c r="BX7" s="839"/>
      <c r="BY7" s="925" t="s">
        <v>370</v>
      </c>
      <c r="BZ7" s="925" t="s">
        <v>6823</v>
      </c>
      <c r="CA7" s="909"/>
      <c r="CB7" s="926"/>
      <c r="CC7" s="909"/>
      <c r="CD7" s="909"/>
      <c r="CE7" s="907" t="s">
        <v>2470</v>
      </c>
      <c r="CF7" s="927" t="s">
        <v>6644</v>
      </c>
      <c r="CG7" s="925" t="s">
        <v>6824</v>
      </c>
      <c r="CH7" s="925" t="s">
        <v>6825</v>
      </c>
      <c r="CI7" s="909"/>
      <c r="CJ7" s="926"/>
      <c r="CK7" s="926"/>
    </row>
    <row r="8">
      <c r="A8" s="928" t="s">
        <v>435</v>
      </c>
      <c r="B8" s="833" t="s">
        <v>6826</v>
      </c>
      <c r="C8" s="829" t="s">
        <v>437</v>
      </c>
      <c r="D8" s="830" t="s">
        <v>1199</v>
      </c>
      <c r="E8" s="831" t="s">
        <v>648</v>
      </c>
      <c r="F8" s="832" t="s">
        <v>4060</v>
      </c>
      <c r="G8" s="833" t="s">
        <v>1498</v>
      </c>
      <c r="H8" s="879" t="s">
        <v>1605</v>
      </c>
      <c r="I8" s="912" t="s">
        <v>3122</v>
      </c>
      <c r="J8" s="880" t="s">
        <v>6827</v>
      </c>
      <c r="K8" s="929" t="s">
        <v>5988</v>
      </c>
      <c r="L8" s="879" t="s">
        <v>5552</v>
      </c>
      <c r="M8" s="877"/>
      <c r="N8" s="877"/>
      <c r="O8" s="879" t="s">
        <v>6828</v>
      </c>
      <c r="P8" s="839"/>
      <c r="Q8" s="885" t="s">
        <v>6829</v>
      </c>
      <c r="R8" s="885" t="s">
        <v>2815</v>
      </c>
      <c r="S8" s="882"/>
      <c r="T8" s="930" t="s">
        <v>233</v>
      </c>
      <c r="U8" s="931"/>
      <c r="V8" s="883" t="s">
        <v>6830</v>
      </c>
      <c r="W8" s="839"/>
      <c r="X8" s="846" t="s">
        <v>148</v>
      </c>
      <c r="Y8" s="846" t="s">
        <v>6831</v>
      </c>
      <c r="Z8" s="846" t="s">
        <v>2601</v>
      </c>
      <c r="AA8" s="932" t="s">
        <v>6832</v>
      </c>
      <c r="AB8" s="886" t="s">
        <v>1275</v>
      </c>
      <c r="AC8" s="932" t="s">
        <v>1317</v>
      </c>
      <c r="AD8" s="888" t="s">
        <v>1216</v>
      </c>
      <c r="AE8" s="844" t="s">
        <v>6833</v>
      </c>
      <c r="AF8" s="933"/>
      <c r="AG8" s="887" t="s">
        <v>6834</v>
      </c>
      <c r="AH8" s="848"/>
      <c r="AI8" s="849"/>
      <c r="AJ8" s="889"/>
      <c r="AK8" s="889" t="s">
        <v>6835</v>
      </c>
      <c r="AL8" s="890"/>
      <c r="AM8" s="934" t="s">
        <v>3282</v>
      </c>
      <c r="AN8" s="935" t="s">
        <v>3551</v>
      </c>
      <c r="AO8" s="889" t="s">
        <v>6836</v>
      </c>
      <c r="AP8" s="934" t="s">
        <v>2509</v>
      </c>
      <c r="AQ8" s="917" t="s">
        <v>6837</v>
      </c>
      <c r="AR8" s="889" t="s">
        <v>6838</v>
      </c>
      <c r="AS8" s="890"/>
      <c r="AT8" s="891" t="s">
        <v>4922</v>
      </c>
      <c r="AU8" s="890"/>
      <c r="AV8" s="890"/>
      <c r="AW8" s="894" t="s">
        <v>5068</v>
      </c>
      <c r="AX8" s="894" t="s">
        <v>1302</v>
      </c>
      <c r="AY8" s="890"/>
      <c r="AZ8" s="855"/>
      <c r="BA8" s="936"/>
      <c r="BB8" s="897" t="s">
        <v>6839</v>
      </c>
      <c r="BC8" s="937" t="s">
        <v>6179</v>
      </c>
      <c r="BD8" s="936"/>
      <c r="BE8" s="919" t="s">
        <v>6840</v>
      </c>
      <c r="BF8" s="855"/>
      <c r="BG8" s="898" t="s">
        <v>3241</v>
      </c>
      <c r="BH8" s="898" t="s">
        <v>1304</v>
      </c>
      <c r="BI8" s="938" t="s">
        <v>5815</v>
      </c>
      <c r="BJ8" s="939"/>
      <c r="BK8" s="898" t="s">
        <v>6841</v>
      </c>
      <c r="BL8" s="901"/>
      <c r="BM8" s="899" t="s">
        <v>6842</v>
      </c>
      <c r="BN8" s="839"/>
      <c r="BO8" s="905" t="s">
        <v>6843</v>
      </c>
      <c r="BP8" s="904"/>
      <c r="BQ8" s="940" t="s">
        <v>1680</v>
      </c>
      <c r="BR8" s="904" t="s">
        <v>6844</v>
      </c>
      <c r="BS8" s="903"/>
      <c r="BT8" s="940" t="s">
        <v>1833</v>
      </c>
      <c r="BU8" s="903"/>
      <c r="BV8" s="904" t="s">
        <v>5944</v>
      </c>
      <c r="BW8" s="904" t="s">
        <v>2135</v>
      </c>
      <c r="BX8" s="839"/>
      <c r="BY8" s="941" t="s">
        <v>302</v>
      </c>
      <c r="BZ8" s="908" t="s">
        <v>3546</v>
      </c>
      <c r="CA8" s="909"/>
      <c r="CB8" s="926"/>
      <c r="CC8" s="909"/>
      <c r="CD8" s="909"/>
      <c r="CE8" s="909"/>
      <c r="CF8" s="909"/>
      <c r="CG8" s="909"/>
      <c r="CH8" s="909"/>
      <c r="CI8" s="909"/>
      <c r="CJ8" s="926"/>
      <c r="CK8" s="926"/>
    </row>
    <row r="9">
      <c r="A9" s="942" t="s">
        <v>6845</v>
      </c>
      <c r="B9" s="809" t="s">
        <v>6846</v>
      </c>
      <c r="C9" s="829" t="s">
        <v>332</v>
      </c>
      <c r="D9" s="830" t="s">
        <v>1199</v>
      </c>
      <c r="E9" s="831" t="s">
        <v>333</v>
      </c>
      <c r="F9" s="832" t="s">
        <v>3499</v>
      </c>
      <c r="G9" s="833" t="s">
        <v>3877</v>
      </c>
      <c r="H9" s="913" t="s">
        <v>6847</v>
      </c>
      <c r="I9" s="879" t="s">
        <v>6848</v>
      </c>
      <c r="J9" s="879" t="s">
        <v>3732</v>
      </c>
      <c r="K9" s="879" t="s">
        <v>6849</v>
      </c>
      <c r="L9" s="943" t="s">
        <v>2030</v>
      </c>
      <c r="M9" s="912" t="s">
        <v>6850</v>
      </c>
      <c r="N9" s="879" t="s">
        <v>6851</v>
      </c>
      <c r="O9" s="879" t="s">
        <v>6852</v>
      </c>
      <c r="P9" s="839"/>
      <c r="Q9" s="885" t="s">
        <v>6853</v>
      </c>
      <c r="R9" s="885" t="s">
        <v>6854</v>
      </c>
      <c r="S9" s="883" t="s">
        <v>727</v>
      </c>
      <c r="T9" s="885" t="s">
        <v>5208</v>
      </c>
      <c r="U9" s="914" t="s">
        <v>6855</v>
      </c>
      <c r="V9" s="883" t="s">
        <v>6856</v>
      </c>
      <c r="W9" s="839"/>
      <c r="X9" s="844" t="s">
        <v>831</v>
      </c>
      <c r="Y9" s="888" t="s">
        <v>6857</v>
      </c>
      <c r="Z9" s="846" t="s">
        <v>6858</v>
      </c>
      <c r="AA9" s="846" t="s">
        <v>6859</v>
      </c>
      <c r="AB9" s="944" t="s">
        <v>4393</v>
      </c>
      <c r="AC9" s="846" t="s">
        <v>5939</v>
      </c>
      <c r="AD9" s="846" t="s">
        <v>131</v>
      </c>
      <c r="AE9" s="846" t="s">
        <v>6860</v>
      </c>
      <c r="AF9" s="847"/>
      <c r="AG9" s="887" t="s">
        <v>6861</v>
      </c>
      <c r="AH9" s="945" t="s">
        <v>6862</v>
      </c>
      <c r="AI9" s="839"/>
      <c r="AJ9" s="946"/>
      <c r="AK9" s="935" t="s">
        <v>102</v>
      </c>
      <c r="AL9" s="917" t="s">
        <v>6863</v>
      </c>
      <c r="AM9" s="894" t="s">
        <v>2235</v>
      </c>
      <c r="AN9" s="889" t="s">
        <v>4635</v>
      </c>
      <c r="AO9" s="889" t="s">
        <v>6864</v>
      </c>
      <c r="AP9" s="894" t="s">
        <v>6865</v>
      </c>
      <c r="AQ9" s="889" t="s">
        <v>6866</v>
      </c>
      <c r="AR9" s="894" t="s">
        <v>6867</v>
      </c>
      <c r="AS9" s="894" t="s">
        <v>2688</v>
      </c>
      <c r="AT9" s="935" t="s">
        <v>6868</v>
      </c>
      <c r="AU9" s="891" t="s">
        <v>6869</v>
      </c>
      <c r="AV9" s="917" t="s">
        <v>6870</v>
      </c>
      <c r="AW9" s="894" t="s">
        <v>2657</v>
      </c>
      <c r="AX9" s="935" t="s">
        <v>5305</v>
      </c>
      <c r="AY9" s="935" t="s">
        <v>6871</v>
      </c>
      <c r="AZ9" s="855"/>
      <c r="BA9" s="937" t="s">
        <v>6872</v>
      </c>
      <c r="BB9" s="920" t="s">
        <v>6873</v>
      </c>
      <c r="BC9" s="947" t="s">
        <v>3292</v>
      </c>
      <c r="BD9" s="948"/>
      <c r="BE9" s="897" t="s">
        <v>6874</v>
      </c>
      <c r="BF9" s="855"/>
      <c r="BG9" s="949" t="s">
        <v>6875</v>
      </c>
      <c r="BH9" s="950" t="s">
        <v>3563</v>
      </c>
      <c r="BI9" s="898" t="s">
        <v>610</v>
      </c>
      <c r="BJ9" s="899" t="s">
        <v>6876</v>
      </c>
      <c r="BK9" s="898" t="s">
        <v>6877</v>
      </c>
      <c r="BL9" s="898" t="s">
        <v>6878</v>
      </c>
      <c r="BM9" s="898" t="s">
        <v>6879</v>
      </c>
      <c r="BN9" s="839"/>
      <c r="BO9" s="905" t="s">
        <v>2509</v>
      </c>
      <c r="BP9" s="906" t="s">
        <v>5882</v>
      </c>
      <c r="BQ9" s="905" t="s">
        <v>3603</v>
      </c>
      <c r="BR9" s="905" t="s">
        <v>3961</v>
      </c>
      <c r="BS9" s="905" t="s">
        <v>814</v>
      </c>
      <c r="BT9" s="905" t="s">
        <v>1370</v>
      </c>
      <c r="BU9" s="940" t="s">
        <v>3961</v>
      </c>
      <c r="BV9" s="924" t="s">
        <v>6880</v>
      </c>
      <c r="BW9" s="905" t="s">
        <v>6881</v>
      </c>
      <c r="BX9" s="839"/>
      <c r="BY9" s="941" t="s">
        <v>6882</v>
      </c>
      <c r="BZ9" s="951" t="s">
        <v>6417</v>
      </c>
      <c r="CA9" s="951" t="s">
        <v>2352</v>
      </c>
      <c r="CB9" s="927" t="s">
        <v>3431</v>
      </c>
      <c r="CC9" s="952"/>
      <c r="CD9" s="953"/>
      <c r="CE9" s="941" t="s">
        <v>2823</v>
      </c>
      <c r="CF9" s="941" t="s">
        <v>6883</v>
      </c>
      <c r="CG9" s="941" t="s">
        <v>6884</v>
      </c>
      <c r="CH9" s="941" t="s">
        <v>2250</v>
      </c>
      <c r="CI9" s="941" t="s">
        <v>6885</v>
      </c>
      <c r="CJ9" s="951" t="s">
        <v>2674</v>
      </c>
      <c r="CK9" s="927"/>
    </row>
    <row r="10">
      <c r="A10" s="928" t="s">
        <v>1414</v>
      </c>
      <c r="B10" s="833" t="s">
        <v>6886</v>
      </c>
      <c r="C10" s="829" t="s">
        <v>1258</v>
      </c>
      <c r="D10" s="830" t="s">
        <v>332</v>
      </c>
      <c r="E10" s="831" t="s">
        <v>648</v>
      </c>
      <c r="F10" s="832" t="s">
        <v>220</v>
      </c>
      <c r="G10" s="833" t="s">
        <v>4850</v>
      </c>
      <c r="H10" s="877"/>
      <c r="I10" s="879" t="s">
        <v>6887</v>
      </c>
      <c r="J10" s="929"/>
      <c r="K10" s="954" t="s">
        <v>6888</v>
      </c>
      <c r="L10" s="913" t="s">
        <v>3135</v>
      </c>
      <c r="M10" s="877"/>
      <c r="N10" s="877"/>
      <c r="O10" s="955" t="s">
        <v>6889</v>
      </c>
      <c r="P10" s="839"/>
      <c r="Q10" s="885" t="s">
        <v>6890</v>
      </c>
      <c r="R10" s="882"/>
      <c r="S10" s="882"/>
      <c r="T10" s="956" t="s">
        <v>5914</v>
      </c>
      <c r="U10" s="881"/>
      <c r="V10" s="957" t="s">
        <v>6891</v>
      </c>
      <c r="W10" s="839"/>
      <c r="X10" s="846" t="s">
        <v>590</v>
      </c>
      <c r="Y10" s="958" t="s">
        <v>6892</v>
      </c>
      <c r="Z10" s="932" t="s">
        <v>6893</v>
      </c>
      <c r="AA10" s="932" t="s">
        <v>5617</v>
      </c>
      <c r="AB10" s="846" t="s">
        <v>2356</v>
      </c>
      <c r="AC10" s="932" t="s">
        <v>6894</v>
      </c>
      <c r="AD10" s="959" t="s">
        <v>2423</v>
      </c>
      <c r="AE10" s="846" t="s">
        <v>1013</v>
      </c>
      <c r="AF10" s="933"/>
      <c r="AG10" s="846" t="s">
        <v>6895</v>
      </c>
      <c r="AH10" s="960" t="s">
        <v>6896</v>
      </c>
      <c r="AI10" s="849"/>
      <c r="AJ10" s="890"/>
      <c r="AK10" s="934" t="s">
        <v>6897</v>
      </c>
      <c r="AL10" s="935" t="s">
        <v>6063</v>
      </c>
      <c r="AM10" s="894" t="s">
        <v>660</v>
      </c>
      <c r="AN10" s="961"/>
      <c r="AO10" s="894" t="s">
        <v>6898</v>
      </c>
      <c r="AP10" s="934" t="s">
        <v>6899</v>
      </c>
      <c r="AQ10" s="962" t="s">
        <v>5926</v>
      </c>
      <c r="AR10" s="890"/>
      <c r="AS10" s="890"/>
      <c r="AT10" s="890"/>
      <c r="AU10" s="890"/>
      <c r="AV10" s="934" t="s">
        <v>6900</v>
      </c>
      <c r="AW10" s="934" t="s">
        <v>959</v>
      </c>
      <c r="AX10" s="963" t="s">
        <v>6901</v>
      </c>
      <c r="AY10" s="963" t="s">
        <v>6902</v>
      </c>
      <c r="AZ10" s="855"/>
      <c r="BA10" s="918"/>
      <c r="BB10" s="964" t="s">
        <v>6903</v>
      </c>
      <c r="BC10" s="897" t="s">
        <v>5276</v>
      </c>
      <c r="BD10" s="936"/>
      <c r="BE10" s="897" t="s">
        <v>6904</v>
      </c>
      <c r="BF10" s="855"/>
      <c r="BG10" s="898" t="s">
        <v>6905</v>
      </c>
      <c r="BH10" s="965" t="s">
        <v>4773</v>
      </c>
      <c r="BI10" s="901"/>
      <c r="BJ10" s="901"/>
      <c r="BK10" s="901"/>
      <c r="BL10" s="901"/>
      <c r="BM10" s="966" t="s">
        <v>6906</v>
      </c>
      <c r="BN10" s="849"/>
      <c r="BO10" s="905" t="s">
        <v>6907</v>
      </c>
      <c r="BP10" s="922"/>
      <c r="BQ10" s="903"/>
      <c r="BR10" s="940" t="s">
        <v>6908</v>
      </c>
      <c r="BS10" s="903"/>
      <c r="BT10" s="922" t="s">
        <v>296</v>
      </c>
      <c r="BU10" s="903"/>
      <c r="BV10" s="922" t="s">
        <v>6909</v>
      </c>
      <c r="BW10" s="905" t="s">
        <v>6910</v>
      </c>
      <c r="BX10" s="849"/>
      <c r="BY10" s="967"/>
      <c r="BZ10" s="941" t="s">
        <v>724</v>
      </c>
      <c r="CA10" s="909"/>
      <c r="CB10" s="926"/>
      <c r="CC10" s="909"/>
      <c r="CD10" s="927" t="s">
        <v>4349</v>
      </c>
      <c r="CE10" s="909"/>
      <c r="CF10" s="941" t="s">
        <v>6911</v>
      </c>
      <c r="CG10" s="968" t="s">
        <v>2644</v>
      </c>
      <c r="CH10" s="909"/>
      <c r="CI10" s="909"/>
      <c r="CJ10" s="926"/>
      <c r="CK10" s="926"/>
    </row>
    <row r="11">
      <c r="A11" s="969" t="s">
        <v>825</v>
      </c>
      <c r="B11" s="833" t="s">
        <v>6912</v>
      </c>
      <c r="C11" s="829" t="s">
        <v>1199</v>
      </c>
      <c r="D11" s="830" t="s">
        <v>1053</v>
      </c>
      <c r="E11" s="831" t="s">
        <v>332</v>
      </c>
      <c r="F11" s="832" t="s">
        <v>6262</v>
      </c>
      <c r="G11" s="833" t="s">
        <v>2997</v>
      </c>
      <c r="H11" s="877"/>
      <c r="I11" s="913" t="s">
        <v>6913</v>
      </c>
      <c r="J11" s="878" t="s">
        <v>6914</v>
      </c>
      <c r="K11" s="878"/>
      <c r="L11" s="954" t="s">
        <v>6915</v>
      </c>
      <c r="M11" s="877"/>
      <c r="N11" s="912" t="s">
        <v>6916</v>
      </c>
      <c r="O11" s="877"/>
      <c r="P11" s="839"/>
      <c r="Q11" s="885" t="s">
        <v>6917</v>
      </c>
      <c r="R11" s="930" t="s">
        <v>2123</v>
      </c>
      <c r="S11" s="882"/>
      <c r="T11" s="882"/>
      <c r="U11" s="930"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2660</v>
      </c>
      <c r="AN11" s="890"/>
      <c r="AO11" s="935" t="s">
        <v>2062</v>
      </c>
      <c r="AP11" s="917" t="s">
        <v>6925</v>
      </c>
      <c r="AQ11" s="891" t="s">
        <v>6926</v>
      </c>
      <c r="AR11" s="890"/>
      <c r="AS11" s="890"/>
      <c r="AT11" s="890"/>
      <c r="AU11" s="890"/>
      <c r="AV11" s="890"/>
      <c r="AW11" s="935" t="s">
        <v>6927</v>
      </c>
      <c r="AX11" s="890"/>
      <c r="AY11" s="890"/>
      <c r="AZ11" s="855"/>
      <c r="BA11" s="918"/>
      <c r="BB11" s="918"/>
      <c r="BC11" s="896" t="s">
        <v>6928</v>
      </c>
      <c r="BD11" s="936"/>
      <c r="BE11" s="919" t="s">
        <v>6929</v>
      </c>
      <c r="BF11" s="855"/>
      <c r="BG11" s="900" t="s">
        <v>6930</v>
      </c>
      <c r="BH11" s="921" t="s">
        <v>6931</v>
      </c>
      <c r="BI11" s="900" t="s">
        <v>325</v>
      </c>
      <c r="BJ11" s="901"/>
      <c r="BK11" s="901"/>
      <c r="BL11" s="901"/>
      <c r="BM11" s="899" t="s">
        <v>6932</v>
      </c>
      <c r="BN11" s="839"/>
      <c r="BO11" s="940" t="s">
        <v>6933</v>
      </c>
      <c r="BP11" s="922"/>
      <c r="BQ11" s="904" t="s">
        <v>6934</v>
      </c>
      <c r="BR11" s="903"/>
      <c r="BS11" s="903"/>
      <c r="BT11" s="924" t="s">
        <v>870</v>
      </c>
      <c r="BU11" s="903"/>
      <c r="BV11" s="904" t="s">
        <v>4067</v>
      </c>
      <c r="BW11" s="904" t="s">
        <v>6935</v>
      </c>
      <c r="BX11" s="839"/>
      <c r="BY11" s="908" t="s">
        <v>6936</v>
      </c>
      <c r="BZ11" s="925" t="s">
        <v>6823</v>
      </c>
      <c r="CA11" s="909"/>
      <c r="CB11" s="926"/>
      <c r="CC11" s="909"/>
      <c r="CD11" s="909"/>
      <c r="CE11" s="909"/>
      <c r="CF11" s="909"/>
      <c r="CG11" s="909"/>
      <c r="CH11" s="909"/>
      <c r="CI11" s="909"/>
      <c r="CJ11" s="926"/>
      <c r="CK11" s="926"/>
    </row>
    <row r="12">
      <c r="A12" s="876" t="s">
        <v>2378</v>
      </c>
      <c r="B12" s="833" t="s">
        <v>6937</v>
      </c>
      <c r="C12" s="829" t="s">
        <v>1258</v>
      </c>
      <c r="D12" s="830" t="s">
        <v>1199</v>
      </c>
      <c r="E12" s="831" t="s">
        <v>648</v>
      </c>
      <c r="F12" s="832" t="s">
        <v>2107</v>
      </c>
      <c r="G12" s="833" t="s">
        <v>2107</v>
      </c>
      <c r="H12" s="879" t="s">
        <v>1208</v>
      </c>
      <c r="I12" s="879" t="s">
        <v>6938</v>
      </c>
      <c r="J12" s="879" t="s">
        <v>3732</v>
      </c>
      <c r="K12" s="879" t="s">
        <v>2032</v>
      </c>
      <c r="L12" s="877"/>
      <c r="M12" s="877"/>
      <c r="N12" s="877"/>
      <c r="O12" s="879" t="s">
        <v>6939</v>
      </c>
      <c r="P12" s="839"/>
      <c r="Q12" s="885" t="s">
        <v>6940</v>
      </c>
      <c r="R12" s="882"/>
      <c r="S12" s="885" t="s">
        <v>6941</v>
      </c>
      <c r="T12" s="885" t="s">
        <v>5326</v>
      </c>
      <c r="U12" s="885" t="s">
        <v>3610</v>
      </c>
      <c r="V12" s="885" t="s">
        <v>6942</v>
      </c>
      <c r="W12" s="839"/>
      <c r="X12" s="846" t="s">
        <v>2705</v>
      </c>
      <c r="Y12" s="846" t="s">
        <v>6943</v>
      </c>
      <c r="Z12" s="846" t="s">
        <v>6944</v>
      </c>
      <c r="AA12" s="846" t="s">
        <v>6859</v>
      </c>
      <c r="AB12" s="846" t="s">
        <v>6429</v>
      </c>
      <c r="AC12" s="846" t="s">
        <v>6945</v>
      </c>
      <c r="AD12" s="846" t="s">
        <v>1126</v>
      </c>
      <c r="AE12" s="846" t="s">
        <v>6946</v>
      </c>
      <c r="AF12" s="933"/>
      <c r="AG12" s="846" t="s">
        <v>6947</v>
      </c>
      <c r="AH12" s="848"/>
      <c r="AI12" s="839"/>
      <c r="AJ12" s="970"/>
      <c r="AK12" s="917" t="s">
        <v>2092</v>
      </c>
      <c r="AL12" s="890"/>
      <c r="AM12" s="894" t="s">
        <v>4261</v>
      </c>
      <c r="AN12" s="890"/>
      <c r="AO12" s="890"/>
      <c r="AP12" s="894" t="s">
        <v>3564</v>
      </c>
      <c r="AQ12" s="890"/>
      <c r="AR12" s="917" t="s">
        <v>6948</v>
      </c>
      <c r="AS12" s="894" t="s">
        <v>6949</v>
      </c>
      <c r="AT12" s="890"/>
      <c r="AU12" s="935" t="s">
        <v>6950</v>
      </c>
      <c r="AV12" s="890"/>
      <c r="AW12" s="894" t="s">
        <v>5502</v>
      </c>
      <c r="AX12" s="894" t="s">
        <v>4824</v>
      </c>
      <c r="AY12" s="894" t="s">
        <v>6951</v>
      </c>
      <c r="AZ12" s="855"/>
      <c r="BA12" s="897" t="s">
        <v>6952</v>
      </c>
      <c r="BB12" s="897" t="s">
        <v>6953</v>
      </c>
      <c r="BC12" s="897" t="s">
        <v>5412</v>
      </c>
      <c r="BD12" s="936"/>
      <c r="BE12" s="897" t="s">
        <v>6954</v>
      </c>
      <c r="BF12" s="855"/>
      <c r="BG12" s="898" t="s">
        <v>6955</v>
      </c>
      <c r="BH12" s="898" t="s">
        <v>3338</v>
      </c>
      <c r="BI12" s="898" t="s">
        <v>2220</v>
      </c>
      <c r="BJ12" s="900" t="s">
        <v>6956</v>
      </c>
      <c r="BK12" s="898" t="s">
        <v>6957</v>
      </c>
      <c r="BL12" s="901"/>
      <c r="BM12" s="898" t="s">
        <v>6958</v>
      </c>
      <c r="BN12" s="839"/>
      <c r="BO12" s="903"/>
      <c r="BP12" s="922"/>
      <c r="BQ12" s="905" t="s">
        <v>2764</v>
      </c>
      <c r="BR12" s="905" t="s">
        <v>6959</v>
      </c>
      <c r="BS12" s="903"/>
      <c r="BT12" s="905" t="s">
        <v>1699</v>
      </c>
      <c r="BU12" s="903"/>
      <c r="BV12" s="905" t="s">
        <v>6960</v>
      </c>
      <c r="BW12" s="905" t="s">
        <v>6248</v>
      </c>
      <c r="BX12" s="839"/>
      <c r="BY12" s="941" t="s">
        <v>6836</v>
      </c>
      <c r="BZ12" s="941" t="s">
        <v>2785</v>
      </c>
      <c r="CA12" s="927" t="s">
        <v>6961</v>
      </c>
      <c r="CB12" s="926"/>
      <c r="CC12" s="909"/>
      <c r="CD12" s="927" t="s">
        <v>4349</v>
      </c>
      <c r="CE12" s="941" t="s">
        <v>6962</v>
      </c>
      <c r="CF12" s="941" t="s">
        <v>5414</v>
      </c>
      <c r="CG12" s="951" t="s">
        <v>6963</v>
      </c>
      <c r="CH12" s="909"/>
      <c r="CI12" s="951" t="s">
        <v>4819</v>
      </c>
      <c r="CJ12" s="926"/>
      <c r="CK12" s="926"/>
    </row>
    <row r="13">
      <c r="A13" s="928" t="s">
        <v>330</v>
      </c>
      <c r="B13" s="833" t="s">
        <v>6964</v>
      </c>
      <c r="C13" s="829" t="s">
        <v>648</v>
      </c>
      <c r="D13" s="830" t="s">
        <v>332</v>
      </c>
      <c r="E13" s="831" t="s">
        <v>647</v>
      </c>
      <c r="F13" s="832" t="s">
        <v>3978</v>
      </c>
      <c r="G13" s="833" t="s">
        <v>1498</v>
      </c>
      <c r="H13" s="971" t="s">
        <v>2932</v>
      </c>
      <c r="I13" s="954" t="s">
        <v>6965</v>
      </c>
      <c r="J13" s="913" t="s">
        <v>6966</v>
      </c>
      <c r="K13" s="879" t="s">
        <v>714</v>
      </c>
      <c r="L13" s="972" t="s">
        <v>6967</v>
      </c>
      <c r="M13" s="877"/>
      <c r="N13" s="877"/>
      <c r="O13" s="955" t="s">
        <v>6968</v>
      </c>
      <c r="P13" s="839"/>
      <c r="Q13" s="885" t="s">
        <v>6969</v>
      </c>
      <c r="R13" s="882"/>
      <c r="S13" s="882"/>
      <c r="T13" s="914" t="s">
        <v>5424</v>
      </c>
      <c r="U13" s="881"/>
      <c r="V13" s="957" t="s">
        <v>6970</v>
      </c>
      <c r="W13" s="839"/>
      <c r="X13" s="916"/>
      <c r="Y13" s="932" t="s">
        <v>6971</v>
      </c>
      <c r="Z13" s="958" t="s">
        <v>6967</v>
      </c>
      <c r="AA13" s="958" t="s">
        <v>6972</v>
      </c>
      <c r="AB13" s="888" t="s">
        <v>3492</v>
      </c>
      <c r="AC13" s="932" t="s">
        <v>2904</v>
      </c>
      <c r="AD13" s="846" t="s">
        <v>2401</v>
      </c>
      <c r="AE13" s="888" t="s">
        <v>1250</v>
      </c>
      <c r="AF13" s="933"/>
      <c r="AG13" s="958" t="s">
        <v>6973</v>
      </c>
      <c r="AH13" s="848"/>
      <c r="AI13" s="839"/>
      <c r="AJ13" s="970"/>
      <c r="AK13" s="894" t="s">
        <v>6974</v>
      </c>
      <c r="AL13" s="890"/>
      <c r="AM13" s="973"/>
      <c r="AN13" s="973" t="s">
        <v>6975</v>
      </c>
      <c r="AO13" s="974" t="s">
        <v>4872</v>
      </c>
      <c r="AP13" s="975" t="s">
        <v>6976</v>
      </c>
      <c r="AQ13" s="975" t="s">
        <v>6977</v>
      </c>
      <c r="AR13" s="976"/>
      <c r="AS13" s="891" t="s">
        <v>6798</v>
      </c>
      <c r="AT13" s="973"/>
      <c r="AU13" s="961"/>
      <c r="AV13" s="891" t="s">
        <v>6978</v>
      </c>
      <c r="AW13" s="894" t="s">
        <v>6979</v>
      </c>
      <c r="AX13" s="963" t="s">
        <v>6980</v>
      </c>
      <c r="AY13" s="963" t="s">
        <v>6981</v>
      </c>
      <c r="AZ13" s="855"/>
      <c r="BA13" s="895"/>
      <c r="BB13" s="937" t="s">
        <v>6982</v>
      </c>
      <c r="BC13" s="897" t="s">
        <v>3764</v>
      </c>
      <c r="BD13" s="936"/>
      <c r="BE13" s="964" t="s">
        <v>6983</v>
      </c>
      <c r="BF13" s="855"/>
      <c r="BG13" s="977" t="s">
        <v>6984</v>
      </c>
      <c r="BH13" s="977" t="s">
        <v>5537</v>
      </c>
      <c r="BI13" s="899"/>
      <c r="BJ13" s="899"/>
      <c r="BK13" s="978" t="s">
        <v>6985</v>
      </c>
      <c r="BL13" s="901"/>
      <c r="BM13" s="978" t="s">
        <v>6986</v>
      </c>
      <c r="BN13" s="839"/>
      <c r="BO13" s="924" t="s">
        <v>6987</v>
      </c>
      <c r="BP13" s="922"/>
      <c r="BQ13" s="924" t="s">
        <v>696</v>
      </c>
      <c r="BR13" s="923" t="s">
        <v>6988</v>
      </c>
      <c r="BS13" s="903"/>
      <c r="BT13" s="905" t="s">
        <v>1861</v>
      </c>
      <c r="BU13" s="903"/>
      <c r="BV13" s="922" t="s">
        <v>6989</v>
      </c>
      <c r="BW13" s="979" t="s">
        <v>6990</v>
      </c>
      <c r="BX13" s="849"/>
      <c r="BY13" s="968" t="s">
        <v>4514</v>
      </c>
      <c r="BZ13" s="909"/>
      <c r="CA13" s="952"/>
      <c r="CB13" s="925" t="s">
        <v>2848</v>
      </c>
      <c r="CC13" s="967"/>
      <c r="CD13" s="968" t="s">
        <v>1172</v>
      </c>
      <c r="CE13" s="909"/>
      <c r="CF13" s="968" t="s">
        <v>6991</v>
      </c>
      <c r="CG13" s="909"/>
      <c r="CH13" s="951" t="s">
        <v>4880</v>
      </c>
      <c r="CI13" s="909"/>
      <c r="CJ13" s="926"/>
      <c r="CK13" s="926"/>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5632</v>
      </c>
      <c r="S14" s="881" t="s">
        <v>6996</v>
      </c>
      <c r="T14" s="881" t="s">
        <v>5848</v>
      </c>
      <c r="U14" s="881" t="s">
        <v>6997</v>
      </c>
      <c r="V14" s="881" t="s">
        <v>6998</v>
      </c>
      <c r="W14" s="839"/>
      <c r="X14" s="886" t="s">
        <v>3987</v>
      </c>
      <c r="Y14" s="886" t="s">
        <v>6999</v>
      </c>
      <c r="Z14" s="932" t="s">
        <v>7000</v>
      </c>
      <c r="AA14" s="983" t="s">
        <v>7001</v>
      </c>
      <c r="AB14" s="886" t="s">
        <v>675</v>
      </c>
      <c r="AC14" s="886" t="s">
        <v>650</v>
      </c>
      <c r="AD14" s="944" t="s">
        <v>1787</v>
      </c>
      <c r="AE14" s="984" t="s">
        <v>4946</v>
      </c>
      <c r="AF14" s="845" t="s">
        <v>102</v>
      </c>
      <c r="AG14" s="886" t="s">
        <v>7002</v>
      </c>
      <c r="AH14" s="985" t="s">
        <v>7003</v>
      </c>
      <c r="AI14" s="839"/>
      <c r="AJ14" s="946"/>
      <c r="AK14" s="892" t="s">
        <v>7004</v>
      </c>
      <c r="AL14" s="889"/>
      <c r="AM14" s="889" t="s">
        <v>3482</v>
      </c>
      <c r="AN14" s="894" t="s">
        <v>1730</v>
      </c>
      <c r="AO14" s="889" t="s">
        <v>4135</v>
      </c>
      <c r="AP14" s="892" t="s">
        <v>7005</v>
      </c>
      <c r="AQ14" s="889" t="s">
        <v>7006</v>
      </c>
      <c r="AR14" s="935" t="s">
        <v>7007</v>
      </c>
      <c r="AS14" s="889" t="s">
        <v>7008</v>
      </c>
      <c r="AT14" s="889"/>
      <c r="AU14" s="889"/>
      <c r="AV14" s="889"/>
      <c r="AW14" s="892" t="s">
        <v>305</v>
      </c>
      <c r="AX14" s="963" t="s">
        <v>7009</v>
      </c>
      <c r="AY14" s="889" t="s">
        <v>7010</v>
      </c>
      <c r="AZ14" s="855"/>
      <c r="BA14" s="919" t="s">
        <v>7011</v>
      </c>
      <c r="BB14" s="919" t="s">
        <v>7012</v>
      </c>
      <c r="BC14" s="919" t="s">
        <v>4227</v>
      </c>
      <c r="BD14" s="919" t="s">
        <v>5116</v>
      </c>
      <c r="BE14" s="897" t="s">
        <v>7013</v>
      </c>
      <c r="BF14" s="855"/>
      <c r="BG14" s="899" t="s">
        <v>7014</v>
      </c>
      <c r="BH14" s="899" t="s">
        <v>5200</v>
      </c>
      <c r="BI14" s="898" t="s">
        <v>6854</v>
      </c>
      <c r="BJ14" s="977" t="s">
        <v>7015</v>
      </c>
      <c r="BK14" s="986" t="s">
        <v>7016</v>
      </c>
      <c r="BL14" s="899"/>
      <c r="BM14" s="899" t="s">
        <v>7017</v>
      </c>
      <c r="BN14" s="839"/>
      <c r="BO14" s="905" t="s">
        <v>4727</v>
      </c>
      <c r="BP14" s="923"/>
      <c r="BQ14" s="987" t="s">
        <v>4779</v>
      </c>
      <c r="BR14" s="904" t="s">
        <v>7018</v>
      </c>
      <c r="BS14" s="904"/>
      <c r="BT14" s="988" t="s">
        <v>7019</v>
      </c>
      <c r="BU14" s="923" t="s">
        <v>4797</v>
      </c>
      <c r="BV14" s="904" t="s">
        <v>7020</v>
      </c>
      <c r="BW14" s="904" t="s">
        <v>7021</v>
      </c>
      <c r="BX14" s="839"/>
      <c r="BY14" s="908" t="s">
        <v>2564</v>
      </c>
      <c r="BZ14" s="908" t="s">
        <v>7022</v>
      </c>
      <c r="CA14" s="909"/>
      <c r="CB14" s="926"/>
      <c r="CC14" s="909"/>
      <c r="CD14" s="908" t="s">
        <v>7023</v>
      </c>
      <c r="CE14" s="908" t="s">
        <v>7024</v>
      </c>
      <c r="CF14" s="908" t="s">
        <v>7025</v>
      </c>
      <c r="CG14" s="908"/>
      <c r="CH14" s="941" t="s">
        <v>7026</v>
      </c>
      <c r="CI14" s="909"/>
      <c r="CJ14" s="926"/>
      <c r="CK14" s="926"/>
    </row>
    <row r="15">
      <c r="A15" s="876" t="s">
        <v>2026</v>
      </c>
      <c r="B15" s="833" t="s">
        <v>7027</v>
      </c>
      <c r="C15" s="829" t="s">
        <v>1258</v>
      </c>
      <c r="D15" s="830" t="s">
        <v>648</v>
      </c>
      <c r="E15" s="831" t="s">
        <v>545</v>
      </c>
      <c r="F15" s="832" t="s">
        <v>2875</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16"/>
      <c r="Z15" s="886" t="s">
        <v>7033</v>
      </c>
      <c r="AA15" s="846" t="s">
        <v>7034</v>
      </c>
      <c r="AB15" s="886" t="s">
        <v>3730</v>
      </c>
      <c r="AC15" s="846" t="s">
        <v>2049</v>
      </c>
      <c r="AD15" s="886" t="s">
        <v>4151</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19"/>
      <c r="BB15" s="919"/>
      <c r="BC15" s="897" t="s">
        <v>3706</v>
      </c>
      <c r="BD15" s="895"/>
      <c r="BE15" s="919" t="s">
        <v>7039</v>
      </c>
      <c r="BF15" s="855"/>
      <c r="BG15" s="899" t="s">
        <v>6236</v>
      </c>
      <c r="BH15" s="900" t="s">
        <v>7040</v>
      </c>
      <c r="BI15" s="901"/>
      <c r="BJ15" s="901"/>
      <c r="BK15" s="977" t="s">
        <v>7041</v>
      </c>
      <c r="BL15" s="901"/>
      <c r="BM15" s="898" t="s">
        <v>7042</v>
      </c>
      <c r="BN15" s="839"/>
      <c r="BO15" s="904" t="s">
        <v>7043</v>
      </c>
      <c r="BP15" s="923"/>
      <c r="BQ15" s="904"/>
      <c r="BR15" s="905" t="s">
        <v>7044</v>
      </c>
      <c r="BS15" s="904"/>
      <c r="BT15" s="905" t="s">
        <v>1402</v>
      </c>
      <c r="BU15" s="903"/>
      <c r="BV15" s="940" t="s">
        <v>5768</v>
      </c>
      <c r="BW15" s="905" t="s">
        <v>5765</v>
      </c>
      <c r="BX15" s="839"/>
      <c r="BY15" s="941" t="s">
        <v>462</v>
      </c>
      <c r="BZ15" s="909"/>
      <c r="CA15" s="909"/>
      <c r="CB15" s="926"/>
      <c r="CC15" s="909"/>
      <c r="CD15" s="909"/>
      <c r="CE15" s="909"/>
      <c r="CF15" s="908" t="s">
        <v>4622</v>
      </c>
      <c r="CG15" s="909"/>
      <c r="CH15" s="909"/>
      <c r="CI15" s="909"/>
      <c r="CJ15" s="926"/>
      <c r="CK15" s="926"/>
    </row>
    <row r="16">
      <c r="A16" s="876" t="s">
        <v>7045</v>
      </c>
      <c r="B16" s="833" t="s">
        <v>7046</v>
      </c>
      <c r="C16" s="829" t="s">
        <v>1258</v>
      </c>
      <c r="D16" s="830" t="s">
        <v>437</v>
      </c>
      <c r="E16" s="831" t="s">
        <v>545</v>
      </c>
      <c r="F16" s="832" t="s">
        <v>5712</v>
      </c>
      <c r="G16" s="833" t="s">
        <v>4850</v>
      </c>
      <c r="H16" s="879" t="s">
        <v>2126</v>
      </c>
      <c r="I16" s="879" t="s">
        <v>7047</v>
      </c>
      <c r="J16" s="877"/>
      <c r="K16" s="877"/>
      <c r="L16" s="879" t="s">
        <v>3383</v>
      </c>
      <c r="M16" s="877"/>
      <c r="N16" s="879" t="s">
        <v>7048</v>
      </c>
      <c r="O16" s="877"/>
      <c r="P16" s="839"/>
      <c r="Q16" s="885" t="s">
        <v>246</v>
      </c>
      <c r="R16" s="882"/>
      <c r="S16" s="885" t="s">
        <v>6897</v>
      </c>
      <c r="T16" s="885" t="s">
        <v>3747</v>
      </c>
      <c r="U16" s="882"/>
      <c r="V16" s="885" t="s">
        <v>7049</v>
      </c>
      <c r="W16" s="839"/>
      <c r="X16" s="846" t="s">
        <v>273</v>
      </c>
      <c r="Y16" s="846" t="s">
        <v>7050</v>
      </c>
      <c r="Z16" s="846" t="s">
        <v>2374</v>
      </c>
      <c r="AA16" s="944" t="s">
        <v>7051</v>
      </c>
      <c r="AB16" s="846" t="s">
        <v>7052</v>
      </c>
      <c r="AC16" s="846" t="s">
        <v>1755</v>
      </c>
      <c r="AD16" s="846" t="s">
        <v>5622</v>
      </c>
      <c r="AE16" s="846" t="s">
        <v>7053</v>
      </c>
      <c r="AF16" s="847"/>
      <c r="AG16" s="886" t="s">
        <v>7054</v>
      </c>
      <c r="AH16" s="848"/>
      <c r="AI16" s="839"/>
      <c r="AJ16" s="946"/>
      <c r="AK16" s="894" t="s">
        <v>7055</v>
      </c>
      <c r="AL16" s="894" t="s">
        <v>7056</v>
      </c>
      <c r="AM16" s="894" t="s">
        <v>1213</v>
      </c>
      <c r="AN16" s="889"/>
      <c r="AO16" s="890"/>
      <c r="AP16" s="894" t="s">
        <v>4078</v>
      </c>
      <c r="AQ16" s="890"/>
      <c r="AR16" s="894" t="s">
        <v>7057</v>
      </c>
      <c r="AS16" s="917" t="s">
        <v>7058</v>
      </c>
      <c r="AT16" s="894" t="s">
        <v>7059</v>
      </c>
      <c r="AU16" s="917" t="s">
        <v>7060</v>
      </c>
      <c r="AV16" s="890"/>
      <c r="AW16" s="894" t="s">
        <v>368</v>
      </c>
      <c r="AX16" s="894" t="s">
        <v>7061</v>
      </c>
      <c r="AY16" s="894" t="s">
        <v>7062</v>
      </c>
      <c r="AZ16" s="855"/>
      <c r="BA16" s="918"/>
      <c r="BB16" s="897" t="s">
        <v>7063</v>
      </c>
      <c r="BC16" s="897" t="s">
        <v>7064</v>
      </c>
      <c r="BD16" s="895"/>
      <c r="BE16" s="897" t="s">
        <v>7065</v>
      </c>
      <c r="BF16" s="855"/>
      <c r="BG16" s="899" t="s">
        <v>4093</v>
      </c>
      <c r="BH16" s="899" t="s">
        <v>4621</v>
      </c>
      <c r="BI16" s="977" t="s">
        <v>1585</v>
      </c>
      <c r="BJ16" s="901"/>
      <c r="BK16" s="899" t="s">
        <v>4314</v>
      </c>
      <c r="BL16" s="901"/>
      <c r="BM16" s="899" t="s">
        <v>7066</v>
      </c>
      <c r="BN16" s="839"/>
      <c r="BO16" s="905" t="s">
        <v>3488</v>
      </c>
      <c r="BP16" s="922"/>
      <c r="BQ16" s="903"/>
      <c r="BR16" s="903"/>
      <c r="BS16" s="903"/>
      <c r="BT16" s="905" t="s">
        <v>845</v>
      </c>
      <c r="BU16" s="903"/>
      <c r="BV16" s="904" t="s">
        <v>7067</v>
      </c>
      <c r="BW16" s="904" t="s">
        <v>7068</v>
      </c>
      <c r="BX16" s="839"/>
      <c r="BY16" s="941" t="s">
        <v>1613</v>
      </c>
      <c r="BZ16" s="908"/>
      <c r="CA16" s="909"/>
      <c r="CB16" s="926"/>
      <c r="CC16" s="909"/>
      <c r="CD16" s="909"/>
      <c r="CE16" s="908" t="s">
        <v>7069</v>
      </c>
      <c r="CF16" s="909"/>
      <c r="CG16" s="909"/>
      <c r="CH16" s="909"/>
      <c r="CI16" s="909"/>
      <c r="CJ16" s="926"/>
      <c r="CK16" s="926"/>
    </row>
    <row r="17">
      <c r="A17" s="876" t="s">
        <v>1877</v>
      </c>
      <c r="B17" s="833" t="s">
        <v>7070</v>
      </c>
      <c r="C17" s="829" t="s">
        <v>1258</v>
      </c>
      <c r="D17" s="830" t="s">
        <v>1258</v>
      </c>
      <c r="E17" s="831" t="s">
        <v>1258</v>
      </c>
      <c r="F17" s="832" t="s">
        <v>1258</v>
      </c>
      <c r="G17" s="833" t="s">
        <v>3578</v>
      </c>
      <c r="H17" s="877"/>
      <c r="I17" s="878" t="s">
        <v>2760</v>
      </c>
      <c r="J17" s="878" t="s">
        <v>2098</v>
      </c>
      <c r="K17" s="878" t="s">
        <v>7071</v>
      </c>
      <c r="L17" s="955" t="s">
        <v>7072</v>
      </c>
      <c r="M17" s="877"/>
      <c r="N17" s="955" t="s">
        <v>7073</v>
      </c>
      <c r="O17" s="878" t="s">
        <v>7074</v>
      </c>
      <c r="P17" s="839"/>
      <c r="Q17" s="957" t="s">
        <v>2474</v>
      </c>
      <c r="R17" s="882"/>
      <c r="S17" s="882"/>
      <c r="T17" s="957" t="s">
        <v>5069</v>
      </c>
      <c r="U17" s="881"/>
      <c r="V17" s="957" t="s">
        <v>7075</v>
      </c>
      <c r="W17" s="839"/>
      <c r="X17" s="932" t="s">
        <v>4128</v>
      </c>
      <c r="Y17" s="932" t="s">
        <v>7076</v>
      </c>
      <c r="Z17" s="932" t="s">
        <v>7077</v>
      </c>
      <c r="AA17" s="932" t="s">
        <v>3040</v>
      </c>
      <c r="AB17" s="932" t="s">
        <v>4740</v>
      </c>
      <c r="AC17" s="886" t="s">
        <v>7078</v>
      </c>
      <c r="AD17" s="932" t="s">
        <v>4620</v>
      </c>
      <c r="AE17" s="932" t="s">
        <v>4932</v>
      </c>
      <c r="AF17" s="886"/>
      <c r="AG17" s="886" t="s">
        <v>7079</v>
      </c>
      <c r="AH17" s="989" t="s">
        <v>7080</v>
      </c>
      <c r="AI17" s="839"/>
      <c r="AJ17" s="890"/>
      <c r="AK17" s="890"/>
      <c r="AL17" s="890"/>
      <c r="AM17" s="889" t="s">
        <v>171</v>
      </c>
      <c r="AN17" s="890"/>
      <c r="AO17" s="963" t="s">
        <v>4404</v>
      </c>
      <c r="AP17" s="889" t="s">
        <v>3312</v>
      </c>
      <c r="AQ17" s="963" t="s">
        <v>7081</v>
      </c>
      <c r="AR17" s="890"/>
      <c r="AS17" s="890"/>
      <c r="AT17" s="890"/>
      <c r="AU17" s="890"/>
      <c r="AV17" s="890"/>
      <c r="AW17" s="963" t="s">
        <v>1076</v>
      </c>
      <c r="AX17" s="963" t="s">
        <v>4922</v>
      </c>
      <c r="AY17" s="889" t="s">
        <v>3280</v>
      </c>
      <c r="AZ17" s="855"/>
      <c r="BA17" s="918"/>
      <c r="BB17" s="918"/>
      <c r="BC17" s="990" t="s">
        <v>7082</v>
      </c>
      <c r="BD17" s="919"/>
      <c r="BE17" s="919" t="s">
        <v>7083</v>
      </c>
      <c r="BF17" s="855"/>
      <c r="BG17" s="978" t="s">
        <v>1205</v>
      </c>
      <c r="BH17" s="978" t="s">
        <v>2133</v>
      </c>
      <c r="BI17" s="901"/>
      <c r="BJ17" s="901"/>
      <c r="BK17" s="899" t="s">
        <v>7084</v>
      </c>
      <c r="BL17" s="901"/>
      <c r="BM17" s="978" t="s">
        <v>7085</v>
      </c>
      <c r="BN17" s="839"/>
      <c r="BO17" s="923" t="s">
        <v>7086</v>
      </c>
      <c r="BP17" s="922"/>
      <c r="BQ17" s="903"/>
      <c r="BR17" s="903"/>
      <c r="BS17" s="903"/>
      <c r="BT17" s="923" t="s">
        <v>2694</v>
      </c>
      <c r="BU17" s="903"/>
      <c r="BV17" s="903"/>
      <c r="BW17" s="922" t="s">
        <v>7087</v>
      </c>
      <c r="BX17" s="839"/>
      <c r="BY17" s="908" t="s">
        <v>3005</v>
      </c>
      <c r="BZ17" s="909"/>
      <c r="CA17" s="909"/>
      <c r="CB17" s="926"/>
      <c r="CC17" s="909"/>
      <c r="CD17" s="909"/>
      <c r="CE17" s="909"/>
      <c r="CF17" s="909"/>
      <c r="CG17" s="909"/>
      <c r="CH17" s="909"/>
      <c r="CI17" s="909"/>
      <c r="CJ17" s="926"/>
      <c r="CK17" s="926"/>
    </row>
    <row r="18">
      <c r="A18" s="876" t="s">
        <v>7088</v>
      </c>
      <c r="B18" s="833" t="s">
        <v>7089</v>
      </c>
      <c r="C18" s="829" t="s">
        <v>1258</v>
      </c>
      <c r="D18" s="830" t="s">
        <v>1258</v>
      </c>
      <c r="E18" s="831" t="s">
        <v>1258</v>
      </c>
      <c r="F18" s="832" t="s">
        <v>982</v>
      </c>
      <c r="G18" s="833" t="s">
        <v>5888</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16"/>
      <c r="Y18" s="846" t="s">
        <v>7095</v>
      </c>
      <c r="Z18" s="932" t="s">
        <v>2407</v>
      </c>
      <c r="AA18" s="991"/>
      <c r="AB18" s="916"/>
      <c r="AC18" s="932" t="s">
        <v>814</v>
      </c>
      <c r="AD18" s="932" t="s">
        <v>5881</v>
      </c>
      <c r="AE18" s="932" t="s">
        <v>7096</v>
      </c>
      <c r="AF18" s="886"/>
      <c r="AG18" s="932"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19" t="s">
        <v>7100</v>
      </c>
      <c r="BB18" s="990" t="s">
        <v>7101</v>
      </c>
      <c r="BC18" s="897" t="s">
        <v>510</v>
      </c>
      <c r="BD18" s="895"/>
      <c r="BE18" s="990" t="s">
        <v>7102</v>
      </c>
      <c r="BF18" s="855"/>
      <c r="BG18" s="899" t="s">
        <v>2857</v>
      </c>
      <c r="BH18" s="978" t="s">
        <v>7103</v>
      </c>
      <c r="BI18" s="899"/>
      <c r="BJ18" s="899"/>
      <c r="BK18" s="901"/>
      <c r="BL18" s="901"/>
      <c r="BM18" s="898" t="s">
        <v>7104</v>
      </c>
      <c r="BN18" s="839"/>
      <c r="BO18" s="923" t="s">
        <v>7105</v>
      </c>
      <c r="BP18" s="922"/>
      <c r="BQ18" s="903"/>
      <c r="BR18" s="904" t="s">
        <v>7106</v>
      </c>
      <c r="BS18" s="903"/>
      <c r="BT18" s="923" t="s">
        <v>2330</v>
      </c>
      <c r="BU18" s="903"/>
      <c r="BV18" s="904" t="s">
        <v>252</v>
      </c>
      <c r="BW18" s="904" t="s">
        <v>1572</v>
      </c>
      <c r="BX18" s="839"/>
      <c r="BY18" s="908" t="s">
        <v>4219</v>
      </c>
      <c r="BZ18" s="941" t="s">
        <v>6103</v>
      </c>
      <c r="CA18" s="909"/>
      <c r="CB18" s="926"/>
      <c r="CC18" s="909"/>
      <c r="CD18" s="909"/>
      <c r="CE18" s="908" t="s">
        <v>5969</v>
      </c>
      <c r="CF18" s="968" t="s">
        <v>7107</v>
      </c>
      <c r="CG18" s="909"/>
      <c r="CH18" s="909"/>
      <c r="CI18" s="908" t="s">
        <v>7108</v>
      </c>
      <c r="CJ18" s="926"/>
      <c r="CK18" s="926"/>
    </row>
    <row r="19">
      <c r="A19" s="876" t="s">
        <v>7109</v>
      </c>
      <c r="B19" s="833" t="s">
        <v>7110</v>
      </c>
      <c r="C19" s="829" t="s">
        <v>1258</v>
      </c>
      <c r="D19" s="830" t="s">
        <v>1258</v>
      </c>
      <c r="E19" s="831" t="s">
        <v>1258</v>
      </c>
      <c r="F19" s="832" t="s">
        <v>1258</v>
      </c>
      <c r="G19" s="833" t="s">
        <v>3350</v>
      </c>
      <c r="H19" s="877"/>
      <c r="I19" s="955" t="s">
        <v>2681</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32" t="s">
        <v>7115</v>
      </c>
      <c r="AB19" s="932" t="s">
        <v>1737</v>
      </c>
      <c r="AC19" s="932" t="s">
        <v>3651</v>
      </c>
      <c r="AD19" s="958" t="s">
        <v>202</v>
      </c>
      <c r="AE19" s="932" t="s">
        <v>4634</v>
      </c>
      <c r="AF19" s="886"/>
      <c r="AG19" s="932" t="s">
        <v>7116</v>
      </c>
      <c r="AH19" s="848"/>
      <c r="AI19" s="839"/>
      <c r="AJ19" s="890"/>
      <c r="AK19" s="934" t="s">
        <v>5696</v>
      </c>
      <c r="AL19" s="963" t="s">
        <v>7117</v>
      </c>
      <c r="AM19" s="934" t="s">
        <v>7118</v>
      </c>
      <c r="AN19" s="890"/>
      <c r="AO19" s="963" t="s">
        <v>971</v>
      </c>
      <c r="AP19" s="934" t="s">
        <v>1563</v>
      </c>
      <c r="AQ19" s="963" t="s">
        <v>7119</v>
      </c>
      <c r="AR19" s="963" t="s">
        <v>7120</v>
      </c>
      <c r="AS19" s="890"/>
      <c r="AT19" s="890"/>
      <c r="AU19" s="890"/>
      <c r="AV19" s="890"/>
      <c r="AW19" s="934" t="s">
        <v>1252</v>
      </c>
      <c r="AX19" s="963" t="s">
        <v>7121</v>
      </c>
      <c r="AY19" s="963" t="s">
        <v>7122</v>
      </c>
      <c r="AZ19" s="855"/>
      <c r="BA19" s="919"/>
      <c r="BB19" s="990" t="s">
        <v>7123</v>
      </c>
      <c r="BC19" s="918"/>
      <c r="BD19" s="918"/>
      <c r="BE19" s="990" t="s">
        <v>7124</v>
      </c>
      <c r="BF19" s="855"/>
      <c r="BG19" s="978" t="s">
        <v>7125</v>
      </c>
      <c r="BH19" s="978" t="s">
        <v>2133</v>
      </c>
      <c r="BI19" s="901"/>
      <c r="BJ19" s="901"/>
      <c r="BK19" s="901"/>
      <c r="BL19" s="901"/>
      <c r="BM19" s="899" t="s">
        <v>7126</v>
      </c>
      <c r="BN19" s="839"/>
      <c r="BO19" s="923" t="s">
        <v>2034</v>
      </c>
      <c r="BP19" s="922"/>
      <c r="BQ19" s="903"/>
      <c r="BR19" s="923" t="s">
        <v>7127</v>
      </c>
      <c r="BS19" s="903"/>
      <c r="BT19" s="923" t="s">
        <v>3093</v>
      </c>
      <c r="BU19" s="903"/>
      <c r="BV19" s="923" t="s">
        <v>7128</v>
      </c>
      <c r="BW19" s="923" t="s">
        <v>7129</v>
      </c>
      <c r="BX19" s="839"/>
      <c r="BY19" s="968" t="s">
        <v>3524</v>
      </c>
      <c r="BZ19" s="909"/>
      <c r="CA19" s="909"/>
      <c r="CB19" s="926"/>
      <c r="CC19" s="909"/>
      <c r="CD19" s="909"/>
      <c r="CE19" s="909"/>
      <c r="CF19" s="909"/>
      <c r="CG19" s="909"/>
      <c r="CH19" s="909"/>
      <c r="CI19" s="909"/>
      <c r="CJ19" s="926"/>
      <c r="CK19" s="926"/>
    </row>
    <row r="20">
      <c r="A20" s="876" t="s">
        <v>3576</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6057</v>
      </c>
      <c r="T20" s="992" t="s">
        <v>5475</v>
      </c>
      <c r="U20" s="993" t="s">
        <v>7133</v>
      </c>
      <c r="V20" s="881" t="s">
        <v>7134</v>
      </c>
      <c r="W20" s="839"/>
      <c r="X20" s="846" t="s">
        <v>2748</v>
      </c>
      <c r="Y20" s="886" t="s">
        <v>3590</v>
      </c>
      <c r="Z20" s="886" t="s">
        <v>6967</v>
      </c>
      <c r="AA20" s="944" t="s">
        <v>7135</v>
      </c>
      <c r="AB20" s="886" t="s">
        <v>2396</v>
      </c>
      <c r="AC20" s="886" t="s">
        <v>3951</v>
      </c>
      <c r="AD20" s="886" t="s">
        <v>3084</v>
      </c>
      <c r="AE20" s="994" t="s">
        <v>6766</v>
      </c>
      <c r="AF20" s="888" t="s">
        <v>1014</v>
      </c>
      <c r="AG20" s="886" t="s">
        <v>7136</v>
      </c>
      <c r="AH20" s="995" t="s">
        <v>3592</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19" t="s">
        <v>7146</v>
      </c>
      <c r="BB20" s="919" t="s">
        <v>7147</v>
      </c>
      <c r="BC20" s="919" t="s">
        <v>5208</v>
      </c>
      <c r="BD20" s="919" t="s">
        <v>7148</v>
      </c>
      <c r="BE20" s="919" t="s">
        <v>7149</v>
      </c>
      <c r="BF20" s="855"/>
      <c r="BG20" s="899" t="s">
        <v>7150</v>
      </c>
      <c r="BH20" s="899" t="s">
        <v>2077</v>
      </c>
      <c r="BI20" s="899" t="s">
        <v>1891</v>
      </c>
      <c r="BJ20" s="901"/>
      <c r="BK20" s="899" t="s">
        <v>1473</v>
      </c>
      <c r="BL20" s="899" t="s">
        <v>7151</v>
      </c>
      <c r="BM20" s="899" t="s">
        <v>7152</v>
      </c>
      <c r="BN20" s="839"/>
      <c r="BO20" s="923" t="s">
        <v>4910</v>
      </c>
      <c r="BP20" s="922"/>
      <c r="BQ20" s="904" t="s">
        <v>2605</v>
      </c>
      <c r="BR20" s="904" t="s">
        <v>3799</v>
      </c>
      <c r="BS20" s="924" t="s">
        <v>7153</v>
      </c>
      <c r="BT20" s="923" t="s">
        <v>2322</v>
      </c>
      <c r="BU20" s="924" t="s">
        <v>7154</v>
      </c>
      <c r="BV20" s="904" t="s">
        <v>7155</v>
      </c>
      <c r="BW20" s="904" t="s">
        <v>7156</v>
      </c>
      <c r="BX20" s="839"/>
      <c r="BY20" s="909"/>
      <c r="BZ20" s="908" t="s">
        <v>3314</v>
      </c>
      <c r="CA20" s="909"/>
      <c r="CB20" s="926"/>
      <c r="CC20" s="909"/>
      <c r="CD20" s="908" t="s">
        <v>7157</v>
      </c>
      <c r="CE20" s="908" t="s">
        <v>7158</v>
      </c>
      <c r="CF20" s="908" t="s">
        <v>7159</v>
      </c>
      <c r="CG20" s="909"/>
      <c r="CH20" s="909"/>
      <c r="CI20" s="908" t="s">
        <v>7160</v>
      </c>
      <c r="CJ20" s="926"/>
      <c r="CK20" s="926"/>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5971</v>
      </c>
      <c r="T21" s="881" t="s">
        <v>5177</v>
      </c>
      <c r="U21" s="881" t="s">
        <v>7167</v>
      </c>
      <c r="V21" s="957" t="s">
        <v>7168</v>
      </c>
      <c r="W21" s="839"/>
      <c r="X21" s="916"/>
      <c r="Y21" s="916"/>
      <c r="Z21" s="886" t="s">
        <v>7169</v>
      </c>
      <c r="AA21" s="991"/>
      <c r="AB21" s="886" t="s">
        <v>2276</v>
      </c>
      <c r="AC21" s="932" t="s">
        <v>7170</v>
      </c>
      <c r="AD21" s="916"/>
      <c r="AE21" s="916"/>
      <c r="AF21" s="916"/>
      <c r="AG21" s="932" t="s">
        <v>7171</v>
      </c>
      <c r="AH21" s="848"/>
      <c r="AI21" s="839"/>
      <c r="AJ21" s="890"/>
      <c r="AK21" s="890"/>
      <c r="AL21" s="890"/>
      <c r="AM21" s="889" t="s">
        <v>1311</v>
      </c>
      <c r="AN21" s="889"/>
      <c r="AO21" s="890"/>
      <c r="AP21" s="890"/>
      <c r="AQ21" s="890"/>
      <c r="AR21" s="890"/>
      <c r="AS21" s="890"/>
      <c r="AT21" s="890"/>
      <c r="AU21" s="890"/>
      <c r="AV21" s="890"/>
      <c r="AW21" s="889" t="s">
        <v>3985</v>
      </c>
      <c r="AX21" s="963" t="s">
        <v>7172</v>
      </c>
      <c r="AY21" s="890"/>
      <c r="AZ21" s="855"/>
      <c r="BA21" s="918"/>
      <c r="BB21" s="919" t="s">
        <v>7173</v>
      </c>
      <c r="BC21" s="919" t="s">
        <v>3744</v>
      </c>
      <c r="BD21" s="919"/>
      <c r="BE21" s="990" t="s">
        <v>7174</v>
      </c>
      <c r="BF21" s="855"/>
      <c r="BG21" s="899" t="s">
        <v>714</v>
      </c>
      <c r="BH21" s="978" t="s">
        <v>4317</v>
      </c>
      <c r="BI21" s="899" t="s">
        <v>1670</v>
      </c>
      <c r="BJ21" s="899" t="s">
        <v>7175</v>
      </c>
      <c r="BK21" s="899" t="s">
        <v>7176</v>
      </c>
      <c r="BL21" s="901"/>
      <c r="BM21" s="899" t="s">
        <v>7177</v>
      </c>
      <c r="BN21" s="839"/>
      <c r="BO21" s="904" t="s">
        <v>4771</v>
      </c>
      <c r="BP21" s="922"/>
      <c r="BQ21" s="903"/>
      <c r="BR21" s="924" t="s">
        <v>7178</v>
      </c>
      <c r="BS21" s="903"/>
      <c r="BT21" s="904" t="s">
        <v>2372</v>
      </c>
      <c r="BU21" s="903"/>
      <c r="BV21" s="904" t="s">
        <v>7179</v>
      </c>
      <c r="BW21" s="904" t="s">
        <v>1847</v>
      </c>
      <c r="BX21" s="839"/>
      <c r="BY21" s="908" t="s">
        <v>4598</v>
      </c>
      <c r="BZ21" s="952"/>
      <c r="CA21" s="909"/>
      <c r="CB21" s="926"/>
      <c r="CC21" s="909"/>
      <c r="CD21" s="909"/>
      <c r="CE21" s="909"/>
      <c r="CF21" s="909"/>
      <c r="CG21" s="909"/>
      <c r="CH21" s="909"/>
      <c r="CI21" s="909"/>
      <c r="CJ21" s="926"/>
      <c r="CK21" s="926"/>
    </row>
    <row r="22">
      <c r="A22" s="996" t="s">
        <v>3408</v>
      </c>
      <c r="B22" s="833" t="s">
        <v>7180</v>
      </c>
      <c r="C22" s="829" t="s">
        <v>1258</v>
      </c>
      <c r="D22" s="830" t="s">
        <v>545</v>
      </c>
      <c r="E22" s="831" t="s">
        <v>1258</v>
      </c>
      <c r="F22" s="832" t="s">
        <v>332</v>
      </c>
      <c r="G22" s="833" t="s">
        <v>4121</v>
      </c>
      <c r="H22" s="877"/>
      <c r="I22" s="877"/>
      <c r="J22" s="877"/>
      <c r="K22" s="877"/>
      <c r="L22" s="878" t="s">
        <v>6534</v>
      </c>
      <c r="M22" s="877"/>
      <c r="N22" s="878" t="s">
        <v>7181</v>
      </c>
      <c r="O22" s="877"/>
      <c r="P22" s="839"/>
      <c r="Q22" s="882"/>
      <c r="R22" s="882"/>
      <c r="S22" s="882"/>
      <c r="T22" s="882"/>
      <c r="U22" s="881" t="s">
        <v>3129</v>
      </c>
      <c r="V22" s="881" t="s">
        <v>7182</v>
      </c>
      <c r="W22" s="839"/>
      <c r="X22" s="886" t="s">
        <v>383</v>
      </c>
      <c r="Y22" s="886" t="s">
        <v>7183</v>
      </c>
      <c r="Z22" s="886" t="s">
        <v>7184</v>
      </c>
      <c r="AA22" s="997" t="s">
        <v>2928</v>
      </c>
      <c r="AB22" s="886" t="s">
        <v>659</v>
      </c>
      <c r="AC22" s="886" t="s">
        <v>1881</v>
      </c>
      <c r="AD22" s="886" t="s">
        <v>7185</v>
      </c>
      <c r="AE22" s="886" t="s">
        <v>2481</v>
      </c>
      <c r="AF22" s="886"/>
      <c r="AG22" s="886" t="s">
        <v>7186</v>
      </c>
      <c r="AH22" s="998" t="s">
        <v>7187</v>
      </c>
      <c r="AI22" s="839"/>
      <c r="AJ22" s="889"/>
      <c r="AK22" s="889" t="s">
        <v>5845</v>
      </c>
      <c r="AL22" s="890"/>
      <c r="AM22" s="889" t="s">
        <v>5194</v>
      </c>
      <c r="AN22" s="890"/>
      <c r="AO22" s="890"/>
      <c r="AP22" s="889" t="s">
        <v>2061</v>
      </c>
      <c r="AQ22" s="890"/>
      <c r="AR22" s="889" t="s">
        <v>7188</v>
      </c>
      <c r="AS22" s="889"/>
      <c r="AT22" s="982"/>
      <c r="AU22" s="890"/>
      <c r="AV22" s="963" t="s">
        <v>7189</v>
      </c>
      <c r="AW22" s="894" t="s">
        <v>6158</v>
      </c>
      <c r="AX22" s="889" t="s">
        <v>7190</v>
      </c>
      <c r="AY22" s="889" t="s">
        <v>7191</v>
      </c>
      <c r="AZ22" s="855"/>
      <c r="BA22" s="918"/>
      <c r="BB22" s="897" t="s">
        <v>7192</v>
      </c>
      <c r="BC22" s="919" t="s">
        <v>2475</v>
      </c>
      <c r="BD22" s="919"/>
      <c r="BE22" s="999" t="s">
        <v>7193</v>
      </c>
      <c r="BF22" s="855"/>
      <c r="BG22" s="901"/>
      <c r="BH22" s="901"/>
      <c r="BI22" s="901"/>
      <c r="BJ22" s="901"/>
      <c r="BK22" s="901"/>
      <c r="BL22" s="938" t="s">
        <v>7194</v>
      </c>
      <c r="BM22" s="899" t="s">
        <v>7195</v>
      </c>
      <c r="BN22" s="839"/>
      <c r="BO22" s="903"/>
      <c r="BP22" s="922"/>
      <c r="BQ22" s="903"/>
      <c r="BR22" s="903"/>
      <c r="BS22" s="940" t="s">
        <v>7196</v>
      </c>
      <c r="BT22" s="903"/>
      <c r="BU22" s="903"/>
      <c r="BV22" s="903"/>
      <c r="BW22" s="904" t="s">
        <v>7197</v>
      </c>
      <c r="BX22" s="839"/>
      <c r="BY22" s="909"/>
      <c r="BZ22" s="909"/>
      <c r="CA22" s="909"/>
      <c r="CB22" s="926"/>
      <c r="CC22" s="909"/>
      <c r="CD22" s="909"/>
      <c r="CE22" s="909"/>
      <c r="CF22" s="909"/>
      <c r="CG22" s="909"/>
      <c r="CH22" s="909"/>
      <c r="CI22" s="909"/>
      <c r="CJ22" s="926"/>
      <c r="CK22" s="926"/>
    </row>
    <row r="23">
      <c r="A23" s="876" t="s">
        <v>2995</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3817</v>
      </c>
      <c r="S23" s="881" t="s">
        <v>692</v>
      </c>
      <c r="T23" s="881" t="s">
        <v>251</v>
      </c>
      <c r="U23" s="882"/>
      <c r="V23" s="881" t="s">
        <v>7201</v>
      </c>
      <c r="W23" s="839"/>
      <c r="X23" s="886" t="s">
        <v>6502</v>
      </c>
      <c r="Y23" s="916"/>
      <c r="Z23" s="886" t="s">
        <v>4898</v>
      </c>
      <c r="AA23" s="886" t="s">
        <v>7202</v>
      </c>
      <c r="AB23" s="886" t="s">
        <v>3013</v>
      </c>
      <c r="AC23" s="886" t="s">
        <v>1755</v>
      </c>
      <c r="AD23" s="886" t="s">
        <v>2733</v>
      </c>
      <c r="AE23" s="886" t="s">
        <v>2844</v>
      </c>
      <c r="AF23" s="886"/>
      <c r="AG23" s="886" t="s">
        <v>7203</v>
      </c>
      <c r="AH23" s="1000" t="s">
        <v>3016</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19" t="s">
        <v>7210</v>
      </c>
      <c r="BB23" s="919" t="s">
        <v>7211</v>
      </c>
      <c r="BC23" s="918"/>
      <c r="BD23" s="918"/>
      <c r="BE23" s="919" t="s">
        <v>7212</v>
      </c>
      <c r="BF23" s="855"/>
      <c r="BG23" s="899" t="s">
        <v>6236</v>
      </c>
      <c r="BH23" s="901"/>
      <c r="BI23" s="899" t="s">
        <v>474</v>
      </c>
      <c r="BJ23" s="899" t="s">
        <v>7213</v>
      </c>
      <c r="BK23" s="899" t="s">
        <v>7214</v>
      </c>
      <c r="BL23" s="899" t="s">
        <v>7215</v>
      </c>
      <c r="BM23" s="986" t="s">
        <v>7216</v>
      </c>
      <c r="BN23" s="839"/>
      <c r="BO23" s="904" t="s">
        <v>7217</v>
      </c>
      <c r="BP23" s="904" t="s">
        <v>4192</v>
      </c>
      <c r="BQ23" s="903"/>
      <c r="BR23" s="904" t="s">
        <v>7218</v>
      </c>
      <c r="BS23" s="903"/>
      <c r="BT23" s="904" t="s">
        <v>3034</v>
      </c>
      <c r="BU23" s="904" t="s">
        <v>5195</v>
      </c>
      <c r="BV23" s="904" t="s">
        <v>7219</v>
      </c>
      <c r="BW23" s="904" t="s">
        <v>7220</v>
      </c>
      <c r="BX23" s="839"/>
      <c r="BY23" s="1001" t="s">
        <v>3565</v>
      </c>
      <c r="BZ23" s="908" t="s">
        <v>851</v>
      </c>
      <c r="CA23" s="909"/>
      <c r="CB23" s="926"/>
      <c r="CC23" s="909"/>
      <c r="CD23" s="909"/>
      <c r="CE23" s="908" t="s">
        <v>7221</v>
      </c>
      <c r="CF23" s="908" t="s">
        <v>7222</v>
      </c>
      <c r="CG23" s="909"/>
      <c r="CH23" s="909"/>
      <c r="CI23" s="909"/>
      <c r="CJ23" s="926"/>
      <c r="CK23" s="926"/>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16"/>
      <c r="Y24" s="916"/>
      <c r="Z24" s="958" t="s">
        <v>7228</v>
      </c>
      <c r="AA24" s="916"/>
      <c r="AB24" s="916"/>
      <c r="AC24" s="916"/>
      <c r="AD24" s="916"/>
      <c r="AE24" s="1002" t="str">
        <f>HYPERLINK("https://youtu.be/0lXotWIeH0g","49.54")</f>
        <v>49.54</v>
      </c>
      <c r="AF24" s="991"/>
      <c r="AG24" s="932" t="s">
        <v>7229</v>
      </c>
      <c r="AH24" s="945"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7231</v>
      </c>
      <c r="AZ24" s="855"/>
      <c r="BA24" s="918"/>
      <c r="BB24" s="918"/>
      <c r="BC24" s="964" t="s">
        <v>4149</v>
      </c>
      <c r="BD24" s="918"/>
      <c r="BE24" s="990" t="s">
        <v>7232</v>
      </c>
      <c r="BF24" s="855"/>
      <c r="BG24" s="901"/>
      <c r="BH24" s="901"/>
      <c r="BI24" s="901"/>
      <c r="BJ24" s="901"/>
      <c r="BK24" s="901"/>
      <c r="BL24" s="966" t="str">
        <f>HYPERLINK("https://youtu.be/ZWHJWoriERw","3:48.70")</f>
        <v>3:48.70</v>
      </c>
      <c r="BM24" s="898" t="s">
        <v>7233</v>
      </c>
      <c r="BN24" s="839"/>
      <c r="BO24" s="922" t="s">
        <v>231</v>
      </c>
      <c r="BP24" s="922"/>
      <c r="BQ24" s="903"/>
      <c r="BR24" s="903"/>
      <c r="BS24" s="903"/>
      <c r="BT24" s="905" t="str">
        <f>HYPERLINK("https://youtu.be/-5bLlrzaDDc","27.91")</f>
        <v>27.91</v>
      </c>
      <c r="BU24" s="922" t="s">
        <v>7144</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7234</v>
      </c>
      <c r="B25" s="833" t="s">
        <v>7235</v>
      </c>
      <c r="C25" s="829" t="s">
        <v>1258</v>
      </c>
      <c r="D25" s="830" t="s">
        <v>1258</v>
      </c>
      <c r="E25" s="831" t="s">
        <v>1258</v>
      </c>
      <c r="F25" s="832" t="s">
        <v>437</v>
      </c>
      <c r="G25" s="833" t="s">
        <v>3978</v>
      </c>
      <c r="H25" s="877"/>
      <c r="I25" s="877"/>
      <c r="J25" s="877"/>
      <c r="K25" s="877"/>
      <c r="L25" s="878" t="s">
        <v>744</v>
      </c>
      <c r="M25" s="877"/>
      <c r="N25" s="878" t="s">
        <v>7236</v>
      </c>
      <c r="O25" s="878"/>
      <c r="P25" s="839"/>
      <c r="Q25" s="882"/>
      <c r="R25" s="882"/>
      <c r="S25" s="882"/>
      <c r="T25" s="882"/>
      <c r="U25" s="882"/>
      <c r="V25" s="957" t="s">
        <v>7237</v>
      </c>
      <c r="W25" s="839"/>
      <c r="X25" s="886" t="s">
        <v>2166</v>
      </c>
      <c r="Y25" s="932" t="s">
        <v>7238</v>
      </c>
      <c r="Z25" s="916"/>
      <c r="AA25" s="1005" t="s">
        <v>7239</v>
      </c>
      <c r="AB25" s="916"/>
      <c r="AC25" s="846" t="s">
        <v>4790</v>
      </c>
      <c r="AD25" s="886" t="s">
        <v>1334</v>
      </c>
      <c r="AE25" s="886" t="s">
        <v>7240</v>
      </c>
      <c r="AF25" s="886"/>
      <c r="AG25" s="932"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18"/>
      <c r="BB25" s="918"/>
      <c r="BC25" s="918"/>
      <c r="BD25" s="918"/>
      <c r="BE25" s="919" t="s">
        <v>7243</v>
      </c>
      <c r="BF25" s="855"/>
      <c r="BG25" s="901"/>
      <c r="BH25" s="901"/>
      <c r="BI25" s="901"/>
      <c r="BJ25" s="901"/>
      <c r="BK25" s="901"/>
      <c r="BL25" s="899" t="s">
        <v>7244</v>
      </c>
      <c r="BM25" s="901"/>
      <c r="BN25" s="839"/>
      <c r="BO25" s="904" t="s">
        <v>4947</v>
      </c>
      <c r="BP25" s="922"/>
      <c r="BQ25" s="903"/>
      <c r="BR25" s="904" t="s">
        <v>7245</v>
      </c>
      <c r="BS25" s="905" t="s">
        <v>7034</v>
      </c>
      <c r="BT25" s="904" t="s">
        <v>1318</v>
      </c>
      <c r="BU25" s="903"/>
      <c r="BV25" s="923" t="s">
        <v>7246</v>
      </c>
      <c r="BW25" s="904" t="s">
        <v>7247</v>
      </c>
      <c r="BX25" s="839"/>
      <c r="BY25" s="909"/>
      <c r="BZ25" s="909"/>
      <c r="CA25" s="909"/>
      <c r="CB25" s="926"/>
      <c r="CC25" s="909"/>
      <c r="CD25" s="909"/>
      <c r="CE25" s="908" t="s">
        <v>7248</v>
      </c>
      <c r="CF25" s="968" t="s">
        <v>7249</v>
      </c>
      <c r="CG25" s="909"/>
      <c r="CH25" s="909"/>
      <c r="CI25" s="909"/>
      <c r="CJ25" s="926"/>
      <c r="CK25" s="926"/>
    </row>
    <row r="26">
      <c r="A26" s="1006" t="s">
        <v>897</v>
      </c>
      <c r="B26" s="833" t="s">
        <v>7250</v>
      </c>
      <c r="C26" s="829" t="s">
        <v>1258</v>
      </c>
      <c r="D26" s="830" t="s">
        <v>1258</v>
      </c>
      <c r="E26" s="831" t="s">
        <v>1258</v>
      </c>
      <c r="F26" s="832" t="s">
        <v>982</v>
      </c>
      <c r="G26" s="833" t="s">
        <v>3978</v>
      </c>
      <c r="H26" s="879" t="s">
        <v>2618</v>
      </c>
      <c r="I26" s="879" t="s">
        <v>7251</v>
      </c>
      <c r="J26" s="1007"/>
      <c r="K26" s="879" t="s">
        <v>3317</v>
      </c>
      <c r="L26" s="878"/>
      <c r="M26" s="877"/>
      <c r="N26" s="877"/>
      <c r="O26" s="955" t="s">
        <v>7252</v>
      </c>
      <c r="P26" s="839"/>
      <c r="Q26" s="957" t="s">
        <v>7253</v>
      </c>
      <c r="R26" s="882"/>
      <c r="S26" s="882"/>
      <c r="T26" s="957" t="s">
        <v>5208</v>
      </c>
      <c r="U26" s="881"/>
      <c r="V26" s="957" t="s">
        <v>7254</v>
      </c>
      <c r="W26" s="839"/>
      <c r="X26" s="932" t="s">
        <v>2145</v>
      </c>
      <c r="Y26" s="916"/>
      <c r="Z26" s="932" t="s">
        <v>1906</v>
      </c>
      <c r="AA26" s="991"/>
      <c r="AB26" s="932" t="s">
        <v>5398</v>
      </c>
      <c r="AC26" s="916"/>
      <c r="AD26" s="916"/>
      <c r="AE26" s="932" t="s">
        <v>4440</v>
      </c>
      <c r="AF26" s="886"/>
      <c r="AG26" s="932" t="s">
        <v>7255</v>
      </c>
      <c r="AH26" s="848"/>
      <c r="AI26" s="839"/>
      <c r="AJ26" s="890"/>
      <c r="AK26" s="890"/>
      <c r="AL26" s="890"/>
      <c r="AM26" s="890"/>
      <c r="AN26" s="890"/>
      <c r="AO26" s="963" t="s">
        <v>1846</v>
      </c>
      <c r="AP26" s="890"/>
      <c r="AQ26" s="894" t="s">
        <v>3216</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3" t="s">
        <v>612</v>
      </c>
      <c r="BP26" s="922"/>
      <c r="BQ26" s="903"/>
      <c r="BR26" s="903"/>
      <c r="BS26" s="903"/>
      <c r="BT26" s="903"/>
      <c r="BU26" s="903"/>
      <c r="BV26" s="923" t="s">
        <v>7258</v>
      </c>
      <c r="BW26" s="903"/>
      <c r="BX26" s="839"/>
      <c r="BY26" s="941" t="s">
        <v>7259</v>
      </c>
      <c r="BZ26" s="909"/>
      <c r="CA26" s="909"/>
      <c r="CB26" s="926"/>
      <c r="CC26" s="909"/>
      <c r="CD26" s="909"/>
      <c r="CE26" s="941" t="s">
        <v>7153</v>
      </c>
      <c r="CF26" s="908" t="s">
        <v>7260</v>
      </c>
      <c r="CG26" s="909"/>
      <c r="CH26" s="909"/>
      <c r="CI26" s="909"/>
      <c r="CJ26" s="926"/>
      <c r="CK26" s="926"/>
    </row>
    <row r="27">
      <c r="A27" s="876" t="s">
        <v>7261</v>
      </c>
      <c r="B27" s="833" t="s">
        <v>7262</v>
      </c>
      <c r="C27" s="829" t="s">
        <v>545</v>
      </c>
      <c r="D27" s="830" t="s">
        <v>1258</v>
      </c>
      <c r="E27" s="831" t="s">
        <v>545</v>
      </c>
      <c r="F27" s="832" t="s">
        <v>332</v>
      </c>
      <c r="G27" s="833" t="s">
        <v>2940</v>
      </c>
      <c r="H27" s="878" t="s">
        <v>4048</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16"/>
      <c r="AD27" s="916"/>
      <c r="AE27" s="886" t="s">
        <v>7269</v>
      </c>
      <c r="AF27" s="886"/>
      <c r="AG27" s="933" t="s">
        <v>7270</v>
      </c>
      <c r="AH27" s="985" t="s">
        <v>7271</v>
      </c>
      <c r="AI27" s="839"/>
      <c r="AJ27" s="946"/>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4065</v>
      </c>
      <c r="BP27" s="922"/>
      <c r="BQ27" s="903"/>
      <c r="BR27" s="904" t="s">
        <v>7279</v>
      </c>
      <c r="BS27" s="903"/>
      <c r="BT27" s="923" t="s">
        <v>970</v>
      </c>
      <c r="BU27" s="903"/>
      <c r="BV27" s="904" t="s">
        <v>7280</v>
      </c>
      <c r="BW27" s="904" t="s">
        <v>7281</v>
      </c>
      <c r="BX27" s="839"/>
      <c r="BY27" s="909"/>
      <c r="BZ27" s="909"/>
      <c r="CA27" s="909"/>
      <c r="CB27" s="926"/>
      <c r="CC27" s="909"/>
      <c r="CD27" s="909"/>
      <c r="CE27" s="941" t="s">
        <v>7282</v>
      </c>
      <c r="CF27" s="909"/>
      <c r="CG27" s="909"/>
      <c r="CH27" s="909"/>
      <c r="CI27" s="909"/>
      <c r="CJ27" s="926"/>
      <c r="CK27" s="926"/>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40" t="s">
        <v>7288</v>
      </c>
      <c r="BX28" s="849"/>
      <c r="BY28" s="909"/>
      <c r="BZ28" s="909"/>
      <c r="CA28" s="952"/>
      <c r="CB28" s="1011"/>
      <c r="CC28" s="952"/>
      <c r="CD28" s="909"/>
      <c r="CE28" s="909"/>
      <c r="CF28" s="909"/>
      <c r="CG28" s="909"/>
      <c r="CH28" s="909"/>
      <c r="CI28" s="909"/>
      <c r="CJ28" s="926"/>
      <c r="CK28" s="926"/>
    </row>
    <row r="29">
      <c r="A29" s="1012" t="s">
        <v>7289</v>
      </c>
      <c r="B29" s="833" t="s">
        <v>7290</v>
      </c>
      <c r="C29" s="829" t="s">
        <v>1258</v>
      </c>
      <c r="D29" s="830" t="s">
        <v>1258</v>
      </c>
      <c r="E29" s="831" t="s">
        <v>1258</v>
      </c>
      <c r="F29" s="832" t="s">
        <v>438</v>
      </c>
      <c r="G29" s="833" t="s">
        <v>4121</v>
      </c>
      <c r="H29" s="971" t="s">
        <v>4254</v>
      </c>
      <c r="I29" s="878" t="s">
        <v>7291</v>
      </c>
      <c r="J29" s="878"/>
      <c r="K29" s="878"/>
      <c r="L29" s="955" t="s">
        <v>7292</v>
      </c>
      <c r="M29" s="877"/>
      <c r="N29" s="879" t="s">
        <v>7293</v>
      </c>
      <c r="O29" s="877"/>
      <c r="P29" s="839"/>
      <c r="Q29" s="882"/>
      <c r="R29" s="882"/>
      <c r="S29" s="882"/>
      <c r="T29" s="882"/>
      <c r="U29" s="881" t="s">
        <v>415</v>
      </c>
      <c r="V29" s="885" t="s">
        <v>7294</v>
      </c>
      <c r="W29" s="839"/>
      <c r="X29" s="932" t="s">
        <v>4943</v>
      </c>
      <c r="Y29" s="886" t="s">
        <v>6201</v>
      </c>
      <c r="Z29" s="932" t="s">
        <v>6116</v>
      </c>
      <c r="AA29" s="983" t="s">
        <v>4622</v>
      </c>
      <c r="AB29" s="932" t="s">
        <v>2551</v>
      </c>
      <c r="AC29" s="846" t="s">
        <v>7295</v>
      </c>
      <c r="AD29" s="916"/>
      <c r="AE29" s="846" t="str">
        <f>HYPERLINK("https://twitter.com/Qbe_Root/status/1242884733232648192","56.04")</f>
        <v>56.04</v>
      </c>
      <c r="AF29" s="933"/>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1820</v>
      </c>
      <c r="CE29" s="909"/>
      <c r="CF29" s="909"/>
      <c r="CG29" s="909"/>
      <c r="CH29" s="909"/>
      <c r="CI29" s="909"/>
      <c r="CJ29" s="926"/>
      <c r="CK29" s="926"/>
    </row>
    <row r="30">
      <c r="A30" s="876" t="s">
        <v>4058</v>
      </c>
      <c r="B30" s="833" t="s">
        <v>7306</v>
      </c>
      <c r="C30" s="829" t="s">
        <v>1258</v>
      </c>
      <c r="D30" s="830" t="s">
        <v>1258</v>
      </c>
      <c r="E30" s="831" t="s">
        <v>1258</v>
      </c>
      <c r="F30" s="832" t="s">
        <v>437</v>
      </c>
      <c r="G30" s="833" t="s">
        <v>2997</v>
      </c>
      <c r="H30" s="878" t="s">
        <v>2313</v>
      </c>
      <c r="I30" s="877"/>
      <c r="J30" s="877"/>
      <c r="K30" s="877"/>
      <c r="L30" s="878" t="s">
        <v>6528</v>
      </c>
      <c r="M30" s="877"/>
      <c r="N30" s="878" t="s">
        <v>7307</v>
      </c>
      <c r="O30" s="877"/>
      <c r="P30" s="839"/>
      <c r="Q30" s="881" t="s">
        <v>7308</v>
      </c>
      <c r="R30" s="882"/>
      <c r="S30" s="882"/>
      <c r="T30" s="882"/>
      <c r="U30" s="957" t="s">
        <v>6909</v>
      </c>
      <c r="V30" s="881" t="s">
        <v>7309</v>
      </c>
      <c r="W30" s="839"/>
      <c r="X30" s="916"/>
      <c r="Y30" s="916"/>
      <c r="Z30" s="886" t="s">
        <v>7310</v>
      </c>
      <c r="AA30" s="991"/>
      <c r="AB30" s="886" t="s">
        <v>4880</v>
      </c>
      <c r="AC30" s="886" t="s">
        <v>309</v>
      </c>
      <c r="AD30" s="916"/>
      <c r="AE30" s="886" t="s">
        <v>3282</v>
      </c>
      <c r="AF30" s="886"/>
      <c r="AG30" s="846" t="s">
        <v>7311</v>
      </c>
      <c r="AH30" s="1000" t="s">
        <v>7312</v>
      </c>
      <c r="AI30" s="839"/>
      <c r="AJ30" s="889"/>
      <c r="AK30" s="889" t="s">
        <v>7313</v>
      </c>
      <c r="AL30" s="889" t="s">
        <v>7314</v>
      </c>
      <c r="AM30" s="889" t="s">
        <v>4003</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4516</v>
      </c>
      <c r="BD30" s="919"/>
      <c r="BE30" s="990" t="s">
        <v>7320</v>
      </c>
      <c r="BF30" s="855"/>
      <c r="BG30" s="899" t="s">
        <v>7321</v>
      </c>
      <c r="BH30" s="901"/>
      <c r="BI30" s="901"/>
      <c r="BJ30" s="901"/>
      <c r="BK30" s="901"/>
      <c r="BL30" s="899" t="s">
        <v>7322</v>
      </c>
      <c r="BM30" s="899" t="s">
        <v>7323</v>
      </c>
      <c r="BN30" s="839"/>
      <c r="BO30" s="904" t="s">
        <v>3407</v>
      </c>
      <c r="BP30" s="922"/>
      <c r="BQ30" s="903"/>
      <c r="BR30" s="904" t="s">
        <v>7324</v>
      </c>
      <c r="BS30" s="923" t="s">
        <v>7325</v>
      </c>
      <c r="BT30" s="903"/>
      <c r="BU30" s="903"/>
      <c r="BV30" s="904" t="s">
        <v>7326</v>
      </c>
      <c r="BW30" s="904" t="s">
        <v>4526</v>
      </c>
      <c r="BX30" s="839"/>
      <c r="BY30" s="909"/>
      <c r="BZ30" s="909"/>
      <c r="CA30" s="909"/>
      <c r="CB30" s="926"/>
      <c r="CC30" s="909"/>
      <c r="CD30" s="909"/>
      <c r="CE30" s="909"/>
      <c r="CF30" s="908" t="s">
        <v>7327</v>
      </c>
      <c r="CG30" s="909"/>
      <c r="CH30" s="909"/>
      <c r="CI30" s="941" t="s">
        <v>7328</v>
      </c>
      <c r="CJ30" s="926"/>
      <c r="CK30" s="926"/>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5302</v>
      </c>
      <c r="BD31" s="918"/>
      <c r="BE31" s="919" t="s">
        <v>7345</v>
      </c>
      <c r="BF31" s="855"/>
      <c r="BG31" s="899" t="s">
        <v>6944</v>
      </c>
      <c r="BH31" s="899" t="s">
        <v>5896</v>
      </c>
      <c r="BI31" s="899" t="s">
        <v>3958</v>
      </c>
      <c r="BJ31" s="978" t="s">
        <v>6454</v>
      </c>
      <c r="BK31" s="901"/>
      <c r="BL31" s="899" t="s">
        <v>7346</v>
      </c>
      <c r="BM31" s="901"/>
      <c r="BN31" s="839"/>
      <c r="BO31" s="904" t="s">
        <v>7347</v>
      </c>
      <c r="BP31" s="922"/>
      <c r="BQ31" s="903"/>
      <c r="BR31" s="904" t="s">
        <v>1333</v>
      </c>
      <c r="BS31" s="903"/>
      <c r="BT31" s="904" t="s">
        <v>1288</v>
      </c>
      <c r="BU31" s="903"/>
      <c r="BV31" s="903"/>
      <c r="BW31" s="903"/>
      <c r="BX31" s="839"/>
      <c r="BY31" s="908" t="s">
        <v>4452</v>
      </c>
      <c r="BZ31" s="909"/>
      <c r="CA31" s="909"/>
      <c r="CB31" s="926"/>
      <c r="CC31" s="925" t="s">
        <v>7348</v>
      </c>
      <c r="CD31" s="909"/>
      <c r="CE31" s="909"/>
      <c r="CF31" s="908" t="s">
        <v>6831</v>
      </c>
      <c r="CG31" s="909"/>
      <c r="CH31" s="909"/>
      <c r="CI31" s="909"/>
      <c r="CJ31" s="926"/>
      <c r="CK31" s="926"/>
    </row>
    <row r="32">
      <c r="A32" s="876" t="s">
        <v>2938</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4585</v>
      </c>
      <c r="AF32" s="886"/>
      <c r="AG32" s="916"/>
      <c r="AH32" s="848"/>
      <c r="AI32" s="839"/>
      <c r="AJ32" s="890"/>
      <c r="AK32" s="890"/>
      <c r="AL32" s="890"/>
      <c r="AM32" s="890"/>
      <c r="AN32" s="890"/>
      <c r="AO32" s="890"/>
      <c r="AP32" s="935" t="s">
        <v>7354</v>
      </c>
      <c r="AQ32" s="890"/>
      <c r="AR32" s="890"/>
      <c r="AS32" s="890"/>
      <c r="AT32" s="890"/>
      <c r="AU32" s="890"/>
      <c r="AV32" s="890"/>
      <c r="AW32" s="889" t="s">
        <v>1787</v>
      </c>
      <c r="AX32" s="890"/>
      <c r="AY32" s="890"/>
      <c r="AZ32" s="855"/>
      <c r="BA32" s="918"/>
      <c r="BB32" s="918"/>
      <c r="BC32" s="897" t="s">
        <v>5715</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6"/>
      <c r="CC32" s="909"/>
      <c r="CD32" s="909"/>
      <c r="CE32" s="909"/>
      <c r="CF32" s="909"/>
      <c r="CG32" s="909"/>
      <c r="CH32" s="909"/>
      <c r="CI32" s="909"/>
      <c r="CJ32" s="926"/>
      <c r="CK32" s="926"/>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3" t="s">
        <v>7367</v>
      </c>
      <c r="BW33" s="904" t="s">
        <v>7368</v>
      </c>
      <c r="BX33" s="839"/>
      <c r="BY33" s="908" t="s">
        <v>6350</v>
      </c>
      <c r="BZ33" s="909"/>
      <c r="CA33" s="908"/>
      <c r="CB33" s="968"/>
      <c r="CC33" s="908"/>
      <c r="CD33" s="909"/>
      <c r="CE33" s="909"/>
      <c r="CF33" s="909"/>
      <c r="CG33" s="909"/>
      <c r="CH33" s="909"/>
      <c r="CI33" s="909"/>
      <c r="CJ33" s="926"/>
      <c r="CK33" s="926"/>
    </row>
    <row r="34">
      <c r="A34" s="876" t="s">
        <v>5225</v>
      </c>
      <c r="B34" s="833" t="s">
        <v>223</v>
      </c>
      <c r="C34" s="829" t="s">
        <v>1258</v>
      </c>
      <c r="D34" s="830" t="s">
        <v>1258</v>
      </c>
      <c r="E34" s="831" t="s">
        <v>1258</v>
      </c>
      <c r="F34" s="832" t="s">
        <v>545</v>
      </c>
      <c r="G34" s="833" t="s">
        <v>4060</v>
      </c>
      <c r="H34" s="878" t="s">
        <v>4376</v>
      </c>
      <c r="I34" s="877"/>
      <c r="J34" s="877"/>
      <c r="K34" s="877"/>
      <c r="L34" s="878" t="s">
        <v>7369</v>
      </c>
      <c r="M34" s="877"/>
      <c r="N34" s="878" t="s">
        <v>7370</v>
      </c>
      <c r="O34" s="877"/>
      <c r="P34" s="839"/>
      <c r="Q34" s="882"/>
      <c r="R34" s="882"/>
      <c r="S34" s="882"/>
      <c r="T34" s="882"/>
      <c r="U34" s="881" t="s">
        <v>7371</v>
      </c>
      <c r="V34" s="881" t="s">
        <v>7372</v>
      </c>
      <c r="W34" s="839"/>
      <c r="X34" s="916"/>
      <c r="Y34" s="886" t="s">
        <v>5239</v>
      </c>
      <c r="Z34" s="886" t="s">
        <v>2762</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7211</v>
      </c>
      <c r="BC34" s="918"/>
      <c r="BD34" s="919" t="s">
        <v>5248</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6"/>
      <c r="CC34" s="909"/>
      <c r="CD34" s="909"/>
      <c r="CE34" s="909"/>
      <c r="CF34" s="908" t="s">
        <v>7389</v>
      </c>
      <c r="CG34" s="909"/>
      <c r="CH34" s="909"/>
      <c r="CI34" s="909"/>
      <c r="CJ34" s="926"/>
      <c r="CK34" s="926"/>
    </row>
    <row r="35">
      <c r="A35" s="1014" t="s">
        <v>5270</v>
      </c>
      <c r="B35" s="833" t="s">
        <v>4061</v>
      </c>
      <c r="C35" s="829" t="s">
        <v>1258</v>
      </c>
      <c r="D35" s="830" t="s">
        <v>545</v>
      </c>
      <c r="E35" s="831" t="s">
        <v>1258</v>
      </c>
      <c r="F35" s="832" t="s">
        <v>1053</v>
      </c>
      <c r="G35" s="833" t="s">
        <v>2875</v>
      </c>
      <c r="H35" s="878" t="s">
        <v>1851</v>
      </c>
      <c r="I35" s="878"/>
      <c r="J35" s="877"/>
      <c r="K35" s="877"/>
      <c r="L35" s="878" t="s">
        <v>7390</v>
      </c>
      <c r="M35" s="877"/>
      <c r="N35" s="879" t="s">
        <v>7391</v>
      </c>
      <c r="O35" s="877"/>
      <c r="P35" s="839"/>
      <c r="Q35" s="885" t="s">
        <v>7392</v>
      </c>
      <c r="R35" s="882"/>
      <c r="S35" s="882"/>
      <c r="T35" s="882"/>
      <c r="U35" s="885" t="s">
        <v>7393</v>
      </c>
      <c r="V35" s="885" t="s">
        <v>7394</v>
      </c>
      <c r="W35" s="839"/>
      <c r="X35" s="916"/>
      <c r="Y35" s="916"/>
      <c r="Z35" s="886" t="s">
        <v>7395</v>
      </c>
      <c r="AA35" s="991"/>
      <c r="AB35" s="916"/>
      <c r="AC35" s="916"/>
      <c r="AD35" s="916"/>
      <c r="AE35" s="916"/>
      <c r="AF35" s="916"/>
      <c r="AG35" s="916"/>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18"/>
      <c r="BB35" s="918"/>
      <c r="BC35" s="919" t="s">
        <v>7400</v>
      </c>
      <c r="BD35" s="896" t="s">
        <v>7401</v>
      </c>
      <c r="BE35" s="897" t="s">
        <v>7402</v>
      </c>
      <c r="BF35" s="855"/>
      <c r="BG35" s="901"/>
      <c r="BH35" s="901"/>
      <c r="BI35" s="901"/>
      <c r="BJ35" s="901"/>
      <c r="BK35" s="901"/>
      <c r="BL35" s="901"/>
      <c r="BM35" s="899" t="s">
        <v>7403</v>
      </c>
      <c r="BN35" s="839"/>
      <c r="BO35" s="903"/>
      <c r="BP35" s="922"/>
      <c r="BQ35" s="904" t="s">
        <v>3672</v>
      </c>
      <c r="BR35" s="903"/>
      <c r="BS35" s="903"/>
      <c r="BT35" s="903"/>
      <c r="BU35" s="905" t="s">
        <v>7404</v>
      </c>
      <c r="BV35" s="903"/>
      <c r="BW35" s="904" t="s">
        <v>7405</v>
      </c>
      <c r="BX35" s="839"/>
      <c r="BY35" s="909"/>
      <c r="BZ35" s="909"/>
      <c r="CA35" s="909"/>
      <c r="CB35" s="926"/>
      <c r="CC35" s="909"/>
      <c r="CD35" s="909"/>
      <c r="CE35" s="909"/>
      <c r="CF35" s="909"/>
      <c r="CG35" s="909"/>
      <c r="CH35" s="909"/>
      <c r="CI35" s="941" t="s">
        <v>7406</v>
      </c>
      <c r="CJ35" s="926"/>
      <c r="CK35" s="926"/>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16"/>
      <c r="Y36" s="916"/>
      <c r="Z36" s="886" t="s">
        <v>7411</v>
      </c>
      <c r="AA36" s="886" t="s">
        <v>7412</v>
      </c>
      <c r="AB36" s="886" t="s">
        <v>3970</v>
      </c>
      <c r="AC36" s="886" t="s">
        <v>7413</v>
      </c>
      <c r="AD36" s="916"/>
      <c r="AE36" s="886" t="s">
        <v>2611</v>
      </c>
      <c r="AF36" s="886"/>
      <c r="AG36" s="916"/>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19" t="s">
        <v>7417</v>
      </c>
      <c r="BB36" s="919" t="s">
        <v>7418</v>
      </c>
      <c r="BC36" s="918"/>
      <c r="BD36" s="918"/>
      <c r="BE36" s="919" t="s">
        <v>7419</v>
      </c>
      <c r="BF36" s="855"/>
      <c r="BG36" s="901"/>
      <c r="BH36" s="901"/>
      <c r="BI36" s="901"/>
      <c r="BJ36" s="901"/>
      <c r="BK36" s="901"/>
      <c r="BL36" s="921" t="s">
        <v>7420</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5124</v>
      </c>
      <c r="BX37" s="839"/>
      <c r="BY37" s="909"/>
      <c r="BZ37" s="909"/>
      <c r="CA37" s="909"/>
      <c r="CB37" s="926"/>
      <c r="CC37" s="909"/>
      <c r="CD37" s="909"/>
      <c r="CE37" s="909"/>
      <c r="CF37" s="909"/>
      <c r="CG37" s="909"/>
      <c r="CH37" s="909"/>
      <c r="CI37" s="909"/>
      <c r="CJ37" s="926"/>
      <c r="CK37" s="926"/>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1830</v>
      </c>
      <c r="U38" s="881" t="s">
        <v>4581</v>
      </c>
      <c r="V38" s="881" t="s">
        <v>7430</v>
      </c>
      <c r="W38" s="839"/>
      <c r="X38" s="886" t="s">
        <v>1753</v>
      </c>
      <c r="Y38" s="916"/>
      <c r="Z38" s="916"/>
      <c r="AA38" s="991"/>
      <c r="AB38" s="916"/>
      <c r="AC38" s="916"/>
      <c r="AD38" s="916"/>
      <c r="AE38" s="916"/>
      <c r="AF38" s="886"/>
      <c r="AG38" s="916"/>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18"/>
      <c r="BB38" s="919" t="s">
        <v>7434</v>
      </c>
      <c r="BC38" s="919" t="s">
        <v>420</v>
      </c>
      <c r="BD38" s="919"/>
      <c r="BE38" s="919" t="s">
        <v>7435</v>
      </c>
      <c r="BF38" s="855"/>
      <c r="BG38" s="901"/>
      <c r="BH38" s="901"/>
      <c r="BI38" s="901"/>
      <c r="BJ38" s="901"/>
      <c r="BK38" s="901"/>
      <c r="BL38" s="901"/>
      <c r="BM38" s="901"/>
      <c r="BN38" s="839"/>
      <c r="BO38" s="905" t="s">
        <v>7436</v>
      </c>
      <c r="BP38" s="922"/>
      <c r="BQ38" s="905" t="s">
        <v>1102</v>
      </c>
      <c r="BR38" s="903"/>
      <c r="BS38" s="903"/>
      <c r="BT38" s="903"/>
      <c r="BU38" s="903"/>
      <c r="BV38" s="904" t="s">
        <v>7344</v>
      </c>
      <c r="BW38" s="904" t="s">
        <v>7437</v>
      </c>
      <c r="BX38" s="839"/>
      <c r="BY38" s="909"/>
      <c r="BZ38" s="941" t="s">
        <v>7438</v>
      </c>
      <c r="CA38" s="909"/>
      <c r="CB38" s="926"/>
      <c r="CC38" s="909"/>
      <c r="CD38" s="909"/>
      <c r="CE38" s="909"/>
      <c r="CF38" s="909"/>
      <c r="CG38" s="909"/>
      <c r="CH38" s="909"/>
      <c r="CI38" s="909"/>
      <c r="CJ38" s="926"/>
      <c r="CK38" s="926"/>
    </row>
    <row r="39">
      <c r="A39" s="876" t="s">
        <v>6384</v>
      </c>
      <c r="B39" s="833" t="s">
        <v>3579</v>
      </c>
      <c r="C39" s="829" t="s">
        <v>1258</v>
      </c>
      <c r="D39" s="830" t="s">
        <v>1258</v>
      </c>
      <c r="E39" s="831" t="s">
        <v>1258</v>
      </c>
      <c r="F39" s="832" t="s">
        <v>1258</v>
      </c>
      <c r="G39" s="833" t="s">
        <v>2875</v>
      </c>
      <c r="H39" s="877"/>
      <c r="I39" s="877"/>
      <c r="J39" s="877"/>
      <c r="K39" s="877"/>
      <c r="L39" s="878" t="s">
        <v>7439</v>
      </c>
      <c r="M39" s="877"/>
      <c r="N39" s="878" t="s">
        <v>7440</v>
      </c>
      <c r="O39" s="877"/>
      <c r="P39" s="839"/>
      <c r="Q39" s="882"/>
      <c r="R39" s="882"/>
      <c r="S39" s="882"/>
      <c r="T39" s="882"/>
      <c r="U39" s="881" t="s">
        <v>4527</v>
      </c>
      <c r="V39" s="881" t="s">
        <v>7441</v>
      </c>
      <c r="W39" s="839"/>
      <c r="X39" s="916"/>
      <c r="Y39" s="916"/>
      <c r="Z39" s="886" t="s">
        <v>7442</v>
      </c>
      <c r="AA39" s="991"/>
      <c r="AB39" s="916"/>
      <c r="AC39" s="916"/>
      <c r="AD39" s="886" t="s">
        <v>1411</v>
      </c>
      <c r="AE39" s="886" t="s">
        <v>3276</v>
      </c>
      <c r="AF39" s="886"/>
      <c r="AG39" s="916"/>
      <c r="AH39" s="1000" t="s">
        <v>7443</v>
      </c>
      <c r="AI39" s="839"/>
      <c r="AJ39" s="890"/>
      <c r="AK39" s="890"/>
      <c r="AL39" s="890"/>
      <c r="AM39" s="889" t="s">
        <v>2988</v>
      </c>
      <c r="AN39" s="890"/>
      <c r="AO39" s="890"/>
      <c r="AP39" s="890"/>
      <c r="AQ39" s="890"/>
      <c r="AR39" s="890"/>
      <c r="AS39" s="890"/>
      <c r="AT39" s="890"/>
      <c r="AU39" s="890"/>
      <c r="AV39" s="890"/>
      <c r="AW39" s="889" t="s">
        <v>1282</v>
      </c>
      <c r="AX39" s="890"/>
      <c r="AY39" s="890"/>
      <c r="AZ39" s="855"/>
      <c r="BA39" s="918"/>
      <c r="BB39" s="918"/>
      <c r="BC39" s="918"/>
      <c r="BD39" s="918"/>
      <c r="BE39" s="919" t="s">
        <v>7444</v>
      </c>
      <c r="BF39" s="855"/>
      <c r="BG39" s="899" t="s">
        <v>7445</v>
      </c>
      <c r="BH39" s="899" t="s">
        <v>3005</v>
      </c>
      <c r="BI39" s="901"/>
      <c r="BJ39" s="901"/>
      <c r="BK39" s="901"/>
      <c r="BL39" s="899" t="s">
        <v>7446</v>
      </c>
      <c r="BM39" s="901"/>
      <c r="BN39" s="839"/>
      <c r="BO39" s="904" t="s">
        <v>1898</v>
      </c>
      <c r="BP39" s="922"/>
      <c r="BQ39" s="903"/>
      <c r="BR39" s="903"/>
      <c r="BS39" s="903"/>
      <c r="BT39" s="904" t="s">
        <v>4406</v>
      </c>
      <c r="BU39" s="903"/>
      <c r="BV39" s="904" t="s">
        <v>7447</v>
      </c>
      <c r="BW39" s="904" t="s">
        <v>7448</v>
      </c>
      <c r="BX39" s="839"/>
      <c r="BY39" s="909"/>
      <c r="BZ39" s="909"/>
      <c r="CA39" s="909"/>
      <c r="CB39" s="926"/>
      <c r="CC39" s="909"/>
      <c r="CD39" s="909"/>
      <c r="CE39" s="909"/>
      <c r="CF39" s="909"/>
      <c r="CG39" s="909"/>
      <c r="CH39" s="968" t="s">
        <v>6121</v>
      </c>
      <c r="CI39" s="909"/>
      <c r="CJ39" s="926"/>
      <c r="CK39" s="926"/>
    </row>
    <row r="40">
      <c r="A40" s="1017" t="s">
        <v>3198</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15" t="s">
        <v>2846</v>
      </c>
      <c r="T40" s="882"/>
      <c r="U40" s="882"/>
      <c r="V40" s="881" t="s">
        <v>7450</v>
      </c>
      <c r="W40" s="839"/>
      <c r="X40" s="916"/>
      <c r="Y40" s="916"/>
      <c r="Z40" s="886" t="s">
        <v>7163</v>
      </c>
      <c r="AA40" s="944" t="s">
        <v>607</v>
      </c>
      <c r="AB40" s="916"/>
      <c r="AC40" s="916"/>
      <c r="AD40" s="886" t="s">
        <v>4854</v>
      </c>
      <c r="AE40" s="886" t="s">
        <v>749</v>
      </c>
      <c r="AF40" s="916"/>
      <c r="AG40" s="916"/>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18"/>
      <c r="BB40" s="918"/>
      <c r="BC40" s="918"/>
      <c r="BD40" s="919" t="s">
        <v>7454</v>
      </c>
      <c r="BE40" s="919" t="s">
        <v>7455</v>
      </c>
      <c r="BF40" s="855"/>
      <c r="BG40" s="899" t="s">
        <v>1391</v>
      </c>
      <c r="BH40" s="901"/>
      <c r="BI40" s="901"/>
      <c r="BJ40" s="901"/>
      <c r="BK40" s="901"/>
      <c r="BL40" s="899" t="s">
        <v>7456</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16"/>
      <c r="Y41" s="916"/>
      <c r="Z41" s="916"/>
      <c r="AA41" s="997" t="s">
        <v>7459</v>
      </c>
      <c r="AB41" s="887" t="s">
        <v>7460</v>
      </c>
      <c r="AC41" s="916"/>
      <c r="AD41" s="916"/>
      <c r="AE41" s="916"/>
      <c r="AF41" s="916"/>
      <c r="AG41" s="916"/>
      <c r="AH41" s="1000" t="s">
        <v>7461</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7462</v>
      </c>
      <c r="BF41" s="855"/>
      <c r="BG41" s="901"/>
      <c r="BH41" s="901"/>
      <c r="BI41" s="901"/>
      <c r="BJ41" s="901"/>
      <c r="BK41" s="901"/>
      <c r="BL41" s="901"/>
      <c r="BM41" s="901"/>
      <c r="BN41" s="839"/>
      <c r="BO41" s="903"/>
      <c r="BP41" s="922"/>
      <c r="BQ41" s="903"/>
      <c r="BR41" s="903"/>
      <c r="BS41" s="903"/>
      <c r="BT41" s="903"/>
      <c r="BU41" s="987" t="s">
        <v>3473</v>
      </c>
      <c r="BV41" s="904" t="s">
        <v>390</v>
      </c>
      <c r="BW41" s="923" t="s">
        <v>7463</v>
      </c>
      <c r="BX41" s="839"/>
      <c r="BY41" s="909"/>
      <c r="BZ41" s="1001" t="s">
        <v>2879</v>
      </c>
      <c r="CA41" s="909"/>
      <c r="CB41" s="926"/>
      <c r="CC41" s="909"/>
      <c r="CD41" s="909"/>
      <c r="CE41" s="909"/>
      <c r="CF41" s="908" t="s">
        <v>7464</v>
      </c>
      <c r="CG41" s="909"/>
      <c r="CH41" s="909"/>
      <c r="CI41" s="941" t="s">
        <v>5009</v>
      </c>
      <c r="CJ41" s="926"/>
      <c r="CK41" s="926"/>
    </row>
    <row r="42">
      <c r="A42" s="876" t="s">
        <v>7465</v>
      </c>
      <c r="B42" s="833" t="s">
        <v>3463</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7469</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4448</v>
      </c>
      <c r="B45" s="833" t="s">
        <v>4042</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16"/>
      <c r="Y45" s="916"/>
      <c r="Z45" s="916"/>
      <c r="AA45" s="997" t="s">
        <v>7474</v>
      </c>
      <c r="AB45" s="886" t="s">
        <v>7475</v>
      </c>
      <c r="AC45" s="916"/>
      <c r="AD45" s="916"/>
      <c r="AE45" s="916"/>
      <c r="AF45" s="916"/>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7477</v>
      </c>
      <c r="BF45" s="855"/>
      <c r="BG45" s="901"/>
      <c r="BH45" s="901"/>
      <c r="BI45" s="901"/>
      <c r="BJ45" s="901"/>
      <c r="BK45" s="901"/>
      <c r="BL45" s="901"/>
      <c r="BM45" s="899" t="s">
        <v>7478</v>
      </c>
      <c r="BN45" s="839"/>
      <c r="BO45" s="903"/>
      <c r="BP45" s="922"/>
      <c r="BQ45" s="903"/>
      <c r="BR45" s="903"/>
      <c r="BS45" s="903"/>
      <c r="BT45" s="903"/>
      <c r="BU45" s="903"/>
      <c r="BV45" s="904" t="s">
        <v>6870</v>
      </c>
      <c r="BW45" s="904" t="s">
        <v>7479</v>
      </c>
      <c r="BX45" s="839"/>
      <c r="BY45" s="909"/>
      <c r="BZ45" s="909"/>
      <c r="CA45" s="909"/>
      <c r="CB45" s="926"/>
      <c r="CC45" s="909"/>
      <c r="CD45" s="909"/>
      <c r="CE45" s="909"/>
      <c r="CF45" s="909"/>
      <c r="CG45" s="909"/>
      <c r="CH45" s="909"/>
      <c r="CI45" s="909"/>
      <c r="CJ45" s="926"/>
      <c r="CK45" s="926"/>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7480</v>
      </c>
      <c r="BX46" s="839"/>
      <c r="BY46" s="909"/>
      <c r="BZ46" s="909"/>
      <c r="CA46" s="909"/>
      <c r="CB46" s="926"/>
      <c r="CC46" s="909"/>
      <c r="CD46" s="909"/>
      <c r="CE46" s="909"/>
      <c r="CF46" s="909"/>
      <c r="CG46" s="909"/>
      <c r="CH46" s="909"/>
      <c r="CI46" s="909"/>
      <c r="CJ46" s="926"/>
      <c r="CK46" s="926"/>
    </row>
    <row r="47" ht="15.75" customHeight="1">
      <c r="A47" s="876" t="s">
        <v>2776</v>
      </c>
      <c r="B47" s="833" t="s">
        <v>981</v>
      </c>
      <c r="C47" s="829" t="s">
        <v>1258</v>
      </c>
      <c r="D47" s="830" t="s">
        <v>1258</v>
      </c>
      <c r="E47" s="831" t="s">
        <v>1258</v>
      </c>
      <c r="F47" s="832" t="s">
        <v>1258</v>
      </c>
      <c r="G47" s="833" t="s">
        <v>648</v>
      </c>
      <c r="H47" s="877"/>
      <c r="I47" s="877"/>
      <c r="J47" s="877"/>
      <c r="K47" s="877"/>
      <c r="L47" s="1026" t="s">
        <v>7481</v>
      </c>
      <c r="M47" s="955" t="s">
        <v>2823</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7482</v>
      </c>
      <c r="BF47" s="855"/>
      <c r="BG47" s="978" t="s">
        <v>7483</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3909</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3346</v>
      </c>
      <c r="AN48" s="890"/>
      <c r="AO48" s="890"/>
      <c r="AP48" s="889" t="s">
        <v>704</v>
      </c>
      <c r="AQ48" s="890"/>
      <c r="AR48" s="889" t="s">
        <v>7485</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7486</v>
      </c>
      <c r="BP48" s="922"/>
      <c r="BQ48" s="903"/>
      <c r="BR48" s="903"/>
      <c r="BS48" s="903"/>
      <c r="BT48" s="904" t="s">
        <v>4056</v>
      </c>
      <c r="BU48" s="903"/>
      <c r="BV48" s="903"/>
      <c r="BW48" s="903"/>
      <c r="BX48" s="839"/>
      <c r="BY48" s="909"/>
      <c r="BZ48" s="909"/>
      <c r="CA48" s="909"/>
      <c r="CB48" s="926"/>
      <c r="CC48" s="909"/>
      <c r="CD48" s="909"/>
      <c r="CE48" s="909"/>
      <c r="CF48" s="909"/>
      <c r="CG48" s="909"/>
      <c r="CH48" s="909"/>
      <c r="CI48" s="909"/>
      <c r="CJ48" s="926"/>
      <c r="CK48" s="926"/>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5378</v>
      </c>
      <c r="B50" s="833" t="s">
        <v>3978</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16"/>
      <c r="Y50" s="916"/>
      <c r="Z50" s="932" t="s">
        <v>7490</v>
      </c>
      <c r="AA50" s="991"/>
      <c r="AB50" s="886" t="s">
        <v>814</v>
      </c>
      <c r="AC50" s="916"/>
      <c r="AD50" s="916"/>
      <c r="AE50" s="916"/>
      <c r="AF50" s="916"/>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7492</v>
      </c>
      <c r="BF50" s="855"/>
      <c r="BG50" s="901"/>
      <c r="BH50" s="901"/>
      <c r="BI50" s="901"/>
      <c r="BJ50" s="901"/>
      <c r="BK50" s="901"/>
      <c r="BL50" s="901"/>
      <c r="BM50" s="901"/>
      <c r="BN50" s="839"/>
      <c r="BO50" s="904" t="s">
        <v>7493</v>
      </c>
      <c r="BP50" s="922"/>
      <c r="BQ50" s="903"/>
      <c r="BR50" s="903"/>
      <c r="BS50" s="903"/>
      <c r="BT50" s="903"/>
      <c r="BU50" s="903"/>
      <c r="BV50" s="903"/>
      <c r="BW50" s="923" t="s">
        <v>7494</v>
      </c>
      <c r="BX50" s="839"/>
      <c r="BY50" s="909"/>
      <c r="BZ50" s="909"/>
      <c r="CA50" s="909"/>
      <c r="CB50" s="926"/>
      <c r="CC50" s="909"/>
      <c r="CD50" s="909"/>
      <c r="CE50" s="909"/>
      <c r="CF50" s="909"/>
      <c r="CG50" s="909"/>
      <c r="CH50" s="909"/>
      <c r="CI50" s="909"/>
      <c r="CJ50" s="926"/>
      <c r="CK50" s="926"/>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16"/>
      <c r="Y51" s="916"/>
      <c r="Z51" s="916"/>
      <c r="AA51" s="991"/>
      <c r="AB51" s="916"/>
      <c r="AC51" s="916"/>
      <c r="AD51" s="916"/>
      <c r="AE51" s="916"/>
      <c r="AF51" s="916"/>
      <c r="AG51" s="916"/>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18"/>
      <c r="BB51" s="918"/>
      <c r="BC51" s="918"/>
      <c r="BD51" s="918"/>
      <c r="BE51" s="1000" t="s">
        <v>7499</v>
      </c>
      <c r="BF51" s="855"/>
      <c r="BG51" s="901"/>
      <c r="BH51" s="901"/>
      <c r="BI51" s="901"/>
      <c r="BJ51" s="901"/>
      <c r="BK51" s="901"/>
      <c r="BL51" s="1000" t="s">
        <v>7500</v>
      </c>
      <c r="BM51" s="899"/>
      <c r="BN51" s="839"/>
      <c r="BO51" s="903"/>
      <c r="BP51" s="922"/>
      <c r="BQ51" s="903"/>
      <c r="BR51" s="903"/>
      <c r="BS51" s="903"/>
      <c r="BT51" s="903"/>
      <c r="BU51" s="903"/>
      <c r="BV51" s="903"/>
      <c r="BW51" s="1000" t="s">
        <v>7501</v>
      </c>
      <c r="BX51" s="839"/>
      <c r="BY51" s="909"/>
      <c r="BZ51" s="909"/>
      <c r="CA51" s="909"/>
      <c r="CB51" s="926"/>
      <c r="CC51" s="909"/>
      <c r="CD51" s="909"/>
      <c r="CE51" s="909"/>
      <c r="CF51" s="909"/>
      <c r="CG51" s="909"/>
      <c r="CH51" s="909"/>
      <c r="CI51" s="909"/>
      <c r="CJ51" s="926"/>
      <c r="CK51" s="926"/>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7503</v>
      </c>
      <c r="AA52" s="916"/>
      <c r="AB52" s="958" t="s">
        <v>7504</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7505</v>
      </c>
      <c r="B53" s="833" t="s">
        <v>3064</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7507</v>
      </c>
      <c r="BF53" s="855"/>
      <c r="BG53" s="901"/>
      <c r="BH53" s="901"/>
      <c r="BI53" s="901"/>
      <c r="BJ53" s="901"/>
      <c r="BK53" s="901"/>
      <c r="BL53" s="901"/>
      <c r="BM53" s="901"/>
      <c r="BN53" s="839"/>
      <c r="BO53" s="903"/>
      <c r="BP53" s="922"/>
      <c r="BQ53" s="903"/>
      <c r="BR53" s="903"/>
      <c r="BS53" s="903"/>
      <c r="BT53" s="903"/>
      <c r="BU53" s="903"/>
      <c r="BV53" s="903"/>
      <c r="BW53" s="904" t="s">
        <v>7508</v>
      </c>
      <c r="BX53" s="839"/>
      <c r="BY53" s="909"/>
      <c r="BZ53" s="909"/>
      <c r="CA53" s="909"/>
      <c r="CB53" s="926"/>
      <c r="CC53" s="909"/>
      <c r="CD53" s="909"/>
      <c r="CE53" s="909"/>
      <c r="CF53" s="909"/>
      <c r="CG53" s="909"/>
      <c r="CH53" s="909"/>
      <c r="CI53" s="909"/>
      <c r="CJ53" s="926"/>
      <c r="CK53" s="926"/>
    </row>
    <row r="54">
      <c r="A54" s="876" t="s">
        <v>3630</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7509</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6155</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16"/>
      <c r="Y56" s="916"/>
      <c r="Z56" s="916"/>
      <c r="AA56" s="991"/>
      <c r="AB56" s="916"/>
      <c r="AC56" s="916"/>
      <c r="AD56" s="916"/>
      <c r="AE56" s="886" t="s">
        <v>7512</v>
      </c>
      <c r="AF56" s="916"/>
      <c r="AG56" s="916"/>
      <c r="AH56" s="1000" t="s">
        <v>7513</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7514</v>
      </c>
      <c r="BE56" s="919" t="s">
        <v>7515</v>
      </c>
      <c r="BF56" s="855"/>
      <c r="BG56" s="901"/>
      <c r="BH56" s="901"/>
      <c r="BI56" s="901"/>
      <c r="BJ56" s="901"/>
      <c r="BK56" s="901"/>
      <c r="BL56" s="901"/>
      <c r="BM56" s="901"/>
      <c r="BN56" s="839"/>
      <c r="BO56" s="903"/>
      <c r="BP56" s="922"/>
      <c r="BQ56" s="903"/>
      <c r="BR56" s="903"/>
      <c r="BS56" s="903"/>
      <c r="BT56" s="903"/>
      <c r="BU56" s="903"/>
      <c r="BV56" s="903"/>
      <c r="BW56" s="904" t="s">
        <v>7516</v>
      </c>
      <c r="BX56" s="839"/>
      <c r="BY56" s="909"/>
      <c r="BZ56" s="909"/>
      <c r="CA56" s="909"/>
      <c r="CB56" s="926"/>
      <c r="CC56" s="909"/>
      <c r="CD56" s="909"/>
      <c r="CE56" s="909"/>
      <c r="CF56" s="909"/>
      <c r="CG56" s="909"/>
      <c r="CH56" s="909"/>
      <c r="CI56" s="909"/>
      <c r="CJ56" s="926"/>
      <c r="CK56" s="926"/>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5908</v>
      </c>
      <c r="AL57" s="889" t="s">
        <v>7518</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3875</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5482</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6"/>
      <c r="CC62" s="909"/>
      <c r="CD62" s="909"/>
      <c r="CE62" s="909"/>
      <c r="CF62" s="909"/>
      <c r="CG62" s="909"/>
      <c r="CH62" s="909"/>
      <c r="CI62" s="909"/>
      <c r="CJ62" s="926"/>
      <c r="CK62" s="926"/>
    </row>
    <row r="63">
      <c r="A63" s="876" t="s">
        <v>7524</v>
      </c>
      <c r="B63" s="833" t="s">
        <v>545</v>
      </c>
      <c r="C63" s="829" t="s">
        <v>1258</v>
      </c>
      <c r="D63" s="830" t="s">
        <v>1258</v>
      </c>
      <c r="E63" s="831" t="s">
        <v>1258</v>
      </c>
      <c r="F63" s="832" t="s">
        <v>1258</v>
      </c>
      <c r="G63" s="833" t="s">
        <v>545</v>
      </c>
      <c r="H63" s="878" t="s">
        <v>3923</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7525</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4058</v>
      </c>
      <c r="AA1" s="1042" t="s">
        <v>7539</v>
      </c>
      <c r="AB1" s="1042" t="s">
        <v>6786</v>
      </c>
      <c r="AC1" s="1042" t="s">
        <v>3576</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6035</v>
      </c>
      <c r="AR1" s="1042" t="s">
        <v>7547</v>
      </c>
      <c r="AS1" s="1042" t="s">
        <v>7548</v>
      </c>
      <c r="AT1" s="1042" t="s">
        <v>7549</v>
      </c>
      <c r="AU1" s="1046" t="s">
        <v>7550</v>
      </c>
      <c r="AV1" s="1042" t="s">
        <v>3198</v>
      </c>
      <c r="AW1" s="1042" t="s">
        <v>3909</v>
      </c>
      <c r="AX1" s="1042" t="s">
        <v>5905</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2990</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3659</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6761</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5874</v>
      </c>
      <c r="T8" s="1071" t="s">
        <v>3860</v>
      </c>
      <c r="U8" s="1071" t="s">
        <v>7581</v>
      </c>
      <c r="V8" s="1071" t="s">
        <v>7582</v>
      </c>
      <c r="W8" s="1071"/>
      <c r="X8" s="1071"/>
      <c r="Y8" s="1071" t="s">
        <v>5874</v>
      </c>
      <c r="Z8" s="1071"/>
      <c r="AA8" s="1071" t="s">
        <v>3658</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2830</v>
      </c>
      <c r="F12" s="1091" t="s">
        <v>2350</v>
      </c>
      <c r="G12" s="1071"/>
      <c r="H12" s="1064" t="s">
        <v>7595</v>
      </c>
      <c r="I12" s="1065" t="s">
        <v>7596</v>
      </c>
      <c r="J12" s="1071" t="s">
        <v>7438</v>
      </c>
      <c r="K12" s="1071"/>
      <c r="L12" s="1071" t="s">
        <v>1865</v>
      </c>
      <c r="M12" s="1071"/>
      <c r="N12" s="1071" t="s">
        <v>4506</v>
      </c>
      <c r="O12" s="1071" t="s">
        <v>4795</v>
      </c>
      <c r="P12" s="1071"/>
      <c r="Q12" s="1065" t="s">
        <v>3465</v>
      </c>
      <c r="R12" s="1078" t="s">
        <v>7597</v>
      </c>
      <c r="S12" s="1071" t="s">
        <v>4506</v>
      </c>
      <c r="T12" s="1071"/>
      <c r="U12" s="1071" t="s">
        <v>4384</v>
      </c>
      <c r="V12" s="1071"/>
      <c r="W12" s="1071" t="s">
        <v>654</v>
      </c>
      <c r="X12" s="1071" t="s">
        <v>2899</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2830</v>
      </c>
      <c r="R13" s="1093"/>
      <c r="S13" s="1066" t="s">
        <v>3879</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4017</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6145</v>
      </c>
      <c r="G14" s="1066" t="s">
        <v>4451</v>
      </c>
      <c r="H14" s="1064" t="str">
        <f>HYPERLINK("https://www.twitch.tv/videos/569558488","14.31")</f>
        <v>14.31</v>
      </c>
      <c r="I14" s="1095" t="s">
        <v>7604</v>
      </c>
      <c r="J14" s="1071" t="str">
        <f>HYPERLINK("https://youtu.be/F4XtupQ5d4o","14.33")</f>
        <v>14.33</v>
      </c>
      <c r="K14" s="1071" t="s">
        <v>4451</v>
      </c>
      <c r="L14" s="1063" t="s">
        <v>4063</v>
      </c>
      <c r="M14" s="1071"/>
      <c r="N14" s="1071" t="str">
        <f>HYPERLINK("https://www.youtube.com/watch?v=h3GaauXfeR4","14.16")</f>
        <v>14.16</v>
      </c>
      <c r="O14" s="1071" t="str">
        <f>HYPERLINK("https://youtu.be/rZW3Nzg9CsM","14.20")</f>
        <v>14.20</v>
      </c>
      <c r="P14" s="1071"/>
      <c r="Q14" s="1065" t="s">
        <v>4405</v>
      </c>
      <c r="R14" s="1067" t="s">
        <v>5445</v>
      </c>
      <c r="S14" s="1071" t="s">
        <v>2282</v>
      </c>
      <c r="T14" s="1071" t="s">
        <v>3912</v>
      </c>
      <c r="U14" s="1071"/>
      <c r="V14" s="1071"/>
      <c r="W14" s="1071"/>
      <c r="X14" s="1071" t="s">
        <v>5671</v>
      </c>
      <c r="Y14" s="1071"/>
      <c r="Z14" s="1071" t="s">
        <v>4525</v>
      </c>
      <c r="AA14" s="1071"/>
      <c r="AB14" s="1071"/>
      <c r="AC14" s="1071" t="s">
        <v>6145</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2733</v>
      </c>
      <c r="D16" s="1071" t="s">
        <v>5554</v>
      </c>
      <c r="E16" s="1071"/>
      <c r="F16" s="1091" t="s">
        <v>2148</v>
      </c>
      <c r="G16" s="1071"/>
      <c r="H16" s="1083"/>
      <c r="I16" s="1065" t="s">
        <v>2134</v>
      </c>
      <c r="J16" s="1071"/>
      <c r="K16" s="1071"/>
      <c r="L16" s="1071"/>
      <c r="M16" s="1071"/>
      <c r="N16" s="1071" t="s">
        <v>2733</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2733</v>
      </c>
      <c r="W17" s="1066"/>
      <c r="X17" s="1066"/>
      <c r="Y17" s="1066" t="s">
        <v>7612</v>
      </c>
      <c r="Z17" s="1066"/>
      <c r="AA17" s="1063" t="s">
        <v>1989</v>
      </c>
      <c r="AB17" s="1066"/>
      <c r="AC17" s="1066"/>
      <c r="AD17" s="1066"/>
      <c r="AE17" s="1066"/>
      <c r="AF17" s="1066"/>
      <c r="AG17" s="1066"/>
      <c r="AH17" s="1063" t="s">
        <v>7609</v>
      </c>
      <c r="AI17" s="1066" t="s">
        <v>3894</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3619</v>
      </c>
      <c r="E18" s="1071" t="s">
        <v>1172</v>
      </c>
      <c r="F18" s="1072"/>
      <c r="G18" s="1071"/>
      <c r="H18" s="1064" t="s">
        <v>4452</v>
      </c>
      <c r="I18" s="1065"/>
      <c r="J18" s="1071" t="s">
        <v>4219</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2865</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4051</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2831</v>
      </c>
      <c r="M20" s="1071" t="s">
        <v>626</v>
      </c>
      <c r="N20" s="1071" t="s">
        <v>590</v>
      </c>
      <c r="O20" s="1071" t="s">
        <v>1890</v>
      </c>
      <c r="P20" s="1071" t="s">
        <v>658</v>
      </c>
      <c r="Q20" s="1065" t="s">
        <v>3300</v>
      </c>
      <c r="R20" s="1093"/>
      <c r="S20" s="1071" t="s">
        <v>1557</v>
      </c>
      <c r="T20" s="1071"/>
      <c r="U20" s="1071" t="s">
        <v>7624</v>
      </c>
      <c r="V20" s="1071"/>
      <c r="W20" s="1063" t="s">
        <v>5741</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2733</v>
      </c>
      <c r="D23" s="1101"/>
      <c r="E23" s="1101" t="s">
        <v>160</v>
      </c>
      <c r="F23" s="1062"/>
      <c r="G23" s="1101"/>
      <c r="H23" s="1083" t="s">
        <v>4171</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3894</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3414</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2833</v>
      </c>
      <c r="D27" s="1063" t="s">
        <v>1559</v>
      </c>
      <c r="E27" s="1071" t="s">
        <v>7647</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2961</v>
      </c>
      <c r="D30" s="1071"/>
      <c r="E30" s="1071" t="s">
        <v>2961</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5757</v>
      </c>
      <c r="G31" s="1071"/>
      <c r="H31" s="1083"/>
      <c r="I31" s="1065"/>
      <c r="J31" s="1071" t="s">
        <v>4937</v>
      </c>
      <c r="K31" s="1071" t="s">
        <v>770</v>
      </c>
      <c r="L31" s="1071" t="s">
        <v>3415</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2884</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3882</v>
      </c>
      <c r="D33" s="1071"/>
      <c r="E33" s="1071" t="s">
        <v>3882</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2884</v>
      </c>
      <c r="D34" s="1071"/>
      <c r="E34" s="1071" t="s">
        <v>3176</v>
      </c>
      <c r="F34" s="1072"/>
      <c r="G34" s="1071"/>
      <c r="H34" s="1083"/>
      <c r="I34" s="1065"/>
      <c r="J34" s="1071"/>
      <c r="K34" s="1071"/>
      <c r="L34" s="1071" t="s">
        <v>4272</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3752</v>
      </c>
      <c r="D35" s="1071"/>
      <c r="E35" s="1071" t="s">
        <v>3415</v>
      </c>
      <c r="F35" s="1062"/>
      <c r="G35" s="1071"/>
      <c r="H35" s="1083"/>
      <c r="I35" s="1095" t="s">
        <v>7664</v>
      </c>
      <c r="J35" s="1071"/>
      <c r="K35" s="1071" t="s">
        <v>3752</v>
      </c>
      <c r="L35" s="1071" t="s">
        <v>3882</v>
      </c>
      <c r="M35" s="1071"/>
      <c r="N35" s="1071" t="s">
        <v>5443</v>
      </c>
      <c r="O35" s="1071"/>
      <c r="P35" s="1071"/>
      <c r="Q35" s="1065"/>
      <c r="R35" s="1068"/>
      <c r="S35" s="1071" t="s">
        <v>7665</v>
      </c>
      <c r="T35" s="1063" t="s">
        <v>3752</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4152</v>
      </c>
      <c r="D36" s="1071"/>
      <c r="E36" s="1071" t="s">
        <v>3854</v>
      </c>
      <c r="F36" s="1072"/>
      <c r="G36" s="1071"/>
      <c r="H36" s="1083"/>
      <c r="I36" s="1065"/>
      <c r="J36" s="1071"/>
      <c r="K36" s="1071" t="s">
        <v>4152</v>
      </c>
      <c r="L36" s="1071" t="s">
        <v>7667</v>
      </c>
      <c r="M36" s="1071" t="s">
        <v>2275</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3752</v>
      </c>
      <c r="F37" s="1091" t="s">
        <v>3162</v>
      </c>
      <c r="G37" s="1071"/>
      <c r="H37" s="1083"/>
      <c r="I37" s="1065"/>
      <c r="J37" s="1071" t="s">
        <v>7669</v>
      </c>
      <c r="K37" s="1071" t="s">
        <v>2320</v>
      </c>
      <c r="L37" s="1071" t="s">
        <v>2275</v>
      </c>
      <c r="M37" s="1071"/>
      <c r="N37" s="1071" t="s">
        <v>7667</v>
      </c>
      <c r="O37" s="1071"/>
      <c r="P37" s="1071"/>
      <c r="Q37" s="1065"/>
      <c r="R37" s="1068"/>
      <c r="S37" s="1071" t="s">
        <v>3143</v>
      </c>
      <c r="T37" s="1071"/>
      <c r="U37" s="1071"/>
      <c r="V37" s="1071"/>
      <c r="W37" s="1063" t="s">
        <v>3752</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4015</v>
      </c>
      <c r="F38" s="1077" t="s">
        <v>2471</v>
      </c>
      <c r="G38" s="1071" t="s">
        <v>761</v>
      </c>
      <c r="H38" s="1064" t="s">
        <v>3830</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4015</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3130</v>
      </c>
      <c r="I39" s="1065" t="s">
        <v>4095</v>
      </c>
      <c r="J39" s="1071"/>
      <c r="K39" s="1071"/>
      <c r="L39" s="1071" t="s">
        <v>353</v>
      </c>
      <c r="M39" s="1071"/>
      <c r="N39" s="1071"/>
      <c r="O39" s="1071"/>
      <c r="P39" s="1071"/>
      <c r="Q39" s="1065"/>
      <c r="R39" s="1068"/>
      <c r="S39" s="1071" t="s">
        <v>3184</v>
      </c>
      <c r="T39" s="1071"/>
      <c r="U39" s="1071"/>
      <c r="V39" s="1071"/>
      <c r="W39" s="1071"/>
      <c r="X39" s="1071"/>
      <c r="Y39" s="1071"/>
      <c r="Z39" s="1071" t="s">
        <v>7674</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2694</v>
      </c>
      <c r="E40" s="1071" t="s">
        <v>3428</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2784</v>
      </c>
      <c r="M42" s="1066" t="s">
        <v>555</v>
      </c>
      <c r="N42" s="1063" t="s">
        <v>109</v>
      </c>
      <c r="O42" s="1066" t="s">
        <v>455</v>
      </c>
      <c r="P42" s="1063" t="s">
        <v>555</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2844</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5486</v>
      </c>
      <c r="D49" s="1117" t="s">
        <v>6161</v>
      </c>
      <c r="E49" s="1065"/>
      <c r="F49" s="1072"/>
      <c r="G49" s="1065" t="s">
        <v>6161</v>
      </c>
      <c r="H49" s="1083"/>
      <c r="I49" s="1065" t="s">
        <v>7695</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2660</v>
      </c>
      <c r="K55" s="1071" t="s">
        <v>1912</v>
      </c>
      <c r="L55" s="1071" t="s">
        <v>7709</v>
      </c>
      <c r="M55" s="1071" t="s">
        <v>908</v>
      </c>
      <c r="N55" s="1071" t="s">
        <v>752</v>
      </c>
      <c r="O55" s="1071" t="s">
        <v>2999</v>
      </c>
      <c r="P55" s="1071"/>
      <c r="Q55" s="1065" t="s">
        <v>3484</v>
      </c>
      <c r="R55" s="1132" t="s">
        <v>7710</v>
      </c>
      <c r="S55" s="1071" t="s">
        <v>122</v>
      </c>
      <c r="T55" s="1071" t="s">
        <v>7711</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3200</v>
      </c>
      <c r="D56" s="1071"/>
      <c r="E56" s="1071" t="s">
        <v>3200</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3593</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3842</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4166</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2723</v>
      </c>
      <c r="F63" s="1146" t="s">
        <v>1076</v>
      </c>
      <c r="G63" s="1064" t="s">
        <v>621</v>
      </c>
      <c r="H63" s="1064" t="s">
        <v>7720</v>
      </c>
      <c r="I63" s="1131"/>
      <c r="J63" s="1108"/>
      <c r="K63" s="1108"/>
      <c r="L63" s="1108"/>
      <c r="M63" s="1108"/>
      <c r="N63" s="1108"/>
      <c r="O63" s="1108"/>
      <c r="P63" s="1064" t="s">
        <v>3990</v>
      </c>
      <c r="Q63" s="1065" t="s">
        <v>7721</v>
      </c>
      <c r="R63" s="1074"/>
      <c r="S63" s="1108" t="s">
        <v>7621</v>
      </c>
      <c r="T63" s="1108" t="s">
        <v>193</v>
      </c>
      <c r="U63" s="1108"/>
      <c r="V63" s="1108"/>
      <c r="W63" s="1108"/>
      <c r="X63" s="1108"/>
      <c r="Y63" s="1108"/>
      <c r="Z63" s="1108"/>
      <c r="AA63" s="1108"/>
      <c r="AB63" s="1108" t="s">
        <v>3990</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4146</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3749</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4228</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3450</v>
      </c>
      <c r="F71" s="1146" t="s">
        <v>7741</v>
      </c>
      <c r="G71" s="1071" t="s">
        <v>573</v>
      </c>
      <c r="H71" s="1083"/>
      <c r="I71" s="1142" t="s">
        <v>6285</v>
      </c>
      <c r="J71" s="1071"/>
      <c r="K71" s="1071" t="s">
        <v>7741</v>
      </c>
      <c r="L71" s="1071"/>
      <c r="M71" s="1071"/>
      <c r="N71" s="1071" t="s">
        <v>3450</v>
      </c>
      <c r="O71" s="1071"/>
      <c r="P71" s="1071"/>
      <c r="Q71" s="1065"/>
      <c r="R71" s="1132" t="s">
        <v>7742</v>
      </c>
      <c r="S71" s="1071"/>
      <c r="T71" s="1071"/>
      <c r="U71" s="1071"/>
      <c r="V71" s="1071" t="s">
        <v>2842</v>
      </c>
      <c r="W71" s="1108" t="s">
        <v>5685</v>
      </c>
      <c r="X71" s="1071"/>
      <c r="Y71" s="1071" t="s">
        <v>3381</v>
      </c>
      <c r="Z71" s="1071" t="s">
        <v>5109</v>
      </c>
      <c r="AA71" s="1071"/>
      <c r="AB71" s="1071" t="s">
        <v>4838</v>
      </c>
      <c r="AC71" s="1071"/>
      <c r="AD71" s="1071"/>
      <c r="AE71" s="1071"/>
      <c r="AF71" s="1071"/>
      <c r="AG71" s="1071" t="s">
        <v>3842</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4071</v>
      </c>
      <c r="P72" s="1156"/>
      <c r="Q72" s="1082"/>
      <c r="R72" s="1093" t="s">
        <v>7745</v>
      </c>
      <c r="S72" s="1156" t="str">
        <f>HYPERLINK("https://clips.twitch.tv/ThankfulSpoopyHerdWOOP","16.58")</f>
        <v>16.58</v>
      </c>
      <c r="T72" s="1156"/>
      <c r="U72" s="1156"/>
      <c r="V72" s="1156"/>
      <c r="W72" s="1156"/>
      <c r="X72" s="1156" t="s">
        <v>7746</v>
      </c>
      <c r="Y72" s="1156"/>
      <c r="Z72" s="1156" t="s">
        <v>3643</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3586</v>
      </c>
      <c r="D73" s="1071" t="s">
        <v>529</v>
      </c>
      <c r="E73" s="1071"/>
      <c r="F73" s="1091" t="s">
        <v>342</v>
      </c>
      <c r="G73" s="1071" t="s">
        <v>3950</v>
      </c>
      <c r="H73" s="1064" t="s">
        <v>2219</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1822</v>
      </c>
      <c r="G74" s="1113" t="s">
        <v>1211</v>
      </c>
      <c r="H74" s="1064" t="s">
        <v>1272</v>
      </c>
      <c r="I74" s="1142" t="s">
        <v>7749</v>
      </c>
      <c r="J74" s="1113" t="s">
        <v>1429</v>
      </c>
      <c r="K74" s="1113" t="s">
        <v>4389</v>
      </c>
      <c r="L74" s="1113" t="s">
        <v>3110</v>
      </c>
      <c r="M74" s="1113" t="s">
        <v>7750</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3586</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4239</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3886</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4072</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4072</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3342</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4063</v>
      </c>
      <c r="D81" s="1071"/>
      <c r="E81" s="1071" t="s">
        <v>4063</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3750</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2680</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4053</v>
      </c>
      <c r="V82" s="1071"/>
      <c r="W82" s="1071"/>
      <c r="X82" s="1071"/>
      <c r="Y82" s="1071" t="s">
        <v>7773</v>
      </c>
      <c r="Z82" s="1071" t="s">
        <v>1871</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3021</v>
      </c>
      <c r="D83" s="1108"/>
      <c r="E83" s="1108"/>
      <c r="F83" s="1146" t="s">
        <v>1908</v>
      </c>
      <c r="G83" s="1156" t="s">
        <v>3021</v>
      </c>
      <c r="H83" s="1083"/>
      <c r="I83" s="1131"/>
      <c r="J83" s="1108"/>
      <c r="K83" s="1108"/>
      <c r="L83" s="1108"/>
      <c r="M83" s="1108"/>
      <c r="N83" s="1108"/>
      <c r="O83" s="1108"/>
      <c r="P83" s="1108" t="s">
        <v>3021</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2753</v>
      </c>
      <c r="D85" s="1071" t="s">
        <v>3657</v>
      </c>
      <c r="E85" s="1071" t="s">
        <v>2753</v>
      </c>
      <c r="F85" s="1062"/>
      <c r="G85" s="1071"/>
      <c r="H85" s="1083"/>
      <c r="I85" s="1131"/>
      <c r="J85" s="1071"/>
      <c r="K85" s="1071"/>
      <c r="L85" s="1071" t="s">
        <v>7779</v>
      </c>
      <c r="M85" s="1071" t="s">
        <v>5213</v>
      </c>
      <c r="N85" s="1071"/>
      <c r="O85" s="1071" t="str">
        <f>HYPERLINK("https://youtu.be/HUwmtKe7cOY","56.54")</f>
        <v>56.54</v>
      </c>
      <c r="P85" s="1071"/>
      <c r="Q85" s="1065" t="s">
        <v>3829</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2951</v>
      </c>
      <c r="K86" s="1071" t="s">
        <v>4436</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3550</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2893</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3114</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3706</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4021</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4215</v>
      </c>
      <c r="D102" s="1024" t="s">
        <v>1573</v>
      </c>
      <c r="E102" s="1176" t="s">
        <v>2445</v>
      </c>
      <c r="F102" s="1062"/>
      <c r="G102" s="1176"/>
      <c r="H102" s="1064" t="s">
        <v>6073</v>
      </c>
      <c r="I102" s="1177" t="s">
        <v>7820</v>
      </c>
      <c r="J102" s="1176" t="str">
        <f>HYPERLINK("https://youtu.be/ycBfir2aflI","41.70")</f>
        <v>41.70</v>
      </c>
      <c r="K102" s="1176" t="s">
        <v>7600</v>
      </c>
      <c r="L102" s="1176"/>
      <c r="M102" s="1176" t="s">
        <v>916</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3347</v>
      </c>
      <c r="K103" s="1176" t="s">
        <v>4166</v>
      </c>
      <c r="L103" s="1183" t="s">
        <v>1236</v>
      </c>
      <c r="M103" s="1183" t="s">
        <v>917</v>
      </c>
      <c r="N103" s="1176" t="s">
        <v>762</v>
      </c>
      <c r="O103" s="1183" t="s">
        <v>3731</v>
      </c>
      <c r="P103" s="1176" t="s">
        <v>1616</v>
      </c>
      <c r="Q103" s="1185" t="s">
        <v>2920</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3406</v>
      </c>
      <c r="D104" s="1187" t="s">
        <v>4528</v>
      </c>
      <c r="E104" s="1183"/>
      <c r="F104" s="1062"/>
      <c r="G104" s="1183"/>
      <c r="H104" s="1064" t="s">
        <v>6120</v>
      </c>
      <c r="I104" s="1177" t="s">
        <v>5493</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5738</v>
      </c>
      <c r="D107" s="1021" t="s">
        <v>6720</v>
      </c>
      <c r="E107" s="1183"/>
      <c r="F107" s="1062"/>
      <c r="G107" s="1183"/>
      <c r="H107" s="1064" t="s">
        <v>611</v>
      </c>
      <c r="I107" s="1180"/>
      <c r="J107" s="1183"/>
      <c r="K107" s="1176" t="s">
        <v>7830</v>
      </c>
      <c r="L107" s="1183" t="s">
        <v>3648</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3728</v>
      </c>
      <c r="E108" s="1183"/>
      <c r="F108" s="1184"/>
      <c r="G108" s="1183"/>
      <c r="H108" s="1064" t="s">
        <v>134</v>
      </c>
      <c r="I108" s="1177"/>
      <c r="J108" s="1183" t="s">
        <v>7834</v>
      </c>
      <c r="K108" s="1176" t="s">
        <v>7835</v>
      </c>
      <c r="L108" s="1183" t="s">
        <v>3649</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3960</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3651</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3159</v>
      </c>
      <c r="R114" s="1195" t="s">
        <v>7842</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6120</v>
      </c>
      <c r="F115" s="1194" t="s">
        <v>3831</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3652</v>
      </c>
      <c r="L116" s="1176" t="s">
        <v>3652</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4023</v>
      </c>
      <c r="M117" s="1183"/>
      <c r="N117" s="1183"/>
      <c r="O117" s="1183" t="s">
        <v>5491</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3803</v>
      </c>
      <c r="BJ117" s="1179"/>
      <c r="BK117" s="1179"/>
      <c r="BL117" s="1179"/>
      <c r="BM117" s="1179"/>
      <c r="BN117" s="1179"/>
      <c r="BO117" s="1179"/>
    </row>
    <row r="118" ht="15.75" customHeight="1">
      <c r="A118" s="1193"/>
      <c r="B118" s="1190" t="s">
        <v>7847</v>
      </c>
      <c r="C118" s="1175" t="s">
        <v>875</v>
      </c>
      <c r="D118" s="1183" t="s">
        <v>3999</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1861</v>
      </c>
      <c r="H119" s="1083"/>
      <c r="I119" s="1180"/>
      <c r="J119" s="1176" t="s">
        <v>259</v>
      </c>
      <c r="K119" s="1176" t="s">
        <v>4805</v>
      </c>
      <c r="L119" s="1176" t="s">
        <v>845</v>
      </c>
      <c r="M119" s="1176"/>
      <c r="N119" s="1176" t="s">
        <v>768</v>
      </c>
      <c r="O119" s="1176"/>
      <c r="P119" s="1176" t="s">
        <v>4246</v>
      </c>
      <c r="Q119" s="1178" t="s">
        <v>6212</v>
      </c>
      <c r="R119" s="1179"/>
      <c r="S119" s="1176" t="s">
        <v>2490</v>
      </c>
      <c r="T119" s="1176" t="s">
        <v>3377</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6093</v>
      </c>
      <c r="J121" s="1183" t="s">
        <v>3670</v>
      </c>
      <c r="K121" s="1183"/>
      <c r="L121" s="1183" t="s">
        <v>3078</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2962</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4118</v>
      </c>
      <c r="D126" s="1176" t="s">
        <v>7859</v>
      </c>
      <c r="E126" s="1176" t="s">
        <v>7860</v>
      </c>
      <c r="F126" s="1091" t="s">
        <v>7861</v>
      </c>
      <c r="G126" s="1176" t="s">
        <v>4118</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2788</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2674</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3655</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3021</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175" t="s">
        <v>7877</v>
      </c>
      <c r="D136" s="1183"/>
      <c r="E136" s="1183"/>
      <c r="F136" s="1062"/>
      <c r="G136" s="1183"/>
      <c r="H136" s="1064" t="s">
        <v>4823</v>
      </c>
      <c r="I136" s="1180"/>
      <c r="J136" s="1183"/>
      <c r="K136" s="1183"/>
      <c r="L136" s="1183" t="s">
        <v>4452</v>
      </c>
      <c r="M136" s="1183"/>
      <c r="N136" s="1183"/>
      <c r="O136" s="1183"/>
      <c r="P136" s="1183"/>
      <c r="Q136" s="1185"/>
      <c r="R136" s="1221" t="s">
        <v>7878</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7879</v>
      </c>
      <c r="C137" s="1175" t="s">
        <v>1813</v>
      </c>
      <c r="D137" s="1183" t="s">
        <v>2606</v>
      </c>
      <c r="E137" s="1183"/>
      <c r="F137" s="1209"/>
      <c r="G137" s="1183"/>
      <c r="H137" s="1083"/>
      <c r="I137" s="1180"/>
      <c r="J137" s="1183"/>
      <c r="K137" s="1183"/>
      <c r="L137" s="1183" t="s">
        <v>3656</v>
      </c>
      <c r="M137" s="1183"/>
      <c r="N137" s="1183"/>
      <c r="O137" s="1183"/>
      <c r="P137" s="1183"/>
      <c r="Q137" s="1185"/>
      <c r="R137" s="1074"/>
      <c r="S137" s="1183"/>
      <c r="T137" s="1183" t="s">
        <v>3068</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7880</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7881</v>
      </c>
      <c r="C139" s="1175" t="s">
        <v>375</v>
      </c>
      <c r="D139" s="1071" t="s">
        <v>774</v>
      </c>
      <c r="E139" s="1064" t="s">
        <v>375</v>
      </c>
      <c r="F139" s="1097" t="s">
        <v>3986</v>
      </c>
      <c r="G139" s="1222" t="s">
        <v>7882</v>
      </c>
      <c r="H139" s="1064" t="s">
        <v>1293</v>
      </c>
      <c r="I139" s="1180"/>
      <c r="J139" s="1064" t="s">
        <v>5528</v>
      </c>
      <c r="K139" s="1083"/>
      <c r="L139" s="1083"/>
      <c r="M139" s="1064" t="s">
        <v>927</v>
      </c>
      <c r="N139" s="1064" t="s">
        <v>6503</v>
      </c>
      <c r="O139" s="1083"/>
      <c r="P139" s="1064" t="s">
        <v>7883</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7884</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7885</v>
      </c>
      <c r="C140" s="1175" t="s">
        <v>565</v>
      </c>
      <c r="D140" s="1183" t="s">
        <v>4303</v>
      </c>
      <c r="E140" s="1183"/>
      <c r="F140" s="1062"/>
      <c r="G140" s="1183"/>
      <c r="H140" s="1083"/>
      <c r="I140" s="1177" t="s">
        <v>7886</v>
      </c>
      <c r="J140" s="1183"/>
      <c r="K140" s="1064" t="s">
        <v>5721</v>
      </c>
      <c r="L140" s="1183" t="s">
        <v>1653</v>
      </c>
      <c r="M140" s="1183"/>
      <c r="N140" s="1183"/>
      <c r="O140" s="1183" t="str">
        <f>HYPERLINK("https://youtu.be/wzsts4r5VHY","56.24")</f>
        <v>56.24</v>
      </c>
      <c r="P140" s="1064" t="s">
        <v>7887</v>
      </c>
      <c r="Q140" s="1185"/>
      <c r="R140" s="1212" t="s">
        <v>7888</v>
      </c>
      <c r="S140" s="1183"/>
      <c r="T140" s="1183"/>
      <c r="U140" s="1183" t="s">
        <v>565</v>
      </c>
      <c r="V140" s="1183"/>
      <c r="W140" s="1183"/>
      <c r="X140" s="1183"/>
      <c r="Y140" s="1183"/>
      <c r="Z140" s="1183"/>
      <c r="AA140" s="1183"/>
      <c r="AB140" s="1183"/>
      <c r="AC140" s="1183"/>
      <c r="AD140" s="1183"/>
      <c r="AE140" s="1183"/>
      <c r="AF140" s="1183" t="s">
        <v>7889</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7890</v>
      </c>
      <c r="C141" s="1175" t="s">
        <v>4567</v>
      </c>
      <c r="D141" s="1223"/>
      <c r="E141" s="1223"/>
      <c r="F141" s="1209"/>
      <c r="G141" s="1223"/>
      <c r="H141" s="1083"/>
      <c r="I141" s="1180"/>
      <c r="J141" s="1223"/>
      <c r="K141" s="1064" t="s">
        <v>7891</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7892</v>
      </c>
      <c r="C142" s="1175" t="s">
        <v>7893</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7894</v>
      </c>
      <c r="C143" s="1175" t="s">
        <v>4141</v>
      </c>
      <c r="D143" s="1183"/>
      <c r="E143" s="1183"/>
      <c r="F143" s="1209"/>
      <c r="G143" s="1183"/>
      <c r="H143" s="1083"/>
      <c r="I143" s="1180"/>
      <c r="J143" s="1183"/>
      <c r="K143" s="1183"/>
      <c r="L143" s="1183" t="s">
        <v>3962</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7895</v>
      </c>
      <c r="C144" s="1175" t="s">
        <v>7896</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7897</v>
      </c>
      <c r="C145" s="1175"/>
      <c r="E145" s="1183"/>
      <c r="F145" s="1062"/>
      <c r="G145" s="1183"/>
      <c r="H145" s="1083"/>
      <c r="I145" s="1105" t="s">
        <v>7898</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7899</v>
      </c>
      <c r="C146" s="1059" t="s">
        <v>7900</v>
      </c>
      <c r="D146" s="1071" t="s">
        <v>580</v>
      </c>
      <c r="E146" s="1183"/>
      <c r="F146" s="1062"/>
      <c r="G146" s="1183"/>
      <c r="H146" s="1083"/>
      <c r="I146" s="1105" t="s">
        <v>7900</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7901</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7902</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7901</v>
      </c>
      <c r="C149" s="1175" t="s">
        <v>3595</v>
      </c>
      <c r="D149" s="1176" t="s">
        <v>5478</v>
      </c>
      <c r="E149" s="1176" t="s">
        <v>3595</v>
      </c>
      <c r="F149" s="1209"/>
      <c r="G149" s="1176"/>
      <c r="H149" s="1064" t="s">
        <v>2950</v>
      </c>
      <c r="I149" s="1180"/>
      <c r="J149" s="1176"/>
      <c r="K149" s="1176"/>
      <c r="L149" s="1176" t="s">
        <v>474</v>
      </c>
      <c r="M149" s="1176"/>
      <c r="N149" s="1176" t="s">
        <v>2322</v>
      </c>
      <c r="O149" s="1176" t="s">
        <v>1318</v>
      </c>
      <c r="P149" s="1176"/>
      <c r="Q149" s="1178"/>
      <c r="R149" s="1093" t="s">
        <v>3737</v>
      </c>
      <c r="S149" s="1176"/>
      <c r="T149" s="1176"/>
      <c r="U149" s="1176"/>
      <c r="V149" s="1176"/>
      <c r="W149" s="1176"/>
      <c r="X149" s="1176"/>
      <c r="Y149" s="1176"/>
      <c r="Z149" s="1176" t="s">
        <v>7903</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7902</v>
      </c>
      <c r="C150" s="1175" t="s">
        <v>1443</v>
      </c>
      <c r="D150" s="1024" t="s">
        <v>1585</v>
      </c>
      <c r="E150" s="1176" t="s">
        <v>5532</v>
      </c>
      <c r="F150" s="1097" t="s">
        <v>1615</v>
      </c>
      <c r="G150" s="1187" t="s">
        <v>139</v>
      </c>
      <c r="H150" s="1064" t="s">
        <v>3377</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7905</v>
      </c>
      <c r="D151" s="1223"/>
      <c r="E151" s="1223"/>
      <c r="F151" s="1209"/>
      <c r="G151" s="1223"/>
      <c r="H151" s="1064" t="s">
        <v>2822</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3264</v>
      </c>
      <c r="L154" s="1083" t="s">
        <v>3660</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3501</v>
      </c>
      <c r="D155" s="1024" t="s">
        <v>1586</v>
      </c>
      <c r="E155" s="1183"/>
      <c r="F155" s="1209"/>
      <c r="G155" s="1183"/>
      <c r="H155" s="1064" t="s">
        <v>1297</v>
      </c>
      <c r="I155" s="1180"/>
      <c r="J155" s="1183"/>
      <c r="K155" s="1183"/>
      <c r="L155" s="1187" t="s">
        <v>3659</v>
      </c>
      <c r="M155" s="1183"/>
      <c r="N155" s="1183" t="s">
        <v>7921</v>
      </c>
      <c r="O155" s="1183"/>
      <c r="P155" s="1183" t="s">
        <v>1088</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5054</v>
      </c>
      <c r="E156" s="1227" t="s">
        <v>3665</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3860</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3111</v>
      </c>
      <c r="G167" s="1176" t="s">
        <v>745</v>
      </c>
      <c r="H167" s="1083"/>
      <c r="I167" s="1176"/>
      <c r="J167" s="1227"/>
      <c r="K167" s="1227"/>
      <c r="L167" s="1227"/>
      <c r="M167" s="1227"/>
      <c r="N167" s="1176" t="s">
        <v>2699</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7950</v>
      </c>
      <c r="C168" s="1175" t="s">
        <v>2613</v>
      </c>
      <c r="D168" s="1183" t="s">
        <v>2613</v>
      </c>
      <c r="E168" s="1183"/>
      <c r="F168" s="1217" t="s">
        <v>2980</v>
      </c>
      <c r="G168" s="1176" t="s">
        <v>2613</v>
      </c>
      <c r="H168" s="1064" t="s">
        <v>2860</v>
      </c>
      <c r="I168" s="1177" t="s">
        <v>7951</v>
      </c>
      <c r="J168" s="1183"/>
      <c r="K168" s="1183"/>
      <c r="L168" s="1183" t="s">
        <v>3786</v>
      </c>
      <c r="M168" s="1183"/>
      <c r="N168" s="1183"/>
      <c r="O168" s="1183"/>
      <c r="P168" s="1183" t="s">
        <v>2613</v>
      </c>
      <c r="Q168" s="1185" t="s">
        <v>2980</v>
      </c>
      <c r="R168" s="1073" t="s">
        <v>7952</v>
      </c>
      <c r="S168" s="1183"/>
      <c r="T168" s="1183" t="s">
        <v>2613</v>
      </c>
      <c r="U168" s="1183" t="s">
        <v>2613</v>
      </c>
      <c r="V168" s="1183"/>
      <c r="W168" s="1183"/>
      <c r="X168" s="1183"/>
      <c r="Y168" s="1183"/>
      <c r="Z168" s="1183"/>
      <c r="AA168" s="1183"/>
      <c r="AB168" s="1183"/>
      <c r="AC168" s="1064" t="s">
        <v>3597</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3661</v>
      </c>
      <c r="M169" s="1176"/>
      <c r="N169" s="1176"/>
      <c r="O169" s="1176"/>
      <c r="P169" s="1176" t="s">
        <v>878</v>
      </c>
      <c r="Q169" s="1178" t="s">
        <v>799</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7872</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7556</v>
      </c>
      <c r="C182" s="1175" t="s">
        <v>1924</v>
      </c>
      <c r="D182" s="1066" t="s">
        <v>5505</v>
      </c>
      <c r="E182" s="1071" t="s">
        <v>6268</v>
      </c>
      <c r="F182" s="1091" t="s">
        <v>3004</v>
      </c>
      <c r="G182" s="1071" t="s">
        <v>3004</v>
      </c>
      <c r="H182" s="1064" t="s">
        <v>7988</v>
      </c>
      <c r="I182" s="1131"/>
      <c r="J182" s="1071"/>
      <c r="K182" s="1071"/>
      <c r="L182" s="1071"/>
      <c r="M182" s="1071" t="s">
        <v>4502</v>
      </c>
      <c r="N182" s="1071"/>
      <c r="O182" s="1071"/>
      <c r="P182" s="1071"/>
      <c r="Q182" s="1065"/>
      <c r="R182" s="1240"/>
      <c r="S182" s="1071"/>
      <c r="T182" s="1071"/>
      <c r="U182" s="1071" t="s">
        <v>4191</v>
      </c>
      <c r="V182" s="1071" t="s">
        <v>2944</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7992</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7998</v>
      </c>
      <c r="C186" s="1175" t="s">
        <v>7999</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3089</v>
      </c>
      <c r="H187" s="1064" t="s">
        <v>1304</v>
      </c>
      <c r="I187" s="1142" t="s">
        <v>8003</v>
      </c>
      <c r="J187" s="1071" t="s">
        <v>159</v>
      </c>
      <c r="K187" s="1071" t="s">
        <v>4008</v>
      </c>
      <c r="L187" s="1071" t="s">
        <v>5482</v>
      </c>
      <c r="M187" s="1071" t="s">
        <v>938</v>
      </c>
      <c r="N187" s="1071" t="s">
        <v>2992</v>
      </c>
      <c r="O187" s="1071" t="s">
        <v>1987</v>
      </c>
      <c r="P187" s="1071" t="s">
        <v>4836</v>
      </c>
      <c r="Q187" s="1065" t="s">
        <v>1987</v>
      </c>
      <c r="R187" s="1073" t="s">
        <v>5498</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3490</v>
      </c>
      <c r="D188" s="1071"/>
      <c r="E188" s="1071" t="s">
        <v>3490</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7744</v>
      </c>
      <c r="C189" s="1175" t="s">
        <v>3920</v>
      </c>
      <c r="D189" s="1248"/>
      <c r="E189" s="1248"/>
      <c r="F189" s="1253" t="s">
        <v>3676</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4792</v>
      </c>
      <c r="F190" s="1062"/>
      <c r="G190" s="1071"/>
      <c r="H190" s="1064" t="s">
        <v>179</v>
      </c>
      <c r="I190" s="1142"/>
      <c r="J190" s="1071"/>
      <c r="K190" s="1071"/>
      <c r="L190" s="1063" t="s">
        <v>3303</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7744</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8018</v>
      </c>
      <c r="C194" s="1175" t="s">
        <v>2620</v>
      </c>
      <c r="D194" s="1248"/>
      <c r="E194" s="1248"/>
      <c r="F194" s="1243"/>
      <c r="G194" s="1248"/>
      <c r="H194" s="1064" t="s">
        <v>8019</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3438</v>
      </c>
      <c r="E195" s="1248"/>
      <c r="F195" s="1091" t="s">
        <v>2234</v>
      </c>
      <c r="G195" s="1248"/>
      <c r="H195" s="1083"/>
      <c r="I195" s="1142" t="s">
        <v>8021</v>
      </c>
      <c r="J195" s="1248" t="s">
        <v>3603</v>
      </c>
      <c r="K195" s="1248"/>
      <c r="L195" s="1248" t="s">
        <v>3370</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2930</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2686</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3080</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8033</v>
      </c>
      <c r="C201" s="1175" t="s">
        <v>5506</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5277</v>
      </c>
      <c r="D202" s="1248" t="s">
        <v>3492</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3545</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5891</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8033</v>
      </c>
      <c r="C206" s="1175" t="s">
        <v>1491</v>
      </c>
      <c r="D206" s="1113"/>
      <c r="E206" s="1113"/>
      <c r="F206" s="1243"/>
      <c r="G206" s="1113"/>
      <c r="H206" s="1083"/>
      <c r="I206" s="1131"/>
      <c r="J206" s="1113"/>
      <c r="K206" s="1113" t="s">
        <v>6821</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3837</v>
      </c>
      <c r="F207" s="1246" t="s">
        <v>4988</v>
      </c>
      <c r="G207" s="1113"/>
      <c r="H207" s="1064" t="s">
        <v>6565</v>
      </c>
      <c r="I207" s="1131"/>
      <c r="J207" s="1113" t="s">
        <v>8045</v>
      </c>
      <c r="K207" s="1113"/>
      <c r="L207" s="1113"/>
      <c r="M207" s="1113" t="s">
        <v>3837</v>
      </c>
      <c r="N207" s="1113"/>
      <c r="O207" s="1113" t="s">
        <v>8046</v>
      </c>
      <c r="P207" s="1113"/>
      <c r="Q207" s="1095" t="s">
        <v>3864</v>
      </c>
      <c r="R207" s="1073" t="s">
        <v>8047</v>
      </c>
      <c r="S207" s="1113"/>
      <c r="T207" s="1108" t="s">
        <v>8048</v>
      </c>
      <c r="U207" s="1113"/>
      <c r="V207" s="1113"/>
      <c r="W207" s="1113"/>
      <c r="X207" s="1113" t="s">
        <v>3171</v>
      </c>
      <c r="Y207" s="1113"/>
      <c r="Z207" s="1113" t="s">
        <v>3941</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2933</v>
      </c>
      <c r="D209" s="1071" t="s">
        <v>542</v>
      </c>
      <c r="E209" s="1071" t="s">
        <v>2933</v>
      </c>
      <c r="F209" s="1091" t="s">
        <v>8049</v>
      </c>
      <c r="G209" s="1071"/>
      <c r="H209" s="1083"/>
      <c r="I209" s="1142" t="s">
        <v>8050</v>
      </c>
      <c r="J209" s="1071" t="s">
        <v>1460</v>
      </c>
      <c r="K209" s="1071" t="s">
        <v>8051</v>
      </c>
      <c r="L209" s="1071" t="s">
        <v>4262</v>
      </c>
      <c r="M209" s="1071"/>
      <c r="N209" s="1071" t="s">
        <v>8052</v>
      </c>
      <c r="O209" s="1071" t="s">
        <v>4508</v>
      </c>
      <c r="P209" s="1071" t="s">
        <v>4845</v>
      </c>
      <c r="Q209" s="1063" t="s">
        <v>8053</v>
      </c>
      <c r="R209" s="1074"/>
      <c r="S209" s="1071"/>
      <c r="T209" s="1063" t="s">
        <v>5915</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6049</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7556</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8065</v>
      </c>
      <c r="D214" s="1071" t="s">
        <v>3402</v>
      </c>
      <c r="E214" s="1071" t="s">
        <v>4462</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8069</v>
      </c>
      <c r="C215" s="1265" t="s">
        <v>6898</v>
      </c>
      <c r="D215" s="1248"/>
      <c r="E215" s="1248"/>
      <c r="F215" s="1253" t="s">
        <v>2096</v>
      </c>
      <c r="G215" s="1082" t="s">
        <v>4168</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8072</v>
      </c>
      <c r="C217" s="1175" t="s">
        <v>1940</v>
      </c>
      <c r="D217" s="1248" t="s">
        <v>4171</v>
      </c>
      <c r="E217" s="1248"/>
      <c r="F217" s="1253" t="s">
        <v>887</v>
      </c>
      <c r="G217" s="1248"/>
      <c r="H217" s="1064" t="s">
        <v>3127</v>
      </c>
      <c r="I217" s="1142" t="s">
        <v>8073</v>
      </c>
      <c r="J217" s="1248"/>
      <c r="K217" s="1248"/>
      <c r="L217" s="1248" t="s">
        <v>1049</v>
      </c>
      <c r="M217" s="1248"/>
      <c r="N217" s="1248"/>
      <c r="O217" s="1248" t="s">
        <v>8074</v>
      </c>
      <c r="P217" s="1176" t="s">
        <v>6745</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7556</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3669</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3670</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8100</v>
      </c>
      <c r="J228" s="1183" t="s">
        <v>8101</v>
      </c>
      <c r="K228" s="1176" t="s">
        <v>4584</v>
      </c>
      <c r="L228" s="1176" t="s">
        <v>1642</v>
      </c>
      <c r="M228" s="1176" t="s">
        <v>949</v>
      </c>
      <c r="N228" s="1176" t="s">
        <v>257</v>
      </c>
      <c r="O228" s="1183" t="s">
        <v>4436</v>
      </c>
      <c r="P228" s="1176" t="s">
        <v>1174</v>
      </c>
      <c r="Q228" s="1185" t="s">
        <v>354</v>
      </c>
      <c r="R228" s="1276" t="s">
        <v>8102</v>
      </c>
      <c r="S228" s="1183"/>
      <c r="T228" s="1183"/>
      <c r="U228" s="1183"/>
      <c r="V228" s="1183"/>
      <c r="W228" s="1183"/>
      <c r="X228" s="1183" t="s">
        <v>4048</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8103</v>
      </c>
      <c r="C229" s="1175" t="s">
        <v>1615</v>
      </c>
      <c r="D229" s="1071" t="s">
        <v>1601</v>
      </c>
      <c r="E229" s="1176" t="s">
        <v>1615</v>
      </c>
      <c r="F229" s="1077" t="s">
        <v>2490</v>
      </c>
      <c r="G229" s="1176" t="s">
        <v>2220</v>
      </c>
      <c r="H229" s="1064" t="s">
        <v>2711</v>
      </c>
      <c r="I229" s="1177" t="s">
        <v>8104</v>
      </c>
      <c r="J229" s="1176" t="s">
        <v>1601</v>
      </c>
      <c r="K229" s="1176" t="s">
        <v>7904</v>
      </c>
      <c r="L229" s="1176" t="s">
        <v>2220</v>
      </c>
      <c r="M229" s="1176" t="s">
        <v>950</v>
      </c>
      <c r="N229" s="1176" t="s">
        <v>1243</v>
      </c>
      <c r="O229" s="1176" t="s">
        <v>374</v>
      </c>
      <c r="P229" s="1176" t="s">
        <v>2934</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8105</v>
      </c>
      <c r="I230" s="1180"/>
      <c r="J230" s="1176" t="s">
        <v>1727</v>
      </c>
      <c r="K230" s="1183"/>
      <c r="L230" s="1176" t="s">
        <v>6619</v>
      </c>
      <c r="M230" s="1176" t="s">
        <v>2589</v>
      </c>
      <c r="N230" s="1176" t="str">
        <f>HYPERLINK("https://www.youtube.com/watch?v=aWzlUqH0LaM","41.87")</f>
        <v>41.87</v>
      </c>
      <c r="O230" s="1183" t="s">
        <v>2201</v>
      </c>
      <c r="P230" s="1176" t="s">
        <v>1533</v>
      </c>
      <c r="Q230" s="1185" t="s">
        <v>3300</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8107</v>
      </c>
      <c r="C231" s="1059" t="s">
        <v>8108</v>
      </c>
      <c r="D231" s="1183" t="s">
        <v>7525</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7788</v>
      </c>
      <c r="H232" s="1064" t="s">
        <v>1314</v>
      </c>
      <c r="I232" s="1177" t="s">
        <v>8114</v>
      </c>
      <c r="J232" s="1183"/>
      <c r="K232" s="1176" t="s">
        <v>8115</v>
      </c>
      <c r="L232" s="1183"/>
      <c r="M232" s="1183" t="s">
        <v>951</v>
      </c>
      <c r="N232" s="1176" t="s">
        <v>792</v>
      </c>
      <c r="O232" s="1183"/>
      <c r="P232" s="1183"/>
      <c r="Q232" s="1185" t="s">
        <v>4205</v>
      </c>
      <c r="R232" s="1277"/>
      <c r="S232" s="1183"/>
      <c r="T232" s="1183"/>
      <c r="U232" s="1183"/>
      <c r="V232" s="1176" t="s">
        <v>506</v>
      </c>
      <c r="W232" s="1183"/>
      <c r="X232" s="1183" t="s">
        <v>6359</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3129</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8124</v>
      </c>
      <c r="C239" s="1175" t="s">
        <v>8125</v>
      </c>
      <c r="D239" s="1291">
        <v>13.23</v>
      </c>
      <c r="E239" s="1287"/>
      <c r="F239" s="1292" t="s">
        <v>8126</v>
      </c>
      <c r="G239" s="1287"/>
      <c r="H239" s="1064" t="s">
        <v>8127</v>
      </c>
      <c r="I239" s="1293" t="s">
        <v>2772</v>
      </c>
      <c r="J239" s="1287"/>
      <c r="K239" s="1294" t="s">
        <v>3597</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7556</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8136</v>
      </c>
      <c r="C243" s="1175" t="s">
        <v>8137</v>
      </c>
      <c r="D243" s="1183" t="s">
        <v>4200</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4393</v>
      </c>
      <c r="K244" s="1176" t="s">
        <v>6199</v>
      </c>
      <c r="L244" s="1176" t="s">
        <v>3554</v>
      </c>
      <c r="M244" s="1183"/>
      <c r="N244" s="1183"/>
      <c r="O244" s="1183" t="s">
        <v>4376</v>
      </c>
      <c r="P244" s="1176" t="s">
        <v>1315</v>
      </c>
      <c r="Q244" s="1185" t="s">
        <v>2146</v>
      </c>
      <c r="R244" s="1277"/>
      <c r="S244" s="1183" t="s">
        <v>2000</v>
      </c>
      <c r="T244" s="1064" t="s">
        <v>1762</v>
      </c>
      <c r="U244" s="1064" t="s">
        <v>122</v>
      </c>
      <c r="V244" s="1176" t="s">
        <v>4054</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8142</v>
      </c>
      <c r="C246" s="1175" t="s">
        <v>2960</v>
      </c>
      <c r="D246" s="1183" t="s">
        <v>388</v>
      </c>
      <c r="E246" s="1183"/>
      <c r="F246" s="1062"/>
      <c r="G246" s="1183"/>
      <c r="H246" s="1083"/>
      <c r="I246" s="1180"/>
      <c r="J246" s="1183"/>
      <c r="K246" s="1183"/>
      <c r="L246" s="1064" t="s">
        <v>3275</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4258</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5435</v>
      </c>
      <c r="D248" s="1183" t="s">
        <v>1623</v>
      </c>
      <c r="E248" s="1183"/>
      <c r="G248" s="1183"/>
      <c r="I248" s="1177" t="s">
        <v>7588</v>
      </c>
      <c r="J248" s="1183" t="s">
        <v>2419</v>
      </c>
      <c r="K248" s="1183"/>
      <c r="M248" s="1183"/>
      <c r="N248" s="1183"/>
      <c r="O248" s="1183" t="s">
        <v>3238</v>
      </c>
      <c r="P248" s="1183"/>
      <c r="Q248" s="1185" t="s">
        <v>8147</v>
      </c>
      <c r="R248" s="1277"/>
      <c r="S248" s="1183"/>
      <c r="T248" s="1183" t="s">
        <v>5435</v>
      </c>
      <c r="U248" s="1183"/>
      <c r="V248" s="1183"/>
      <c r="W248" s="1064" t="s">
        <v>3041</v>
      </c>
      <c r="X248" s="1183" t="s">
        <v>3776</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3130</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8152</v>
      </c>
      <c r="C251" s="1175" t="s">
        <v>5031</v>
      </c>
      <c r="D251" s="1303"/>
      <c r="E251" s="1176" t="s">
        <v>5876</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5556</v>
      </c>
      <c r="H252" s="1064" t="s">
        <v>3253</v>
      </c>
      <c r="I252" s="1177" t="s">
        <v>1849</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8072</v>
      </c>
      <c r="C254" s="1175" t="s">
        <v>5548</v>
      </c>
      <c r="D254" s="1176" t="s">
        <v>1412</v>
      </c>
      <c r="E254" s="1176" t="s">
        <v>2604</v>
      </c>
      <c r="F254" s="1110" t="s">
        <v>3616</v>
      </c>
      <c r="G254" s="1176" t="s">
        <v>5548</v>
      </c>
      <c r="H254" s="1083"/>
      <c r="I254" s="1180"/>
      <c r="J254" s="1176"/>
      <c r="K254" s="1176"/>
      <c r="L254" s="1176" t="s">
        <v>5685</v>
      </c>
      <c r="M254" s="1176"/>
      <c r="N254" s="1176"/>
      <c r="O254" s="1176" t="s">
        <v>5343</v>
      </c>
      <c r="P254" s="1176" t="s">
        <v>3616</v>
      </c>
      <c r="Q254" s="1178" t="s">
        <v>5618</v>
      </c>
      <c r="R254" s="1278" t="s">
        <v>8158</v>
      </c>
      <c r="S254" s="1176"/>
      <c r="T254" s="1176" t="s">
        <v>5548</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3075</v>
      </c>
      <c r="D255" s="1176"/>
      <c r="E255" s="1176" t="s">
        <v>4278</v>
      </c>
      <c r="F255" s="1292" t="s">
        <v>8159</v>
      </c>
      <c r="G255" s="1176" t="s">
        <v>3075</v>
      </c>
      <c r="H255" s="1083"/>
      <c r="I255" s="1180"/>
      <c r="J255" s="1176" t="str">
        <f>HYPERLINK("https://youtu.be/yGR2akJEjQQ","19.18")</f>
        <v>19.18</v>
      </c>
      <c r="K255" s="1176"/>
      <c r="L255" s="1176"/>
      <c r="M255" s="1176"/>
      <c r="N255" s="1176"/>
      <c r="O255" s="1176"/>
      <c r="P255" s="1176"/>
      <c r="Q255" s="1178"/>
      <c r="R255" s="1064" t="s">
        <v>8160</v>
      </c>
      <c r="S255" s="1176"/>
      <c r="T255" s="1064" t="s">
        <v>5531</v>
      </c>
      <c r="U255" s="1176"/>
      <c r="V255" s="1176" t="s">
        <v>2423</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4109</v>
      </c>
      <c r="D256" s="1176"/>
      <c r="E256" s="1176" t="s">
        <v>917</v>
      </c>
      <c r="F256" s="1062"/>
      <c r="G256" s="1176" t="s">
        <v>4109</v>
      </c>
      <c r="H256" s="1083"/>
      <c r="I256" s="1177" t="s">
        <v>3115</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5068</v>
      </c>
      <c r="D258" s="1183"/>
      <c r="E258" s="1183"/>
      <c r="F258" s="1091" t="s">
        <v>2068</v>
      </c>
      <c r="G258" s="1064" t="s">
        <v>5068</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7556</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8169</v>
      </c>
      <c r="D260" s="1024" t="s">
        <v>1610</v>
      </c>
      <c r="E260" s="1183"/>
      <c r="F260" s="1279"/>
      <c r="G260" s="1187" t="s">
        <v>5920</v>
      </c>
      <c r="H260" s="1083"/>
      <c r="I260" s="1177" t="s">
        <v>8170</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3493</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8178</v>
      </c>
      <c r="C267" s="1175" t="s">
        <v>1668</v>
      </c>
      <c r="D267" s="1183" t="s">
        <v>3992</v>
      </c>
      <c r="E267" s="1183"/>
      <c r="F267" s="1062"/>
      <c r="G267" s="1183"/>
      <c r="H267" s="1083"/>
      <c r="I267" s="1180"/>
      <c r="J267" s="1183"/>
      <c r="K267" s="1176" t="s">
        <v>3138</v>
      </c>
      <c r="L267" s="1183"/>
      <c r="M267" s="1183"/>
      <c r="N267" s="1183"/>
      <c r="O267" s="1183"/>
      <c r="P267" s="1183"/>
      <c r="Q267" s="1185"/>
      <c r="R267" s="1314" t="s">
        <v>8179</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175" t="s">
        <v>4563</v>
      </c>
      <c r="D268" s="1183"/>
      <c r="E268" s="1183"/>
      <c r="F268" s="1318" t="s">
        <v>3803</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8183</v>
      </c>
      <c r="C269" s="1175" t="s">
        <v>428</v>
      </c>
      <c r="D269" s="1183" t="s">
        <v>4563</v>
      </c>
      <c r="E269" s="1183"/>
      <c r="F269" s="1062"/>
      <c r="G269" s="1183"/>
      <c r="H269" s="1083"/>
      <c r="I269" s="1180"/>
      <c r="J269" s="1183" t="s">
        <v>8184</v>
      </c>
      <c r="K269" s="1176" t="s">
        <v>4867</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3886</v>
      </c>
      <c r="D270" s="1183"/>
      <c r="E270" s="1183"/>
      <c r="F270" s="1321"/>
      <c r="G270" s="1183"/>
      <c r="H270" s="1064" t="s">
        <v>6505</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8188</v>
      </c>
      <c r="C271" s="1090" t="s">
        <v>2927</v>
      </c>
      <c r="D271" s="1176"/>
      <c r="E271" s="1176" t="s">
        <v>1533</v>
      </c>
      <c r="F271" s="1091" t="s">
        <v>2927</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8" t="s">
        <v>8193</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8194</v>
      </c>
      <c r="C273" s="1322" t="s">
        <v>5741</v>
      </c>
      <c r="D273" s="1176"/>
      <c r="E273" s="1176" t="s">
        <v>800</v>
      </c>
      <c r="F273" s="1091" t="s">
        <v>8195</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2662</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8201</v>
      </c>
      <c r="C276" s="1175" t="s">
        <v>1623</v>
      </c>
      <c r="D276" s="1183" t="s">
        <v>1670</v>
      </c>
      <c r="E276" s="1183"/>
      <c r="F276" s="1321"/>
      <c r="G276" s="1183"/>
      <c r="H276" s="1064" t="s">
        <v>4245</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3958</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4099</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8205</v>
      </c>
      <c r="C278" s="1175" t="s">
        <v>5035</v>
      </c>
      <c r="D278" s="1183" t="s">
        <v>3493</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3655</v>
      </c>
      <c r="D279" s="1176" t="s">
        <v>243</v>
      </c>
      <c r="E279" s="1176" t="s">
        <v>3655</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4099</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8208</v>
      </c>
      <c r="C280" s="1175" t="s">
        <v>8209</v>
      </c>
      <c r="D280" s="1176" t="s">
        <v>7759</v>
      </c>
      <c r="E280" s="1176" t="s">
        <v>4168</v>
      </c>
      <c r="F280" s="1318"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4002</v>
      </c>
      <c r="V280" s="1176" t="s">
        <v>8184</v>
      </c>
      <c r="W280" s="1176"/>
      <c r="X280" s="1176" t="s">
        <v>8212</v>
      </c>
      <c r="Y280" s="1176" t="s">
        <v>4407</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3987</v>
      </c>
      <c r="D281" s="1176" t="s">
        <v>5206</v>
      </c>
      <c r="E281" s="1176" t="s">
        <v>3494</v>
      </c>
      <c r="F281" s="1110" t="s">
        <v>8218</v>
      </c>
      <c r="G281" s="1176"/>
      <c r="H281" s="1064" t="s">
        <v>8219</v>
      </c>
      <c r="I281" s="1180"/>
      <c r="J281" s="1176" t="str">
        <f>HYPERLINK(" https://youtu.be/dsDcBzsPA5s","45.74")</f>
        <v>45.74</v>
      </c>
      <c r="K281" s="1176" t="s">
        <v>3987</v>
      </c>
      <c r="L281" s="1176" t="s">
        <v>8220</v>
      </c>
      <c r="M281" s="1176" t="s">
        <v>3913</v>
      </c>
      <c r="N281" s="1176" t="s">
        <v>1785</v>
      </c>
      <c r="O281" s="1176" t="s">
        <v>2071</v>
      </c>
      <c r="P281" s="1176" t="s">
        <v>4051</v>
      </c>
      <c r="Q281" s="1178" t="s">
        <v>3565</v>
      </c>
      <c r="R281" s="1074"/>
      <c r="S281" s="1176" t="s">
        <v>8221</v>
      </c>
      <c r="T281" s="1176"/>
      <c r="U281" s="1176" t="s">
        <v>8222</v>
      </c>
      <c r="V281" s="1176" t="s">
        <v>286</v>
      </c>
      <c r="W281" s="1176"/>
      <c r="X281" s="1176" t="s">
        <v>8196</v>
      </c>
      <c r="Y281" s="1176" t="s">
        <v>705</v>
      </c>
      <c r="Z281" s="1176" t="s">
        <v>8223</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8224</v>
      </c>
      <c r="C282" s="1175" t="s">
        <v>1112</v>
      </c>
      <c r="D282" s="1176" t="s">
        <v>4651</v>
      </c>
      <c r="E282" s="1176" t="s">
        <v>410</v>
      </c>
      <c r="F282" s="1091" t="s">
        <v>564</v>
      </c>
      <c r="G282" s="1176" t="s">
        <v>1840</v>
      </c>
      <c r="H282" s="1064" t="s">
        <v>1324</v>
      </c>
      <c r="I282" s="1180"/>
      <c r="J282" s="1176" t="str">
        <f>HYPERLINK("https://youtu.be/9O9oqhlyCxY","45.20")</f>
        <v>45.20</v>
      </c>
      <c r="K282" s="1176" t="s">
        <v>8225</v>
      </c>
      <c r="L282" s="1064" t="s">
        <v>3677</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8226</v>
      </c>
      <c r="C283" s="1175" t="s">
        <v>881</v>
      </c>
      <c r="D283" s="1024" t="s">
        <v>1614</v>
      </c>
      <c r="E283" s="1327" t="s">
        <v>411</v>
      </c>
      <c r="F283" s="1077" t="s">
        <v>2497</v>
      </c>
      <c r="G283" s="1327" t="s">
        <v>4561</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5881</v>
      </c>
      <c r="D285" s="1176" t="s">
        <v>5863</v>
      </c>
      <c r="E285" s="1176" t="s">
        <v>2955</v>
      </c>
      <c r="F285" s="1091" t="s">
        <v>432</v>
      </c>
      <c r="G285" s="1176" t="s">
        <v>5881</v>
      </c>
      <c r="H285" s="1064" t="s">
        <v>5788</v>
      </c>
      <c r="I285" s="1177" t="s">
        <v>429</v>
      </c>
      <c r="J285" s="1176"/>
      <c r="K285" s="1176" t="s">
        <v>5343</v>
      </c>
      <c r="L285" s="1176"/>
      <c r="M285" s="1176" t="s">
        <v>8230</v>
      </c>
      <c r="N285" s="1176"/>
      <c r="O285" s="1176"/>
      <c r="P285" s="1176" t="s">
        <v>5881</v>
      </c>
      <c r="Q285" s="1178"/>
      <c r="R285" s="1074"/>
      <c r="S285" s="1176"/>
      <c r="T285" s="1064" t="s">
        <v>8231</v>
      </c>
      <c r="U285" s="1176"/>
      <c r="V285" s="1176" t="s">
        <v>5881</v>
      </c>
      <c r="W285" s="1176"/>
      <c r="X285" s="1176"/>
      <c r="Y285" s="1176" t="s">
        <v>3616</v>
      </c>
      <c r="Z285" s="1176" t="s">
        <v>3603</v>
      </c>
      <c r="AA285" s="1176" t="s">
        <v>8232</v>
      </c>
      <c r="AB285" s="1176" t="s">
        <v>6264</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8233</v>
      </c>
      <c r="C286" s="1175" t="s">
        <v>8234</v>
      </c>
      <c r="D286" s="1071" t="s">
        <v>1478</v>
      </c>
      <c r="E286" s="1176" t="s">
        <v>4434</v>
      </c>
      <c r="F286" s="1077" t="s">
        <v>3085</v>
      </c>
      <c r="G286" s="1176" t="s">
        <v>8234</v>
      </c>
      <c r="H286" s="1064" t="s">
        <v>1327</v>
      </c>
      <c r="I286" s="1293" t="s">
        <v>8235</v>
      </c>
      <c r="J286" s="1176" t="s">
        <v>1478</v>
      </c>
      <c r="K286" s="1176" t="s">
        <v>3845</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8233</v>
      </c>
      <c r="C287" s="1059" t="s">
        <v>8239</v>
      </c>
      <c r="D287" s="1176" t="s">
        <v>8240</v>
      </c>
      <c r="E287" s="1176"/>
      <c r="F287" s="1077" t="s">
        <v>8241</v>
      </c>
      <c r="G287" s="1064" t="s">
        <v>7460</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8244</v>
      </c>
      <c r="C288" s="1175" t="s">
        <v>4225</v>
      </c>
      <c r="D288" s="1083"/>
      <c r="E288" s="1064" t="s">
        <v>4366</v>
      </c>
      <c r="F288" s="1321"/>
      <c r="G288" s="1064" t="s">
        <v>4225</v>
      </c>
      <c r="H288" s="1064" t="s">
        <v>3254</v>
      </c>
      <c r="I288" s="1180"/>
      <c r="J288" s="1083"/>
      <c r="K288" s="1083"/>
      <c r="L288" s="1083"/>
      <c r="M288" s="1083"/>
      <c r="N288" s="1083"/>
      <c r="O288" s="1083" t="s">
        <v>4346</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4516</v>
      </c>
      <c r="D289" s="1176" t="s">
        <v>1616</v>
      </c>
      <c r="E289" s="1176" t="s">
        <v>2673</v>
      </c>
      <c r="F289" s="1091" t="s">
        <v>4109</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8247</v>
      </c>
      <c r="C290" s="1175" t="s">
        <v>621</v>
      </c>
      <c r="D290" s="1176"/>
      <c r="E290" s="1176" t="s">
        <v>368</v>
      </c>
      <c r="F290" s="1097" t="s">
        <v>2498</v>
      </c>
      <c r="G290" s="1178" t="s">
        <v>2475</v>
      </c>
      <c r="H290" s="1064" t="s">
        <v>3833</v>
      </c>
      <c r="I290" s="1177" t="s">
        <v>8248</v>
      </c>
      <c r="J290" s="1176"/>
      <c r="K290" s="1176" t="s">
        <v>1616</v>
      </c>
      <c r="L290" s="1176"/>
      <c r="M290" s="1176"/>
      <c r="N290" s="1176" t="s">
        <v>1185</v>
      </c>
      <c r="O290" s="1176"/>
      <c r="P290" s="1176" t="s">
        <v>3833</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8253</v>
      </c>
      <c r="D294" s="1021" t="s">
        <v>1617</v>
      </c>
      <c r="E294" s="1183"/>
      <c r="F294" s="1321"/>
      <c r="G294" s="1064" t="s">
        <v>8253</v>
      </c>
      <c r="H294" s="1064" t="s">
        <v>1730</v>
      </c>
      <c r="I294" s="1177" t="s">
        <v>8254</v>
      </c>
      <c r="J294" s="1183" t="s">
        <v>4182</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8255</v>
      </c>
      <c r="D296" s="1183" t="s">
        <v>8256</v>
      </c>
      <c r="E296" s="1183"/>
      <c r="F296" s="1321"/>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7196</v>
      </c>
      <c r="D299" s="1176" t="s">
        <v>8263</v>
      </c>
      <c r="E299" s="1176" t="s">
        <v>7196</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3683</v>
      </c>
      <c r="M300" s="1083" t="s">
        <v>967</v>
      </c>
      <c r="N300" s="1083" t="s">
        <v>6130</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5575</v>
      </c>
      <c r="D302" s="1176" t="s">
        <v>1084</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3594</v>
      </c>
      <c r="F303" s="1146" t="s">
        <v>684</v>
      </c>
      <c r="G303" s="1222" t="s">
        <v>2499</v>
      </c>
      <c r="H303" s="1064" t="s">
        <v>2840</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4243</v>
      </c>
      <c r="D304" s="1304" t="s">
        <v>1712</v>
      </c>
      <c r="E304" s="1176" t="s">
        <v>4243</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6854</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6337</v>
      </c>
      <c r="D306" s="1176"/>
      <c r="E306" s="1176" t="s">
        <v>6337</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5973</v>
      </c>
      <c r="D312" s="1176"/>
      <c r="E312" s="1176" t="s">
        <v>3776</v>
      </c>
      <c r="F312" s="1062"/>
      <c r="G312" s="1064" t="s">
        <v>5973</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2862</v>
      </c>
      <c r="D314" s="1071" t="s">
        <v>3644</v>
      </c>
      <c r="E314" s="1183"/>
      <c r="F314" s="1062"/>
      <c r="G314" s="1064" t="s">
        <v>2862</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3950</v>
      </c>
      <c r="D315" s="1224"/>
      <c r="E315" s="1224" t="s">
        <v>4191</v>
      </c>
      <c r="F315" s="1136"/>
      <c r="G315" s="1064" t="s">
        <v>3950</v>
      </c>
      <c r="H315" s="1083"/>
      <c r="I315" s="1180"/>
      <c r="J315" s="1064" t="s">
        <v>3950</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3034</v>
      </c>
      <c r="D326" s="1064" t="s">
        <v>405</v>
      </c>
      <c r="E326" s="1064" t="s">
        <v>5421</v>
      </c>
      <c r="F326" s="1091" t="s">
        <v>3523</v>
      </c>
      <c r="G326" s="1083" t="s">
        <v>1835</v>
      </c>
      <c r="H326" s="1083"/>
      <c r="I326" s="1180"/>
      <c r="J326" s="1083"/>
      <c r="K326" s="1083"/>
      <c r="L326" s="1083"/>
      <c r="M326" s="1083"/>
      <c r="N326" s="1083"/>
      <c r="O326" s="1083"/>
      <c r="P326" s="1083"/>
      <c r="Q326" s="1178"/>
      <c r="R326" s="1074"/>
      <c r="S326" s="1083"/>
      <c r="T326" s="1064" t="s">
        <v>5421</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7883</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7883</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7556</v>
      </c>
      <c r="C329" s="1150" t="s">
        <v>3570</v>
      </c>
      <c r="D329" s="1104"/>
      <c r="E329" s="1103" t="s">
        <v>1698</v>
      </c>
      <c r="F329" s="1146" t="s">
        <v>3570</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3674</v>
      </c>
      <c r="D333" s="1083"/>
      <c r="E333" s="1064" t="s">
        <v>3674</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3929</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7556</v>
      </c>
      <c r="C342" s="1059" t="s">
        <v>5863</v>
      </c>
      <c r="D342" s="1187" t="s">
        <v>5572</v>
      </c>
      <c r="E342" s="1183"/>
      <c r="F342" s="1146" t="s">
        <v>5863</v>
      </c>
      <c r="G342" s="1064" t="s">
        <v>4918</v>
      </c>
      <c r="H342" s="1083"/>
      <c r="I342" s="1180"/>
      <c r="J342" s="1183"/>
      <c r="K342" s="1064" t="s">
        <v>3967</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5863</v>
      </c>
      <c r="D349" s="1357"/>
      <c r="E349" s="1357"/>
      <c r="F349" s="1146" t="s">
        <v>8231</v>
      </c>
      <c r="G349" s="1222" t="s">
        <v>8355</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7556</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7484</v>
      </c>
      <c r="D3" s="830" t="s">
        <v>2940</v>
      </c>
      <c r="E3" s="831" t="s">
        <v>6330</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2678</v>
      </c>
      <c r="Z3" s="1385" t="s">
        <v>8484</v>
      </c>
      <c r="AA3" s="1383" t="s">
        <v>8485</v>
      </c>
      <c r="AB3" s="1385" t="s">
        <v>8486</v>
      </c>
      <c r="AC3" s="1024" t="s">
        <v>8487</v>
      </c>
      <c r="AD3" s="1024" t="s">
        <v>4488</v>
      </c>
      <c r="AE3" s="1384" t="s">
        <v>8488</v>
      </c>
      <c r="AF3" s="1024" t="s">
        <v>8489</v>
      </c>
      <c r="AG3" s="1384" t="s">
        <v>8490</v>
      </c>
      <c r="AH3" s="1383" t="s">
        <v>8491</v>
      </c>
      <c r="AI3" s="1024" t="s">
        <v>7969</v>
      </c>
      <c r="AJ3" s="1383" t="s">
        <v>8492</v>
      </c>
      <c r="AK3" s="1024" t="s">
        <v>8493</v>
      </c>
      <c r="AL3" s="1385" t="s">
        <v>5254</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3656</v>
      </c>
      <c r="CD3" s="1388" t="s">
        <v>2561</v>
      </c>
      <c r="CE3" s="1384" t="s">
        <v>8532</v>
      </c>
      <c r="CF3" s="1383" t="s">
        <v>8533</v>
      </c>
      <c r="CG3" s="1383" t="s">
        <v>8534</v>
      </c>
      <c r="CH3" s="1385" t="s">
        <v>8535</v>
      </c>
      <c r="CI3" s="1383" t="s">
        <v>8536</v>
      </c>
      <c r="CJ3" s="1384" t="s">
        <v>8537</v>
      </c>
      <c r="CK3" s="1385" t="s">
        <v>8538</v>
      </c>
      <c r="CL3" s="1024" t="s">
        <v>7382</v>
      </c>
      <c r="CM3" s="1385" t="s">
        <v>8539</v>
      </c>
      <c r="CN3" s="1385" t="s">
        <v>8540</v>
      </c>
      <c r="CO3" s="1383" t="s">
        <v>8541</v>
      </c>
      <c r="CP3" s="1384" t="s">
        <v>8542</v>
      </c>
      <c r="CQ3" s="1385" t="s">
        <v>8543</v>
      </c>
      <c r="CR3" s="1385" t="s">
        <v>8544</v>
      </c>
      <c r="CS3" s="1383" t="s">
        <v>8545</v>
      </c>
      <c r="CT3" s="1385" t="s">
        <v>8546</v>
      </c>
      <c r="CU3" s="1385" t="s">
        <v>8547</v>
      </c>
    </row>
    <row r="4">
      <c r="A4" s="1389" t="s">
        <v>7549</v>
      </c>
      <c r="B4" s="833" t="s">
        <v>8548</v>
      </c>
      <c r="C4" s="829" t="s">
        <v>3578</v>
      </c>
      <c r="D4" s="830" t="s">
        <v>438</v>
      </c>
      <c r="E4" s="831" t="s">
        <v>332</v>
      </c>
      <c r="F4" s="832" t="s">
        <v>4788</v>
      </c>
      <c r="G4" s="833" t="s">
        <v>3851</v>
      </c>
      <c r="H4" s="1384" t="s">
        <v>8549</v>
      </c>
      <c r="I4" s="1385" t="s">
        <v>4273</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6284</v>
      </c>
      <c r="Y4" s="1383" t="s">
        <v>2582</v>
      </c>
      <c r="Z4" s="1022"/>
      <c r="AA4" s="1385" t="s">
        <v>8559</v>
      </c>
      <c r="AB4" s="1022"/>
      <c r="AC4" s="1022"/>
      <c r="AD4" s="1021" t="s">
        <v>8560</v>
      </c>
      <c r="AE4" s="1390"/>
      <c r="AF4" s="1024" t="s">
        <v>464</v>
      </c>
      <c r="AG4" s="1390"/>
      <c r="AH4" s="1385" t="s">
        <v>8561</v>
      </c>
      <c r="AI4" s="1022"/>
      <c r="AJ4" s="1385" t="s">
        <v>6765</v>
      </c>
      <c r="AK4" s="1383" t="s">
        <v>6259</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20" t="s">
        <v>8579</v>
      </c>
      <c r="BH4" s="918"/>
      <c r="BI4" s="918"/>
      <c r="BJ4" s="918"/>
      <c r="BK4" s="1392" t="s">
        <v>8580</v>
      </c>
      <c r="BL4" s="918"/>
      <c r="BM4" s="896" t="s">
        <v>8581</v>
      </c>
      <c r="BN4" s="920" t="s">
        <v>8582</v>
      </c>
      <c r="BO4" s="918"/>
      <c r="BP4" s="918"/>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3386</v>
      </c>
      <c r="CO4" s="1398"/>
      <c r="CP4" s="1394" t="s">
        <v>8589</v>
      </c>
      <c r="CQ4" s="1398"/>
      <c r="CR4" s="1398"/>
      <c r="CS4" s="1394" t="s">
        <v>8590</v>
      </c>
      <c r="CT4" s="1022"/>
      <c r="CU4" s="1022"/>
    </row>
    <row r="5">
      <c r="A5" s="1399" t="s">
        <v>7551</v>
      </c>
      <c r="B5" s="833" t="s">
        <v>6273</v>
      </c>
      <c r="C5" s="829" t="s">
        <v>332</v>
      </c>
      <c r="D5" s="830" t="s">
        <v>333</v>
      </c>
      <c r="E5" s="831" t="s">
        <v>1054</v>
      </c>
      <c r="F5" s="832" t="s">
        <v>1498</v>
      </c>
      <c r="G5" s="833" t="s">
        <v>4414</v>
      </c>
      <c r="H5" s="1021" t="s">
        <v>8591</v>
      </c>
      <c r="I5" s="1024" t="s">
        <v>8592</v>
      </c>
      <c r="J5" s="1021" t="s">
        <v>6479</v>
      </c>
      <c r="K5" s="1385" t="s">
        <v>8593</v>
      </c>
      <c r="L5" s="1384" t="s">
        <v>8594</v>
      </c>
      <c r="M5" s="1384" t="s">
        <v>3763</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3423</v>
      </c>
      <c r="AD5" s="1021" t="s">
        <v>3888</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5172</v>
      </c>
      <c r="BA5" s="1384" t="s">
        <v>8625</v>
      </c>
      <c r="BB5" s="1024" t="s">
        <v>8626</v>
      </c>
      <c r="BC5" s="1384" t="s">
        <v>8627</v>
      </c>
      <c r="BD5" s="1383" t="s">
        <v>4681</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3972</v>
      </c>
      <c r="BY5" s="1022"/>
      <c r="BZ5" s="1022"/>
      <c r="CA5" s="1400" t="s">
        <v>3458</v>
      </c>
      <c r="CB5" s="1383" t="s">
        <v>257</v>
      </c>
      <c r="CC5" s="1024" t="s">
        <v>1606</v>
      </c>
      <c r="CD5" s="1400"/>
      <c r="CE5" s="1021" t="s">
        <v>8638</v>
      </c>
      <c r="CF5" s="1021" t="s">
        <v>8639</v>
      </c>
      <c r="CG5" s="1021"/>
      <c r="CH5" s="1021"/>
      <c r="CI5" s="1021"/>
      <c r="CJ5" s="1021"/>
      <c r="CK5" s="1021"/>
      <c r="CL5" s="1021"/>
      <c r="CM5" s="1021"/>
      <c r="CN5" s="1383" t="s">
        <v>8640</v>
      </c>
      <c r="CO5" s="1385" t="s">
        <v>7737</v>
      </c>
      <c r="CP5" s="1383" t="s">
        <v>8641</v>
      </c>
      <c r="CQ5" s="1021" t="s">
        <v>8642</v>
      </c>
      <c r="CR5" s="1021"/>
      <c r="CS5" s="1021"/>
      <c r="CT5" s="1400" t="s">
        <v>8643</v>
      </c>
      <c r="CU5" s="1021"/>
    </row>
    <row r="6">
      <c r="A6" s="1402" t="s">
        <v>7161</v>
      </c>
      <c r="B6" s="833" t="s">
        <v>6336</v>
      </c>
      <c r="C6" s="829" t="s">
        <v>332</v>
      </c>
      <c r="D6" s="830" t="s">
        <v>647</v>
      </c>
      <c r="E6" s="831" t="s">
        <v>648</v>
      </c>
      <c r="F6" s="832" t="s">
        <v>2875</v>
      </c>
      <c r="G6" s="833" t="s">
        <v>3102</v>
      </c>
      <c r="H6" s="1021" t="s">
        <v>8644</v>
      </c>
      <c r="I6" s="1021" t="s">
        <v>7317</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7579</v>
      </c>
      <c r="X6" s="1021"/>
      <c r="Y6" s="1021" t="s">
        <v>8654</v>
      </c>
      <c r="Z6" s="1384" t="s">
        <v>122</v>
      </c>
      <c r="AA6" s="1384" t="s">
        <v>8655</v>
      </c>
      <c r="AB6" s="1390"/>
      <c r="AC6" s="1021" t="s">
        <v>8656</v>
      </c>
      <c r="AD6" s="1022"/>
      <c r="AE6" s="1383" t="s">
        <v>8657</v>
      </c>
      <c r="AF6" s="1021" t="s">
        <v>8658</v>
      </c>
      <c r="AG6" s="1021"/>
      <c r="AH6" s="1021" t="s">
        <v>2473</v>
      </c>
      <c r="AI6" s="1021" t="s">
        <v>1824</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3102</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7889</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8676</v>
      </c>
      <c r="C7" s="829" t="s">
        <v>545</v>
      </c>
      <c r="D7" s="830" t="s">
        <v>648</v>
      </c>
      <c r="E7" s="831" t="s">
        <v>437</v>
      </c>
      <c r="F7" s="832" t="s">
        <v>6293</v>
      </c>
      <c r="G7" s="833" t="s">
        <v>3578</v>
      </c>
      <c r="H7" s="1404" t="s">
        <v>8677</v>
      </c>
      <c r="I7" s="1404" t="s">
        <v>8678</v>
      </c>
      <c r="J7" s="1022"/>
      <c r="K7" s="1021" t="s">
        <v>8679</v>
      </c>
      <c r="L7" s="1022"/>
      <c r="M7" s="1024" t="s">
        <v>8680</v>
      </c>
      <c r="N7" s="1022"/>
      <c r="O7" s="1024" t="s">
        <v>8681</v>
      </c>
      <c r="P7" s="1024" t="s">
        <v>8682</v>
      </c>
      <c r="Q7" s="1022"/>
      <c r="R7" s="1024" t="s">
        <v>8683</v>
      </c>
      <c r="S7" s="1022"/>
      <c r="T7" s="1021" t="s">
        <v>8684</v>
      </c>
      <c r="U7" s="1024" t="s">
        <v>7095</v>
      </c>
      <c r="V7" s="1383" t="s">
        <v>8685</v>
      </c>
      <c r="W7" s="1024" t="s">
        <v>1294</v>
      </c>
      <c r="X7" s="1024" t="s">
        <v>1635</v>
      </c>
      <c r="Y7" s="1024" t="s">
        <v>1580</v>
      </c>
      <c r="Z7" s="1383" t="s">
        <v>5437</v>
      </c>
      <c r="AA7" s="1390"/>
      <c r="AB7" s="1405" t="s">
        <v>8686</v>
      </c>
      <c r="AC7" s="1024" t="s">
        <v>3471</v>
      </c>
      <c r="AD7" s="1024" t="s">
        <v>4733</v>
      </c>
      <c r="AE7" s="1390"/>
      <c r="AF7" s="1384" t="s">
        <v>7431</v>
      </c>
      <c r="AG7" s="1022"/>
      <c r="AH7" s="1024" t="s">
        <v>8687</v>
      </c>
      <c r="AI7" s="1383" t="s">
        <v>5084</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5380</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8699</v>
      </c>
      <c r="C8" s="829" t="s">
        <v>545</v>
      </c>
      <c r="D8" s="830" t="s">
        <v>332</v>
      </c>
      <c r="E8" s="831" t="s">
        <v>1199</v>
      </c>
      <c r="F8" s="832" t="s">
        <v>4121</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5160</v>
      </c>
      <c r="X8" s="1024" t="s">
        <v>8709</v>
      </c>
      <c r="Y8" s="1024" t="s">
        <v>3041</v>
      </c>
      <c r="Z8" s="1022"/>
      <c r="AA8" s="1022"/>
      <c r="AB8" s="1022"/>
      <c r="AC8" s="1024" t="s">
        <v>4163</v>
      </c>
      <c r="AD8" s="1060" t="s">
        <v>4287</v>
      </c>
      <c r="AE8" s="1022"/>
      <c r="AF8" s="1022"/>
      <c r="AG8" s="1385" t="s">
        <v>8710</v>
      </c>
      <c r="AH8" s="1400" t="s">
        <v>5501</v>
      </c>
      <c r="AI8" s="1384" t="s">
        <v>1296</v>
      </c>
      <c r="AJ8" s="1022"/>
      <c r="AK8" s="1400" t="s">
        <v>4841</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4121</v>
      </c>
      <c r="CM8" s="1395"/>
      <c r="CN8" s="1408" t="s">
        <v>6262</v>
      </c>
      <c r="CO8" s="1395"/>
      <c r="CP8" s="1395"/>
      <c r="CQ8" s="1395"/>
      <c r="CR8" s="1396" t="s">
        <v>7028</v>
      </c>
      <c r="CS8" s="1395"/>
      <c r="CT8" s="1022"/>
      <c r="CU8" s="1022"/>
    </row>
    <row r="9">
      <c r="A9" s="1409" t="s">
        <v>8726</v>
      </c>
      <c r="B9" s="833" t="s">
        <v>8727</v>
      </c>
      <c r="C9" s="829" t="s">
        <v>1258</v>
      </c>
      <c r="D9" s="830" t="s">
        <v>437</v>
      </c>
      <c r="E9" s="831" t="s">
        <v>438</v>
      </c>
      <c r="F9" s="832" t="s">
        <v>222</v>
      </c>
      <c r="G9" s="833" t="s">
        <v>7028</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3782</v>
      </c>
      <c r="Y9" s="1115" t="s">
        <v>5081</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18"/>
      <c r="BH9" s="919" t="s">
        <v>8741</v>
      </c>
      <c r="BI9" s="918"/>
      <c r="BJ9" s="918"/>
      <c r="BK9" s="918"/>
      <c r="BL9" s="918"/>
      <c r="BM9" s="918"/>
      <c r="BN9" s="918"/>
      <c r="BO9" s="918"/>
      <c r="BP9" s="918"/>
      <c r="BQ9" s="1022"/>
      <c r="BR9" s="1022"/>
      <c r="BS9" s="1384" t="s">
        <v>8742</v>
      </c>
      <c r="BT9" s="1022"/>
      <c r="BU9" s="1022"/>
      <c r="BV9" s="1413" t="s">
        <v>1136</v>
      </c>
      <c r="BW9" s="1384" t="s">
        <v>3645</v>
      </c>
      <c r="BX9" s="1383" t="s">
        <v>2320</v>
      </c>
      <c r="BY9" s="1410" t="s">
        <v>3281</v>
      </c>
      <c r="BZ9" s="1390"/>
      <c r="CA9" s="1383" t="s">
        <v>2043</v>
      </c>
      <c r="CB9" s="1410" t="s">
        <v>2858</v>
      </c>
      <c r="CC9" s="1405" t="s">
        <v>3551</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4121</v>
      </c>
      <c r="G10" s="833" t="s">
        <v>2997</v>
      </c>
      <c r="H10" s="1404" t="s">
        <v>8746</v>
      </c>
      <c r="I10" s="1404" t="s">
        <v>8747</v>
      </c>
      <c r="J10" s="1022"/>
      <c r="K10" s="1024" t="s">
        <v>8748</v>
      </c>
      <c r="L10" s="1024" t="s">
        <v>8749</v>
      </c>
      <c r="M10" s="1022"/>
      <c r="N10" s="1022"/>
      <c r="O10" s="1024" t="s">
        <v>8750</v>
      </c>
      <c r="P10" s="1024" t="s">
        <v>8751</v>
      </c>
      <c r="Q10" s="1384" t="s">
        <v>5146</v>
      </c>
      <c r="R10" s="1024" t="s">
        <v>8752</v>
      </c>
      <c r="S10" s="1024" t="s">
        <v>8753</v>
      </c>
      <c r="T10" s="1024" t="s">
        <v>8754</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2995</v>
      </c>
      <c r="B11" s="833" t="s">
        <v>8767</v>
      </c>
      <c r="C11" s="829" t="s">
        <v>545</v>
      </c>
      <c r="D11" s="830" t="s">
        <v>437</v>
      </c>
      <c r="E11" s="831" t="s">
        <v>545</v>
      </c>
      <c r="F11" s="832" t="s">
        <v>3064</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3032</v>
      </c>
      <c r="T11" s="1022"/>
      <c r="U11" s="1021" t="s">
        <v>4012</v>
      </c>
      <c r="V11" s="1022"/>
      <c r="W11" s="1021" t="s">
        <v>5016</v>
      </c>
      <c r="X11" s="1024" t="s">
        <v>3675</v>
      </c>
      <c r="Y11" s="1024" t="s">
        <v>8775</v>
      </c>
      <c r="Z11" s="1022"/>
      <c r="AA11" s="1024" t="s">
        <v>5790</v>
      </c>
      <c r="AB11" s="1022"/>
      <c r="AC11" s="1021" t="s">
        <v>5922</v>
      </c>
      <c r="AD11" s="1021" t="s">
        <v>2058</v>
      </c>
      <c r="AE11" s="1021"/>
      <c r="AF11" s="1021" t="s">
        <v>5738</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5172</v>
      </c>
      <c r="BA11" s="1021"/>
      <c r="BB11" s="1021" t="s">
        <v>8511</v>
      </c>
      <c r="BC11" s="1400" t="s">
        <v>8782</v>
      </c>
      <c r="BD11" s="1400" t="s">
        <v>8783</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3515</v>
      </c>
      <c r="BZ11" s="1022"/>
      <c r="CA11" s="1401"/>
      <c r="CB11" s="1021" t="s">
        <v>3653</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3198</v>
      </c>
      <c r="B12" s="833" t="s">
        <v>8785</v>
      </c>
      <c r="C12" s="829" t="s">
        <v>1258</v>
      </c>
      <c r="D12" s="830" t="s">
        <v>1258</v>
      </c>
      <c r="E12" s="831" t="s">
        <v>1258</v>
      </c>
      <c r="F12" s="832" t="s">
        <v>7484</v>
      </c>
      <c r="G12" s="833" t="s">
        <v>6293</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4547</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3909</v>
      </c>
      <c r="B13" s="833" t="s">
        <v>8814</v>
      </c>
      <c r="C13" s="829" t="s">
        <v>1258</v>
      </c>
      <c r="D13" s="830" t="s">
        <v>1258</v>
      </c>
      <c r="E13" s="831" t="s">
        <v>1258</v>
      </c>
      <c r="F13" s="832" t="s">
        <v>545</v>
      </c>
      <c r="G13" s="833" t="s">
        <v>1809</v>
      </c>
      <c r="H13" s="1407"/>
      <c r="I13" s="1407" t="s">
        <v>3918</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4094</v>
      </c>
      <c r="W13" s="1021" t="s">
        <v>5024</v>
      </c>
      <c r="X13" s="1021" t="s">
        <v>8826</v>
      </c>
      <c r="Y13" s="1021" t="s">
        <v>375</v>
      </c>
      <c r="Z13" s="1400" t="s">
        <v>3230</v>
      </c>
      <c r="AA13" s="1021" t="s">
        <v>8827</v>
      </c>
      <c r="AB13" s="1021"/>
      <c r="AC13" s="1400" t="s">
        <v>8828</v>
      </c>
      <c r="AD13" s="1400" t="s">
        <v>8829</v>
      </c>
      <c r="AE13" s="1021" t="s">
        <v>5213</v>
      </c>
      <c r="AF13" s="1021" t="s">
        <v>8830</v>
      </c>
      <c r="AG13" s="1400" t="s">
        <v>8831</v>
      </c>
      <c r="AH13" s="1022"/>
      <c r="AI13" s="1022"/>
      <c r="AJ13" s="1022"/>
      <c r="AK13" s="1022"/>
      <c r="AL13" s="1021" t="s">
        <v>5647</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4850</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4218</v>
      </c>
      <c r="BW13" s="1401"/>
      <c r="BX13" s="1021" t="s">
        <v>4545</v>
      </c>
      <c r="BY13" s="1021" t="s">
        <v>5528</v>
      </c>
      <c r="BZ13" s="1022"/>
      <c r="CA13" s="1401"/>
      <c r="CB13" s="1021" t="s">
        <v>1753</v>
      </c>
      <c r="CC13" s="1022"/>
      <c r="CD13" s="1401"/>
      <c r="CE13" s="1395"/>
      <c r="CF13" s="1021" t="s">
        <v>8782</v>
      </c>
      <c r="CG13" s="1022"/>
      <c r="CH13" s="1395"/>
      <c r="CI13" s="1415" t="s">
        <v>8642</v>
      </c>
      <c r="CJ13" s="1398" t="s">
        <v>8723</v>
      </c>
      <c r="CK13" s="1398"/>
      <c r="CL13" s="1408" t="s">
        <v>6293</v>
      </c>
      <c r="CM13" s="1398" t="s">
        <v>8845</v>
      </c>
      <c r="CN13" s="1398" t="s">
        <v>6262</v>
      </c>
      <c r="CO13" s="1398" t="s">
        <v>5888</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4642</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2698</v>
      </c>
      <c r="X14" s="1021" t="s">
        <v>8863</v>
      </c>
      <c r="Y14" s="1400" t="s">
        <v>2058</v>
      </c>
      <c r="Z14" s="1022"/>
      <c r="AA14" s="1022"/>
      <c r="AB14" s="1022"/>
      <c r="AC14" s="1400" t="s">
        <v>8864</v>
      </c>
      <c r="AD14" s="1400" t="s">
        <v>5296</v>
      </c>
      <c r="AE14" s="1024" t="s">
        <v>2570</v>
      </c>
      <c r="AF14" s="1400" t="s">
        <v>8865</v>
      </c>
      <c r="AG14" s="1021" t="s">
        <v>8866</v>
      </c>
      <c r="AH14" s="1022"/>
      <c r="AI14" s="1022"/>
      <c r="AJ14" s="1022"/>
      <c r="AK14" s="1021" t="s">
        <v>8867</v>
      </c>
      <c r="AL14" s="1021" t="s">
        <v>2928</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3458</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7250</v>
      </c>
      <c r="C15" s="829" t="s">
        <v>648</v>
      </c>
      <c r="D15" s="830" t="s">
        <v>437</v>
      </c>
      <c r="E15" s="831" t="s">
        <v>545</v>
      </c>
      <c r="F15" s="832" t="s">
        <v>647</v>
      </c>
      <c r="G15" s="833" t="s">
        <v>2744</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8736</v>
      </c>
      <c r="AQ15" s="1021"/>
      <c r="AR15" s="1400" t="s">
        <v>8877</v>
      </c>
      <c r="AS15" s="1021"/>
      <c r="AT15" s="1022"/>
      <c r="AU15" s="1400" t="s">
        <v>8670</v>
      </c>
      <c r="AV15" s="1021"/>
      <c r="AW15" s="1400" t="s">
        <v>8878</v>
      </c>
      <c r="AX15" s="1022"/>
      <c r="AY15" s="1022"/>
      <c r="AZ15" s="1022"/>
      <c r="BA15" s="1022"/>
      <c r="BB15" s="1383" t="s">
        <v>8879</v>
      </c>
      <c r="BC15" s="1024" t="s">
        <v>8638</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5235</v>
      </c>
      <c r="AI16" s="1021"/>
      <c r="AJ16" s="1021"/>
      <c r="AK16" s="1384" t="s">
        <v>8887</v>
      </c>
      <c r="AL16" s="1390"/>
      <c r="AM16" s="1400" t="s">
        <v>8761</v>
      </c>
      <c r="AN16" s="1022"/>
      <c r="AO16" s="1022"/>
      <c r="AP16" s="1022"/>
      <c r="AQ16" s="1022"/>
      <c r="AR16" s="1022"/>
      <c r="AS16" s="1022"/>
      <c r="AT16" s="1021" t="s">
        <v>8841</v>
      </c>
      <c r="AU16" s="1021" t="s">
        <v>8888</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2940</v>
      </c>
      <c r="H17" s="1437" t="s">
        <v>8889</v>
      </c>
      <c r="I17" s="1407" t="s">
        <v>8890</v>
      </c>
      <c r="J17" s="1021" t="s">
        <v>8891</v>
      </c>
      <c r="K17" s="1407" t="s">
        <v>8892</v>
      </c>
      <c r="L17" s="1021" t="s">
        <v>4570</v>
      </c>
      <c r="M17" s="1021" t="s">
        <v>8469</v>
      </c>
      <c r="N17" s="1021" t="s">
        <v>8893</v>
      </c>
      <c r="O17" s="1021" t="s">
        <v>8894</v>
      </c>
      <c r="P17" s="1021" t="s">
        <v>8895</v>
      </c>
      <c r="Q17" s="1021" t="s">
        <v>7171</v>
      </c>
      <c r="R17" s="1021" t="s">
        <v>8896</v>
      </c>
      <c r="S17" s="1382" t="s">
        <v>8897</v>
      </c>
      <c r="T17" s="1384" t="s">
        <v>8601</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8756</v>
      </c>
      <c r="AR17" s="1022"/>
      <c r="AS17" s="1024" t="s">
        <v>8905</v>
      </c>
      <c r="AT17" s="1024" t="s">
        <v>8906</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8907</v>
      </c>
      <c r="C18" s="829" t="s">
        <v>648</v>
      </c>
      <c r="D18" s="830" t="s">
        <v>332</v>
      </c>
      <c r="E18" s="831" t="s">
        <v>545</v>
      </c>
      <c r="F18" s="832" t="s">
        <v>647</v>
      </c>
      <c r="G18" s="833" t="s">
        <v>221</v>
      </c>
      <c r="H18" s="1440" t="s">
        <v>8908</v>
      </c>
      <c r="I18" s="1437" t="s">
        <v>8909</v>
      </c>
      <c r="J18" s="1383" t="s">
        <v>8910</v>
      </c>
      <c r="K18" s="1384" t="s">
        <v>8911</v>
      </c>
      <c r="L18" s="1021" t="s">
        <v>8912</v>
      </c>
      <c r="M18" s="1022"/>
      <c r="N18" s="1385" t="s">
        <v>3707</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6516</v>
      </c>
      <c r="C19" s="829" t="s">
        <v>332</v>
      </c>
      <c r="D19" s="830" t="s">
        <v>648</v>
      </c>
      <c r="E19" s="831" t="s">
        <v>545</v>
      </c>
      <c r="F19" s="832" t="s">
        <v>1198</v>
      </c>
      <c r="G19" s="833" t="s">
        <v>3064</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4632</v>
      </c>
      <c r="AE19" s="1390"/>
      <c r="AF19" s="1385" t="s">
        <v>8923</v>
      </c>
      <c r="AG19" s="1022"/>
      <c r="AH19" s="1384" t="s">
        <v>1785</v>
      </c>
      <c r="AI19" s="1385" t="s">
        <v>3153</v>
      </c>
      <c r="AJ19" s="1022"/>
      <c r="AK19" s="1021" t="s">
        <v>4289</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4058</v>
      </c>
      <c r="B20" s="833" t="s">
        <v>8925</v>
      </c>
      <c r="C20" s="829" t="s">
        <v>1258</v>
      </c>
      <c r="D20" s="830" t="s">
        <v>545</v>
      </c>
      <c r="E20" s="831" t="s">
        <v>1258</v>
      </c>
      <c r="F20" s="832" t="s">
        <v>437</v>
      </c>
      <c r="G20" s="833" t="s">
        <v>3102</v>
      </c>
      <c r="H20" s="1407"/>
      <c r="I20" s="1407" t="s">
        <v>8926</v>
      </c>
      <c r="J20" s="1021"/>
      <c r="K20" s="1400" t="s">
        <v>8927</v>
      </c>
      <c r="L20" s="1021"/>
      <c r="M20" s="1400" t="s">
        <v>8928</v>
      </c>
      <c r="N20" s="1022"/>
      <c r="O20" s="1400" t="s">
        <v>8929</v>
      </c>
      <c r="P20" s="1022"/>
      <c r="Q20" s="1022"/>
      <c r="R20" s="1021" t="s">
        <v>8930</v>
      </c>
      <c r="S20" s="1411" t="s">
        <v>8931</v>
      </c>
      <c r="T20" s="1400" t="s">
        <v>8932</v>
      </c>
      <c r="U20" s="1021" t="s">
        <v>3793</v>
      </c>
      <c r="V20" s="1021"/>
      <c r="W20" s="1400" t="s">
        <v>4455</v>
      </c>
      <c r="X20" s="1021" t="s">
        <v>3826</v>
      </c>
      <c r="Y20" s="1400" t="s">
        <v>2835</v>
      </c>
      <c r="Z20" s="1022"/>
      <c r="AA20" s="1022"/>
      <c r="AB20" s="1022"/>
      <c r="AC20" s="1400" t="s">
        <v>8933</v>
      </c>
      <c r="AD20" s="1021" t="s">
        <v>5508</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4706</v>
      </c>
      <c r="BW20" s="1401"/>
      <c r="BX20" s="1022"/>
      <c r="BY20" s="1021" t="s">
        <v>2233</v>
      </c>
      <c r="BZ20" s="1022"/>
      <c r="CA20" s="1401"/>
      <c r="CB20" s="1021" t="s">
        <v>4547</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3350</v>
      </c>
      <c r="CS20" s="1021" t="s">
        <v>8945</v>
      </c>
      <c r="CT20" s="1022"/>
      <c r="CU20" s="1022"/>
    </row>
    <row r="21">
      <c r="A21" s="1443" t="s">
        <v>4806</v>
      </c>
      <c r="B21" s="833" t="s">
        <v>8946</v>
      </c>
      <c r="C21" s="829" t="s">
        <v>1258</v>
      </c>
      <c r="D21" s="830" t="s">
        <v>1258</v>
      </c>
      <c r="E21" s="831" t="s">
        <v>1258</v>
      </c>
      <c r="F21" s="832" t="s">
        <v>545</v>
      </c>
      <c r="G21" s="833" t="s">
        <v>3386</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3506</v>
      </c>
      <c r="X21" s="1021" t="s">
        <v>2626</v>
      </c>
      <c r="Y21" s="1400" t="s">
        <v>8953</v>
      </c>
      <c r="Z21" s="1022"/>
      <c r="AA21" s="1022"/>
      <c r="AB21" s="1022"/>
      <c r="AC21" s="1024" t="s">
        <v>343</v>
      </c>
      <c r="AD21" s="1400" t="s">
        <v>3886</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3245</v>
      </c>
      <c r="Z22" s="1021"/>
      <c r="AA22" s="1021"/>
      <c r="AB22" s="1021"/>
      <c r="AC22" s="1400" t="s">
        <v>8964</v>
      </c>
      <c r="AD22" s="1400" t="s">
        <v>4933</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5172</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5200</v>
      </c>
      <c r="Z23" s="1022"/>
      <c r="AA23" s="1022"/>
      <c r="AB23" s="1022"/>
      <c r="AC23" s="1400" t="s">
        <v>8978</v>
      </c>
      <c r="AD23" s="1400" t="s">
        <v>4123</v>
      </c>
      <c r="AE23" s="1390"/>
      <c r="AF23" s="1024" t="s">
        <v>723</v>
      </c>
      <c r="AG23" s="1390"/>
      <c r="AH23" s="1400" t="s">
        <v>7691</v>
      </c>
      <c r="AI23" s="1400" t="s">
        <v>5651</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5378</v>
      </c>
      <c r="B24" s="833" t="s">
        <v>8980</v>
      </c>
      <c r="C24" s="829" t="s">
        <v>1258</v>
      </c>
      <c r="D24" s="830" t="s">
        <v>1258</v>
      </c>
      <c r="E24" s="831" t="s">
        <v>545</v>
      </c>
      <c r="F24" s="832" t="s">
        <v>438</v>
      </c>
      <c r="G24" s="833" t="s">
        <v>5172</v>
      </c>
      <c r="H24" s="1425" t="s">
        <v>8981</v>
      </c>
      <c r="I24" s="1425" t="s">
        <v>5384</v>
      </c>
      <c r="J24" s="1390"/>
      <c r="K24" s="1400" t="s">
        <v>8982</v>
      </c>
      <c r="L24" s="1021"/>
      <c r="M24" s="1021"/>
      <c r="N24" s="1400" t="s">
        <v>8983</v>
      </c>
      <c r="O24" s="1400" t="s">
        <v>8984</v>
      </c>
      <c r="P24" s="1400" t="s">
        <v>8985</v>
      </c>
      <c r="Q24" s="1400" t="s">
        <v>8986</v>
      </c>
      <c r="R24" s="1400" t="s">
        <v>8987</v>
      </c>
      <c r="S24" s="1400" t="s">
        <v>5402</v>
      </c>
      <c r="T24" s="1400" t="s">
        <v>8988</v>
      </c>
      <c r="U24" s="1400" t="s">
        <v>8989</v>
      </c>
      <c r="V24" s="1021"/>
      <c r="W24" s="1400" t="s">
        <v>6121</v>
      </c>
      <c r="X24" s="1021"/>
      <c r="Y24" s="1022"/>
      <c r="Z24" s="1022"/>
      <c r="AA24" s="1022"/>
      <c r="AB24" s="1022"/>
      <c r="AC24" s="1400" t="s">
        <v>8990</v>
      </c>
      <c r="AD24" s="1400" t="s">
        <v>5929</v>
      </c>
      <c r="AE24" s="1021"/>
      <c r="AF24" s="1400" t="s">
        <v>7006</v>
      </c>
      <c r="AG24" s="1021"/>
      <c r="AH24" s="1400" t="s">
        <v>3336</v>
      </c>
      <c r="AI24" s="1021"/>
      <c r="AJ24" s="1021"/>
      <c r="AK24" s="1022"/>
      <c r="AL24" s="1022"/>
      <c r="AM24" s="1400" t="s">
        <v>8717</v>
      </c>
      <c r="AN24" s="1400" t="s">
        <v>8888</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18"/>
      <c r="BJ24" s="918"/>
      <c r="BK24" s="918"/>
      <c r="BL24" s="964" t="s">
        <v>8995</v>
      </c>
      <c r="BM24" s="964" t="s">
        <v>8996</v>
      </c>
      <c r="BN24" s="918"/>
      <c r="BO24" s="918"/>
      <c r="BP24" s="918"/>
      <c r="BQ24" s="1022"/>
      <c r="BR24" s="1021" t="s">
        <v>8997</v>
      </c>
      <c r="BS24" s="1022"/>
      <c r="BT24" s="1022"/>
      <c r="BU24" s="1022"/>
      <c r="BV24" s="1450" t="s">
        <v>162</v>
      </c>
      <c r="BW24" s="1400" t="s">
        <v>1694</v>
      </c>
      <c r="BX24" s="1400" t="s">
        <v>1628</v>
      </c>
      <c r="BY24" s="1384" t="s">
        <v>4976</v>
      </c>
      <c r="BZ24" s="1400" t="s">
        <v>2257</v>
      </c>
      <c r="CA24" s="1400" t="s">
        <v>5551</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4929</v>
      </c>
      <c r="CU24" s="1390"/>
    </row>
    <row r="25">
      <c r="A25" s="1451" t="s">
        <v>9001</v>
      </c>
      <c r="B25" s="833" t="s">
        <v>9002</v>
      </c>
      <c r="C25" s="829" t="s">
        <v>1258</v>
      </c>
      <c r="D25" s="830" t="s">
        <v>1258</v>
      </c>
      <c r="E25" s="831" t="s">
        <v>1258</v>
      </c>
      <c r="F25" s="832" t="s">
        <v>332</v>
      </c>
      <c r="G25" s="833" t="s">
        <v>3386</v>
      </c>
      <c r="H25" s="1407"/>
      <c r="I25" s="1407" t="s">
        <v>9003</v>
      </c>
      <c r="J25" s="1021"/>
      <c r="K25" s="1021" t="s">
        <v>9004</v>
      </c>
      <c r="L25" s="1024" t="s">
        <v>3772</v>
      </c>
      <c r="M25" s="1022"/>
      <c r="N25" s="1022"/>
      <c r="O25" s="1022"/>
      <c r="P25" s="1021" t="s">
        <v>5801</v>
      </c>
      <c r="Q25" s="1022"/>
      <c r="R25" s="1024" t="s">
        <v>9005</v>
      </c>
      <c r="S25" s="1022"/>
      <c r="T25" s="1022"/>
      <c r="U25" s="1021" t="s">
        <v>751</v>
      </c>
      <c r="V25" s="1021"/>
      <c r="W25" s="1400" t="s">
        <v>4339</v>
      </c>
      <c r="X25" s="1021" t="s">
        <v>3510</v>
      </c>
      <c r="Y25" s="1024" t="s">
        <v>5838</v>
      </c>
      <c r="Z25" s="1022"/>
      <c r="AA25" s="1022"/>
      <c r="AB25" s="1022"/>
      <c r="AC25" s="1400" t="s">
        <v>9006</v>
      </c>
      <c r="AD25" s="1400" t="s">
        <v>5764</v>
      </c>
      <c r="AE25" s="1021"/>
      <c r="AF25" s="1400" t="s">
        <v>9007</v>
      </c>
      <c r="AG25" s="1021"/>
      <c r="AH25" s="1400" t="s">
        <v>9008</v>
      </c>
      <c r="AI25" s="1022"/>
      <c r="AJ25" s="1022"/>
      <c r="AK25" s="1452" t="s">
        <v>3816</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4060</v>
      </c>
      <c r="CN25" s="1400" t="s">
        <v>220</v>
      </c>
      <c r="CO25" s="1400" t="s">
        <v>4688</v>
      </c>
      <c r="CP25" s="1022"/>
      <c r="CQ25" s="1022"/>
      <c r="CR25" s="1022"/>
      <c r="CS25" s="1022"/>
      <c r="CT25" s="1022"/>
      <c r="CU25" s="1022"/>
    </row>
    <row r="26">
      <c r="A26" s="1454" t="s">
        <v>7502</v>
      </c>
      <c r="B26" s="833" t="s">
        <v>9010</v>
      </c>
      <c r="C26" s="829" t="s">
        <v>1258</v>
      </c>
      <c r="D26" s="830" t="s">
        <v>1258</v>
      </c>
      <c r="E26" s="831" t="s">
        <v>1258</v>
      </c>
      <c r="F26" s="832" t="s">
        <v>1258</v>
      </c>
      <c r="G26" s="833" t="s">
        <v>2875</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2691</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2778</v>
      </c>
      <c r="H27" s="1407"/>
      <c r="I27" s="1407" t="s">
        <v>9026</v>
      </c>
      <c r="J27" s="1022"/>
      <c r="K27" s="1021" t="s">
        <v>9027</v>
      </c>
      <c r="L27" s="1022"/>
      <c r="M27" s="1022"/>
      <c r="N27" s="1022"/>
      <c r="O27" s="1022"/>
      <c r="P27" s="1021" t="s">
        <v>9028</v>
      </c>
      <c r="Q27" s="1022"/>
      <c r="R27" s="1021" t="s">
        <v>9029</v>
      </c>
      <c r="S27" s="1022"/>
      <c r="T27" s="1021" t="s">
        <v>9030</v>
      </c>
      <c r="U27" s="1024" t="s">
        <v>5492</v>
      </c>
      <c r="V27" s="1022"/>
      <c r="W27" s="1022"/>
      <c r="X27" s="1021" t="s">
        <v>7781</v>
      </c>
      <c r="Y27" s="1024" t="s">
        <v>7883</v>
      </c>
      <c r="Z27" s="1022"/>
      <c r="AA27" s="1021" t="s">
        <v>9031</v>
      </c>
      <c r="AB27" s="1022"/>
      <c r="AC27" s="1021" t="s">
        <v>9032</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2998</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2985</v>
      </c>
      <c r="Y28" s="1385" t="s">
        <v>8887</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4015</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3290</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2745</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9043</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5571</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3578</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3761</v>
      </c>
      <c r="BZ35" s="1410" t="s">
        <v>9055</v>
      </c>
      <c r="CA35" s="1401"/>
      <c r="CB35" s="1410" t="s">
        <v>998</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2997</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4060</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6450</v>
      </c>
      <c r="Y38" s="1021" t="s">
        <v>2005</v>
      </c>
      <c r="Z38" s="1022"/>
      <c r="AA38" s="1021" t="s">
        <v>3150</v>
      </c>
      <c r="AB38" s="1022"/>
      <c r="AC38" s="1021" t="s">
        <v>9058</v>
      </c>
      <c r="AD38" s="1021" t="s">
        <v>2126</v>
      </c>
      <c r="AE38" s="1021" t="s">
        <v>6533</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4060</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7484</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3930</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3978</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3386</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2875</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6539</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5141</v>
      </c>
      <c r="CM46" s="1021" t="s">
        <v>8965</v>
      </c>
      <c r="CN46" s="1021" t="s">
        <v>4121</v>
      </c>
      <c r="CO46" s="1022"/>
      <c r="CP46" s="1022"/>
      <c r="CQ46" s="1022"/>
      <c r="CR46" s="1022"/>
      <c r="CS46" s="1022"/>
      <c r="CT46" s="1022"/>
      <c r="CU46" s="1022"/>
    </row>
    <row r="47">
      <c r="A47" s="1443" t="s">
        <v>3630</v>
      </c>
      <c r="B47" s="833" t="s">
        <v>2744</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2778</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3312</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3064</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4138</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4183</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3772</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3976</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7819</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5270</v>
      </c>
      <c r="B3" s="1483" t="s">
        <v>2875</v>
      </c>
      <c r="C3" s="1484" t="s">
        <v>545</v>
      </c>
      <c r="D3" s="1485" t="s">
        <v>545</v>
      </c>
      <c r="E3" s="1486" t="s">
        <v>545</v>
      </c>
      <c r="F3" s="1487" t="s">
        <v>332</v>
      </c>
      <c r="G3" s="1483" t="s">
        <v>982</v>
      </c>
      <c r="H3" s="1022"/>
      <c r="I3" s="97"/>
      <c r="J3" s="92"/>
      <c r="K3" s="1022"/>
      <c r="L3" s="1021" t="s">
        <v>3331</v>
      </c>
      <c r="M3" s="1021" t="s">
        <v>9119</v>
      </c>
      <c r="N3" s="1021" t="s">
        <v>1158</v>
      </c>
      <c r="O3" s="1022"/>
      <c r="P3" s="1022"/>
      <c r="Q3" s="1401"/>
      <c r="R3" s="1384" t="s">
        <v>6117</v>
      </c>
      <c r="S3" s="1022"/>
      <c r="T3" s="1022"/>
      <c r="U3" s="1383" t="s">
        <v>2117</v>
      </c>
      <c r="V3" s="1401"/>
      <c r="W3" s="1401"/>
      <c r="X3" s="1385" t="s">
        <v>9120</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8090</v>
      </c>
      <c r="V4" s="1401"/>
      <c r="W4" s="1401"/>
      <c r="X4" s="1382" t="s">
        <v>9121</v>
      </c>
      <c r="Y4" s="1401"/>
      <c r="Z4" s="1401"/>
      <c r="AA4" s="1493" t="s">
        <v>9122</v>
      </c>
      <c r="AB4" s="1401"/>
      <c r="AC4" s="1022"/>
      <c r="AD4" s="1401"/>
      <c r="AE4" s="1401"/>
      <c r="AF4" s="1401"/>
      <c r="AG4" s="1488"/>
      <c r="AH4" s="1488"/>
    </row>
    <row r="5">
      <c r="A5" s="1489" t="s">
        <v>4058</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6288</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3750</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6334</v>
      </c>
      <c r="I2" s="1527" t="s">
        <v>9187</v>
      </c>
      <c r="J2" s="1528" t="s">
        <v>5311</v>
      </c>
      <c r="K2" s="1529" t="s">
        <v>9188</v>
      </c>
      <c r="L2" s="1529" t="s">
        <v>234</v>
      </c>
      <c r="M2" s="1529" t="s">
        <v>6308</v>
      </c>
      <c r="N2" s="1529" t="s">
        <v>4077</v>
      </c>
      <c r="O2" s="1529" t="s">
        <v>9189</v>
      </c>
      <c r="P2" s="1529" t="s">
        <v>9190</v>
      </c>
      <c r="Q2" s="1530" t="s">
        <v>4279</v>
      </c>
      <c r="R2" s="1531" t="s">
        <v>9191</v>
      </c>
      <c r="S2" s="1530" t="s">
        <v>6720</v>
      </c>
      <c r="T2" s="1531" t="s">
        <v>3279</v>
      </c>
      <c r="U2" s="1530" t="s">
        <v>6813</v>
      </c>
      <c r="V2" s="1530" t="s">
        <v>9192</v>
      </c>
      <c r="W2" s="1532" t="s">
        <v>6531</v>
      </c>
      <c r="X2" s="1533" t="s">
        <v>9193</v>
      </c>
      <c r="Y2" s="1533" t="s">
        <v>6898</v>
      </c>
      <c r="Z2" s="1534" t="s">
        <v>6893</v>
      </c>
      <c r="AA2" s="1533" t="s">
        <v>9194</v>
      </c>
      <c r="AB2" s="1533" t="s">
        <v>9195</v>
      </c>
      <c r="AC2" s="1534" t="s">
        <v>4103</v>
      </c>
      <c r="AD2" s="1535" t="s">
        <v>9196</v>
      </c>
      <c r="AE2" s="1536" t="s">
        <v>4809</v>
      </c>
      <c r="AF2" s="1537" t="s">
        <v>9197</v>
      </c>
      <c r="AG2" s="1537" t="s">
        <v>9198</v>
      </c>
      <c r="AH2" s="1537" t="s">
        <v>3857</v>
      </c>
      <c r="AI2" s="1538" t="s">
        <v>9199</v>
      </c>
      <c r="AJ2" s="1538" t="s">
        <v>9200</v>
      </c>
      <c r="AK2" s="1538" t="s">
        <v>9201</v>
      </c>
      <c r="AL2" s="1538" t="s">
        <v>5686</v>
      </c>
      <c r="AM2" s="1539" t="s">
        <v>9202</v>
      </c>
      <c r="AN2" s="1540" t="s">
        <v>9203</v>
      </c>
      <c r="AO2" s="1540" t="s">
        <v>7078</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6768</v>
      </c>
      <c r="F3" s="1548" t="s">
        <v>9212</v>
      </c>
      <c r="G3" s="1548" t="s">
        <v>9213</v>
      </c>
      <c r="H3" s="1549" t="s">
        <v>9214</v>
      </c>
      <c r="I3" s="1549" t="s">
        <v>5057</v>
      </c>
      <c r="J3" s="1550" t="s">
        <v>1352</v>
      </c>
      <c r="K3" s="1550" t="s">
        <v>9215</v>
      </c>
      <c r="L3" s="1550" t="s">
        <v>2951</v>
      </c>
      <c r="M3" s="1550" t="s">
        <v>9216</v>
      </c>
      <c r="N3" s="1550" t="s">
        <v>2542</v>
      </c>
      <c r="O3" s="1550" t="s">
        <v>9217</v>
      </c>
      <c r="P3" s="1550" t="s">
        <v>5624</v>
      </c>
      <c r="Q3" s="1551" t="s">
        <v>5831</v>
      </c>
      <c r="R3" s="1551" t="s">
        <v>9218</v>
      </c>
      <c r="S3" s="1551" t="s">
        <v>9219</v>
      </c>
      <c r="T3" s="1551" t="s">
        <v>9220</v>
      </c>
      <c r="U3" s="1552" t="s">
        <v>7404</v>
      </c>
      <c r="V3" s="1551" t="s">
        <v>9221</v>
      </c>
      <c r="W3" s="1553" t="s">
        <v>4159</v>
      </c>
      <c r="X3" s="1553" t="s">
        <v>6034</v>
      </c>
      <c r="Y3" s="1554" t="s">
        <v>9222</v>
      </c>
      <c r="Z3" s="1554" t="s">
        <v>1338</v>
      </c>
      <c r="AA3" s="1554" t="s">
        <v>5857</v>
      </c>
      <c r="AB3" s="1553" t="s">
        <v>6877</v>
      </c>
      <c r="AC3" s="1554" t="s">
        <v>9223</v>
      </c>
      <c r="AD3" s="1548" t="s">
        <v>9224</v>
      </c>
      <c r="AE3" s="1548" t="s">
        <v>9225</v>
      </c>
      <c r="AF3" s="1555" t="s">
        <v>9226</v>
      </c>
      <c r="AG3" s="1556" t="s">
        <v>4622</v>
      </c>
      <c r="AH3" s="1556" t="s">
        <v>9227</v>
      </c>
      <c r="AI3" s="1556" t="s">
        <v>9228</v>
      </c>
      <c r="AJ3" s="1555" t="s">
        <v>9229</v>
      </c>
      <c r="AK3" s="1556" t="s">
        <v>3383</v>
      </c>
      <c r="AL3" s="1556" t="s">
        <v>9230</v>
      </c>
      <c r="AM3" s="1557" t="s">
        <v>9231</v>
      </c>
      <c r="AN3" s="1557" t="s">
        <v>4763</v>
      </c>
      <c r="AO3" s="1558" t="s">
        <v>7310</v>
      </c>
      <c r="AP3" s="1558" t="s">
        <v>9232</v>
      </c>
      <c r="AQ3" s="1558" t="s">
        <v>9233</v>
      </c>
      <c r="AR3" s="1558" t="s">
        <v>4084</v>
      </c>
      <c r="AS3" s="1557" t="s">
        <v>4860</v>
      </c>
      <c r="AT3" s="1550" t="s">
        <v>5049</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6356</v>
      </c>
      <c r="L4" s="1566" t="s">
        <v>3815</v>
      </c>
      <c r="M4" s="1566" t="s">
        <v>9243</v>
      </c>
      <c r="N4" s="1566" t="s">
        <v>9202</v>
      </c>
      <c r="O4" s="1566" t="s">
        <v>9244</v>
      </c>
      <c r="P4" s="1566" t="s">
        <v>9245</v>
      </c>
      <c r="Q4" s="1567" t="s">
        <v>9246</v>
      </c>
      <c r="R4" s="1567" t="s">
        <v>9247</v>
      </c>
      <c r="S4" s="1567" t="s">
        <v>2271</v>
      </c>
      <c r="T4" s="1567" t="s">
        <v>9248</v>
      </c>
      <c r="U4" s="1567" t="s">
        <v>9249</v>
      </c>
      <c r="V4" s="1567" t="s">
        <v>4300</v>
      </c>
      <c r="W4" s="1568" t="s">
        <v>9250</v>
      </c>
      <c r="X4" s="1568" t="s">
        <v>9251</v>
      </c>
      <c r="Y4" s="1568">
        <v>47.93</v>
      </c>
      <c r="Z4" s="1568" t="s">
        <v>9252</v>
      </c>
      <c r="AA4" s="1568" t="s">
        <v>9253</v>
      </c>
      <c r="AB4" s="1568" t="s">
        <v>9254</v>
      </c>
      <c r="AC4" s="1568">
        <v>49.24</v>
      </c>
      <c r="AD4" s="1569" t="s">
        <v>9255</v>
      </c>
      <c r="AE4" s="1570" t="s">
        <v>5604</v>
      </c>
      <c r="AF4" s="1571" t="s">
        <v>2807</v>
      </c>
      <c r="AG4" s="1571" t="s">
        <v>4617</v>
      </c>
      <c r="AH4" s="1571" t="s">
        <v>5340</v>
      </c>
      <c r="AI4" s="1571" t="s">
        <v>9256</v>
      </c>
      <c r="AJ4" s="1571" t="s">
        <v>9257</v>
      </c>
      <c r="AK4" s="1571" t="s">
        <v>884</v>
      </c>
      <c r="AL4" s="1571" t="s">
        <v>9258</v>
      </c>
      <c r="AM4" s="1572" t="s">
        <v>9259</v>
      </c>
      <c r="AN4" s="1573" t="s">
        <v>9260</v>
      </c>
      <c r="AO4" s="1572" t="s">
        <v>9261</v>
      </c>
      <c r="AP4" s="1573" t="s">
        <v>9262</v>
      </c>
      <c r="AQ4" s="1572" t="s">
        <v>9263</v>
      </c>
      <c r="AR4" s="1572" t="s">
        <v>7562</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6334</v>
      </c>
      <c r="I5" s="1580" t="s">
        <v>9187</v>
      </c>
      <c r="J5" s="1582" t="s">
        <v>5311</v>
      </c>
      <c r="K5" s="1583" t="s">
        <v>9267</v>
      </c>
      <c r="L5" s="1581" t="s">
        <v>2313</v>
      </c>
      <c r="M5" s="1583" t="s">
        <v>2493</v>
      </c>
      <c r="N5" s="1584" t="s">
        <v>4077</v>
      </c>
      <c r="O5" s="1585" t="s">
        <v>9268</v>
      </c>
      <c r="P5" s="1584" t="s">
        <v>9190</v>
      </c>
      <c r="Q5" s="1584" t="s">
        <v>4279</v>
      </c>
      <c r="R5" s="1582" t="s">
        <v>9191</v>
      </c>
      <c r="S5" s="1584" t="s">
        <v>6720</v>
      </c>
      <c r="T5" s="1582" t="s">
        <v>3279</v>
      </c>
      <c r="U5" s="1584" t="s">
        <v>6813</v>
      </c>
      <c r="V5" s="1586" t="s">
        <v>9192</v>
      </c>
      <c r="W5" s="1580" t="s">
        <v>6531</v>
      </c>
      <c r="X5" s="1582" t="s">
        <v>9193</v>
      </c>
      <c r="Y5" s="1582" t="s">
        <v>6898</v>
      </c>
      <c r="Z5" s="1585" t="s">
        <v>5096</v>
      </c>
      <c r="AA5" s="1582" t="s">
        <v>9194</v>
      </c>
      <c r="AB5" s="1581" t="s">
        <v>3299</v>
      </c>
      <c r="AC5" s="1584" t="s">
        <v>4103</v>
      </c>
      <c r="AD5" s="1582" t="s">
        <v>9196</v>
      </c>
      <c r="AE5" s="1583" t="s">
        <v>8222</v>
      </c>
      <c r="AF5" s="1463" t="s">
        <v>9269</v>
      </c>
      <c r="AG5" s="1390" t="s">
        <v>9270</v>
      </c>
      <c r="AH5" s="1581" t="s">
        <v>5676</v>
      </c>
      <c r="AI5" s="1583" t="s">
        <v>9271</v>
      </c>
      <c r="AJ5" s="1390" t="s">
        <v>9272</v>
      </c>
      <c r="AK5" s="1584" t="s">
        <v>9201</v>
      </c>
      <c r="AL5" s="1582" t="s">
        <v>5686</v>
      </c>
      <c r="AM5" s="1582" t="s">
        <v>9202</v>
      </c>
      <c r="AN5" s="1581" t="s">
        <v>6475</v>
      </c>
      <c r="AO5" s="1583" t="s">
        <v>380</v>
      </c>
      <c r="AP5" s="1582" t="s">
        <v>9204</v>
      </c>
      <c r="AQ5" s="1582" t="s">
        <v>9205</v>
      </c>
      <c r="AR5" s="1390" t="s">
        <v>7078</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4305</v>
      </c>
      <c r="J6" s="1594" t="s">
        <v>9281</v>
      </c>
      <c r="K6" s="1594" t="s">
        <v>7566</v>
      </c>
      <c r="L6" s="1594" t="s">
        <v>9282</v>
      </c>
      <c r="M6" s="1594" t="s">
        <v>9283</v>
      </c>
      <c r="N6" s="1594" t="s">
        <v>102</v>
      </c>
      <c r="O6" s="1594" t="s">
        <v>9284</v>
      </c>
      <c r="P6" s="1594" t="s">
        <v>1015</v>
      </c>
      <c r="Q6" s="1595" t="s">
        <v>9285</v>
      </c>
      <c r="R6" s="1595" t="s">
        <v>3648</v>
      </c>
      <c r="S6" s="1595" t="s">
        <v>9286</v>
      </c>
      <c r="T6" s="1595" t="s">
        <v>3024</v>
      </c>
      <c r="U6" s="1595" t="s">
        <v>9287</v>
      </c>
      <c r="V6" s="1595" t="s">
        <v>9288</v>
      </c>
      <c r="W6" s="1596" t="s">
        <v>9289</v>
      </c>
      <c r="X6" s="1596" t="s">
        <v>4796</v>
      </c>
      <c r="Y6" s="1596" t="s">
        <v>9290</v>
      </c>
      <c r="Z6" s="1596" t="s">
        <v>7092</v>
      </c>
      <c r="AA6" s="1596" t="s">
        <v>9291</v>
      </c>
      <c r="AB6" s="1596" t="s">
        <v>9292</v>
      </c>
      <c r="AC6" s="1596" t="s">
        <v>8687</v>
      </c>
      <c r="AD6" s="1592" t="s">
        <v>9293</v>
      </c>
      <c r="AE6" s="1592" t="s">
        <v>9294</v>
      </c>
      <c r="AF6" s="1597" t="s">
        <v>9295</v>
      </c>
      <c r="AG6" s="1597" t="s">
        <v>6057</v>
      </c>
      <c r="AH6" s="1597" t="s">
        <v>3273</v>
      </c>
      <c r="AI6" s="1597" t="s">
        <v>9296</v>
      </c>
      <c r="AJ6" s="1597" t="s">
        <v>9297</v>
      </c>
      <c r="AK6" s="1597" t="s">
        <v>9202</v>
      </c>
      <c r="AL6" s="1597" t="s">
        <v>1737</v>
      </c>
      <c r="AM6" s="1598" t="s">
        <v>5062</v>
      </c>
      <c r="AN6" s="1598" t="s">
        <v>6321</v>
      </c>
      <c r="AO6" s="1598" t="s">
        <v>9298</v>
      </c>
      <c r="AP6" s="1598" t="s">
        <v>9299</v>
      </c>
      <c r="AQ6" s="1598" t="s">
        <v>4782</v>
      </c>
      <c r="AR6" s="1598" t="s">
        <v>6913</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4464</v>
      </c>
      <c r="S7" s="1603" t="s">
        <v>9308</v>
      </c>
      <c r="T7" s="1603" t="s">
        <v>5273</v>
      </c>
      <c r="U7" s="1605" t="s">
        <v>9312</v>
      </c>
      <c r="V7" s="1606" t="s">
        <v>8978</v>
      </c>
      <c r="W7" s="1603" t="s">
        <v>9313</v>
      </c>
      <c r="X7" s="1603" t="s">
        <v>6640</v>
      </c>
      <c r="Y7" s="1607">
        <v>46.72</v>
      </c>
      <c r="Z7" s="1607" t="s">
        <v>3709</v>
      </c>
      <c r="AA7" s="1603" t="s">
        <v>3721</v>
      </c>
      <c r="AB7" s="1608" t="s">
        <v>9195</v>
      </c>
      <c r="AC7" s="1603" t="s">
        <v>5575</v>
      </c>
      <c r="AD7" s="1603" t="s">
        <v>7038</v>
      </c>
      <c r="AE7" s="1609" t="s">
        <v>4809</v>
      </c>
      <c r="AF7" s="1607" t="s">
        <v>9314</v>
      </c>
      <c r="AG7" s="1606" t="s">
        <v>6196</v>
      </c>
      <c r="AH7" s="1608" t="s">
        <v>3857</v>
      </c>
      <c r="AI7" s="1603" t="s">
        <v>6092</v>
      </c>
      <c r="AJ7" s="1607" t="s">
        <v>9315</v>
      </c>
      <c r="AK7" s="1607" t="s">
        <v>6005</v>
      </c>
      <c r="AL7" s="1606" t="s">
        <v>6321</v>
      </c>
      <c r="AM7" s="1603" t="s">
        <v>9316</v>
      </c>
      <c r="AN7" s="1606" t="s">
        <v>4265</v>
      </c>
      <c r="AO7" s="1606" t="s">
        <v>2848</v>
      </c>
      <c r="AP7" s="1606" t="s">
        <v>9317</v>
      </c>
      <c r="AQ7" s="1463" t="s">
        <v>9318</v>
      </c>
      <c r="AR7" s="1606" t="s">
        <v>9319</v>
      </c>
      <c r="AS7" s="1606" t="s">
        <v>9320</v>
      </c>
      <c r="AT7" s="1606" t="s">
        <v>9321</v>
      </c>
      <c r="AU7" s="1610" t="s">
        <v>9322</v>
      </c>
      <c r="AV7" s="1463" t="str">
        <f t="shared" si="1"/>
        <v>2:15</v>
      </c>
      <c r="AW7" s="1588"/>
    </row>
    <row r="8" ht="15.75" customHeight="1">
      <c r="A8" s="1577" t="s">
        <v>6786</v>
      </c>
      <c r="B8" s="1578" t="s">
        <v>9182</v>
      </c>
      <c r="C8" s="1579">
        <v>0.049444444444444444</v>
      </c>
      <c r="D8" s="1585" t="s">
        <v>9323</v>
      </c>
      <c r="E8" s="1585" t="s">
        <v>9324</v>
      </c>
      <c r="F8" s="1604" t="s">
        <v>9325</v>
      </c>
      <c r="G8" s="1583" t="s">
        <v>9326</v>
      </c>
      <c r="H8" s="1604" t="s">
        <v>9327</v>
      </c>
      <c r="I8" s="1604" t="s">
        <v>2957</v>
      </c>
      <c r="J8" s="1585" t="s">
        <v>9328</v>
      </c>
      <c r="K8" s="1604" t="s">
        <v>3572</v>
      </c>
      <c r="L8" s="1604" t="s">
        <v>4200</v>
      </c>
      <c r="M8" s="1604" t="s">
        <v>6629</v>
      </c>
      <c r="N8" s="1585" t="s">
        <v>9329</v>
      </c>
      <c r="O8" s="1604" t="s">
        <v>9330</v>
      </c>
      <c r="P8" s="1463" t="s">
        <v>8212</v>
      </c>
      <c r="Q8" s="1585" t="s">
        <v>9331</v>
      </c>
      <c r="R8" s="1604" t="s">
        <v>6885</v>
      </c>
      <c r="S8" s="1604" t="s">
        <v>3496</v>
      </c>
      <c r="T8" s="1463" t="s">
        <v>4086</v>
      </c>
      <c r="U8" s="1604" t="s">
        <v>9332</v>
      </c>
      <c r="V8" s="1604" t="s">
        <v>5319</v>
      </c>
      <c r="W8" s="1611" t="s">
        <v>9333</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6710</v>
      </c>
      <c r="AL8" s="1604" t="s">
        <v>9338</v>
      </c>
      <c r="AM8" s="1585" t="s">
        <v>4555</v>
      </c>
      <c r="AN8" s="1585" t="s">
        <v>2787</v>
      </c>
      <c r="AO8" s="1585" t="s">
        <v>6020</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7422</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6791</v>
      </c>
      <c r="AJ9" s="1620" t="s">
        <v>9272</v>
      </c>
      <c r="AK9" s="1612" t="s">
        <v>5543</v>
      </c>
      <c r="AL9" s="1612">
        <v>56.23</v>
      </c>
      <c r="AM9" s="1616" t="s">
        <v>4031</v>
      </c>
      <c r="AN9" s="1616" t="s">
        <v>9358</v>
      </c>
      <c r="AO9" s="1612" t="s">
        <v>9359</v>
      </c>
      <c r="AP9" s="1612" t="s">
        <v>9360</v>
      </c>
      <c r="AQ9" s="1612" t="s">
        <v>9361</v>
      </c>
      <c r="AR9" s="1619" t="s">
        <v>3930</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4563</v>
      </c>
      <c r="J10" s="1603" t="s">
        <v>1488</v>
      </c>
      <c r="K10" s="1606" t="s">
        <v>9367</v>
      </c>
      <c r="L10" s="1606" t="s">
        <v>9368</v>
      </c>
      <c r="M10" s="1609" t="s">
        <v>6308</v>
      </c>
      <c r="N10" s="1606" t="s">
        <v>5969</v>
      </c>
      <c r="O10" s="1606" t="s">
        <v>8660</v>
      </c>
      <c r="P10" s="1606" t="s">
        <v>6225</v>
      </c>
      <c r="Q10" s="1606" t="s">
        <v>4804</v>
      </c>
      <c r="R10" s="1606" t="s">
        <v>5860</v>
      </c>
      <c r="S10" s="1585" t="s">
        <v>2906</v>
      </c>
      <c r="T10" s="1606" t="s">
        <v>9369</v>
      </c>
      <c r="U10" s="1606" t="s">
        <v>9370</v>
      </c>
      <c r="V10" s="1606" t="s">
        <v>9371</v>
      </c>
      <c r="W10" s="1606" t="s">
        <v>9372</v>
      </c>
      <c r="X10" s="1585" t="s">
        <v>9373</v>
      </c>
      <c r="Y10" s="1606" t="s">
        <v>6225</v>
      </c>
      <c r="Z10" s="1617" t="s">
        <v>6893</v>
      </c>
      <c r="AA10" s="1585" t="s">
        <v>9228</v>
      </c>
      <c r="AB10" s="1606" t="s">
        <v>415</v>
      </c>
      <c r="AC10" s="1606" t="s">
        <v>3803</v>
      </c>
      <c r="AD10" s="1624" t="s">
        <v>3734</v>
      </c>
      <c r="AE10" s="1607">
        <v>47.81</v>
      </c>
      <c r="AF10" s="1606" t="s">
        <v>9374</v>
      </c>
      <c r="AG10" s="1606" t="s">
        <v>9375</v>
      </c>
      <c r="AH10" s="1606" t="s">
        <v>749</v>
      </c>
      <c r="AI10" s="1617" t="s">
        <v>9199</v>
      </c>
      <c r="AJ10" s="1606" t="s">
        <v>9376</v>
      </c>
      <c r="AK10" s="1624" t="s">
        <v>7503</v>
      </c>
      <c r="AL10" s="1606" t="s">
        <v>8781</v>
      </c>
      <c r="AM10" s="1606" t="s">
        <v>4555</v>
      </c>
      <c r="AN10" s="1617" t="s">
        <v>9203</v>
      </c>
      <c r="AO10" s="1617" t="s">
        <v>7078</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5513</v>
      </c>
      <c r="I11" s="1606" t="s">
        <v>1386</v>
      </c>
      <c r="J11" s="1156" t="s">
        <v>9385</v>
      </c>
      <c r="K11" s="1606" t="s">
        <v>7913</v>
      </c>
      <c r="L11" s="1608" t="s">
        <v>234</v>
      </c>
      <c r="M11" s="1156" t="s">
        <v>9386</v>
      </c>
      <c r="N11" s="1603" t="s">
        <v>9387</v>
      </c>
      <c r="O11" s="1156" t="s">
        <v>9388</v>
      </c>
      <c r="P11" s="1606" t="s">
        <v>6619</v>
      </c>
      <c r="Q11" s="1606" t="s">
        <v>9350</v>
      </c>
      <c r="R11" s="1606" t="s">
        <v>5733</v>
      </c>
      <c r="S11" s="1606" t="s">
        <v>9389</v>
      </c>
      <c r="T11" s="1606" t="s">
        <v>9390</v>
      </c>
      <c r="U11" s="1606" t="s">
        <v>6305</v>
      </c>
      <c r="V11" s="1021" t="s">
        <v>5590</v>
      </c>
      <c r="W11" s="1630" t="s">
        <v>9391</v>
      </c>
      <c r="X11" s="1606" t="s">
        <v>9392</v>
      </c>
      <c r="Y11" s="1603">
        <v>46.63</v>
      </c>
      <c r="Z11" s="1108" t="s">
        <v>306</v>
      </c>
      <c r="AA11" s="1603" t="s">
        <v>9393</v>
      </c>
      <c r="AB11" s="1608" t="s">
        <v>9195</v>
      </c>
      <c r="AC11" s="1606" t="s">
        <v>5573</v>
      </c>
      <c r="AD11" s="1606" t="s">
        <v>9394</v>
      </c>
      <c r="AE11" s="1607" t="s">
        <v>9395</v>
      </c>
      <c r="AF11" s="1603" t="s">
        <v>9396</v>
      </c>
      <c r="AG11" s="1612" t="s">
        <v>9397</v>
      </c>
      <c r="AH11" s="1606" t="s">
        <v>9398</v>
      </c>
      <c r="AI11" s="1021" t="s">
        <v>9399</v>
      </c>
      <c r="AJ11" s="1607" t="s">
        <v>9400</v>
      </c>
      <c r="AK11" s="1606" t="s">
        <v>1297</v>
      </c>
      <c r="AL11" s="1606" t="s">
        <v>5213</v>
      </c>
      <c r="AM11" s="1606" t="s">
        <v>9390</v>
      </c>
      <c r="AN11" s="1156" t="s">
        <v>9401</v>
      </c>
      <c r="AO11" s="1606" t="s">
        <v>9319</v>
      </c>
      <c r="AP11" s="1606" t="s">
        <v>9402</v>
      </c>
      <c r="AQ11" s="1606" t="s">
        <v>9403</v>
      </c>
      <c r="AR11" s="1606" t="s">
        <v>4643</v>
      </c>
      <c r="AS11" s="1606" t="s">
        <v>9404</v>
      </c>
      <c r="AT11" s="1631" t="s">
        <v>9405</v>
      </c>
      <c r="AU11" s="1625" t="s">
        <v>9406</v>
      </c>
      <c r="AV11" s="1463" t="str">
        <f t="shared" si="1"/>
        <v>2:59</v>
      </c>
      <c r="AW11" s="1632"/>
    </row>
    <row r="12">
      <c r="A12" s="1601" t="s">
        <v>6623</v>
      </c>
      <c r="B12" s="1633" t="s">
        <v>9182</v>
      </c>
      <c r="C12" s="1579">
        <v>0.04958333333333333</v>
      </c>
      <c r="D12" s="1021" t="s">
        <v>9407</v>
      </c>
      <c r="E12" s="1612" t="s">
        <v>6583</v>
      </c>
      <c r="F12" s="1612" t="s">
        <v>9408</v>
      </c>
      <c r="G12" s="1612" t="s">
        <v>9409</v>
      </c>
      <c r="H12" s="1616" t="s">
        <v>9410</v>
      </c>
      <c r="I12" s="1616" t="s">
        <v>5846</v>
      </c>
      <c r="J12" s="1616" t="s">
        <v>151</v>
      </c>
      <c r="K12" s="1616" t="s">
        <v>7029</v>
      </c>
      <c r="L12" s="1612">
        <v>56.42</v>
      </c>
      <c r="M12" s="1612" t="s">
        <v>1044</v>
      </c>
      <c r="N12" s="1612" t="s">
        <v>9411</v>
      </c>
      <c r="O12" s="1616" t="s">
        <v>9412</v>
      </c>
      <c r="P12" s="1616" t="s">
        <v>280</v>
      </c>
      <c r="Q12" s="1616" t="s">
        <v>9413</v>
      </c>
      <c r="R12" s="1612" t="s">
        <v>9414</v>
      </c>
      <c r="S12" s="1616" t="s">
        <v>9415</v>
      </c>
      <c r="T12" s="1616" t="s">
        <v>5062</v>
      </c>
      <c r="U12" s="1616" t="s">
        <v>9416</v>
      </c>
      <c r="V12" s="1612">
        <v>59.45</v>
      </c>
      <c r="W12" s="1616" t="s">
        <v>9417</v>
      </c>
      <c r="X12" s="1616" t="s">
        <v>9418</v>
      </c>
      <c r="Y12" s="1616" t="s">
        <v>5165</v>
      </c>
      <c r="Z12" s="1612" t="s">
        <v>4194</v>
      </c>
      <c r="AA12" s="1612" t="s">
        <v>3222</v>
      </c>
      <c r="AB12" s="1612" t="s">
        <v>4610</v>
      </c>
      <c r="AC12" s="1616" t="s">
        <v>4932</v>
      </c>
      <c r="AD12" s="1616" t="s">
        <v>9419</v>
      </c>
      <c r="AE12" s="1612">
        <v>47.89</v>
      </c>
      <c r="AF12" s="1612" t="s">
        <v>9420</v>
      </c>
      <c r="AG12" s="1609" t="s">
        <v>9198</v>
      </c>
      <c r="AH12" s="1612">
        <v>57.71</v>
      </c>
      <c r="AI12" s="1616" t="s">
        <v>2232</v>
      </c>
      <c r="AJ12" s="1612" t="s">
        <v>9421</v>
      </c>
      <c r="AK12" s="1616" t="s">
        <v>9422</v>
      </c>
      <c r="AL12" s="1612">
        <v>56.69</v>
      </c>
      <c r="AM12" s="1616" t="s">
        <v>9423</v>
      </c>
      <c r="AN12" s="1616" t="s">
        <v>4154</v>
      </c>
      <c r="AO12" s="1616" t="s">
        <v>2941</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3302</v>
      </c>
      <c r="F13" s="1021" t="s">
        <v>9431</v>
      </c>
      <c r="G13" s="1637" t="s">
        <v>9432</v>
      </c>
      <c r="H13" s="1638" t="s">
        <v>9214</v>
      </c>
      <c r="I13" s="1021" t="s">
        <v>9433</v>
      </c>
      <c r="J13" s="1021" t="s">
        <v>9434</v>
      </c>
      <c r="K13" s="1639" t="s">
        <v>9215</v>
      </c>
      <c r="L13" s="1640" t="s">
        <v>4740</v>
      </c>
      <c r="M13" s="1021" t="s">
        <v>6606</v>
      </c>
      <c r="N13" s="1641" t="s">
        <v>5350</v>
      </c>
      <c r="O13" s="1021" t="s">
        <v>6960</v>
      </c>
      <c r="P13" s="1641" t="s">
        <v>5573</v>
      </c>
      <c r="Q13" s="1021" t="s">
        <v>9435</v>
      </c>
      <c r="R13" s="1639" t="s">
        <v>9218</v>
      </c>
      <c r="S13" s="1642" t="s">
        <v>9219</v>
      </c>
      <c r="T13" s="1643" t="s">
        <v>4031</v>
      </c>
      <c r="U13" s="1644" t="s">
        <v>9436</v>
      </c>
      <c r="V13" s="1645" t="s">
        <v>9221</v>
      </c>
      <c r="W13" s="1646" t="s">
        <v>4159</v>
      </c>
      <c r="X13" s="1646" t="s">
        <v>6034</v>
      </c>
      <c r="Y13" s="1639" t="s">
        <v>9437</v>
      </c>
      <c r="Z13" s="1646" t="s">
        <v>1338</v>
      </c>
      <c r="AA13" s="1647" t="s">
        <v>5857</v>
      </c>
      <c r="AB13" s="1639" t="s">
        <v>6877</v>
      </c>
      <c r="AC13" s="1648" t="s">
        <v>9223</v>
      </c>
      <c r="AD13" s="1021" t="s">
        <v>9438</v>
      </c>
      <c r="AE13" s="1649" t="s">
        <v>9225</v>
      </c>
      <c r="AF13" s="1390" t="s">
        <v>9439</v>
      </c>
      <c r="AG13" s="1646" t="s">
        <v>4622</v>
      </c>
      <c r="AH13" s="1650" t="s">
        <v>9227</v>
      </c>
      <c r="AI13" s="1650" t="s">
        <v>9228</v>
      </c>
      <c r="AJ13" s="1021" t="s">
        <v>9440</v>
      </c>
      <c r="AK13" s="1640" t="s">
        <v>6923</v>
      </c>
      <c r="AL13" s="1646" t="s">
        <v>9230</v>
      </c>
      <c r="AM13" s="1021" t="s">
        <v>885</v>
      </c>
      <c r="AN13" s="1651" t="s">
        <v>4763</v>
      </c>
      <c r="AO13" s="1639" t="s">
        <v>7310</v>
      </c>
      <c r="AP13" s="1652" t="s">
        <v>9232</v>
      </c>
      <c r="AQ13" s="1653" t="s">
        <v>9233</v>
      </c>
      <c r="AR13" s="1653" t="s">
        <v>4084</v>
      </c>
      <c r="AS13" s="1654" t="s">
        <v>4860</v>
      </c>
      <c r="AT13" s="1639" t="s">
        <v>5049</v>
      </c>
      <c r="AU13" s="1625" t="s">
        <v>9441</v>
      </c>
      <c r="AV13" s="1463" t="str">
        <f t="shared" si="1"/>
        <v>3:56</v>
      </c>
      <c r="AW13" s="1626" t="s">
        <v>9442</v>
      </c>
    </row>
    <row r="14" ht="15.75" customHeight="1">
      <c r="A14" s="1635" t="s">
        <v>7161</v>
      </c>
      <c r="B14" s="1578" t="s">
        <v>9182</v>
      </c>
      <c r="C14" s="1579">
        <v>0.04967592592592593</v>
      </c>
      <c r="D14" s="1021" t="s">
        <v>9443</v>
      </c>
      <c r="E14" s="1604" t="s">
        <v>954</v>
      </c>
      <c r="F14" s="1604" t="s">
        <v>9444</v>
      </c>
      <c r="G14" s="1604" t="s">
        <v>9445</v>
      </c>
      <c r="H14" s="1021" t="s">
        <v>9446</v>
      </c>
      <c r="I14" s="1604" t="s">
        <v>9447</v>
      </c>
      <c r="J14" s="1604" t="s">
        <v>9448</v>
      </c>
      <c r="K14" s="1604" t="s">
        <v>6546</v>
      </c>
      <c r="L14" s="1604" t="s">
        <v>4517</v>
      </c>
      <c r="M14" s="1604" t="s">
        <v>8954</v>
      </c>
      <c r="N14" s="1604" t="s">
        <v>2228</v>
      </c>
      <c r="O14" s="1604" t="s">
        <v>3339</v>
      </c>
      <c r="P14" s="1604" t="s">
        <v>9447</v>
      </c>
      <c r="Q14" s="1604" t="s">
        <v>9449</v>
      </c>
      <c r="R14" s="1604" t="s">
        <v>1228</v>
      </c>
      <c r="S14" s="1655" t="s">
        <v>9450</v>
      </c>
      <c r="T14" s="1604" t="s">
        <v>4898</v>
      </c>
      <c r="U14" s="1604" t="s">
        <v>9451</v>
      </c>
      <c r="V14" s="1604" t="s">
        <v>9452</v>
      </c>
      <c r="W14" s="1604" t="s">
        <v>9453</v>
      </c>
      <c r="X14" s="1604" t="s">
        <v>1118</v>
      </c>
      <c r="Y14" s="1604" t="s">
        <v>4404</v>
      </c>
      <c r="Z14" s="1604" t="s">
        <v>9454</v>
      </c>
      <c r="AA14" s="1604" t="s">
        <v>9455</v>
      </c>
      <c r="AB14" s="1604" t="s">
        <v>1906</v>
      </c>
      <c r="AC14" s="1604" t="s">
        <v>759</v>
      </c>
      <c r="AD14" s="1604" t="s">
        <v>9456</v>
      </c>
      <c r="AE14" s="1604" t="s">
        <v>5046</v>
      </c>
      <c r="AF14" s="1585" t="s">
        <v>9457</v>
      </c>
      <c r="AG14" s="1604" t="s">
        <v>9458</v>
      </c>
      <c r="AH14" s="1604" t="s">
        <v>4829</v>
      </c>
      <c r="AI14" s="1604" t="s">
        <v>3022</v>
      </c>
      <c r="AJ14" s="1604" t="s">
        <v>9459</v>
      </c>
      <c r="AK14" s="1604" t="s">
        <v>4202</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2776</v>
      </c>
      <c r="B15" s="1578" t="s">
        <v>9182</v>
      </c>
      <c r="C15" s="1657">
        <v>0.04971064814814815</v>
      </c>
      <c r="D15" s="1411" t="s">
        <v>9468</v>
      </c>
      <c r="E15" s="1658" t="s">
        <v>511</v>
      </c>
      <c r="F15" s="1658" t="s">
        <v>9469</v>
      </c>
      <c r="G15" s="1658" t="s">
        <v>9470</v>
      </c>
      <c r="H15" s="1585" t="s">
        <v>9471</v>
      </c>
      <c r="I15" s="916" t="s">
        <v>5858</v>
      </c>
      <c r="J15" s="1641" t="s">
        <v>2466</v>
      </c>
      <c r="K15" s="1641" t="s">
        <v>4358</v>
      </c>
      <c r="L15" s="1641" t="s">
        <v>4740</v>
      </c>
      <c r="M15" s="1659" t="s">
        <v>6308</v>
      </c>
      <c r="N15" s="1641" t="s">
        <v>2760</v>
      </c>
      <c r="O15" s="1641" t="s">
        <v>9472</v>
      </c>
      <c r="P15" s="1641" t="s">
        <v>5457</v>
      </c>
      <c r="Q15" s="1585" t="s">
        <v>9473</v>
      </c>
      <c r="R15" s="1644" t="s">
        <v>9474</v>
      </c>
      <c r="S15" s="1585" t="s">
        <v>1898</v>
      </c>
      <c r="T15" s="1644" t="s">
        <v>9475</v>
      </c>
      <c r="U15" s="1585" t="s">
        <v>9476</v>
      </c>
      <c r="V15" s="1644" t="s">
        <v>3423</v>
      </c>
      <c r="W15" s="1660" t="s">
        <v>9477</v>
      </c>
      <c r="X15" s="1660" t="s">
        <v>4115</v>
      </c>
      <c r="Y15" s="1660" t="s">
        <v>8223</v>
      </c>
      <c r="Z15" s="1660" t="s">
        <v>9478</v>
      </c>
      <c r="AA15" s="1660" t="s">
        <v>6196</v>
      </c>
      <c r="AB15" s="1660" t="s">
        <v>4444</v>
      </c>
      <c r="AC15" s="1660" t="s">
        <v>1146</v>
      </c>
      <c r="AD15" s="1658" t="s">
        <v>9479</v>
      </c>
      <c r="AE15" s="1658" t="s">
        <v>5471</v>
      </c>
      <c r="AF15" s="1661" t="s">
        <v>9480</v>
      </c>
      <c r="AG15" s="1661" t="s">
        <v>7458</v>
      </c>
      <c r="AH15" s="1661" t="s">
        <v>5481</v>
      </c>
      <c r="AI15" s="1661" t="s">
        <v>9481</v>
      </c>
      <c r="AJ15" s="1661" t="s">
        <v>9482</v>
      </c>
      <c r="AK15" s="1661" t="s">
        <v>9483</v>
      </c>
      <c r="AL15" s="1661" t="s">
        <v>3587</v>
      </c>
      <c r="AM15" s="1662" t="s">
        <v>9199</v>
      </c>
      <c r="AN15" s="1663" t="s">
        <v>4740</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6423</v>
      </c>
      <c r="B17" s="1669" t="s">
        <v>9182</v>
      </c>
      <c r="C17" s="1579">
        <v>0.04982638888888889</v>
      </c>
      <c r="D17" s="1411" t="s">
        <v>9535</v>
      </c>
      <c r="E17" s="1411" t="s">
        <v>4869</v>
      </c>
      <c r="F17" s="1411" t="s">
        <v>9536</v>
      </c>
      <c r="G17" s="1411" t="s">
        <v>9537</v>
      </c>
      <c r="H17" s="1411" t="s">
        <v>9538</v>
      </c>
      <c r="I17" s="1411" t="s">
        <v>5234</v>
      </c>
      <c r="J17" s="1411" t="s">
        <v>9539</v>
      </c>
      <c r="K17" s="1021" t="s">
        <v>9540</v>
      </c>
      <c r="L17" s="1411" t="s">
        <v>9541</v>
      </c>
      <c r="M17" s="1411" t="s">
        <v>9542</v>
      </c>
      <c r="N17" s="1411" t="s">
        <v>2098</v>
      </c>
      <c r="O17" s="1411" t="s">
        <v>9543</v>
      </c>
      <c r="P17" s="1021" t="s">
        <v>4493</v>
      </c>
      <c r="Q17" s="1411" t="s">
        <v>9544</v>
      </c>
      <c r="R17" s="1411" t="s">
        <v>1938</v>
      </c>
      <c r="S17" s="1411" t="s">
        <v>3496</v>
      </c>
      <c r="T17" s="1411" t="s">
        <v>9545</v>
      </c>
      <c r="U17" s="1411" t="s">
        <v>9546</v>
      </c>
      <c r="V17" s="1411" t="s">
        <v>7779</v>
      </c>
      <c r="W17" s="1411" t="s">
        <v>5561</v>
      </c>
      <c r="X17" s="1411" t="s">
        <v>9198</v>
      </c>
      <c r="Y17" s="1411" t="s">
        <v>9307</v>
      </c>
      <c r="Z17" s="1411" t="s">
        <v>7921</v>
      </c>
      <c r="AA17" s="1670" t="s">
        <v>9547</v>
      </c>
      <c r="AB17" s="1411" t="s">
        <v>5969</v>
      </c>
      <c r="AC17" s="1411" t="s">
        <v>1096</v>
      </c>
      <c r="AD17" s="1411" t="s">
        <v>7067</v>
      </c>
      <c r="AE17" s="1411" t="s">
        <v>4978</v>
      </c>
      <c r="AF17" s="1411" t="s">
        <v>9548</v>
      </c>
      <c r="AG17" s="1411" t="s">
        <v>1528</v>
      </c>
      <c r="AH17" s="1021" t="s">
        <v>9549</v>
      </c>
      <c r="AI17" s="1411" t="s">
        <v>8872</v>
      </c>
      <c r="AJ17" s="1411" t="s">
        <v>9550</v>
      </c>
      <c r="AK17" s="1411" t="s">
        <v>9551</v>
      </c>
      <c r="AL17" s="1411" t="s">
        <v>4436</v>
      </c>
      <c r="AM17" s="1411" t="s">
        <v>3431</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2712</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4561</v>
      </c>
      <c r="Q18" s="1677" t="s">
        <v>9567</v>
      </c>
      <c r="R18" s="1678" t="s">
        <v>5587</v>
      </c>
      <c r="S18" s="1677" t="s">
        <v>9568</v>
      </c>
      <c r="T18" s="1221" t="s">
        <v>9569</v>
      </c>
      <c r="U18" s="1221" t="s">
        <v>9570</v>
      </c>
      <c r="V18" s="1678" t="s">
        <v>6440</v>
      </c>
      <c r="W18" s="1679" t="s">
        <v>9571</v>
      </c>
      <c r="X18" s="1680" t="s">
        <v>6890</v>
      </c>
      <c r="Y18" s="1660" t="s">
        <v>8687</v>
      </c>
      <c r="Z18" s="1680" t="s">
        <v>9572</v>
      </c>
      <c r="AA18" s="1681" t="s">
        <v>1855</v>
      </c>
      <c r="AB18" s="1679" t="s">
        <v>9573</v>
      </c>
      <c r="AC18" s="1679" t="s">
        <v>4978</v>
      </c>
      <c r="AD18" s="1674" t="s">
        <v>9574</v>
      </c>
      <c r="AE18" s="1674" t="s">
        <v>5425</v>
      </c>
      <c r="AF18" s="1682" t="s">
        <v>9575</v>
      </c>
      <c r="AG18" s="1683" t="s">
        <v>156</v>
      </c>
      <c r="AH18" s="1683" t="s">
        <v>9576</v>
      </c>
      <c r="AI18" s="1682" t="s">
        <v>9577</v>
      </c>
      <c r="AJ18" s="1683" t="s">
        <v>9578</v>
      </c>
      <c r="AK18" s="1683" t="s">
        <v>2338</v>
      </c>
      <c r="AL18" s="1682" t="s">
        <v>4147</v>
      </c>
      <c r="AM18" s="1653" t="s">
        <v>9231</v>
      </c>
      <c r="AN18" s="1684" t="s">
        <v>4636</v>
      </c>
      <c r="AO18" s="1684" t="s">
        <v>9579</v>
      </c>
      <c r="AP18" s="1684" t="s">
        <v>9580</v>
      </c>
      <c r="AQ18" s="1684" t="s">
        <v>4579</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16" t="s">
        <v>5652</v>
      </c>
      <c r="J19" s="1641" t="s">
        <v>9587</v>
      </c>
      <c r="K19" s="1689" t="s">
        <v>9588</v>
      </c>
      <c r="L19" s="1641" t="s">
        <v>9282</v>
      </c>
      <c r="M19" s="1641" t="s">
        <v>5098</v>
      </c>
      <c r="N19" s="1641" t="s">
        <v>9589</v>
      </c>
      <c r="O19" s="1689" t="s">
        <v>9590</v>
      </c>
      <c r="P19" s="1021" t="s">
        <v>991</v>
      </c>
      <c r="Q19" s="1644" t="s">
        <v>3555</v>
      </c>
      <c r="R19" s="1690" t="s">
        <v>7918</v>
      </c>
      <c r="S19" s="1690" t="s">
        <v>9591</v>
      </c>
      <c r="T19" s="1690" t="s">
        <v>9592</v>
      </c>
      <c r="U19" s="1690" t="s">
        <v>1895</v>
      </c>
      <c r="V19" s="1644" t="s">
        <v>4472</v>
      </c>
      <c r="W19" s="1660" t="s">
        <v>9593</v>
      </c>
      <c r="X19" s="1691" t="s">
        <v>9594</v>
      </c>
      <c r="Y19" s="1660" t="s">
        <v>9595</v>
      </c>
      <c r="Z19" s="1660" t="s">
        <v>9596</v>
      </c>
      <c r="AA19" s="1660" t="s">
        <v>3326</v>
      </c>
      <c r="AB19" s="1691" t="s">
        <v>7411</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3166</v>
      </c>
      <c r="AO19" s="1663" t="s">
        <v>6808</v>
      </c>
      <c r="AP19" s="1662" t="s">
        <v>5740</v>
      </c>
      <c r="AQ19" s="1663" t="s">
        <v>9606</v>
      </c>
      <c r="AR19" s="1662" t="s">
        <v>1162</v>
      </c>
      <c r="AS19" s="1662" t="s">
        <v>3956</v>
      </c>
      <c r="AT19" s="1689" t="s">
        <v>6603</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6915</v>
      </c>
      <c r="S20" s="1694" t="s">
        <v>9617</v>
      </c>
      <c r="T20" s="1694" t="s">
        <v>2728</v>
      </c>
      <c r="U20" s="1694" t="s">
        <v>9618</v>
      </c>
      <c r="V20" s="1694">
        <v>59.79</v>
      </c>
      <c r="W20" s="1694" t="s">
        <v>9619</v>
      </c>
      <c r="X20" s="1694" t="s">
        <v>1855</v>
      </c>
      <c r="Y20" s="1694">
        <v>47.0</v>
      </c>
      <c r="Z20" s="1694" t="s">
        <v>9620</v>
      </c>
      <c r="AA20" s="1694" t="s">
        <v>9621</v>
      </c>
      <c r="AB20" s="1694" t="s">
        <v>6877</v>
      </c>
      <c r="AC20" s="1694">
        <v>47.56</v>
      </c>
      <c r="AD20" s="1694" t="s">
        <v>9224</v>
      </c>
      <c r="AE20" s="1694">
        <v>47.95</v>
      </c>
      <c r="AF20" s="1694" t="s">
        <v>9622</v>
      </c>
      <c r="AG20" s="1694" t="s">
        <v>9623</v>
      </c>
      <c r="AH20" s="1694">
        <v>57.67</v>
      </c>
      <c r="AI20" s="1694" t="s">
        <v>1118</v>
      </c>
      <c r="AJ20" s="1694" t="s">
        <v>9624</v>
      </c>
      <c r="AK20" s="1694" t="s">
        <v>7445</v>
      </c>
      <c r="AL20" s="1694">
        <v>56.37</v>
      </c>
      <c r="AM20" s="1694" t="s">
        <v>9625</v>
      </c>
      <c r="AN20" s="1694">
        <v>55.92</v>
      </c>
      <c r="AO20" s="1694" t="s">
        <v>4522</v>
      </c>
      <c r="AP20" s="1694" t="s">
        <v>9036</v>
      </c>
      <c r="AQ20" s="1694" t="s">
        <v>9626</v>
      </c>
      <c r="AR20" s="1694" t="s">
        <v>7561</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6477</v>
      </c>
      <c r="F21" s="1616" t="s">
        <v>4244</v>
      </c>
      <c r="G21" s="1616" t="s">
        <v>9631</v>
      </c>
      <c r="H21" s="1616" t="s">
        <v>9632</v>
      </c>
      <c r="I21" s="1616" t="s">
        <v>5846</v>
      </c>
      <c r="J21" s="1616" t="s">
        <v>6450</v>
      </c>
      <c r="K21" s="1616" t="s">
        <v>9633</v>
      </c>
      <c r="L21" s="1616" t="s">
        <v>3587</v>
      </c>
      <c r="M21" s="1616" t="s">
        <v>1011</v>
      </c>
      <c r="N21" s="1616" t="s">
        <v>9634</v>
      </c>
      <c r="O21" s="1616" t="s">
        <v>798</v>
      </c>
      <c r="P21" s="1612">
        <v>47.54</v>
      </c>
      <c r="Q21" s="1698" t="s">
        <v>5853</v>
      </c>
      <c r="R21" s="1612" t="s">
        <v>9635</v>
      </c>
      <c r="S21" s="1698" t="s">
        <v>9450</v>
      </c>
      <c r="T21" s="1612" t="s">
        <v>9636</v>
      </c>
      <c r="U21" s="1698" t="s">
        <v>9637</v>
      </c>
      <c r="V21" s="1612">
        <v>58.55</v>
      </c>
      <c r="W21" s="1698" t="s">
        <v>9638</v>
      </c>
      <c r="X21" s="1698" t="s">
        <v>9639</v>
      </c>
      <c r="Y21" s="1585" t="s">
        <v>7811</v>
      </c>
      <c r="Z21" s="1698" t="s">
        <v>9640</v>
      </c>
      <c r="AA21" s="1616" t="s">
        <v>9641</v>
      </c>
      <c r="AB21" s="1698" t="s">
        <v>9642</v>
      </c>
      <c r="AC21" s="1463">
        <v>47.2</v>
      </c>
      <c r="AD21" s="1698" t="s">
        <v>9643</v>
      </c>
      <c r="AE21" s="1612">
        <v>47.88</v>
      </c>
      <c r="AF21" s="1698" t="s">
        <v>9644</v>
      </c>
      <c r="AG21" s="1698" t="s">
        <v>9645</v>
      </c>
      <c r="AH21" s="1698">
        <v>57.68</v>
      </c>
      <c r="AI21" s="1698" t="s">
        <v>2928</v>
      </c>
      <c r="AJ21" s="1612" t="s">
        <v>9646</v>
      </c>
      <c r="AK21" s="1585" t="s">
        <v>9647</v>
      </c>
      <c r="AL21" s="1698">
        <v>55.92</v>
      </c>
      <c r="AM21" s="1698" t="s">
        <v>2969</v>
      </c>
      <c r="AN21" s="1585" t="s">
        <v>5862</v>
      </c>
      <c r="AO21" s="1698" t="s">
        <v>7909</v>
      </c>
      <c r="AP21" s="1698" t="s">
        <v>9648</v>
      </c>
      <c r="AQ21" s="1698" t="s">
        <v>7037</v>
      </c>
      <c r="AR21" s="1698" t="s">
        <v>6549</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2883</v>
      </c>
      <c r="F22" s="1604" t="s">
        <v>9653</v>
      </c>
      <c r="G22" s="1585" t="s">
        <v>9654</v>
      </c>
      <c r="H22" s="1604" t="s">
        <v>9655</v>
      </c>
      <c r="I22" s="817" t="s">
        <v>9598</v>
      </c>
      <c r="J22" s="1604" t="s">
        <v>1418</v>
      </c>
      <c r="K22" s="1604" t="s">
        <v>5309</v>
      </c>
      <c r="L22" s="1604" t="s">
        <v>9656</v>
      </c>
      <c r="M22" s="1604" t="s">
        <v>9657</v>
      </c>
      <c r="N22" s="1604" t="s">
        <v>9658</v>
      </c>
      <c r="O22" s="1604" t="s">
        <v>9659</v>
      </c>
      <c r="P22" s="1604" t="s">
        <v>7796</v>
      </c>
      <c r="Q22" s="1604" t="s">
        <v>4637</v>
      </c>
      <c r="R22" s="1644" t="s">
        <v>5587</v>
      </c>
      <c r="S22" s="1604" t="s">
        <v>4077</v>
      </c>
      <c r="T22" s="1604" t="s">
        <v>9373</v>
      </c>
      <c r="U22" s="1604" t="s">
        <v>9660</v>
      </c>
      <c r="V22" s="1604" t="s">
        <v>9661</v>
      </c>
      <c r="W22" s="1604" t="s">
        <v>9662</v>
      </c>
      <c r="X22" s="1604" t="s">
        <v>7412</v>
      </c>
      <c r="Y22" s="1604" t="s">
        <v>4363</v>
      </c>
      <c r="Z22" s="1604" t="s">
        <v>9663</v>
      </c>
      <c r="AA22" s="1604" t="s">
        <v>7412</v>
      </c>
      <c r="AB22" s="1604" t="s">
        <v>9664</v>
      </c>
      <c r="AC22" s="1604" t="s">
        <v>5702</v>
      </c>
      <c r="AD22" s="1604" t="s">
        <v>7470</v>
      </c>
      <c r="AE22" s="1604" t="s">
        <v>5957</v>
      </c>
      <c r="AF22" s="1604" t="s">
        <v>9665</v>
      </c>
      <c r="AG22" s="1604" t="s">
        <v>5103</v>
      </c>
      <c r="AH22" s="1604" t="s">
        <v>5327</v>
      </c>
      <c r="AI22" s="1604" t="s">
        <v>9666</v>
      </c>
      <c r="AJ22" s="1584" t="s">
        <v>9200</v>
      </c>
      <c r="AK22" s="1604" t="s">
        <v>2571</v>
      </c>
      <c r="AL22" s="1604" t="s">
        <v>9667</v>
      </c>
      <c r="AM22" s="1604" t="s">
        <v>9353</v>
      </c>
      <c r="AN22" s="1604" t="s">
        <v>556</v>
      </c>
      <c r="AO22" s="1604" t="s">
        <v>9668</v>
      </c>
      <c r="AP22" s="1604" t="s">
        <v>9669</v>
      </c>
      <c r="AQ22" s="1604" t="s">
        <v>4839</v>
      </c>
      <c r="AR22" s="1604" t="s">
        <v>7562</v>
      </c>
      <c r="AS22" s="1604" t="s">
        <v>9670</v>
      </c>
      <c r="AT22" s="1604" t="s">
        <v>3125</v>
      </c>
      <c r="AU22" s="1604" t="s">
        <v>9671</v>
      </c>
      <c r="AV22" s="1463" t="str">
        <f t="shared" si="1"/>
        <v>3:21</v>
      </c>
      <c r="AW22" s="1671" t="s">
        <v>9672</v>
      </c>
    </row>
    <row r="23" ht="15.75" customHeight="1">
      <c r="A23" s="1577" t="s">
        <v>9673</v>
      </c>
      <c r="B23" s="1578" t="s">
        <v>9182</v>
      </c>
      <c r="C23" s="1579">
        <v>0.049965277777777775</v>
      </c>
      <c r="D23" s="1021" t="s">
        <v>9674</v>
      </c>
      <c r="E23" s="1604" t="s">
        <v>4386</v>
      </c>
      <c r="F23" s="1604" t="s">
        <v>9675</v>
      </c>
      <c r="G23" s="1604" t="s">
        <v>9676</v>
      </c>
      <c r="H23" s="1463" t="s">
        <v>2292</v>
      </c>
      <c r="I23" s="1604" t="s">
        <v>1386</v>
      </c>
      <c r="J23" s="1604" t="s">
        <v>380</v>
      </c>
      <c r="K23" s="1604" t="s">
        <v>9677</v>
      </c>
      <c r="L23" s="1604" t="s">
        <v>5518</v>
      </c>
      <c r="M23" s="1604" t="s">
        <v>6629</v>
      </c>
      <c r="N23" s="1604" t="s">
        <v>9678</v>
      </c>
      <c r="O23" s="1604" t="s">
        <v>2617</v>
      </c>
      <c r="P23" s="1463" t="s">
        <v>5353</v>
      </c>
      <c r="Q23" s="1604" t="s">
        <v>9679</v>
      </c>
      <c r="R23" s="1604" t="s">
        <v>3304</v>
      </c>
      <c r="S23" s="1604" t="s">
        <v>7282</v>
      </c>
      <c r="T23" s="1604" t="s">
        <v>8922</v>
      </c>
      <c r="U23" s="1604" t="s">
        <v>9680</v>
      </c>
      <c r="V23" s="1604" t="s">
        <v>5075</v>
      </c>
      <c r="W23" s="1604" t="s">
        <v>9681</v>
      </c>
      <c r="X23" s="1463" t="s">
        <v>6890</v>
      </c>
      <c r="Y23" s="1463" t="s">
        <v>5636</v>
      </c>
      <c r="Z23" s="1604" t="s">
        <v>9682</v>
      </c>
      <c r="AA23" s="1604" t="s">
        <v>2335</v>
      </c>
      <c r="AB23" s="1604" t="s">
        <v>5455</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3721</v>
      </c>
      <c r="AN23" s="1463" t="s">
        <v>6321</v>
      </c>
      <c r="AO23" s="1463" t="s">
        <v>7562</v>
      </c>
      <c r="AP23" s="1463" t="s">
        <v>9686</v>
      </c>
      <c r="AQ23" s="1463" t="s">
        <v>9318</v>
      </c>
      <c r="AR23" s="1463" t="s">
        <v>490</v>
      </c>
      <c r="AS23" s="1463" t="s">
        <v>6898</v>
      </c>
      <c r="AT23" s="1463" t="s">
        <v>9548</v>
      </c>
      <c r="AU23" s="1604" t="s">
        <v>9687</v>
      </c>
      <c r="AV23" s="1463" t="str">
        <f t="shared" si="1"/>
        <v>3:46</v>
      </c>
      <c r="AW23" s="1668" t="s">
        <v>8666</v>
      </c>
    </row>
    <row r="24" ht="15.75" customHeight="1">
      <c r="A24" s="1700" t="s">
        <v>6377</v>
      </c>
      <c r="B24" s="1578" t="s">
        <v>9182</v>
      </c>
      <c r="C24" s="1579">
        <v>0.05</v>
      </c>
      <c r="D24" s="1021" t="s">
        <v>9688</v>
      </c>
      <c r="E24" s="1604" t="s">
        <v>8954</v>
      </c>
      <c r="F24" s="1604" t="s">
        <v>9653</v>
      </c>
      <c r="G24" s="1463" t="s">
        <v>9689</v>
      </c>
      <c r="H24" s="1604" t="s">
        <v>9690</v>
      </c>
      <c r="I24" s="1463" t="s">
        <v>1915</v>
      </c>
      <c r="J24" s="1604" t="s">
        <v>2871</v>
      </c>
      <c r="K24" s="1604" t="s">
        <v>9691</v>
      </c>
      <c r="L24" s="1604" t="s">
        <v>3324</v>
      </c>
      <c r="M24" s="1604" t="s">
        <v>9692</v>
      </c>
      <c r="N24" s="1604" t="s">
        <v>9693</v>
      </c>
      <c r="O24" s="1604" t="s">
        <v>9638</v>
      </c>
      <c r="P24" s="1463" t="s">
        <v>4025</v>
      </c>
      <c r="Q24" s="1604" t="s">
        <v>1919</v>
      </c>
      <c r="R24" s="1604" t="s">
        <v>6720</v>
      </c>
      <c r="S24" s="1604" t="s">
        <v>8123</v>
      </c>
      <c r="T24" s="1604" t="s">
        <v>6917</v>
      </c>
      <c r="U24" s="1604" t="s">
        <v>9694</v>
      </c>
      <c r="V24" s="1604" t="s">
        <v>9695</v>
      </c>
      <c r="W24" s="1604" t="s">
        <v>9696</v>
      </c>
      <c r="X24" s="1604" t="s">
        <v>9697</v>
      </c>
      <c r="Y24" s="1604" t="s">
        <v>9698</v>
      </c>
      <c r="Z24" s="1604" t="s">
        <v>9699</v>
      </c>
      <c r="AA24" s="1604" t="s">
        <v>9700</v>
      </c>
      <c r="AB24" s="1604" t="s">
        <v>9701</v>
      </c>
      <c r="AC24" s="1463" t="s">
        <v>1820</v>
      </c>
      <c r="AD24" s="1604" t="s">
        <v>9702</v>
      </c>
      <c r="AE24" s="1463" t="s">
        <v>5624</v>
      </c>
      <c r="AF24" s="1701" t="s">
        <v>9197</v>
      </c>
      <c r="AG24" s="1604" t="s">
        <v>607</v>
      </c>
      <c r="AH24" s="1604" t="s">
        <v>8106</v>
      </c>
      <c r="AI24" s="1604" t="s">
        <v>309</v>
      </c>
      <c r="AJ24" s="1463" t="s">
        <v>9703</v>
      </c>
      <c r="AK24" s="1604" t="s">
        <v>9704</v>
      </c>
      <c r="AL24" s="1463" t="s">
        <v>3273</v>
      </c>
      <c r="AM24" s="1604" t="s">
        <v>2057</v>
      </c>
      <c r="AN24" s="1463" t="s">
        <v>2635</v>
      </c>
      <c r="AO24" s="1604" t="s">
        <v>3459</v>
      </c>
      <c r="AP24" s="1604" t="s">
        <v>9705</v>
      </c>
      <c r="AQ24" s="1463" t="s">
        <v>9706</v>
      </c>
      <c r="AR24" s="1604" t="s">
        <v>1756</v>
      </c>
      <c r="AS24" s="1463" t="s">
        <v>8657</v>
      </c>
      <c r="AT24" s="1604" t="s">
        <v>9707</v>
      </c>
      <c r="AU24" s="1604" t="s">
        <v>9708</v>
      </c>
      <c r="AV24" s="1463" t="str">
        <f t="shared" si="1"/>
        <v>1:53</v>
      </c>
      <c r="AW24" s="1668"/>
    </row>
    <row r="25" ht="15.75" customHeight="1">
      <c r="A25" s="1635" t="s">
        <v>2742</v>
      </c>
      <c r="B25" s="1623" t="s">
        <v>9210</v>
      </c>
      <c r="C25" s="1579">
        <v>0.05008101851851852</v>
      </c>
      <c r="D25" s="1021" t="s">
        <v>9709</v>
      </c>
      <c r="E25" s="1021" t="s">
        <v>9710</v>
      </c>
      <c r="F25" s="1021" t="s">
        <v>9618</v>
      </c>
      <c r="G25" s="1021" t="s">
        <v>9711</v>
      </c>
      <c r="H25" s="1021" t="s">
        <v>9712</v>
      </c>
      <c r="I25" s="1021" t="s">
        <v>9713</v>
      </c>
      <c r="J25" s="1639" t="s">
        <v>1352</v>
      </c>
      <c r="K25" s="1021" t="s">
        <v>1014</v>
      </c>
      <c r="L25" s="1021" t="s">
        <v>9563</v>
      </c>
      <c r="M25" s="1641" t="s">
        <v>9542</v>
      </c>
      <c r="N25" s="1639" t="s">
        <v>2542</v>
      </c>
      <c r="O25" s="1021" t="s">
        <v>9714</v>
      </c>
      <c r="P25" s="1639" t="s">
        <v>5624</v>
      </c>
      <c r="Q25" s="1639" t="s">
        <v>5831</v>
      </c>
      <c r="R25" s="1021" t="s">
        <v>6850</v>
      </c>
      <c r="S25" s="1021" t="s">
        <v>335</v>
      </c>
      <c r="T25" s="1639" t="s">
        <v>9220</v>
      </c>
      <c r="U25" s="1021" t="s">
        <v>9715</v>
      </c>
      <c r="V25" s="1021" t="s">
        <v>9716</v>
      </c>
      <c r="W25" s="1021" t="s">
        <v>6797</v>
      </c>
      <c r="X25" s="1021" t="s">
        <v>5910</v>
      </c>
      <c r="Y25" s="1021" t="s">
        <v>5165</v>
      </c>
      <c r="Z25" s="1021" t="s">
        <v>1131</v>
      </c>
      <c r="AA25" s="1021" t="s">
        <v>9577</v>
      </c>
      <c r="AB25" s="1021" t="s">
        <v>2560</v>
      </c>
      <c r="AC25" s="1021" t="s">
        <v>1899</v>
      </c>
      <c r="AD25" s="1021" t="s">
        <v>6334</v>
      </c>
      <c r="AE25" s="1021" t="s">
        <v>3318</v>
      </c>
      <c r="AF25" s="1021" t="s">
        <v>9229</v>
      </c>
      <c r="AG25" s="1021" t="s">
        <v>9717</v>
      </c>
      <c r="AH25" s="1021" t="s">
        <v>5019</v>
      </c>
      <c r="AI25" s="1021" t="s">
        <v>3481</v>
      </c>
      <c r="AJ25" s="1021" t="s">
        <v>9718</v>
      </c>
      <c r="AK25" s="1021" t="s">
        <v>9719</v>
      </c>
      <c r="AL25" s="1021" t="s">
        <v>5238</v>
      </c>
      <c r="AM25" s="1021" t="s">
        <v>9296</v>
      </c>
      <c r="AN25" s="1021" t="s">
        <v>4427</v>
      </c>
      <c r="AO25" s="1021" t="s">
        <v>6972</v>
      </c>
      <c r="AP25" s="1021" t="s">
        <v>9720</v>
      </c>
      <c r="AQ25" s="1021" t="s">
        <v>9721</v>
      </c>
      <c r="AR25" s="1021" t="s">
        <v>9722</v>
      </c>
      <c r="AS25" s="1021" t="s">
        <v>4680</v>
      </c>
      <c r="AT25" s="1021" t="s">
        <v>9723</v>
      </c>
      <c r="AU25" s="1661" t="s">
        <v>9234</v>
      </c>
      <c r="AV25" s="1463" t="str">
        <f t="shared" si="1"/>
        <v>2:51</v>
      </c>
      <c r="AW25" s="1702"/>
    </row>
    <row r="26">
      <c r="A26" s="1635" t="s">
        <v>7540</v>
      </c>
      <c r="B26" s="1633" t="s">
        <v>9210</v>
      </c>
      <c r="C26" s="1579">
        <v>0.05016203703703704</v>
      </c>
      <c r="D26" s="1612" t="s">
        <v>9724</v>
      </c>
      <c r="E26" s="1703" t="s">
        <v>6768</v>
      </c>
      <c r="F26" s="1612" t="s">
        <v>9725</v>
      </c>
      <c r="G26" s="1612" t="s">
        <v>9726</v>
      </c>
      <c r="H26" s="1612" t="s">
        <v>9727</v>
      </c>
      <c r="I26" s="1612" t="s">
        <v>5425</v>
      </c>
      <c r="J26" s="1612" t="s">
        <v>9728</v>
      </c>
      <c r="K26" s="1612" t="s">
        <v>5285</v>
      </c>
      <c r="L26" s="1021" t="s">
        <v>5160</v>
      </c>
      <c r="M26" s="1639" t="s">
        <v>9216</v>
      </c>
      <c r="N26" s="1612" t="s">
        <v>9729</v>
      </c>
      <c r="O26" s="1612" t="s">
        <v>9730</v>
      </c>
      <c r="P26" s="1612" t="s">
        <v>5984</v>
      </c>
      <c r="Q26" s="1612" t="s">
        <v>2809</v>
      </c>
      <c r="R26" s="1612" t="s">
        <v>967</v>
      </c>
      <c r="S26" s="1612" t="s">
        <v>9731</v>
      </c>
      <c r="T26" s="1612" t="s">
        <v>1391</v>
      </c>
      <c r="U26" s="1612" t="s">
        <v>9570</v>
      </c>
      <c r="V26" s="1612" t="s">
        <v>9732</v>
      </c>
      <c r="W26" s="1612" t="s">
        <v>9733</v>
      </c>
      <c r="X26" s="1612" t="s">
        <v>1300</v>
      </c>
      <c r="Y26" s="1612" t="s">
        <v>1015</v>
      </c>
      <c r="Z26" s="1612" t="s">
        <v>9640</v>
      </c>
      <c r="AA26" s="1612" t="s">
        <v>9734</v>
      </c>
      <c r="AB26" s="1612" t="s">
        <v>9735</v>
      </c>
      <c r="AC26" s="1612" t="s">
        <v>4809</v>
      </c>
      <c r="AD26" s="1612" t="s">
        <v>9736</v>
      </c>
      <c r="AE26" s="1612" t="s">
        <v>2719</v>
      </c>
      <c r="AF26" s="1612" t="s">
        <v>5872</v>
      </c>
      <c r="AG26" s="1612" t="s">
        <v>9737</v>
      </c>
      <c r="AH26" s="1612" t="s">
        <v>4306</v>
      </c>
      <c r="AI26" s="1604" t="s">
        <v>4172</v>
      </c>
      <c r="AJ26" s="1612" t="s">
        <v>9738</v>
      </c>
      <c r="AK26" s="1612" t="s">
        <v>9562</v>
      </c>
      <c r="AL26" s="1612" t="s">
        <v>2554</v>
      </c>
      <c r="AM26" s="1612" t="s">
        <v>4082</v>
      </c>
      <c r="AN26" s="1612" t="s">
        <v>6096</v>
      </c>
      <c r="AO26" s="1612" t="s">
        <v>9739</v>
      </c>
      <c r="AP26" s="1612" t="s">
        <v>9740</v>
      </c>
      <c r="AQ26" s="1612" t="s">
        <v>4067</v>
      </c>
      <c r="AR26" s="1612" t="s">
        <v>2681</v>
      </c>
      <c r="AS26" s="1612" t="s">
        <v>754</v>
      </c>
      <c r="AT26" s="1612" t="s">
        <v>9741</v>
      </c>
      <c r="AU26" s="1604" t="s">
        <v>9742</v>
      </c>
      <c r="AV26" s="1463" t="str">
        <f t="shared" si="1"/>
        <v>3:20</v>
      </c>
      <c r="AW26" s="1093"/>
    </row>
    <row r="27" ht="15.75" customHeight="1">
      <c r="A27" s="1601" t="s">
        <v>1414</v>
      </c>
      <c r="B27" s="1578" t="s">
        <v>9182</v>
      </c>
      <c r="C27" s="1579">
        <v>0.05025462962962963</v>
      </c>
      <c r="D27" s="1021" t="s">
        <v>9743</v>
      </c>
      <c r="E27" s="1658" t="s">
        <v>9744</v>
      </c>
      <c r="F27" s="1688" t="s">
        <v>7318</v>
      </c>
      <c r="G27" s="1585" t="s">
        <v>9745</v>
      </c>
      <c r="H27" s="916" t="s">
        <v>9746</v>
      </c>
      <c r="I27" s="916" t="s">
        <v>1113</v>
      </c>
      <c r="J27" s="1641" t="s">
        <v>7422</v>
      </c>
      <c r="K27" s="1689" t="s">
        <v>8261</v>
      </c>
      <c r="L27" s="1689" t="s">
        <v>5209</v>
      </c>
      <c r="M27" s="1704" t="str">
        <f>HYPERLINK("https://youtu.be/teAIifUZjFw","1:14.18")</f>
        <v>1:14.18</v>
      </c>
      <c r="N27" s="1689" t="s">
        <v>3784</v>
      </c>
      <c r="O27" s="1689" t="s">
        <v>9747</v>
      </c>
      <c r="P27" s="1689" t="s">
        <v>2096</v>
      </c>
      <c r="Q27" s="1690" t="s">
        <v>9748</v>
      </c>
      <c r="R27" s="1644" t="s">
        <v>9749</v>
      </c>
      <c r="S27" s="1644" t="s">
        <v>5552</v>
      </c>
      <c r="T27" s="1705" t="str">
        <f>HYPERLINK("https://youtu.be/AiXricVH5ss","1:24.99")</f>
        <v>1:24.99</v>
      </c>
      <c r="U27" s="1706" t="str">
        <f>HYPERLINK("https://www.twitch.tv/videos/450151935","2:00.31")</f>
        <v>2:00.31</v>
      </c>
      <c r="V27" s="1644" t="s">
        <v>9221</v>
      </c>
      <c r="W27" s="1707" t="str">
        <f>HYPERLINK("https://youtu.be/eafNhBoXVWA","1:46.09")</f>
        <v>1:46.09</v>
      </c>
      <c r="X27" s="1691" t="s">
        <v>4490</v>
      </c>
      <c r="Y27" s="1691" t="s">
        <v>9447</v>
      </c>
      <c r="Z27" s="1691" t="s">
        <v>9750</v>
      </c>
      <c r="AA27" s="1660" t="s">
        <v>9397</v>
      </c>
      <c r="AB27" s="1691" t="s">
        <v>7196</v>
      </c>
      <c r="AC27" s="1691" t="s">
        <v>7240</v>
      </c>
      <c r="AD27" s="1708" t="str">
        <f>HYPERLINK("https://youtu.be/8FEcTKESSh0","1:49.80")</f>
        <v>1:49.80</v>
      </c>
      <c r="AE27" s="1658" t="s">
        <v>5046</v>
      </c>
      <c r="AF27" s="1692" t="s">
        <v>9751</v>
      </c>
      <c r="AG27" s="1692" t="s">
        <v>9752</v>
      </c>
      <c r="AH27" s="1692" t="s">
        <v>9753</v>
      </c>
      <c r="AI27" s="1692" t="s">
        <v>4083</v>
      </c>
      <c r="AJ27" s="1692" t="s">
        <v>9754</v>
      </c>
      <c r="AK27" s="1661" t="s">
        <v>9636</v>
      </c>
      <c r="AL27" s="1692" t="s">
        <v>9755</v>
      </c>
      <c r="AM27" s="1663" t="s">
        <v>9605</v>
      </c>
      <c r="AN27" s="1663" t="s">
        <v>8923</v>
      </c>
      <c r="AO27" s="1663" t="s">
        <v>9722</v>
      </c>
      <c r="AP27" s="1662" t="s">
        <v>9756</v>
      </c>
      <c r="AQ27" s="1662" t="s">
        <v>9757</v>
      </c>
      <c r="AR27" s="1663" t="s">
        <v>9758</v>
      </c>
      <c r="AS27" s="1662" t="s">
        <v>5680</v>
      </c>
      <c r="AT27" s="1704" t="str">
        <f>HYPERLINK("https://youtu.be/xDirVtS1AZ4?t=4416","2:27.45")</f>
        <v>2:27.45</v>
      </c>
      <c r="AU27" s="1686" t="s">
        <v>9759</v>
      </c>
      <c r="AV27" s="1463" t="str">
        <f t="shared" si="1"/>
        <v>2:34</v>
      </c>
      <c r="AW27" s="1632" t="s">
        <v>9760</v>
      </c>
    </row>
    <row r="28">
      <c r="A28" s="1635" t="s">
        <v>7045</v>
      </c>
      <c r="B28" s="1633" t="s">
        <v>9182</v>
      </c>
      <c r="C28" s="1579">
        <v>0.0502662037037037</v>
      </c>
      <c r="D28" s="1021" t="s">
        <v>9761</v>
      </c>
      <c r="E28" s="1604" t="s">
        <v>9386</v>
      </c>
      <c r="F28" s="1604" t="s">
        <v>9762</v>
      </c>
      <c r="G28" s="1604" t="s">
        <v>9763</v>
      </c>
      <c r="H28" s="1604" t="s">
        <v>9764</v>
      </c>
      <c r="I28" s="1021" t="s">
        <v>263</v>
      </c>
      <c r="J28" s="1021" t="s">
        <v>6200</v>
      </c>
      <c r="K28" s="1604" t="s">
        <v>9691</v>
      </c>
      <c r="L28" s="1604" t="s">
        <v>3587</v>
      </c>
      <c r="M28" s="1021" t="s">
        <v>2791</v>
      </c>
      <c r="N28" s="1604" t="s">
        <v>9765</v>
      </c>
      <c r="O28" s="1604" t="s">
        <v>9766</v>
      </c>
      <c r="P28" s="1021" t="s">
        <v>9767</v>
      </c>
      <c r="Q28" s="1604" t="s">
        <v>9768</v>
      </c>
      <c r="R28" s="1021" t="s">
        <v>9769</v>
      </c>
      <c r="S28" s="1604" t="s">
        <v>9770</v>
      </c>
      <c r="T28" s="1021" t="s">
        <v>9771</v>
      </c>
      <c r="U28" s="1604" t="s">
        <v>1098</v>
      </c>
      <c r="V28" s="1021" t="s">
        <v>5075</v>
      </c>
      <c r="W28" s="1021" t="s">
        <v>6799</v>
      </c>
      <c r="X28" s="1021" t="s">
        <v>6890</v>
      </c>
      <c r="Y28" s="1021" t="s">
        <v>881</v>
      </c>
      <c r="Z28" s="1021" t="s">
        <v>9772</v>
      </c>
      <c r="AA28" s="1604" t="s">
        <v>9773</v>
      </c>
      <c r="AB28" s="1021" t="s">
        <v>7239</v>
      </c>
      <c r="AC28" s="1604" t="s">
        <v>9713</v>
      </c>
      <c r="AD28" s="1021" t="s">
        <v>6360</v>
      </c>
      <c r="AE28" s="1604" t="s">
        <v>9294</v>
      </c>
      <c r="AF28" s="1604" t="s">
        <v>9774</v>
      </c>
      <c r="AG28" s="1021" t="s">
        <v>1843</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9033</v>
      </c>
      <c r="AS28" s="1021" t="s">
        <v>1970</v>
      </c>
      <c r="AT28" s="1604" t="s">
        <v>9779</v>
      </c>
      <c r="AU28" s="1604" t="s">
        <v>9780</v>
      </c>
      <c r="AV28" s="1463" t="str">
        <f t="shared" si="1"/>
        <v>2:28</v>
      </c>
      <c r="AW28" s="1634" t="s">
        <v>9781</v>
      </c>
    </row>
    <row r="29">
      <c r="A29" s="1635" t="s">
        <v>9782</v>
      </c>
      <c r="B29" s="1709" t="s">
        <v>9182</v>
      </c>
      <c r="C29" s="1579">
        <v>0.0503125</v>
      </c>
      <c r="D29" s="1021" t="s">
        <v>9783</v>
      </c>
      <c r="E29" s="1658" t="s">
        <v>9784</v>
      </c>
      <c r="F29" s="1658" t="s">
        <v>7011</v>
      </c>
      <c r="G29" s="1658" t="s">
        <v>9785</v>
      </c>
      <c r="H29" s="886" t="s">
        <v>9786</v>
      </c>
      <c r="I29" s="886" t="s">
        <v>8222</v>
      </c>
      <c r="J29" s="1641" t="s">
        <v>1907</v>
      </c>
      <c r="K29" s="1641" t="s">
        <v>6116</v>
      </c>
      <c r="L29" s="1641" t="s">
        <v>3559</v>
      </c>
      <c r="M29" s="1641" t="s">
        <v>9787</v>
      </c>
      <c r="N29" s="1641" t="s">
        <v>7135</v>
      </c>
      <c r="O29" s="1641" t="s">
        <v>4159</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3812</v>
      </c>
      <c r="AC29" s="1660" t="s">
        <v>9795</v>
      </c>
      <c r="AD29" s="1658" t="s">
        <v>9796</v>
      </c>
      <c r="AE29" s="1658" t="s">
        <v>5957</v>
      </c>
      <c r="AF29" s="1661" t="s">
        <v>9797</v>
      </c>
      <c r="AG29" s="1661" t="s">
        <v>7490</v>
      </c>
      <c r="AH29" s="1661" t="s">
        <v>9798</v>
      </c>
      <c r="AI29" s="1661" t="s">
        <v>5180</v>
      </c>
      <c r="AJ29" s="1661" t="s">
        <v>9799</v>
      </c>
      <c r="AK29" s="1661" t="s">
        <v>9800</v>
      </c>
      <c r="AL29" s="1661" t="s">
        <v>9801</v>
      </c>
      <c r="AM29" s="1663" t="s">
        <v>9481</v>
      </c>
      <c r="AN29" s="1663" t="s">
        <v>9802</v>
      </c>
      <c r="AO29" s="1663" t="s">
        <v>3221</v>
      </c>
      <c r="AP29" s="1663" t="s">
        <v>9803</v>
      </c>
      <c r="AQ29" s="1663" t="s">
        <v>9804</v>
      </c>
      <c r="AR29" s="1663" t="s">
        <v>3020</v>
      </c>
      <c r="AS29" s="1663" t="s">
        <v>302</v>
      </c>
      <c r="AT29" s="1641" t="s">
        <v>9805</v>
      </c>
      <c r="AU29" s="1625" t="s">
        <v>9806</v>
      </c>
      <c r="AV29" s="1463" t="str">
        <f t="shared" si="1"/>
        <v>2:59</v>
      </c>
      <c r="AW29" s="1626" t="s">
        <v>9807</v>
      </c>
    </row>
    <row r="30" ht="15.75" customHeight="1">
      <c r="A30" s="1577" t="s">
        <v>9808</v>
      </c>
      <c r="B30" s="1669" t="s">
        <v>9210</v>
      </c>
      <c r="C30" s="1579">
        <v>0.05042824074074074</v>
      </c>
      <c r="D30" s="1021" t="s">
        <v>9535</v>
      </c>
      <c r="E30" s="1658" t="s">
        <v>6395</v>
      </c>
      <c r="F30" s="1658" t="s">
        <v>9809</v>
      </c>
      <c r="G30" s="1688" t="s">
        <v>9810</v>
      </c>
      <c r="H30" s="916" t="s">
        <v>9811</v>
      </c>
      <c r="I30" s="886" t="s">
        <v>3371</v>
      </c>
      <c r="J30" s="1641" t="s">
        <v>4888</v>
      </c>
      <c r="K30" s="1641" t="s">
        <v>5285</v>
      </c>
      <c r="L30" s="1641" t="s">
        <v>2516</v>
      </c>
      <c r="M30" s="1641" t="s">
        <v>1832</v>
      </c>
      <c r="N30" s="1641" t="s">
        <v>4203</v>
      </c>
      <c r="O30" s="1641" t="s">
        <v>9812</v>
      </c>
      <c r="P30" s="1689" t="s">
        <v>759</v>
      </c>
      <c r="Q30" s="1644" t="s">
        <v>9813</v>
      </c>
      <c r="R30" s="1644" t="s">
        <v>3496</v>
      </c>
      <c r="S30" s="1644" t="s">
        <v>7225</v>
      </c>
      <c r="T30" s="1690" t="s">
        <v>3222</v>
      </c>
      <c r="U30" s="1644" t="s">
        <v>9351</v>
      </c>
      <c r="V30" s="1690" t="s">
        <v>5034</v>
      </c>
      <c r="W30" s="1691" t="s">
        <v>6951</v>
      </c>
      <c r="X30" s="1660" t="s">
        <v>2614</v>
      </c>
      <c r="Y30" s="1691" t="s">
        <v>9814</v>
      </c>
      <c r="Z30" s="1660" t="s">
        <v>9815</v>
      </c>
      <c r="AA30" s="1691" t="s">
        <v>9816</v>
      </c>
      <c r="AB30" s="1021" t="s">
        <v>9817</v>
      </c>
      <c r="AC30" s="1691" t="s">
        <v>3697</v>
      </c>
      <c r="AD30" s="1649" t="s">
        <v>9224</v>
      </c>
      <c r="AE30" s="1658" t="s">
        <v>3318</v>
      </c>
      <c r="AF30" s="1661" t="s">
        <v>9818</v>
      </c>
      <c r="AG30" s="1692" t="s">
        <v>4006</v>
      </c>
      <c r="AH30" s="1692" t="s">
        <v>6182</v>
      </c>
      <c r="AI30" s="1463" t="s">
        <v>9773</v>
      </c>
      <c r="AJ30" s="1692" t="s">
        <v>9819</v>
      </c>
      <c r="AK30" s="1661" t="s">
        <v>9820</v>
      </c>
      <c r="AL30" s="1692" t="s">
        <v>3703</v>
      </c>
      <c r="AM30" s="1663" t="s">
        <v>9821</v>
      </c>
      <c r="AN30" s="1663" t="s">
        <v>5148</v>
      </c>
      <c r="AO30" s="1663" t="s">
        <v>1868</v>
      </c>
      <c r="AP30" s="1663" t="s">
        <v>9822</v>
      </c>
      <c r="AQ30" s="1662" t="s">
        <v>9823</v>
      </c>
      <c r="AR30" s="1662" t="s">
        <v>3748</v>
      </c>
      <c r="AS30" s="1662" t="s">
        <v>5325</v>
      </c>
      <c r="AT30" s="1641" t="s">
        <v>9824</v>
      </c>
      <c r="AU30" s="1625" t="s">
        <v>9825</v>
      </c>
      <c r="AV30" s="1463" t="str">
        <f t="shared" si="1"/>
        <v>2:55</v>
      </c>
      <c r="AW30" s="1687"/>
    </row>
    <row r="31" ht="15.75" customHeight="1">
      <c r="A31" s="1577" t="s">
        <v>4356</v>
      </c>
      <c r="B31" s="1578" t="s">
        <v>9182</v>
      </c>
      <c r="C31" s="1710">
        <v>0.05043981481481481</v>
      </c>
      <c r="D31" s="1021" t="s">
        <v>9826</v>
      </c>
      <c r="E31" s="1463" t="s">
        <v>6977</v>
      </c>
      <c r="F31" s="1463" t="s">
        <v>1572</v>
      </c>
      <c r="G31" s="1463" t="s">
        <v>9827</v>
      </c>
      <c r="H31" s="1463" t="s">
        <v>9410</v>
      </c>
      <c r="I31" s="1463" t="s">
        <v>4761</v>
      </c>
      <c r="J31" s="1463" t="s">
        <v>4500</v>
      </c>
      <c r="K31" s="1463" t="s">
        <v>9677</v>
      </c>
      <c r="L31" s="1463" t="s">
        <v>3884</v>
      </c>
      <c r="M31" s="1463" t="s">
        <v>9828</v>
      </c>
      <c r="N31" s="1463" t="s">
        <v>9220</v>
      </c>
      <c r="O31" s="1463" t="s">
        <v>9829</v>
      </c>
      <c r="P31" s="1463" t="s">
        <v>5471</v>
      </c>
      <c r="Q31" s="1463" t="s">
        <v>9830</v>
      </c>
      <c r="R31" s="1463" t="s">
        <v>9831</v>
      </c>
      <c r="S31" s="1463" t="s">
        <v>9832</v>
      </c>
      <c r="T31" s="1463" t="s">
        <v>9833</v>
      </c>
      <c r="U31" s="1463" t="s">
        <v>9834</v>
      </c>
      <c r="V31" s="1463" t="s">
        <v>2288</v>
      </c>
      <c r="W31" s="1463" t="s">
        <v>9835</v>
      </c>
      <c r="X31" s="1463" t="s">
        <v>9836</v>
      </c>
      <c r="Y31" s="1463" t="s">
        <v>9698</v>
      </c>
      <c r="Z31" s="1463" t="s">
        <v>1131</v>
      </c>
      <c r="AA31" s="1463" t="s">
        <v>3481</v>
      </c>
      <c r="AB31" s="1463" t="s">
        <v>4888</v>
      </c>
      <c r="AC31" s="1463" t="s">
        <v>7240</v>
      </c>
      <c r="AD31" s="1463" t="s">
        <v>6334</v>
      </c>
      <c r="AE31" s="1463" t="s">
        <v>5650</v>
      </c>
      <c r="AF31" s="1463" t="s">
        <v>9837</v>
      </c>
      <c r="AG31" s="1463" t="s">
        <v>5947</v>
      </c>
      <c r="AH31" s="1463" t="s">
        <v>4111</v>
      </c>
      <c r="AI31" s="1463" t="s">
        <v>5180</v>
      </c>
      <c r="AJ31" s="1463" t="s">
        <v>9838</v>
      </c>
      <c r="AK31" s="1463" t="s">
        <v>9839</v>
      </c>
      <c r="AL31" s="1463" t="s">
        <v>6055</v>
      </c>
      <c r="AM31" s="1463" t="s">
        <v>1233</v>
      </c>
      <c r="AN31" s="1463" t="s">
        <v>4206</v>
      </c>
      <c r="AO31" s="1463" t="s">
        <v>9840</v>
      </c>
      <c r="AP31" s="1614" t="str">
        <f>HYPERLINK("https://www.twitch.tv/videos/511415405","2:00.79")</f>
        <v>2:00.79</v>
      </c>
      <c r="AQ31" s="1463" t="s">
        <v>3612</v>
      </c>
      <c r="AR31" s="1463" t="s">
        <v>6972</v>
      </c>
      <c r="AS31" s="1463" t="s">
        <v>9290</v>
      </c>
      <c r="AT31" s="1463" t="s">
        <v>9841</v>
      </c>
      <c r="AU31" s="1463" t="s">
        <v>9842</v>
      </c>
      <c r="AV31" s="1463" t="str">
        <f t="shared" si="1"/>
        <v>2:36</v>
      </c>
      <c r="AW31" s="1615" t="s">
        <v>7621</v>
      </c>
    </row>
    <row r="32">
      <c r="A32" s="1635" t="s">
        <v>1196</v>
      </c>
      <c r="B32" s="1623" t="s">
        <v>9182</v>
      </c>
      <c r="C32" s="1579">
        <v>0.050486111111111114</v>
      </c>
      <c r="D32" s="1658" t="s">
        <v>9843</v>
      </c>
      <c r="E32" s="1658" t="s">
        <v>4281</v>
      </c>
      <c r="F32" s="1658" t="s">
        <v>9844</v>
      </c>
      <c r="G32" s="1658" t="s">
        <v>9845</v>
      </c>
      <c r="H32" s="1021" t="s">
        <v>9846</v>
      </c>
      <c r="I32" s="886" t="s">
        <v>925</v>
      </c>
      <c r="J32" s="1641" t="s">
        <v>5939</v>
      </c>
      <c r="K32" s="1641" t="s">
        <v>7503</v>
      </c>
      <c r="L32" s="1641" t="s">
        <v>6589</v>
      </c>
      <c r="M32" s="1641" t="s">
        <v>5066</v>
      </c>
      <c r="N32" s="1641" t="s">
        <v>9847</v>
      </c>
      <c r="O32" s="1641" t="s">
        <v>9848</v>
      </c>
      <c r="P32" s="1641" t="s">
        <v>9598</v>
      </c>
      <c r="Q32" s="1644" t="s">
        <v>170</v>
      </c>
      <c r="R32" s="1644" t="s">
        <v>4819</v>
      </c>
      <c r="S32" s="1644" t="s">
        <v>9562</v>
      </c>
      <c r="T32" s="1644" t="s">
        <v>9849</v>
      </c>
      <c r="U32" s="1644" t="s">
        <v>9850</v>
      </c>
      <c r="V32" s="1644" t="s">
        <v>9851</v>
      </c>
      <c r="W32" s="1660" t="s">
        <v>9852</v>
      </c>
      <c r="X32" s="1660" t="s">
        <v>9853</v>
      </c>
      <c r="Y32" s="1660" t="s">
        <v>8182</v>
      </c>
      <c r="Z32" s="1660" t="s">
        <v>9854</v>
      </c>
      <c r="AA32" s="1604" t="s">
        <v>9855</v>
      </c>
      <c r="AB32" s="1660" t="s">
        <v>3464</v>
      </c>
      <c r="AC32" s="1660" t="s">
        <v>1113</v>
      </c>
      <c r="AD32" s="1658" t="s">
        <v>9856</v>
      </c>
      <c r="AE32" s="1658" t="s">
        <v>2227</v>
      </c>
      <c r="AF32" s="1661" t="s">
        <v>9857</v>
      </c>
      <c r="AG32" s="1661" t="s">
        <v>528</v>
      </c>
      <c r="AH32" s="1661" t="s">
        <v>9858</v>
      </c>
      <c r="AI32" s="1661" t="s">
        <v>2770</v>
      </c>
      <c r="AJ32" s="1661" t="s">
        <v>9859</v>
      </c>
      <c r="AK32" s="1661" t="s">
        <v>7055</v>
      </c>
      <c r="AL32" s="1661" t="s">
        <v>2892</v>
      </c>
      <c r="AM32" s="1663" t="s">
        <v>9860</v>
      </c>
      <c r="AN32" s="1663" t="s">
        <v>9563</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9182</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6885</v>
      </c>
      <c r="N33" s="1641" t="s">
        <v>2307</v>
      </c>
      <c r="O33" s="1689" t="s">
        <v>9571</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3316</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9598</v>
      </c>
      <c r="AF33" s="1692" t="s">
        <v>9871</v>
      </c>
      <c r="AG33" s="1712" t="str">
        <f>HYPERLINK("https://www.youtube.com/watch?v=KXwTRrVVluY","1:30.62")</f>
        <v>1:30.62</v>
      </c>
      <c r="AH33" s="1692" t="s">
        <v>3057</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5672</v>
      </c>
      <c r="AT33" s="1704" t="str">
        <f>HYPERLINK("https://www.youtube.com/watch?v=H67SXBLcISI","2:29.09")</f>
        <v>2:29.09</v>
      </c>
      <c r="AU33" s="1686" t="s">
        <v>9878</v>
      </c>
      <c r="AV33" s="1463" t="str">
        <f t="shared" si="1"/>
        <v>2:03</v>
      </c>
      <c r="AW33" s="1714" t="s">
        <v>9879</v>
      </c>
    </row>
    <row r="34">
      <c r="A34" s="1635" t="s">
        <v>3100</v>
      </c>
      <c r="B34" s="1623" t="s">
        <v>9210</v>
      </c>
      <c r="C34" s="1579">
        <v>0.050520833333333334</v>
      </c>
      <c r="D34" s="1658" t="s">
        <v>9880</v>
      </c>
      <c r="E34" s="1697" t="s">
        <v>4614</v>
      </c>
      <c r="F34" s="1697" t="s">
        <v>9232</v>
      </c>
      <c r="G34" s="1658" t="s">
        <v>9881</v>
      </c>
      <c r="H34" s="1697" t="s">
        <v>9561</v>
      </c>
      <c r="I34" s="1697" t="s">
        <v>3124</v>
      </c>
      <c r="J34" s="1641" t="s">
        <v>9882</v>
      </c>
      <c r="K34" s="1715" t="s">
        <v>9883</v>
      </c>
      <c r="L34" s="1641" t="s">
        <v>9884</v>
      </c>
      <c r="M34" s="1585" t="s">
        <v>5890</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9349</v>
      </c>
      <c r="AA34" s="1604" t="s">
        <v>9890</v>
      </c>
      <c r="AB34" s="1660" t="s">
        <v>4155</v>
      </c>
      <c r="AC34" s="1660" t="s">
        <v>940</v>
      </c>
      <c r="AD34" s="1658" t="s">
        <v>3963</v>
      </c>
      <c r="AE34" s="1658" t="s">
        <v>5984</v>
      </c>
      <c r="AF34" s="1661" t="s">
        <v>9891</v>
      </c>
      <c r="AG34" s="1697" t="s">
        <v>4650</v>
      </c>
      <c r="AH34" s="1661" t="s">
        <v>9892</v>
      </c>
      <c r="AI34" s="1661" t="s">
        <v>7910</v>
      </c>
      <c r="AJ34" s="1661" t="s">
        <v>9893</v>
      </c>
      <c r="AK34" s="1661" t="s">
        <v>9894</v>
      </c>
      <c r="AL34" s="1661" t="s">
        <v>9895</v>
      </c>
      <c r="AM34" s="1663" t="s">
        <v>3222</v>
      </c>
      <c r="AN34" s="1663" t="s">
        <v>9601</v>
      </c>
      <c r="AO34" s="1663" t="s">
        <v>3020</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9182</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3215</v>
      </c>
      <c r="N35" s="1641" t="s">
        <v>9911</v>
      </c>
      <c r="O35" s="1641" t="s">
        <v>9812</v>
      </c>
      <c r="P35" s="1641" t="s">
        <v>4932</v>
      </c>
      <c r="Q35" s="1644" t="s">
        <v>9912</v>
      </c>
      <c r="R35" s="1644" t="s">
        <v>2775</v>
      </c>
      <c r="S35" s="1644" t="s">
        <v>7000</v>
      </c>
      <c r="T35" s="1644" t="s">
        <v>9913</v>
      </c>
      <c r="U35" s="1644" t="s">
        <v>9914</v>
      </c>
      <c r="V35" s="1644" t="s">
        <v>9221</v>
      </c>
      <c r="W35" s="1660" t="s">
        <v>9915</v>
      </c>
      <c r="X35" s="1660" t="s">
        <v>9916</v>
      </c>
      <c r="Y35" s="1660" t="s">
        <v>9917</v>
      </c>
      <c r="Z35" s="1660" t="s">
        <v>1382</v>
      </c>
      <c r="AA35" s="1660" t="s">
        <v>9918</v>
      </c>
      <c r="AB35" s="1660" t="s">
        <v>7115</v>
      </c>
      <c r="AC35" s="1691" t="s">
        <v>2176</v>
      </c>
      <c r="AD35" s="1658" t="s">
        <v>9919</v>
      </c>
      <c r="AE35" s="1658" t="s">
        <v>9598</v>
      </c>
      <c r="AF35" s="1661" t="s">
        <v>9920</v>
      </c>
      <c r="AG35" s="1661" t="s">
        <v>9921</v>
      </c>
      <c r="AH35" s="1661" t="s">
        <v>5703</v>
      </c>
      <c r="AI35" s="1661" t="s">
        <v>9922</v>
      </c>
      <c r="AJ35" s="1661" t="s">
        <v>9923</v>
      </c>
      <c r="AK35" s="1661" t="s">
        <v>4490</v>
      </c>
      <c r="AL35" s="1661" t="s">
        <v>5789</v>
      </c>
      <c r="AM35" s="1663" t="s">
        <v>1855</v>
      </c>
      <c r="AN35" s="1663" t="s">
        <v>4636</v>
      </c>
      <c r="AO35" s="1663" t="s">
        <v>9924</v>
      </c>
      <c r="AP35" s="1663" t="s">
        <v>9925</v>
      </c>
      <c r="AQ35" s="1663" t="s">
        <v>9926</v>
      </c>
      <c r="AR35" s="1663" t="s">
        <v>9614</v>
      </c>
      <c r="AS35" s="1663" t="s">
        <v>881</v>
      </c>
      <c r="AT35" s="1641" t="s">
        <v>9927</v>
      </c>
      <c r="AU35" s="1625" t="s">
        <v>9928</v>
      </c>
      <c r="AV35" s="1463" t="str">
        <f t="shared" si="1"/>
        <v>2:07</v>
      </c>
      <c r="AW35" s="1687"/>
    </row>
    <row r="36">
      <c r="A36" s="1635" t="s">
        <v>645</v>
      </c>
      <c r="B36" s="1623" t="s">
        <v>9182</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4183</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9395</v>
      </c>
      <c r="AF36" s="1021" t="s">
        <v>9948</v>
      </c>
      <c r="AG36" s="1021" t="s">
        <v>5161</v>
      </c>
      <c r="AH36" s="1021" t="s">
        <v>4459</v>
      </c>
      <c r="AI36" s="1021" t="s">
        <v>9949</v>
      </c>
      <c r="AJ36" s="1021" t="s">
        <v>9950</v>
      </c>
      <c r="AK36" s="1021" t="s">
        <v>1672</v>
      </c>
      <c r="AL36" s="1021" t="s">
        <v>9951</v>
      </c>
      <c r="AM36" s="1021" t="s">
        <v>4052</v>
      </c>
      <c r="AN36" s="1021" t="s">
        <v>4089</v>
      </c>
      <c r="AO36" s="1021" t="s">
        <v>6399</v>
      </c>
      <c r="AP36" s="1021" t="s">
        <v>9952</v>
      </c>
      <c r="AQ36" s="1021" t="s">
        <v>9953</v>
      </c>
      <c r="AR36" s="1021" t="s">
        <v>9484</v>
      </c>
      <c r="AS36" s="1021" t="s">
        <v>837</v>
      </c>
      <c r="AT36" s="1021" t="s">
        <v>9954</v>
      </c>
      <c r="AU36" s="1625" t="s">
        <v>9842</v>
      </c>
      <c r="AV36" s="1463" t="str">
        <f t="shared" si="1"/>
        <v>2:26</v>
      </c>
      <c r="AW36" s="1626" t="s">
        <v>9955</v>
      </c>
    </row>
    <row r="37" ht="15.75" customHeight="1">
      <c r="A37" s="1577" t="s">
        <v>739</v>
      </c>
      <c r="B37" s="1669" t="s">
        <v>9210</v>
      </c>
      <c r="C37" s="1579">
        <v>0.05056712962962963</v>
      </c>
      <c r="D37" s="1639" t="s">
        <v>9211</v>
      </c>
      <c r="E37" s="1688" t="s">
        <v>9744</v>
      </c>
      <c r="F37" s="1703" t="s">
        <v>9212</v>
      </c>
      <c r="G37" s="1604" t="s">
        <v>9956</v>
      </c>
      <c r="H37" s="1604" t="s">
        <v>9287</v>
      </c>
      <c r="I37" s="1703" t="s">
        <v>5057</v>
      </c>
      <c r="J37" s="1604" t="s">
        <v>1026</v>
      </c>
      <c r="K37" s="1604" t="s">
        <v>4898</v>
      </c>
      <c r="L37" s="1604" t="s">
        <v>2294</v>
      </c>
      <c r="M37" s="1604" t="s">
        <v>2247</v>
      </c>
      <c r="N37" s="1604" t="s">
        <v>9704</v>
      </c>
      <c r="O37" s="1604" t="s">
        <v>9957</v>
      </c>
      <c r="P37" s="1604" t="s">
        <v>4025</v>
      </c>
      <c r="Q37" s="1604" t="s">
        <v>9958</v>
      </c>
      <c r="R37" s="1604" t="s">
        <v>3121</v>
      </c>
      <c r="S37" s="1604" t="s">
        <v>9298</v>
      </c>
      <c r="T37" s="1604" t="s">
        <v>2363</v>
      </c>
      <c r="U37" s="1604" t="s">
        <v>9444</v>
      </c>
      <c r="V37" s="1604" t="s">
        <v>2886</v>
      </c>
      <c r="W37" s="1604" t="s">
        <v>9959</v>
      </c>
      <c r="X37" s="1604" t="s">
        <v>9960</v>
      </c>
      <c r="Y37" s="1604" t="s">
        <v>861</v>
      </c>
      <c r="Z37" s="1604" t="s">
        <v>9620</v>
      </c>
      <c r="AA37" s="1604" t="s">
        <v>7055</v>
      </c>
      <c r="AB37" s="1604" t="s">
        <v>6195</v>
      </c>
      <c r="AC37" s="1463" t="s">
        <v>535</v>
      </c>
      <c r="AD37" s="1604" t="s">
        <v>9961</v>
      </c>
      <c r="AE37" s="1604" t="s">
        <v>2719</v>
      </c>
      <c r="AF37" s="1604" t="s">
        <v>9962</v>
      </c>
      <c r="AG37" s="1604" t="s">
        <v>9800</v>
      </c>
      <c r="AH37" s="1604" t="s">
        <v>2965</v>
      </c>
      <c r="AI37" s="1604" t="s">
        <v>9963</v>
      </c>
      <c r="AJ37" s="1604" t="s">
        <v>3232</v>
      </c>
      <c r="AK37" s="1604" t="s">
        <v>5280</v>
      </c>
      <c r="AL37" s="1604" t="s">
        <v>4206</v>
      </c>
      <c r="AM37" s="1604" t="s">
        <v>3326</v>
      </c>
      <c r="AN37" s="1604" t="s">
        <v>343</v>
      </c>
      <c r="AO37" s="1604" t="s">
        <v>9964</v>
      </c>
      <c r="AP37" s="1604" t="s">
        <v>9965</v>
      </c>
      <c r="AQ37" s="1604" t="s">
        <v>6989</v>
      </c>
      <c r="AR37" s="1604" t="s">
        <v>2760</v>
      </c>
      <c r="AS37" s="1604" t="s">
        <v>4103</v>
      </c>
      <c r="AT37" s="1604" t="s">
        <v>5586</v>
      </c>
      <c r="AU37" s="1604" t="s">
        <v>9650</v>
      </c>
      <c r="AV37" s="1463" t="str">
        <f t="shared" si="1"/>
        <v>3:34</v>
      </c>
      <c r="AW37" s="1634" t="s">
        <v>9966</v>
      </c>
    </row>
    <row r="38" ht="15.75" customHeight="1">
      <c r="A38" s="1635" t="s">
        <v>645</v>
      </c>
      <c r="B38" s="1669" t="s">
        <v>9210</v>
      </c>
      <c r="C38" s="1710">
        <v>0.05056712962962963</v>
      </c>
      <c r="D38" s="1021" t="s">
        <v>9967</v>
      </c>
      <c r="E38" s="1463" t="s">
        <v>9968</v>
      </c>
      <c r="F38" s="1463" t="s">
        <v>9680</v>
      </c>
      <c r="G38" s="1463" t="s">
        <v>9969</v>
      </c>
      <c r="H38" s="1463" t="s">
        <v>4463</v>
      </c>
      <c r="I38" s="1463" t="s">
        <v>1182</v>
      </c>
      <c r="J38" s="1604" t="s">
        <v>3445</v>
      </c>
      <c r="K38" s="1604" t="s">
        <v>3445</v>
      </c>
      <c r="L38" s="1463" t="s">
        <v>9970</v>
      </c>
      <c r="M38" s="1463" t="s">
        <v>9971</v>
      </c>
      <c r="N38" s="1463" t="s">
        <v>9625</v>
      </c>
      <c r="O38" s="1703" t="s">
        <v>9217</v>
      </c>
      <c r="P38" s="1463" t="s">
        <v>8219</v>
      </c>
      <c r="Q38" s="1463" t="s">
        <v>785</v>
      </c>
      <c r="R38" s="1604" t="s">
        <v>3445</v>
      </c>
      <c r="S38" s="1463" t="s">
        <v>9972</v>
      </c>
      <c r="T38" s="1463" t="s">
        <v>156</v>
      </c>
      <c r="U38" s="1463" t="s">
        <v>9973</v>
      </c>
      <c r="V38" s="1463" t="s">
        <v>9974</v>
      </c>
      <c r="W38" s="1463" t="s">
        <v>9975</v>
      </c>
      <c r="X38" s="1463" t="s">
        <v>9794</v>
      </c>
      <c r="Y38" s="1463" t="s">
        <v>9795</v>
      </c>
      <c r="Z38" s="1463" t="s">
        <v>151</v>
      </c>
      <c r="AA38" s="1463" t="s">
        <v>9976</v>
      </c>
      <c r="AB38" s="1463" t="s">
        <v>9462</v>
      </c>
      <c r="AC38" s="1463" t="s">
        <v>4493</v>
      </c>
      <c r="AD38" s="1463" t="s">
        <v>2327</v>
      </c>
      <c r="AE38" s="1463" t="s">
        <v>9917</v>
      </c>
      <c r="AF38" s="1463" t="s">
        <v>9977</v>
      </c>
      <c r="AG38" s="1463" t="s">
        <v>9978</v>
      </c>
      <c r="AH38" s="1463" t="s">
        <v>4480</v>
      </c>
      <c r="AI38" s="1463" t="s">
        <v>3809</v>
      </c>
      <c r="AJ38" s="1463" t="s">
        <v>9979</v>
      </c>
      <c r="AK38" s="1463" t="s">
        <v>1162</v>
      </c>
      <c r="AL38" s="1463" t="s">
        <v>9798</v>
      </c>
      <c r="AM38" s="1463" t="s">
        <v>872</v>
      </c>
      <c r="AN38" s="1604" t="s">
        <v>9980</v>
      </c>
      <c r="AO38" s="1604" t="s">
        <v>3445</v>
      </c>
      <c r="AP38" s="1463" t="s">
        <v>5492</v>
      </c>
      <c r="AQ38" s="1463" t="s">
        <v>252</v>
      </c>
      <c r="AR38" s="1463" t="s">
        <v>9981</v>
      </c>
      <c r="AS38" s="1463" t="s">
        <v>9982</v>
      </c>
      <c r="AT38" s="1463" t="s">
        <v>9983</v>
      </c>
      <c r="AU38" s="1604" t="s">
        <v>9984</v>
      </c>
      <c r="AV38" s="1463" t="str">
        <f t="shared" si="1"/>
        <v>3:07</v>
      </c>
      <c r="AW38" s="1668" t="s">
        <v>9985</v>
      </c>
    </row>
    <row r="39" ht="15.75" customHeight="1">
      <c r="A39" s="1577" t="s">
        <v>4270</v>
      </c>
      <c r="B39" s="1578" t="s">
        <v>9182</v>
      </c>
      <c r="C39" s="1710">
        <v>0.05060185185185185</v>
      </c>
      <c r="D39" s="1021" t="s">
        <v>9986</v>
      </c>
      <c r="E39" s="1688" t="s">
        <v>3302</v>
      </c>
      <c r="F39" s="1688" t="s">
        <v>6133</v>
      </c>
      <c r="G39" s="1688" t="s">
        <v>9987</v>
      </c>
      <c r="H39" s="916" t="s">
        <v>9988</v>
      </c>
      <c r="I39" s="916" t="s">
        <v>4793</v>
      </c>
      <c r="J39" s="1689" t="s">
        <v>9411</v>
      </c>
      <c r="K39" s="1689" t="s">
        <v>7503</v>
      </c>
      <c r="L39" s="1689" t="s">
        <v>5651</v>
      </c>
      <c r="M39" s="1689" t="s">
        <v>9989</v>
      </c>
      <c r="N39" s="1689" t="s">
        <v>5395</v>
      </c>
      <c r="O39" s="1689" t="s">
        <v>9990</v>
      </c>
      <c r="P39" s="1689" t="s">
        <v>5957</v>
      </c>
      <c r="Q39" s="1690" t="s">
        <v>9991</v>
      </c>
      <c r="R39" s="1690" t="s">
        <v>5570</v>
      </c>
      <c r="S39" s="1690" t="s">
        <v>7115</v>
      </c>
      <c r="T39" s="1690" t="s">
        <v>9992</v>
      </c>
      <c r="U39" s="1690" t="s">
        <v>6269</v>
      </c>
      <c r="V39" s="1690" t="s">
        <v>3928</v>
      </c>
      <c r="W39" s="1691" t="s">
        <v>9993</v>
      </c>
      <c r="X39" s="1691" t="s">
        <v>7493</v>
      </c>
      <c r="Y39" s="1691" t="s">
        <v>1846</v>
      </c>
      <c r="Z39" s="1691" t="s">
        <v>1907</v>
      </c>
      <c r="AA39" s="1691" t="s">
        <v>9994</v>
      </c>
      <c r="AB39" s="1691" t="s">
        <v>9462</v>
      </c>
      <c r="AC39" s="1691" t="s">
        <v>5652</v>
      </c>
      <c r="AD39" s="1688" t="s">
        <v>6614</v>
      </c>
      <c r="AE39" s="1688" t="s">
        <v>7796</v>
      </c>
      <c r="AF39" s="1692" t="s">
        <v>9995</v>
      </c>
      <c r="AG39" s="1692" t="s">
        <v>9921</v>
      </c>
      <c r="AH39" s="1692" t="s">
        <v>8312</v>
      </c>
      <c r="AI39" s="1692" t="s">
        <v>5647</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9182</v>
      </c>
      <c r="C40" s="1579">
        <v>0.05061342592592592</v>
      </c>
      <c r="D40" s="1021" t="s">
        <v>10006</v>
      </c>
      <c r="E40" s="1604" t="s">
        <v>9386</v>
      </c>
      <c r="F40" s="1604" t="s">
        <v>5530</v>
      </c>
      <c r="G40" s="1463" t="s">
        <v>10007</v>
      </c>
      <c r="H40" s="1604" t="s">
        <v>10008</v>
      </c>
      <c r="I40" s="1604" t="s">
        <v>387</v>
      </c>
      <c r="J40" s="1604" t="s">
        <v>7912</v>
      </c>
      <c r="K40" s="1463" t="s">
        <v>9677</v>
      </c>
      <c r="L40" s="1604" t="s">
        <v>10009</v>
      </c>
      <c r="M40" s="1604" t="s">
        <v>10010</v>
      </c>
      <c r="N40" s="1604" t="s">
        <v>4411</v>
      </c>
      <c r="O40" s="1604" t="s">
        <v>10011</v>
      </c>
      <c r="P40" s="1604" t="s">
        <v>1584</v>
      </c>
      <c r="Q40" s="1583" t="s">
        <v>10012</v>
      </c>
      <c r="R40" s="1604" t="s">
        <v>10013</v>
      </c>
      <c r="S40" s="1463" t="s">
        <v>10014</v>
      </c>
      <c r="T40" s="1604" t="s">
        <v>9777</v>
      </c>
      <c r="U40" s="1604" t="s">
        <v>6771</v>
      </c>
      <c r="V40" s="1604" t="s">
        <v>2521</v>
      </c>
      <c r="W40" s="1613" t="str">
        <f>HYPERLINK("https://www.youtube.com/watch?v=nn1ub1z3NYM","1:45.96")</f>
        <v>1:45.96</v>
      </c>
      <c r="X40" s="1604" t="s">
        <v>5787</v>
      </c>
      <c r="Y40" s="1463" t="s">
        <v>5636</v>
      </c>
      <c r="Z40" s="1604" t="s">
        <v>1499</v>
      </c>
      <c r="AA40" s="1604" t="s">
        <v>10015</v>
      </c>
      <c r="AB40" s="1604" t="s">
        <v>10016</v>
      </c>
      <c r="AC40" s="1604" t="s">
        <v>1113</v>
      </c>
      <c r="AD40" s="1604" t="s">
        <v>10017</v>
      </c>
      <c r="AE40" s="1583" t="s">
        <v>4634</v>
      </c>
      <c r="AF40" s="1463" t="s">
        <v>10018</v>
      </c>
      <c r="AG40" s="1604" t="s">
        <v>1867</v>
      </c>
      <c r="AH40" s="1604" t="s">
        <v>3057</v>
      </c>
      <c r="AI40" s="1604" t="s">
        <v>10019</v>
      </c>
      <c r="AJ40" s="1463" t="s">
        <v>8551</v>
      </c>
      <c r="AK40" s="1604" t="s">
        <v>10020</v>
      </c>
      <c r="AL40" s="1463" t="s">
        <v>4364</v>
      </c>
      <c r="AM40" s="1463" t="s">
        <v>10021</v>
      </c>
      <c r="AN40" s="1463" t="s">
        <v>2554</v>
      </c>
      <c r="AO40" s="1604" t="s">
        <v>3613</v>
      </c>
      <c r="AP40" s="1604" t="s">
        <v>10022</v>
      </c>
      <c r="AQ40" s="1604" t="s">
        <v>10023</v>
      </c>
      <c r="AR40" s="1604" t="s">
        <v>1301</v>
      </c>
      <c r="AS40" s="1604" t="s">
        <v>4717</v>
      </c>
      <c r="AT40" s="1604" t="s">
        <v>10024</v>
      </c>
      <c r="AU40" s="1604" t="s">
        <v>10025</v>
      </c>
      <c r="AV40" s="1463" t="str">
        <f t="shared" si="1"/>
        <v>2:25</v>
      </c>
      <c r="AW40" s="1634"/>
    </row>
    <row r="41">
      <c r="A41" s="1601" t="s">
        <v>10026</v>
      </c>
      <c r="B41" s="1633" t="s">
        <v>9182</v>
      </c>
      <c r="C41" s="1579">
        <v>0.050625</v>
      </c>
      <c r="D41" s="1716" t="s">
        <v>10027</v>
      </c>
      <c r="E41" s="1604" t="s">
        <v>4746</v>
      </c>
      <c r="F41" s="1604" t="s">
        <v>10028</v>
      </c>
      <c r="G41" s="1604" t="s">
        <v>10029</v>
      </c>
      <c r="H41" s="1604" t="s">
        <v>1744</v>
      </c>
      <c r="I41" s="1604" t="s">
        <v>1899</v>
      </c>
      <c r="J41" s="1604" t="s">
        <v>10030</v>
      </c>
      <c r="K41" s="1604" t="s">
        <v>3634</v>
      </c>
      <c r="L41" s="1604" t="s">
        <v>10031</v>
      </c>
      <c r="M41" s="1604" t="s">
        <v>10032</v>
      </c>
      <c r="N41" s="1604" t="s">
        <v>10033</v>
      </c>
      <c r="O41" s="1604" t="s">
        <v>10034</v>
      </c>
      <c r="P41" s="1604" t="s">
        <v>9917</v>
      </c>
      <c r="Q41" s="1604" t="s">
        <v>4654</v>
      </c>
      <c r="R41" s="1604" t="s">
        <v>4022</v>
      </c>
      <c r="S41" s="1604" t="s">
        <v>2746</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9193</v>
      </c>
      <c r="AL41" s="1604" t="s">
        <v>10046</v>
      </c>
      <c r="AM41" s="1604" t="s">
        <v>10047</v>
      </c>
      <c r="AN41" s="1604" t="s">
        <v>9260</v>
      </c>
      <c r="AO41" s="1604" t="s">
        <v>5040</v>
      </c>
      <c r="AP41" s="1604" t="s">
        <v>10048</v>
      </c>
      <c r="AQ41" s="1604" t="s">
        <v>10049</v>
      </c>
      <c r="AR41" s="1604" t="s">
        <v>7565</v>
      </c>
      <c r="AS41" s="1604" t="s">
        <v>5839</v>
      </c>
      <c r="AT41" s="1604" t="s">
        <v>8862</v>
      </c>
      <c r="AU41" s="1604" t="s">
        <v>10050</v>
      </c>
      <c r="AV41" s="1463" t="str">
        <f t="shared" si="1"/>
        <v>2:05</v>
      </c>
      <c r="AW41" s="1668"/>
    </row>
    <row r="42">
      <c r="A42" s="1601" t="s">
        <v>10051</v>
      </c>
      <c r="B42" s="1623" t="s">
        <v>9182</v>
      </c>
      <c r="C42" s="1579">
        <v>0.0506712962962963</v>
      </c>
      <c r="D42" s="1716" t="s">
        <v>10052</v>
      </c>
      <c r="E42" s="1658" t="s">
        <v>3302</v>
      </c>
      <c r="F42" s="1658" t="s">
        <v>9546</v>
      </c>
      <c r="G42" s="1658" t="s">
        <v>10053</v>
      </c>
      <c r="H42" s="886" t="s">
        <v>10054</v>
      </c>
      <c r="I42" s="886" t="s">
        <v>10055</v>
      </c>
      <c r="J42" s="1641" t="s">
        <v>10056</v>
      </c>
      <c r="K42" s="1641" t="s">
        <v>8268</v>
      </c>
      <c r="L42" s="1641" t="s">
        <v>4338</v>
      </c>
      <c r="M42" s="1641" t="s">
        <v>8269</v>
      </c>
      <c r="N42" s="1641" t="s">
        <v>10057</v>
      </c>
      <c r="O42" s="1641" t="s">
        <v>2251</v>
      </c>
      <c r="P42" s="1641" t="s">
        <v>8222</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4006</v>
      </c>
      <c r="AH42" s="1661" t="s">
        <v>5327</v>
      </c>
      <c r="AI42" s="1661" t="s">
        <v>10069</v>
      </c>
      <c r="AJ42" s="1661" t="s">
        <v>10070</v>
      </c>
      <c r="AK42" s="1661" t="s">
        <v>174</v>
      </c>
      <c r="AL42" s="1661" t="s">
        <v>2626</v>
      </c>
      <c r="AM42" s="1663" t="s">
        <v>9547</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9182</v>
      </c>
      <c r="C43" s="1579">
        <v>0.05070601851851852</v>
      </c>
      <c r="D43" s="1021" t="s">
        <v>10076</v>
      </c>
      <c r="E43" s="1688" t="s">
        <v>3202</v>
      </c>
      <c r="F43" s="1688" t="s">
        <v>9377</v>
      </c>
      <c r="G43" s="1688" t="s">
        <v>10077</v>
      </c>
      <c r="H43" s="916" t="s">
        <v>10078</v>
      </c>
      <c r="I43" s="916" t="s">
        <v>387</v>
      </c>
      <c r="J43" s="1689" t="s">
        <v>10079</v>
      </c>
      <c r="K43" s="1689" t="s">
        <v>3511</v>
      </c>
      <c r="L43" s="1689" t="s">
        <v>5539</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9126</v>
      </c>
      <c r="Z43" s="1691" t="s">
        <v>2653</v>
      </c>
      <c r="AA43" s="1691" t="s">
        <v>10085</v>
      </c>
      <c r="AB43" s="1691" t="s">
        <v>2645</v>
      </c>
      <c r="AC43" s="1691" t="s">
        <v>3117</v>
      </c>
      <c r="AD43" s="1688" t="s">
        <v>10086</v>
      </c>
      <c r="AE43" s="1688" t="s">
        <v>6327</v>
      </c>
      <c r="AF43" s="1692" t="s">
        <v>9335</v>
      </c>
      <c r="AG43" s="1692" t="s">
        <v>10087</v>
      </c>
      <c r="AH43" s="1692" t="s">
        <v>2260</v>
      </c>
      <c r="AI43" s="1692" t="s">
        <v>10088</v>
      </c>
      <c r="AJ43" s="1692" t="s">
        <v>10089</v>
      </c>
      <c r="AK43" s="1692" t="s">
        <v>10090</v>
      </c>
      <c r="AL43" s="1692" t="s">
        <v>5509</v>
      </c>
      <c r="AM43" s="1662" t="s">
        <v>9943</v>
      </c>
      <c r="AN43" s="1662" t="s">
        <v>5509</v>
      </c>
      <c r="AO43" s="1662" t="s">
        <v>2307</v>
      </c>
      <c r="AP43" s="1662" t="s">
        <v>10091</v>
      </c>
      <c r="AQ43" s="1662" t="s">
        <v>10092</v>
      </c>
      <c r="AR43" s="1662" t="s">
        <v>4701</v>
      </c>
      <c r="AS43" s="1662" t="s">
        <v>4407</v>
      </c>
      <c r="AT43" s="1689" t="s">
        <v>10093</v>
      </c>
      <c r="AU43" s="1686" t="s">
        <v>10094</v>
      </c>
      <c r="AV43" s="1463" t="str">
        <f t="shared" si="1"/>
        <v>2:54</v>
      </c>
      <c r="AW43" s="1687"/>
    </row>
    <row r="44">
      <c r="A44" s="1635" t="s">
        <v>2827</v>
      </c>
      <c r="B44" s="1633" t="s">
        <v>9182</v>
      </c>
      <c r="C44" s="1579">
        <v>0.050826388888888886</v>
      </c>
      <c r="D44" s="1604" t="s">
        <v>10095</v>
      </c>
      <c r="E44" s="1604" t="s">
        <v>6811</v>
      </c>
      <c r="F44" s="1658" t="s">
        <v>10096</v>
      </c>
      <c r="G44" s="1604" t="s">
        <v>10097</v>
      </c>
      <c r="H44" s="1604" t="s">
        <v>6599</v>
      </c>
      <c r="I44" s="1604" t="s">
        <v>1291</v>
      </c>
      <c r="J44" s="1604" t="s">
        <v>10098</v>
      </c>
      <c r="K44" s="1604" t="s">
        <v>3980</v>
      </c>
      <c r="L44" s="1604" t="s">
        <v>5945</v>
      </c>
      <c r="M44" s="1604" t="s">
        <v>10099</v>
      </c>
      <c r="N44" s="1604" t="s">
        <v>6747</v>
      </c>
      <c r="O44" s="1604" t="s">
        <v>10100</v>
      </c>
      <c r="P44" s="1604" t="s">
        <v>9683</v>
      </c>
      <c r="Q44" s="1604" t="s">
        <v>10101</v>
      </c>
      <c r="R44" s="1604" t="s">
        <v>10102</v>
      </c>
      <c r="S44" s="1604" t="s">
        <v>10103</v>
      </c>
      <c r="T44" s="1604" t="s">
        <v>1707</v>
      </c>
      <c r="U44" s="1604" t="s">
        <v>10104</v>
      </c>
      <c r="V44" s="1604" t="s">
        <v>8314</v>
      </c>
      <c r="W44" s="1604" t="s">
        <v>5569</v>
      </c>
      <c r="X44" s="1604" t="s">
        <v>10105</v>
      </c>
      <c r="Y44" s="1604" t="s">
        <v>8213</v>
      </c>
      <c r="Z44" s="1604" t="s">
        <v>10106</v>
      </c>
      <c r="AA44" s="1660" t="s">
        <v>10107</v>
      </c>
      <c r="AB44" s="1604" t="s">
        <v>1907</v>
      </c>
      <c r="AC44" s="1604" t="s">
        <v>7240</v>
      </c>
      <c r="AD44" s="1604" t="s">
        <v>10108</v>
      </c>
      <c r="AE44" s="1604" t="s">
        <v>4978</v>
      </c>
      <c r="AF44" s="1604" t="s">
        <v>10109</v>
      </c>
      <c r="AG44" s="1604" t="s">
        <v>1176</v>
      </c>
      <c r="AH44" s="1604" t="s">
        <v>3903</v>
      </c>
      <c r="AI44" s="1604" t="s">
        <v>10110</v>
      </c>
      <c r="AJ44" s="1604" t="s">
        <v>10111</v>
      </c>
      <c r="AK44" s="1604" t="s">
        <v>10020</v>
      </c>
      <c r="AL44" s="1604" t="s">
        <v>4369</v>
      </c>
      <c r="AM44" s="1604" t="s">
        <v>10020</v>
      </c>
      <c r="AN44" s="1604" t="s">
        <v>9260</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9182</v>
      </c>
      <c r="C45" s="1710">
        <v>0.050868055555555555</v>
      </c>
      <c r="D45" s="1021" t="s">
        <v>10116</v>
      </c>
      <c r="E45" s="1463" t="s">
        <v>7217</v>
      </c>
      <c r="F45" s="1463" t="s">
        <v>10117</v>
      </c>
      <c r="G45" s="1463" t="s">
        <v>10118</v>
      </c>
      <c r="H45" s="1463" t="s">
        <v>9287</v>
      </c>
      <c r="I45" s="1463" t="s">
        <v>1291</v>
      </c>
      <c r="J45" s="1463" t="s">
        <v>4851</v>
      </c>
      <c r="K45" s="1463" t="s">
        <v>9691</v>
      </c>
      <c r="L45" s="1463" t="s">
        <v>9549</v>
      </c>
      <c r="M45" s="1463" t="s">
        <v>5469</v>
      </c>
      <c r="N45" s="1463" t="s">
        <v>8686</v>
      </c>
      <c r="O45" s="1463" t="s">
        <v>10119</v>
      </c>
      <c r="P45" s="1463" t="s">
        <v>4305</v>
      </c>
      <c r="Q45" s="1463" t="s">
        <v>10120</v>
      </c>
      <c r="R45" s="1463" t="s">
        <v>6923</v>
      </c>
      <c r="S45" s="1463" t="s">
        <v>9487</v>
      </c>
      <c r="T45" s="1463" t="s">
        <v>4622</v>
      </c>
      <c r="U45" s="1463" t="s">
        <v>10121</v>
      </c>
      <c r="V45" s="1463" t="s">
        <v>9732</v>
      </c>
      <c r="W45" s="1463" t="s">
        <v>10122</v>
      </c>
      <c r="X45" s="1463" t="s">
        <v>9737</v>
      </c>
      <c r="Y45" s="1463" t="s">
        <v>3641</v>
      </c>
      <c r="Z45" s="1463" t="s">
        <v>10123</v>
      </c>
      <c r="AA45" s="1463" t="s">
        <v>10124</v>
      </c>
      <c r="AB45" s="1463" t="s">
        <v>194</v>
      </c>
      <c r="AC45" s="1463" t="s">
        <v>3019</v>
      </c>
      <c r="AD45" s="1463" t="s">
        <v>10125</v>
      </c>
      <c r="AE45" s="1463" t="s">
        <v>618</v>
      </c>
      <c r="AF45" s="1463" t="s">
        <v>10126</v>
      </c>
      <c r="AG45" s="1463" t="s">
        <v>6063</v>
      </c>
      <c r="AH45" s="1463" t="s">
        <v>9288</v>
      </c>
      <c r="AI45" s="1463" t="s">
        <v>6996</v>
      </c>
      <c r="AJ45" s="1463" t="s">
        <v>10127</v>
      </c>
      <c r="AK45" s="1463" t="s">
        <v>5497</v>
      </c>
      <c r="AL45" s="1463" t="s">
        <v>3211</v>
      </c>
      <c r="AM45" s="1463" t="s">
        <v>10128</v>
      </c>
      <c r="AN45" s="1463" t="s">
        <v>3346</v>
      </c>
      <c r="AO45" s="1463" t="s">
        <v>9677</v>
      </c>
      <c r="AP45" s="1463" t="s">
        <v>10129</v>
      </c>
      <c r="AQ45" s="1463" t="s">
        <v>10130</v>
      </c>
      <c r="AR45" s="1463" t="s">
        <v>9540</v>
      </c>
      <c r="AS45" s="1463" t="s">
        <v>5150</v>
      </c>
      <c r="AT45" s="1463" t="s">
        <v>10131</v>
      </c>
      <c r="AU45" s="1463" t="s">
        <v>10132</v>
      </c>
      <c r="AV45" s="1463" t="str">
        <f t="shared" si="1"/>
        <v>2:44</v>
      </c>
      <c r="AW45" s="1615"/>
    </row>
    <row r="46" ht="15.75" customHeight="1">
      <c r="A46" s="1635" t="s">
        <v>1877</v>
      </c>
      <c r="B46" s="1717" t="s">
        <v>9236</v>
      </c>
      <c r="C46" s="1718">
        <v>0.05092592592592592</v>
      </c>
      <c r="D46" s="1719" t="s">
        <v>9237</v>
      </c>
      <c r="E46" s="1720" t="s">
        <v>9238</v>
      </c>
      <c r="F46" s="1719" t="s">
        <v>9239</v>
      </c>
      <c r="G46" s="1604" t="s">
        <v>10133</v>
      </c>
      <c r="H46" s="1719" t="s">
        <v>9241</v>
      </c>
      <c r="I46" s="1463" t="s">
        <v>1409</v>
      </c>
      <c r="J46" s="1688" t="s">
        <v>10134</v>
      </c>
      <c r="K46" s="1463" t="s">
        <v>9913</v>
      </c>
      <c r="L46" s="1688" t="s">
        <v>2333</v>
      </c>
      <c r="M46" s="1463" t="s">
        <v>2775</v>
      </c>
      <c r="N46" s="1719" t="s">
        <v>9202</v>
      </c>
      <c r="O46" s="1463" t="s">
        <v>10135</v>
      </c>
      <c r="P46" s="1688" t="s">
        <v>637</v>
      </c>
      <c r="Q46" s="1720" t="s">
        <v>9246</v>
      </c>
      <c r="R46" s="1719" t="s">
        <v>9247</v>
      </c>
      <c r="S46" s="1463" t="s">
        <v>1162</v>
      </c>
      <c r="T46" s="1688" t="s">
        <v>7292</v>
      </c>
      <c r="U46" s="1720" t="s">
        <v>9249</v>
      </c>
      <c r="V46" s="1719" t="s">
        <v>4300</v>
      </c>
      <c r="W46" s="1463" t="s">
        <v>10136</v>
      </c>
      <c r="X46" s="1719" t="s">
        <v>9251</v>
      </c>
      <c r="Y46" s="1463" t="s">
        <v>5737</v>
      </c>
      <c r="Z46" s="1658" t="s">
        <v>10137</v>
      </c>
      <c r="AA46" s="1463" t="s">
        <v>2309</v>
      </c>
      <c r="AB46" s="1688" t="s">
        <v>9579</v>
      </c>
      <c r="AC46" s="1604" t="s">
        <v>10138</v>
      </c>
      <c r="AD46" s="1688" t="s">
        <v>10139</v>
      </c>
      <c r="AE46" s="1604" t="s">
        <v>10140</v>
      </c>
      <c r="AF46" s="1688" t="s">
        <v>10141</v>
      </c>
      <c r="AG46" s="1463" t="s">
        <v>8112</v>
      </c>
      <c r="AH46" s="1658" t="s">
        <v>10031</v>
      </c>
      <c r="AI46" s="1720" t="s">
        <v>9256</v>
      </c>
      <c r="AJ46" s="1688" t="s">
        <v>10142</v>
      </c>
      <c r="AK46" s="1463" t="s">
        <v>5969</v>
      </c>
      <c r="AL46" s="1719" t="s">
        <v>9258</v>
      </c>
      <c r="AM46" s="1463" t="s">
        <v>9641</v>
      </c>
      <c r="AN46" s="1688" t="s">
        <v>3923</v>
      </c>
      <c r="AO46" s="1604" t="s">
        <v>4908</v>
      </c>
      <c r="AP46" s="1658" t="s">
        <v>10143</v>
      </c>
      <c r="AQ46" s="1604" t="s">
        <v>10144</v>
      </c>
      <c r="AR46" s="1658" t="s">
        <v>10145</v>
      </c>
      <c r="AS46" s="1463" t="s">
        <v>971</v>
      </c>
      <c r="AT46" s="1719" t="s">
        <v>9264</v>
      </c>
      <c r="AU46" s="1720" t="s">
        <v>9265</v>
      </c>
      <c r="AV46" s="1463" t="str">
        <f t="shared" si="1"/>
        <v>2:24</v>
      </c>
      <c r="AW46" s="1634"/>
    </row>
    <row r="47">
      <c r="A47" s="1635" t="s">
        <v>2584</v>
      </c>
      <c r="B47" s="1636" t="s">
        <v>9210</v>
      </c>
      <c r="C47" s="1579">
        <v>0.05092592592592592</v>
      </c>
      <c r="D47" s="1021" t="s">
        <v>10146</v>
      </c>
      <c r="E47" s="1658" t="s">
        <v>10147</v>
      </c>
      <c r="F47" s="1658" t="s">
        <v>10148</v>
      </c>
      <c r="G47" s="1658" t="s">
        <v>10149</v>
      </c>
      <c r="H47" s="886" t="s">
        <v>10150</v>
      </c>
      <c r="I47" s="886" t="s">
        <v>2963</v>
      </c>
      <c r="J47" s="1641" t="s">
        <v>7967</v>
      </c>
      <c r="K47" s="1641" t="s">
        <v>3599</v>
      </c>
      <c r="L47" s="1641" t="s">
        <v>5882</v>
      </c>
      <c r="M47" s="1641" t="s">
        <v>3135</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9229</v>
      </c>
      <c r="AK47" s="1661" t="s">
        <v>194</v>
      </c>
      <c r="AL47" s="1661" t="s">
        <v>5970</v>
      </c>
      <c r="AM47" s="1663" t="s">
        <v>4083</v>
      </c>
      <c r="AN47" s="1663" t="s">
        <v>3739</v>
      </c>
      <c r="AO47" s="1663" t="s">
        <v>2405</v>
      </c>
      <c r="AP47" s="1663" t="s">
        <v>10160</v>
      </c>
      <c r="AQ47" s="1663" t="s">
        <v>4321</v>
      </c>
      <c r="AR47" s="1663" t="s">
        <v>7263</v>
      </c>
      <c r="AS47" s="1663" t="s">
        <v>6619</v>
      </c>
      <c r="AT47" s="1641" t="s">
        <v>10161</v>
      </c>
      <c r="AU47" s="1060" t="s">
        <v>10162</v>
      </c>
      <c r="AV47" s="1463" t="str">
        <f t="shared" si="1"/>
        <v>4:25</v>
      </c>
      <c r="AW47" s="1632"/>
    </row>
    <row r="48" ht="15.75" customHeight="1">
      <c r="A48" s="1577" t="s">
        <v>4509</v>
      </c>
      <c r="B48" s="1669" t="s">
        <v>9210</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9271</v>
      </c>
      <c r="O48" s="1641" t="s">
        <v>9391</v>
      </c>
      <c r="P48" s="1641" t="s">
        <v>10168</v>
      </c>
      <c r="Q48" s="1644" t="s">
        <v>10169</v>
      </c>
      <c r="R48" s="1644" t="s">
        <v>3496</v>
      </c>
      <c r="S48" s="1644" t="s">
        <v>7196</v>
      </c>
      <c r="T48" s="1644" t="s">
        <v>10170</v>
      </c>
      <c r="U48" s="1644" t="s">
        <v>10171</v>
      </c>
      <c r="V48" s="1690" t="s">
        <v>1363</v>
      </c>
      <c r="W48" s="1660" t="s">
        <v>10172</v>
      </c>
      <c r="X48" s="1660" t="s">
        <v>9963</v>
      </c>
      <c r="Y48" s="1660" t="s">
        <v>4025</v>
      </c>
      <c r="Z48" s="1660" t="s">
        <v>7153</v>
      </c>
      <c r="AA48" s="1660" t="s">
        <v>1091</v>
      </c>
      <c r="AB48" s="1660" t="s">
        <v>3951</v>
      </c>
      <c r="AC48" s="1691" t="s">
        <v>7754</v>
      </c>
      <c r="AD48" s="1658" t="s">
        <v>10173</v>
      </c>
      <c r="AE48" s="1688" t="s">
        <v>2164</v>
      </c>
      <c r="AF48" s="1661" t="s">
        <v>10174</v>
      </c>
      <c r="AG48" s="1661" t="s">
        <v>10175</v>
      </c>
      <c r="AH48" s="1661" t="s">
        <v>10176</v>
      </c>
      <c r="AI48" s="1661" t="s">
        <v>9623</v>
      </c>
      <c r="AJ48" s="1661" t="s">
        <v>10177</v>
      </c>
      <c r="AK48" s="1661" t="s">
        <v>10178</v>
      </c>
      <c r="AL48" s="1661" t="s">
        <v>4541</v>
      </c>
      <c r="AM48" s="1663" t="s">
        <v>10179</v>
      </c>
      <c r="AN48" s="1663" t="s">
        <v>3471</v>
      </c>
      <c r="AO48" s="1663" t="s">
        <v>10180</v>
      </c>
      <c r="AP48" s="1663" t="s">
        <v>10181</v>
      </c>
      <c r="AQ48" s="1663" t="s">
        <v>4321</v>
      </c>
      <c r="AR48" s="1663" t="s">
        <v>10182</v>
      </c>
      <c r="AS48" s="1663" t="s">
        <v>4563</v>
      </c>
      <c r="AT48" s="1641" t="s">
        <v>10183</v>
      </c>
      <c r="AU48" s="1625" t="s">
        <v>10184</v>
      </c>
      <c r="AV48" s="1463" t="str">
        <f t="shared" si="1"/>
        <v>3:17</v>
      </c>
      <c r="AW48" s="1626" t="s">
        <v>10185</v>
      </c>
    </row>
    <row r="49" ht="15.75" customHeight="1">
      <c r="A49" s="1635" t="s">
        <v>1051</v>
      </c>
      <c r="B49" s="1623" t="s">
        <v>9210</v>
      </c>
      <c r="C49" s="1579">
        <v>0.05112268518518519</v>
      </c>
      <c r="D49" s="1658" t="s">
        <v>10186</v>
      </c>
      <c r="E49" s="1658" t="s">
        <v>4667</v>
      </c>
      <c r="F49" s="1658" t="s">
        <v>10187</v>
      </c>
      <c r="G49" s="1658" t="s">
        <v>10188</v>
      </c>
      <c r="H49" s="1021" t="s">
        <v>10189</v>
      </c>
      <c r="I49" s="886" t="s">
        <v>5425</v>
      </c>
      <c r="J49" s="1641" t="s">
        <v>9390</v>
      </c>
      <c r="K49" s="1641" t="s">
        <v>10190</v>
      </c>
      <c r="L49" s="1585" t="s">
        <v>3657</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2848</v>
      </c>
      <c r="AC49" s="1660" t="s">
        <v>5094</v>
      </c>
      <c r="AD49" s="1658" t="s">
        <v>10201</v>
      </c>
      <c r="AE49" s="1658" t="s">
        <v>5604</v>
      </c>
      <c r="AF49" s="1661" t="s">
        <v>9409</v>
      </c>
      <c r="AG49" s="1661" t="s">
        <v>274</v>
      </c>
      <c r="AH49" s="1661" t="s">
        <v>463</v>
      </c>
      <c r="AI49" s="1661" t="s">
        <v>10202</v>
      </c>
      <c r="AJ49" s="1661" t="s">
        <v>10203</v>
      </c>
      <c r="AK49" s="1661" t="s">
        <v>4158</v>
      </c>
      <c r="AL49" s="1661" t="s">
        <v>10204</v>
      </c>
      <c r="AM49" s="1663" t="s">
        <v>10205</v>
      </c>
      <c r="AN49" s="1723" t="s">
        <v>3223</v>
      </c>
      <c r="AO49" s="1663" t="s">
        <v>8268</v>
      </c>
      <c r="AP49" s="1663" t="s">
        <v>10206</v>
      </c>
      <c r="AQ49" s="1663" t="s">
        <v>10207</v>
      </c>
      <c r="AR49" s="1663" t="s">
        <v>10208</v>
      </c>
      <c r="AS49" s="1663" t="s">
        <v>9102</v>
      </c>
      <c r="AT49" s="1641" t="s">
        <v>10209</v>
      </c>
      <c r="AU49" s="1625" t="s">
        <v>10210</v>
      </c>
      <c r="AV49" s="1463" t="str">
        <f t="shared" si="1"/>
        <v>4:57</v>
      </c>
      <c r="AW49" s="1687"/>
    </row>
    <row r="50">
      <c r="A50" s="1635" t="s">
        <v>2378</v>
      </c>
      <c r="B50" s="1633" t="s">
        <v>9210</v>
      </c>
      <c r="C50" s="1579">
        <v>0.05112268518518519</v>
      </c>
      <c r="D50" s="1604" t="s">
        <v>10211</v>
      </c>
      <c r="E50" s="1604" t="s">
        <v>4527</v>
      </c>
      <c r="F50" s="1604" t="s">
        <v>6175</v>
      </c>
      <c r="G50" s="1703" t="s">
        <v>9213</v>
      </c>
      <c r="H50" s="1021" t="s">
        <v>10212</v>
      </c>
      <c r="I50" s="1604" t="s">
        <v>765</v>
      </c>
      <c r="J50" s="1604" t="s">
        <v>7564</v>
      </c>
      <c r="K50" s="1604" t="s">
        <v>2543</v>
      </c>
      <c r="L50" s="1604" t="s">
        <v>1363</v>
      </c>
      <c r="M50" s="1604" t="s">
        <v>10213</v>
      </c>
      <c r="N50" s="1604" t="s">
        <v>9296</v>
      </c>
      <c r="O50" s="1604" t="s">
        <v>10214</v>
      </c>
      <c r="P50" s="1604" t="s">
        <v>3641</v>
      </c>
      <c r="Q50" s="1604" t="s">
        <v>10215</v>
      </c>
      <c r="R50" s="1604" t="s">
        <v>10216</v>
      </c>
      <c r="S50" s="1604" t="s">
        <v>3787</v>
      </c>
      <c r="T50" s="1604" t="s">
        <v>7493</v>
      </c>
      <c r="U50" s="1644" t="s">
        <v>9648</v>
      </c>
      <c r="V50" s="1604" t="s">
        <v>10217</v>
      </c>
      <c r="W50" s="1604" t="s">
        <v>10218</v>
      </c>
      <c r="X50" s="1604" t="s">
        <v>1484</v>
      </c>
      <c r="Y50" s="1604" t="s">
        <v>8219</v>
      </c>
      <c r="Z50" s="1604" t="s">
        <v>9448</v>
      </c>
      <c r="AA50" s="1660" t="s">
        <v>613</v>
      </c>
      <c r="AB50" s="1604" t="s">
        <v>10219</v>
      </c>
      <c r="AC50" s="1604" t="s">
        <v>5333</v>
      </c>
      <c r="AD50" s="1604" t="s">
        <v>10220</v>
      </c>
      <c r="AE50" s="1604" t="s">
        <v>3641</v>
      </c>
      <c r="AF50" s="1604" t="s">
        <v>10221</v>
      </c>
      <c r="AG50" s="1604" t="s">
        <v>10222</v>
      </c>
      <c r="AH50" s="1604" t="s">
        <v>2567</v>
      </c>
      <c r="AI50" s="1604" t="s">
        <v>6208</v>
      </c>
      <c r="AJ50" s="1604" t="s">
        <v>10223</v>
      </c>
      <c r="AK50" s="1604" t="s">
        <v>9739</v>
      </c>
      <c r="AL50" s="1604" t="s">
        <v>10224</v>
      </c>
      <c r="AM50" s="1604" t="s">
        <v>2770</v>
      </c>
      <c r="AN50" s="1604" t="s">
        <v>10225</v>
      </c>
      <c r="AO50" s="1604" t="s">
        <v>7422</v>
      </c>
      <c r="AP50" s="1604" t="s">
        <v>10226</v>
      </c>
      <c r="AQ50" s="1604" t="s">
        <v>10227</v>
      </c>
      <c r="AR50" s="1604" t="s">
        <v>2259</v>
      </c>
      <c r="AS50" s="1604" t="s">
        <v>8213</v>
      </c>
      <c r="AT50" s="1604" t="s">
        <v>10228</v>
      </c>
      <c r="AU50" s="1604" t="s">
        <v>10229</v>
      </c>
      <c r="AV50" s="1463" t="str">
        <f t="shared" si="1"/>
        <v>3:15</v>
      </c>
      <c r="AW50" s="1074"/>
    </row>
    <row r="51">
      <c r="A51" s="1635" t="s">
        <v>2651</v>
      </c>
      <c r="B51" s="1633" t="s">
        <v>9182</v>
      </c>
      <c r="C51" s="1579">
        <v>0.051145833333333335</v>
      </c>
      <c r="D51" s="1021" t="s">
        <v>10230</v>
      </c>
      <c r="E51" s="817" t="s">
        <v>4143</v>
      </c>
      <c r="F51" s="817" t="s">
        <v>1682</v>
      </c>
      <c r="G51" s="817" t="s">
        <v>10231</v>
      </c>
      <c r="H51" s="1021" t="s">
        <v>10232</v>
      </c>
      <c r="I51" s="817" t="s">
        <v>10138</v>
      </c>
      <c r="J51" s="817" t="s">
        <v>10233</v>
      </c>
      <c r="K51" s="817" t="s">
        <v>10233</v>
      </c>
      <c r="L51" s="817" t="s">
        <v>4147</v>
      </c>
      <c r="M51" s="817" t="s">
        <v>3433</v>
      </c>
      <c r="N51" s="817" t="s">
        <v>10234</v>
      </c>
      <c r="O51" s="817" t="s">
        <v>10235</v>
      </c>
      <c r="P51" s="817" t="s">
        <v>9225</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5939</v>
      </c>
      <c r="AC51" s="817" t="s">
        <v>1235</v>
      </c>
      <c r="AD51" s="817" t="s">
        <v>10243</v>
      </c>
      <c r="AE51" s="817" t="s">
        <v>9683</v>
      </c>
      <c r="AF51" s="817" t="s">
        <v>10244</v>
      </c>
      <c r="AG51" s="817" t="s">
        <v>10245</v>
      </c>
      <c r="AH51" s="817" t="s">
        <v>3767</v>
      </c>
      <c r="AI51" s="817" t="s">
        <v>10246</v>
      </c>
      <c r="AJ51" s="817" t="s">
        <v>10247</v>
      </c>
      <c r="AK51" s="817" t="s">
        <v>10248</v>
      </c>
      <c r="AL51" s="817" t="s">
        <v>4987</v>
      </c>
      <c r="AM51" s="817" t="s">
        <v>3624</v>
      </c>
      <c r="AN51" s="817" t="s">
        <v>5676</v>
      </c>
      <c r="AO51" s="817" t="s">
        <v>5187</v>
      </c>
      <c r="AP51" s="817" t="s">
        <v>10249</v>
      </c>
      <c r="AQ51" s="817" t="s">
        <v>3375</v>
      </c>
      <c r="AR51" s="817" t="s">
        <v>10250</v>
      </c>
      <c r="AS51" s="817" t="s">
        <v>1397</v>
      </c>
      <c r="AT51" s="817" t="s">
        <v>700</v>
      </c>
      <c r="AU51" s="817" t="s">
        <v>10251</v>
      </c>
      <c r="AV51" s="1463" t="str">
        <f t="shared" si="1"/>
        <v>3:47</v>
      </c>
      <c r="AW51" s="1724" t="s">
        <v>10252</v>
      </c>
    </row>
    <row r="52" ht="15.75" customHeight="1">
      <c r="A52" s="1577" t="s">
        <v>10253</v>
      </c>
      <c r="B52" s="1725" t="s">
        <v>9182</v>
      </c>
      <c r="C52" s="1579">
        <v>0.051180555555555556</v>
      </c>
      <c r="D52" s="1021" t="s">
        <v>10254</v>
      </c>
      <c r="E52" s="1604" t="s">
        <v>10255</v>
      </c>
      <c r="F52" s="1604" t="s">
        <v>4161</v>
      </c>
      <c r="G52" s="1604" t="s">
        <v>10256</v>
      </c>
      <c r="H52" s="1604" t="s">
        <v>10257</v>
      </c>
      <c r="I52" s="1604" t="s">
        <v>161</v>
      </c>
      <c r="J52" s="1604" t="s">
        <v>885</v>
      </c>
      <c r="K52" s="1604" t="s">
        <v>7135</v>
      </c>
      <c r="L52" s="1604" t="s">
        <v>9398</v>
      </c>
      <c r="M52" s="1604" t="s">
        <v>5959</v>
      </c>
      <c r="N52" s="1604" t="s">
        <v>10258</v>
      </c>
      <c r="O52" s="1604" t="s">
        <v>10259</v>
      </c>
      <c r="P52" s="1604" t="s">
        <v>5635</v>
      </c>
      <c r="Q52" s="1604" t="s">
        <v>6733</v>
      </c>
      <c r="R52" s="1604" t="s">
        <v>10260</v>
      </c>
      <c r="S52" s="1604" t="s">
        <v>9033</v>
      </c>
      <c r="T52" s="1463" t="s">
        <v>4204</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3220</v>
      </c>
      <c r="AF52" s="1463" t="s">
        <v>10267</v>
      </c>
      <c r="AG52" s="1604" t="s">
        <v>386</v>
      </c>
      <c r="AH52" s="1604" t="s">
        <v>10268</v>
      </c>
      <c r="AI52" s="1604" t="s">
        <v>3769</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9290</v>
      </c>
      <c r="AT52" s="1604" t="s">
        <v>10274</v>
      </c>
      <c r="AU52" s="1604" t="s">
        <v>10275</v>
      </c>
      <c r="AV52" s="1463" t="str">
        <f t="shared" si="1"/>
        <v>2:40</v>
      </c>
      <c r="AW52" s="1668" t="s">
        <v>10276</v>
      </c>
    </row>
    <row r="53" ht="15.75" customHeight="1">
      <c r="A53" s="1635" t="s">
        <v>3755</v>
      </c>
      <c r="B53" s="1717" t="s">
        <v>9182</v>
      </c>
      <c r="C53" s="1726">
        <v>0.05123738425925926</v>
      </c>
      <c r="D53" s="1658" t="s">
        <v>10277</v>
      </c>
      <c r="E53" s="1658" t="s">
        <v>3914</v>
      </c>
      <c r="F53" s="1658" t="s">
        <v>10278</v>
      </c>
      <c r="G53" s="1658" t="s">
        <v>9703</v>
      </c>
      <c r="H53" s="886" t="s">
        <v>10279</v>
      </c>
      <c r="I53" s="886" t="s">
        <v>9934</v>
      </c>
      <c r="J53" s="1641" t="s">
        <v>9911</v>
      </c>
      <c r="K53" s="1641" t="s">
        <v>8255</v>
      </c>
      <c r="L53" s="1641" t="s">
        <v>10280</v>
      </c>
      <c r="M53" s="1641" t="s">
        <v>5587</v>
      </c>
      <c r="N53" s="1727" t="s">
        <v>1161</v>
      </c>
      <c r="O53" s="1641" t="s">
        <v>3425</v>
      </c>
      <c r="P53" s="1641" t="s">
        <v>9334</v>
      </c>
      <c r="Q53" s="1644" t="s">
        <v>10281</v>
      </c>
      <c r="R53" s="1644" t="s">
        <v>9869</v>
      </c>
      <c r="S53" s="1644" t="s">
        <v>10282</v>
      </c>
      <c r="T53" s="1644" t="s">
        <v>10283</v>
      </c>
      <c r="U53" s="1644" t="s">
        <v>10284</v>
      </c>
      <c r="V53" s="1644" t="s">
        <v>4231</v>
      </c>
      <c r="W53" s="1660" t="s">
        <v>10285</v>
      </c>
      <c r="X53" s="1660" t="s">
        <v>10286</v>
      </c>
      <c r="Y53" s="1660" t="s">
        <v>10287</v>
      </c>
      <c r="Z53" s="1660" t="s">
        <v>1352</v>
      </c>
      <c r="AA53" s="1660" t="s">
        <v>9623</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9563</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9236</v>
      </c>
      <c r="C54" s="1710">
        <v>0.051319444444444445</v>
      </c>
      <c r="D54" s="1021" t="s">
        <v>10302</v>
      </c>
      <c r="E54" s="1463" t="s">
        <v>10303</v>
      </c>
      <c r="F54" s="1463" t="s">
        <v>10304</v>
      </c>
      <c r="G54" s="1463" t="s">
        <v>10305</v>
      </c>
      <c r="H54" s="1463" t="s">
        <v>5107</v>
      </c>
      <c r="I54" s="1463" t="s">
        <v>6632</v>
      </c>
      <c r="J54" s="1463" t="s">
        <v>10306</v>
      </c>
      <c r="K54" s="1463" t="s">
        <v>9353</v>
      </c>
      <c r="L54" s="1463" t="s">
        <v>3904</v>
      </c>
      <c r="M54" s="1463" t="s">
        <v>10058</v>
      </c>
      <c r="N54" s="1463" t="s">
        <v>9853</v>
      </c>
      <c r="O54" s="1463" t="s">
        <v>10307</v>
      </c>
      <c r="P54" s="1730" t="s">
        <v>9245</v>
      </c>
      <c r="Q54" s="1463" t="s">
        <v>10308</v>
      </c>
      <c r="R54" s="1463" t="s">
        <v>5948</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5604</v>
      </c>
      <c r="AF54" s="1730" t="s">
        <v>2807</v>
      </c>
      <c r="AG54" s="1463" t="s">
        <v>4604</v>
      </c>
      <c r="AH54" s="1463" t="s">
        <v>10313</v>
      </c>
      <c r="AI54" s="1463" t="s">
        <v>10314</v>
      </c>
      <c r="AJ54" s="1463" t="s">
        <v>10315</v>
      </c>
      <c r="AK54" s="1463" t="s">
        <v>6116</v>
      </c>
      <c r="AL54" s="1463" t="s">
        <v>6347</v>
      </c>
      <c r="AM54" s="1730" t="s">
        <v>9259</v>
      </c>
      <c r="AN54" s="1604" t="s">
        <v>2516</v>
      </c>
      <c r="AO54" s="1463" t="s">
        <v>4964</v>
      </c>
      <c r="AP54" s="1463" t="s">
        <v>10316</v>
      </c>
      <c r="AQ54" s="1463" t="s">
        <v>10317</v>
      </c>
      <c r="AR54" s="1463" t="s">
        <v>8261</v>
      </c>
      <c r="AS54" s="1463" t="s">
        <v>4452</v>
      </c>
      <c r="AT54" s="1463" t="s">
        <v>10318</v>
      </c>
      <c r="AU54" s="1463" t="s">
        <v>10319</v>
      </c>
      <c r="AV54" s="1463" t="str">
        <f t="shared" si="1"/>
        <v>3:15</v>
      </c>
      <c r="AW54" s="1668" t="s">
        <v>10320</v>
      </c>
    </row>
    <row r="55">
      <c r="A55" s="1635" t="s">
        <v>1946</v>
      </c>
      <c r="B55" s="1623" t="s">
        <v>9182</v>
      </c>
      <c r="C55" s="1579">
        <v>0.05133101851851852</v>
      </c>
      <c r="D55" s="1716" t="s">
        <v>10321</v>
      </c>
      <c r="E55" s="1658" t="s">
        <v>10322</v>
      </c>
      <c r="F55" s="1658" t="s">
        <v>10323</v>
      </c>
      <c r="G55" s="1658" t="s">
        <v>10324</v>
      </c>
      <c r="H55" s="886" t="s">
        <v>10325</v>
      </c>
      <c r="I55" s="886" t="s">
        <v>3117</v>
      </c>
      <c r="J55" s="1641" t="s">
        <v>1933</v>
      </c>
      <c r="K55" s="1641" t="s">
        <v>10326</v>
      </c>
      <c r="L55" s="1641" t="s">
        <v>4192</v>
      </c>
      <c r="M55" s="1641" t="s">
        <v>10327</v>
      </c>
      <c r="N55" s="1641" t="s">
        <v>9455</v>
      </c>
      <c r="O55" s="1641" t="s">
        <v>10328</v>
      </c>
      <c r="P55" s="1641" t="s">
        <v>9395</v>
      </c>
      <c r="Q55" s="1644" t="s">
        <v>10329</v>
      </c>
      <c r="R55" s="1644" t="s">
        <v>10102</v>
      </c>
      <c r="S55" s="1644" t="s">
        <v>7512</v>
      </c>
      <c r="T55" s="1644" t="s">
        <v>10107</v>
      </c>
      <c r="U55" s="1644" t="s">
        <v>10330</v>
      </c>
      <c r="V55" s="1644" t="s">
        <v>9888</v>
      </c>
      <c r="W55" s="1660" t="s">
        <v>10331</v>
      </c>
      <c r="X55" s="1660" t="s">
        <v>10332</v>
      </c>
      <c r="Y55" s="1660" t="s">
        <v>5573</v>
      </c>
      <c r="Z55" s="1660" t="s">
        <v>1499</v>
      </c>
      <c r="AA55" s="1660" t="s">
        <v>10333</v>
      </c>
      <c r="AB55" s="1660" t="s">
        <v>6416</v>
      </c>
      <c r="AC55" s="1660" t="s">
        <v>263</v>
      </c>
      <c r="AD55" s="1658" t="s">
        <v>9690</v>
      </c>
      <c r="AE55" s="1658" t="s">
        <v>5573</v>
      </c>
      <c r="AF55" s="1661" t="s">
        <v>10334</v>
      </c>
      <c r="AG55" s="1661" t="s">
        <v>5908</v>
      </c>
      <c r="AH55" s="1661" t="s">
        <v>4073</v>
      </c>
      <c r="AI55" s="1661" t="s">
        <v>10335</v>
      </c>
      <c r="AJ55" s="1661" t="s">
        <v>10336</v>
      </c>
      <c r="AK55" s="1661" t="s">
        <v>10263</v>
      </c>
      <c r="AL55" s="1661" t="s">
        <v>3237</v>
      </c>
      <c r="AM55" s="1663" t="s">
        <v>9717</v>
      </c>
      <c r="AN55" s="1663" t="s">
        <v>4081</v>
      </c>
      <c r="AO55" s="1663" t="s">
        <v>10337</v>
      </c>
      <c r="AP55" s="1663" t="s">
        <v>10338</v>
      </c>
      <c r="AQ55" s="1663" t="s">
        <v>9926</v>
      </c>
      <c r="AR55" s="1663" t="s">
        <v>3757</v>
      </c>
      <c r="AS55" s="1663" t="s">
        <v>9190</v>
      </c>
      <c r="AT55" s="1641" t="s">
        <v>10339</v>
      </c>
      <c r="AU55" s="1625" t="s">
        <v>10340</v>
      </c>
      <c r="AV55" s="1463" t="str">
        <f t="shared" si="1"/>
        <v>1:34</v>
      </c>
      <c r="AW55" s="1687"/>
    </row>
    <row r="56">
      <c r="A56" s="1635" t="s">
        <v>2995</v>
      </c>
      <c r="B56" s="1623" t="s">
        <v>9182</v>
      </c>
      <c r="C56" s="1579">
        <v>0.05134259259259259</v>
      </c>
      <c r="D56" s="1658" t="s">
        <v>10341</v>
      </c>
      <c r="E56" s="1658" t="s">
        <v>6629</v>
      </c>
      <c r="F56" s="1658" t="s">
        <v>10342</v>
      </c>
      <c r="G56" s="1658" t="s">
        <v>10343</v>
      </c>
      <c r="H56" s="1658" t="s">
        <v>10344</v>
      </c>
      <c r="I56" s="1658" t="s">
        <v>1291</v>
      </c>
      <c r="J56" s="1641" t="s">
        <v>5062</v>
      </c>
      <c r="K56" s="1641" t="s">
        <v>9422</v>
      </c>
      <c r="L56" s="1641" t="s">
        <v>4913</v>
      </c>
      <c r="M56" s="1641" t="s">
        <v>3648</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9256</v>
      </c>
      <c r="Y56" s="1660" t="s">
        <v>9938</v>
      </c>
      <c r="Z56" s="1660" t="s">
        <v>3040</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5773</v>
      </c>
      <c r="AM56" s="1663" t="s">
        <v>10358</v>
      </c>
      <c r="AN56" s="1663" t="s">
        <v>6589</v>
      </c>
      <c r="AO56" s="1663" t="s">
        <v>10359</v>
      </c>
      <c r="AP56" s="1663" t="s">
        <v>10360</v>
      </c>
      <c r="AQ56" s="1663" t="s">
        <v>9926</v>
      </c>
      <c r="AR56" s="1663" t="s">
        <v>9565</v>
      </c>
      <c r="AS56" s="1663" t="s">
        <v>1970</v>
      </c>
      <c r="AT56" s="1641" t="s">
        <v>10361</v>
      </c>
      <c r="AU56" s="1625" t="s">
        <v>10229</v>
      </c>
      <c r="AV56" s="1463" t="str">
        <f t="shared" si="1"/>
        <v>2:56</v>
      </c>
      <c r="AW56" s="1626" t="s">
        <v>10362</v>
      </c>
    </row>
    <row r="57" ht="15.75" customHeight="1">
      <c r="A57" s="1601" t="s">
        <v>1414</v>
      </c>
      <c r="B57" s="1729" t="s">
        <v>9236</v>
      </c>
      <c r="C57" s="1710">
        <v>0.05134259259259259</v>
      </c>
      <c r="D57" s="1021" t="s">
        <v>10363</v>
      </c>
      <c r="E57" s="1688" t="s">
        <v>6043</v>
      </c>
      <c r="F57" s="1688" t="s">
        <v>10342</v>
      </c>
      <c r="G57" s="1688" t="s">
        <v>10364</v>
      </c>
      <c r="H57" s="916" t="s">
        <v>10365</v>
      </c>
      <c r="I57" s="1731" t="s">
        <v>349</v>
      </c>
      <c r="J57" s="1689" t="s">
        <v>10366</v>
      </c>
      <c r="K57" s="1689" t="s">
        <v>4052</v>
      </c>
      <c r="L57" s="1732" t="s">
        <v>3815</v>
      </c>
      <c r="M57" s="1689" t="s">
        <v>5733</v>
      </c>
      <c r="N57" s="1689" t="s">
        <v>7423</v>
      </c>
      <c r="O57" s="1732" t="s">
        <v>9244</v>
      </c>
      <c r="P57" s="1689" t="s">
        <v>387</v>
      </c>
      <c r="Q57" s="1690" t="s">
        <v>10367</v>
      </c>
      <c r="R57" s="1690" t="s">
        <v>1622</v>
      </c>
      <c r="S57" s="1690" t="s">
        <v>10368</v>
      </c>
      <c r="T57" s="1733" t="s">
        <v>9248</v>
      </c>
      <c r="U57" s="1690" t="s">
        <v>10369</v>
      </c>
      <c r="V57" s="1690" t="s">
        <v>4075</v>
      </c>
      <c r="W57" s="1734" t="s">
        <v>9250</v>
      </c>
      <c r="X57" s="1691" t="s">
        <v>4378</v>
      </c>
      <c r="Y57" s="1691" t="s">
        <v>6632</v>
      </c>
      <c r="Z57" s="1691" t="s">
        <v>7251</v>
      </c>
      <c r="AA57" s="1691" t="s">
        <v>9775</v>
      </c>
      <c r="AB57" s="1734" t="s">
        <v>9254</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3384</v>
      </c>
      <c r="B58" s="1578" t="s">
        <v>9182</v>
      </c>
      <c r="C58" s="1710">
        <v>0.05134259259259259</v>
      </c>
      <c r="D58" s="1021" t="s">
        <v>10383</v>
      </c>
      <c r="E58" s="1463" t="s">
        <v>10384</v>
      </c>
      <c r="F58" s="1463" t="s">
        <v>10385</v>
      </c>
      <c r="G58" s="1463" t="s">
        <v>7287</v>
      </c>
      <c r="H58" s="1463" t="s">
        <v>9444</v>
      </c>
      <c r="I58" s="1463" t="s">
        <v>6350</v>
      </c>
      <c r="J58" s="1463" t="s">
        <v>10386</v>
      </c>
      <c r="K58" s="1463" t="s">
        <v>3980</v>
      </c>
      <c r="L58" s="1463" t="s">
        <v>10387</v>
      </c>
      <c r="M58" s="1463" t="s">
        <v>10388</v>
      </c>
      <c r="N58" s="1463" t="s">
        <v>2928</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9319</v>
      </c>
      <c r="AC58" s="1463" t="s">
        <v>847</v>
      </c>
      <c r="AD58" s="1463" t="s">
        <v>10394</v>
      </c>
      <c r="AE58" s="1463" t="s">
        <v>387</v>
      </c>
      <c r="AF58" s="1463" t="s">
        <v>10395</v>
      </c>
      <c r="AG58" s="1463" t="s">
        <v>10396</v>
      </c>
      <c r="AH58" s="1463" t="s">
        <v>5320</v>
      </c>
      <c r="AI58" s="1463" t="s">
        <v>10397</v>
      </c>
      <c r="AJ58" s="1463" t="s">
        <v>10336</v>
      </c>
      <c r="AK58" s="1463" t="s">
        <v>6941</v>
      </c>
      <c r="AL58" s="1463" t="s">
        <v>3320</v>
      </c>
      <c r="AM58" s="1463" t="s">
        <v>4156</v>
      </c>
      <c r="AN58" s="1463" t="s">
        <v>5802</v>
      </c>
      <c r="AO58" s="1463" t="s">
        <v>6546</v>
      </c>
      <c r="AP58" s="1463" t="s">
        <v>10398</v>
      </c>
      <c r="AQ58" s="1463" t="s">
        <v>10399</v>
      </c>
      <c r="AR58" s="1463" t="s">
        <v>10400</v>
      </c>
      <c r="AS58" s="1662" t="s">
        <v>4440</v>
      </c>
      <c r="AT58" s="1463" t="s">
        <v>10401</v>
      </c>
      <c r="AU58" s="1463" t="s">
        <v>9650</v>
      </c>
      <c r="AV58" s="1463" t="str">
        <f t="shared" si="1"/>
        <v>2:27</v>
      </c>
      <c r="AW58" s="1668"/>
    </row>
    <row r="59" ht="15.75" customHeight="1">
      <c r="A59" s="1635" t="s">
        <v>1347</v>
      </c>
      <c r="B59" s="1633" t="s">
        <v>9236</v>
      </c>
      <c r="C59" s="1579">
        <v>0.05140046296296296</v>
      </c>
      <c r="D59" s="1604" t="s">
        <v>10402</v>
      </c>
      <c r="E59" s="1604" t="s">
        <v>1745</v>
      </c>
      <c r="F59" s="1604" t="s">
        <v>10403</v>
      </c>
      <c r="G59" s="1720" t="s">
        <v>9240</v>
      </c>
      <c r="H59" s="1021" t="s">
        <v>10404</v>
      </c>
      <c r="I59" s="1604" t="s">
        <v>1668</v>
      </c>
      <c r="J59" s="1720" t="s">
        <v>9242</v>
      </c>
      <c r="K59" s="1604" t="s">
        <v>7158</v>
      </c>
      <c r="L59" s="1604" t="s">
        <v>10405</v>
      </c>
      <c r="M59" s="1720" t="s">
        <v>9243</v>
      </c>
      <c r="N59" s="1604" t="s">
        <v>10406</v>
      </c>
      <c r="O59" s="1604" t="s">
        <v>10407</v>
      </c>
      <c r="P59" s="1604" t="s">
        <v>1113</v>
      </c>
      <c r="Q59" s="1604" t="s">
        <v>10192</v>
      </c>
      <c r="R59" s="1604" t="s">
        <v>10408</v>
      </c>
      <c r="S59" s="1604" t="s">
        <v>9231</v>
      </c>
      <c r="T59" s="1604" t="s">
        <v>10409</v>
      </c>
      <c r="U59" s="1604" t="s">
        <v>10117</v>
      </c>
      <c r="V59" s="1604" t="s">
        <v>6000</v>
      </c>
      <c r="W59" s="1604" t="s">
        <v>10410</v>
      </c>
      <c r="X59" s="1604" t="s">
        <v>628</v>
      </c>
      <c r="Y59" s="1604" t="s">
        <v>10411</v>
      </c>
      <c r="Z59" s="1604" t="s">
        <v>10412</v>
      </c>
      <c r="AA59" s="1736" t="s">
        <v>9253</v>
      </c>
      <c r="AB59" s="1604" t="s">
        <v>6091</v>
      </c>
      <c r="AC59" s="1604" t="s">
        <v>10413</v>
      </c>
      <c r="AD59" s="1604" t="s">
        <v>9632</v>
      </c>
      <c r="AE59" s="1604" t="s">
        <v>2607</v>
      </c>
      <c r="AF59" s="1604" t="s">
        <v>10414</v>
      </c>
      <c r="AG59" s="1720" t="s">
        <v>4617</v>
      </c>
      <c r="AH59" s="1720" t="s">
        <v>5340</v>
      </c>
      <c r="AI59" s="1604" t="s">
        <v>10415</v>
      </c>
      <c r="AJ59" s="1604" t="s">
        <v>10416</v>
      </c>
      <c r="AK59" s="1604" t="s">
        <v>7214</v>
      </c>
      <c r="AL59" s="1604" t="s">
        <v>3903</v>
      </c>
      <c r="AM59" s="1604" t="s">
        <v>10417</v>
      </c>
      <c r="AN59" s="1604" t="s">
        <v>3826</v>
      </c>
      <c r="AO59" s="1720" t="s">
        <v>9261</v>
      </c>
      <c r="AP59" s="1737" t="s">
        <v>9262</v>
      </c>
      <c r="AQ59" s="1604" t="s">
        <v>3248</v>
      </c>
      <c r="AR59" s="1604" t="s">
        <v>1618</v>
      </c>
      <c r="AS59" s="1604" t="s">
        <v>4721</v>
      </c>
      <c r="AT59" s="1604" t="s">
        <v>10418</v>
      </c>
      <c r="AU59" s="1604" t="s">
        <v>9650</v>
      </c>
      <c r="AV59" s="1463" t="str">
        <f t="shared" si="1"/>
        <v>2:22</v>
      </c>
      <c r="AW59" s="1634" t="s">
        <v>10419</v>
      </c>
    </row>
    <row r="60" ht="15.75" customHeight="1">
      <c r="A60" s="1635" t="s">
        <v>4058</v>
      </c>
      <c r="B60" s="1623" t="s">
        <v>9182</v>
      </c>
      <c r="C60" s="1579">
        <v>0.05153935185185185</v>
      </c>
      <c r="D60" s="817" t="s">
        <v>10420</v>
      </c>
      <c r="E60" s="817" t="s">
        <v>7830</v>
      </c>
      <c r="F60" s="817" t="s">
        <v>10421</v>
      </c>
      <c r="G60" s="817" t="s">
        <v>4971</v>
      </c>
      <c r="H60" s="1021" t="s">
        <v>10422</v>
      </c>
      <c r="I60" s="817" t="s">
        <v>1291</v>
      </c>
      <c r="J60" s="817" t="s">
        <v>10423</v>
      </c>
      <c r="K60" s="817" t="s">
        <v>3683</v>
      </c>
      <c r="L60" s="817" t="s">
        <v>4231</v>
      </c>
      <c r="M60" s="817" t="s">
        <v>6789</v>
      </c>
      <c r="N60" s="817" t="s">
        <v>10424</v>
      </c>
      <c r="O60" s="817" t="s">
        <v>3808</v>
      </c>
      <c r="P60" s="817" t="s">
        <v>8219</v>
      </c>
      <c r="Q60" s="817" t="s">
        <v>10425</v>
      </c>
      <c r="R60" s="817" t="s">
        <v>3496</v>
      </c>
      <c r="S60" s="1738" t="s">
        <v>10056</v>
      </c>
      <c r="T60" s="817" t="s">
        <v>9873</v>
      </c>
      <c r="U60" s="817" t="s">
        <v>10426</v>
      </c>
      <c r="V60" s="817" t="s">
        <v>1703</v>
      </c>
      <c r="W60" s="817" t="s">
        <v>10427</v>
      </c>
      <c r="X60" s="817" t="s">
        <v>1761</v>
      </c>
      <c r="Y60" s="817" t="s">
        <v>3697</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5845</v>
      </c>
      <c r="AP60" s="1738" t="s">
        <v>10160</v>
      </c>
      <c r="AQ60" s="817" t="s">
        <v>10435</v>
      </c>
      <c r="AR60" s="817" t="s">
        <v>5062</v>
      </c>
      <c r="AS60" s="817" t="s">
        <v>9290</v>
      </c>
      <c r="AT60" s="817" t="s">
        <v>10436</v>
      </c>
      <c r="AU60" s="817" t="s">
        <v>10437</v>
      </c>
      <c r="AV60" s="1463" t="str">
        <f t="shared" si="1"/>
        <v>2:41</v>
      </c>
      <c r="AW60" s="1739" t="s">
        <v>10438</v>
      </c>
    </row>
    <row r="61" ht="15.75" customHeight="1">
      <c r="A61" s="1577" t="s">
        <v>2026</v>
      </c>
      <c r="B61" s="1578" t="s">
        <v>9182</v>
      </c>
      <c r="C61" s="1579">
        <v>0.05157407407407407</v>
      </c>
      <c r="D61" s="1021" t="s">
        <v>10439</v>
      </c>
      <c r="E61" s="1658" t="s">
        <v>10440</v>
      </c>
      <c r="F61" s="1658" t="s">
        <v>10441</v>
      </c>
      <c r="G61" s="1688" t="s">
        <v>9932</v>
      </c>
      <c r="H61" s="916" t="s">
        <v>10442</v>
      </c>
      <c r="I61" s="916" t="s">
        <v>2099</v>
      </c>
      <c r="J61" s="1689" t="s">
        <v>5543</v>
      </c>
      <c r="K61" s="1689" t="s">
        <v>3511</v>
      </c>
      <c r="L61" s="1689" t="s">
        <v>10443</v>
      </c>
      <c r="M61" s="1689" t="s">
        <v>10099</v>
      </c>
      <c r="N61" s="1689" t="s">
        <v>1231</v>
      </c>
      <c r="O61" s="1689" t="s">
        <v>10410</v>
      </c>
      <c r="P61" s="1689" t="s">
        <v>10444</v>
      </c>
      <c r="Q61" s="1690" t="s">
        <v>10445</v>
      </c>
      <c r="R61" s="1690" t="s">
        <v>10446</v>
      </c>
      <c r="S61" s="1690" t="s">
        <v>10447</v>
      </c>
      <c r="T61" s="1690" t="s">
        <v>6969</v>
      </c>
      <c r="U61" s="1690" t="s">
        <v>2688</v>
      </c>
      <c r="V61" s="1690" t="s">
        <v>5132</v>
      </c>
      <c r="W61" s="1691" t="s">
        <v>10448</v>
      </c>
      <c r="X61" s="1691" t="s">
        <v>10449</v>
      </c>
      <c r="Y61" s="1691" t="s">
        <v>10311</v>
      </c>
      <c r="Z61" s="1691" t="s">
        <v>9254</v>
      </c>
      <c r="AA61" s="1691" t="s">
        <v>6208</v>
      </c>
      <c r="AB61" s="1691" t="s">
        <v>5939</v>
      </c>
      <c r="AC61" s="1691" t="s">
        <v>6496</v>
      </c>
      <c r="AD61" s="1658" t="s">
        <v>10450</v>
      </c>
      <c r="AE61" s="1688" t="s">
        <v>5624</v>
      </c>
      <c r="AF61" s="1692" t="s">
        <v>10451</v>
      </c>
      <c r="AG61" s="1692" t="s">
        <v>10452</v>
      </c>
      <c r="AH61" s="1692" t="s">
        <v>10453</v>
      </c>
      <c r="AI61" s="1692" t="s">
        <v>1104</v>
      </c>
      <c r="AJ61" s="1692" t="s">
        <v>10454</v>
      </c>
      <c r="AK61" s="1661" t="s">
        <v>628</v>
      </c>
      <c r="AL61" s="1661" t="s">
        <v>10455</v>
      </c>
      <c r="AM61" s="1662" t="s">
        <v>3738</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9182</v>
      </c>
      <c r="C62" s="1579">
        <v>0.051631944444444446</v>
      </c>
      <c r="D62" s="1658" t="s">
        <v>10464</v>
      </c>
      <c r="E62" s="1658" t="s">
        <v>7641</v>
      </c>
      <c r="F62" s="1658" t="s">
        <v>9377</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5948</v>
      </c>
      <c r="S62" s="1644" t="s">
        <v>5696</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4129</v>
      </c>
      <c r="AJ62" s="1661" t="s">
        <v>10479</v>
      </c>
      <c r="AK62" s="1661" t="s">
        <v>1520</v>
      </c>
      <c r="AL62" s="1661" t="s">
        <v>3455</v>
      </c>
      <c r="AM62" s="1663" t="s">
        <v>6208</v>
      </c>
      <c r="AN62" s="1663" t="s">
        <v>5773</v>
      </c>
      <c r="AO62" s="1663" t="s">
        <v>7562</v>
      </c>
      <c r="AP62" s="1663" t="s">
        <v>10480</v>
      </c>
      <c r="AQ62" s="1663" t="s">
        <v>3519</v>
      </c>
      <c r="AR62" s="1663" t="s">
        <v>10033</v>
      </c>
      <c r="AS62" s="1663" t="s">
        <v>4103</v>
      </c>
      <c r="AT62" s="1641" t="s">
        <v>10481</v>
      </c>
      <c r="AU62" s="1625" t="s">
        <v>10482</v>
      </c>
      <c r="AV62" s="1463" t="str">
        <f t="shared" si="1"/>
        <v>2:25</v>
      </c>
      <c r="AW62" s="1702" t="s">
        <v>10483</v>
      </c>
    </row>
    <row r="63" ht="15.75" customHeight="1">
      <c r="A63" s="1700" t="s">
        <v>10484</v>
      </c>
      <c r="B63" s="1578" t="s">
        <v>9182</v>
      </c>
      <c r="C63" s="1710">
        <v>0.051631944444444446</v>
      </c>
      <c r="D63" s="1021" t="s">
        <v>10485</v>
      </c>
      <c r="E63" s="333" t="s">
        <v>8798</v>
      </c>
      <c r="F63" s="333" t="s">
        <v>9262</v>
      </c>
      <c r="G63" s="333" t="s">
        <v>10486</v>
      </c>
      <c r="H63" s="333" t="s">
        <v>10487</v>
      </c>
      <c r="I63" s="333" t="s">
        <v>10413</v>
      </c>
      <c r="J63" s="333" t="s">
        <v>3512</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5947</v>
      </c>
      <c r="AB63" s="333" t="s">
        <v>10495</v>
      </c>
      <c r="AC63" s="333" t="s">
        <v>387</v>
      </c>
      <c r="AD63" s="333" t="s">
        <v>6154</v>
      </c>
      <c r="AE63" s="333" t="s">
        <v>3117</v>
      </c>
      <c r="AF63" s="333" t="s">
        <v>10166</v>
      </c>
      <c r="AG63" s="333" t="s">
        <v>10496</v>
      </c>
      <c r="AH63" s="333" t="s">
        <v>5511</v>
      </c>
      <c r="AI63" s="333" t="s">
        <v>3588</v>
      </c>
      <c r="AJ63" s="333" t="s">
        <v>10497</v>
      </c>
      <c r="AK63" s="333" t="s">
        <v>10333</v>
      </c>
      <c r="AL63" s="333" t="s">
        <v>5313</v>
      </c>
      <c r="AM63" s="333" t="s">
        <v>10498</v>
      </c>
      <c r="AN63" s="333" t="s">
        <v>9018</v>
      </c>
      <c r="AO63" s="333" t="s">
        <v>5173</v>
      </c>
      <c r="AP63" s="333" t="s">
        <v>10499</v>
      </c>
      <c r="AQ63" s="333" t="s">
        <v>3704</v>
      </c>
      <c r="AR63" s="333" t="s">
        <v>9855</v>
      </c>
      <c r="AS63" s="333" t="s">
        <v>4747</v>
      </c>
      <c r="AT63" s="333" t="s">
        <v>10500</v>
      </c>
      <c r="AU63" s="1741" t="str">
        <f>HYPERLINK("https://splits.io/pc9","1:16:48")</f>
        <v>1:16:48</v>
      </c>
      <c r="AV63" s="1463" t="str">
        <f t="shared" si="1"/>
        <v>2:27</v>
      </c>
      <c r="AW63" s="1742" t="s">
        <v>10501</v>
      </c>
    </row>
    <row r="64" ht="15.75" customHeight="1">
      <c r="A64" s="1577" t="s">
        <v>5936</v>
      </c>
      <c r="B64" s="1578" t="s">
        <v>9182</v>
      </c>
      <c r="C64" s="1710">
        <v>0.051631944444444446</v>
      </c>
      <c r="D64" s="1021" t="s">
        <v>10502</v>
      </c>
      <c r="E64" s="333" t="s">
        <v>7830</v>
      </c>
      <c r="F64" s="333" t="s">
        <v>10503</v>
      </c>
      <c r="G64" s="333" t="s">
        <v>5429</v>
      </c>
      <c r="H64" s="333" t="s">
        <v>10078</v>
      </c>
      <c r="I64" s="333" t="s">
        <v>4761</v>
      </c>
      <c r="J64" s="333" t="s">
        <v>9369</v>
      </c>
      <c r="K64" s="333" t="s">
        <v>9007</v>
      </c>
      <c r="L64" s="333" t="s">
        <v>5922</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5573</v>
      </c>
      <c r="AF64" s="333" t="s">
        <v>10514</v>
      </c>
      <c r="AG64" s="333" t="s">
        <v>10515</v>
      </c>
      <c r="AH64" s="333" t="s">
        <v>2257</v>
      </c>
      <c r="AI64" s="333" t="s">
        <v>5341</v>
      </c>
      <c r="AJ64" s="333" t="s">
        <v>8857</v>
      </c>
      <c r="AK64" s="333" t="s">
        <v>1791</v>
      </c>
      <c r="AL64" s="333" t="s">
        <v>5773</v>
      </c>
      <c r="AM64" s="333" t="s">
        <v>10516</v>
      </c>
      <c r="AN64" s="333" t="s">
        <v>10517</v>
      </c>
      <c r="AO64" s="333" t="s">
        <v>9475</v>
      </c>
      <c r="AP64" s="333" t="s">
        <v>10518</v>
      </c>
      <c r="AQ64" s="333" t="s">
        <v>10519</v>
      </c>
      <c r="AR64" s="333" t="s">
        <v>4876</v>
      </c>
      <c r="AS64" s="333" t="s">
        <v>3044</v>
      </c>
      <c r="AT64" s="333" t="s">
        <v>10520</v>
      </c>
      <c r="AU64" s="333" t="s">
        <v>10521</v>
      </c>
      <c r="AV64" s="1463" t="str">
        <f t="shared" si="1"/>
        <v>3:33</v>
      </c>
      <c r="AW64" s="1742"/>
    </row>
    <row r="65" ht="15.75" customHeight="1">
      <c r="A65" s="1577" t="s">
        <v>4249</v>
      </c>
      <c r="B65" s="1578" t="s">
        <v>9182</v>
      </c>
      <c r="C65" s="1710">
        <v>0.05164351851851852</v>
      </c>
      <c r="D65" s="1021" t="s">
        <v>10522</v>
      </c>
      <c r="E65" s="333" t="s">
        <v>9386</v>
      </c>
      <c r="F65" s="333" t="s">
        <v>10523</v>
      </c>
      <c r="G65" s="333" t="s">
        <v>9240</v>
      </c>
      <c r="H65" s="333" t="s">
        <v>10524</v>
      </c>
      <c r="I65" s="333" t="s">
        <v>1291</v>
      </c>
      <c r="J65" s="333" t="s">
        <v>804</v>
      </c>
      <c r="K65" s="333" t="s">
        <v>6835</v>
      </c>
      <c r="L65" s="333" t="s">
        <v>3739</v>
      </c>
      <c r="M65" s="333" t="s">
        <v>10469</v>
      </c>
      <c r="N65" s="333" t="s">
        <v>9594</v>
      </c>
      <c r="O65" s="333" t="s">
        <v>10172</v>
      </c>
      <c r="P65" s="333" t="s">
        <v>5219</v>
      </c>
      <c r="Q65" s="333" t="s">
        <v>10525</v>
      </c>
      <c r="R65" s="333" t="s">
        <v>9065</v>
      </c>
      <c r="S65" s="333" t="s">
        <v>10526</v>
      </c>
      <c r="T65" s="333" t="s">
        <v>10527</v>
      </c>
      <c r="U65" s="333" t="s">
        <v>10528</v>
      </c>
      <c r="V65" s="333" t="s">
        <v>10529</v>
      </c>
      <c r="W65" s="333" t="s">
        <v>10530</v>
      </c>
      <c r="X65" s="333" t="s">
        <v>607</v>
      </c>
      <c r="Y65" s="333" t="s">
        <v>10531</v>
      </c>
      <c r="Z65" s="333" t="s">
        <v>7251</v>
      </c>
      <c r="AA65" s="333" t="s">
        <v>5700</v>
      </c>
      <c r="AB65" s="333" t="s">
        <v>7564</v>
      </c>
      <c r="AC65" s="333" t="s">
        <v>7754</v>
      </c>
      <c r="AD65" s="333" t="s">
        <v>10532</v>
      </c>
      <c r="AE65" s="333" t="s">
        <v>1915</v>
      </c>
      <c r="AF65" s="333" t="s">
        <v>10533</v>
      </c>
      <c r="AG65" s="333" t="s">
        <v>527</v>
      </c>
      <c r="AH65" s="333" t="s">
        <v>5511</v>
      </c>
      <c r="AI65" s="333" t="s">
        <v>10534</v>
      </c>
      <c r="AJ65" s="333" t="s">
        <v>10535</v>
      </c>
      <c r="AK65" s="333" t="s">
        <v>10536</v>
      </c>
      <c r="AL65" s="333" t="s">
        <v>5216</v>
      </c>
      <c r="AM65" s="333" t="s">
        <v>9976</v>
      </c>
      <c r="AN65" s="333" t="s">
        <v>9656</v>
      </c>
      <c r="AO65" s="333" t="s">
        <v>10380</v>
      </c>
      <c r="AP65" s="333" t="s">
        <v>10537</v>
      </c>
      <c r="AQ65" s="333" t="s">
        <v>10538</v>
      </c>
      <c r="AR65" s="333" t="s">
        <v>3634</v>
      </c>
      <c r="AS65" s="333" t="s">
        <v>10539</v>
      </c>
      <c r="AT65" s="333" t="s">
        <v>10334</v>
      </c>
      <c r="AU65" s="333" t="s">
        <v>10540</v>
      </c>
      <c r="AV65" s="1463" t="str">
        <f t="shared" si="1"/>
        <v>3:13</v>
      </c>
      <c r="AW65" s="1742" t="s">
        <v>10541</v>
      </c>
    </row>
    <row r="66" ht="15.75" customHeight="1">
      <c r="A66" s="1601" t="s">
        <v>897</v>
      </c>
      <c r="B66" s="1729" t="s">
        <v>9236</v>
      </c>
      <c r="C66" s="1710">
        <v>0.05167824074074074</v>
      </c>
      <c r="D66" s="1021" t="s">
        <v>10542</v>
      </c>
      <c r="E66" s="333" t="s">
        <v>10543</v>
      </c>
      <c r="F66" s="333" t="s">
        <v>5953</v>
      </c>
      <c r="G66" s="333" t="s">
        <v>10544</v>
      </c>
      <c r="H66" s="333" t="s">
        <v>10545</v>
      </c>
      <c r="I66" s="333" t="s">
        <v>1903</v>
      </c>
      <c r="J66" s="333" t="s">
        <v>10406</v>
      </c>
      <c r="K66" s="333" t="s">
        <v>9551</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6016</v>
      </c>
      <c r="X66" s="333" t="s">
        <v>10551</v>
      </c>
      <c r="Y66" s="333" t="s">
        <v>940</v>
      </c>
      <c r="Z66" s="333" t="s">
        <v>3951</v>
      </c>
      <c r="AA66" s="333" t="s">
        <v>1619</v>
      </c>
      <c r="AB66" s="333" t="s">
        <v>10552</v>
      </c>
      <c r="AC66" s="333" t="s">
        <v>9433</v>
      </c>
      <c r="AD66" s="817" t="s">
        <v>10553</v>
      </c>
      <c r="AE66" s="333" t="s">
        <v>1929</v>
      </c>
      <c r="AF66" s="333" t="s">
        <v>10018</v>
      </c>
      <c r="AG66" s="333" t="s">
        <v>7916</v>
      </c>
      <c r="AH66" s="333" t="s">
        <v>4472</v>
      </c>
      <c r="AI66" s="333" t="s">
        <v>1706</v>
      </c>
      <c r="AJ66" s="333" t="s">
        <v>10554</v>
      </c>
      <c r="AK66" s="333" t="s">
        <v>4086</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9210</v>
      </c>
      <c r="C67" s="1710">
        <v>0.05170138888888889</v>
      </c>
      <c r="D67" s="1021" t="s">
        <v>10563</v>
      </c>
      <c r="E67" s="333" t="s">
        <v>4286</v>
      </c>
      <c r="F67" s="333" t="s">
        <v>10121</v>
      </c>
      <c r="G67" s="333" t="s">
        <v>10029</v>
      </c>
      <c r="H67" s="333" t="s">
        <v>10564</v>
      </c>
      <c r="I67" s="333" t="s">
        <v>10565</v>
      </c>
      <c r="J67" s="333" t="s">
        <v>10134</v>
      </c>
      <c r="K67" s="333" t="s">
        <v>9475</v>
      </c>
      <c r="L67" s="333" t="s">
        <v>4106</v>
      </c>
      <c r="M67" s="333" t="s">
        <v>7084</v>
      </c>
      <c r="N67" s="333" t="s">
        <v>6224</v>
      </c>
      <c r="O67" s="333" t="s">
        <v>10259</v>
      </c>
      <c r="P67" s="333" t="s">
        <v>482</v>
      </c>
      <c r="Q67" s="333" t="s">
        <v>2832</v>
      </c>
      <c r="R67" s="333" t="s">
        <v>9281</v>
      </c>
      <c r="S67" s="333" t="s">
        <v>10457</v>
      </c>
      <c r="T67" s="333" t="s">
        <v>2928</v>
      </c>
      <c r="U67" s="333" t="s">
        <v>10566</v>
      </c>
      <c r="V67" s="333" t="s">
        <v>10567</v>
      </c>
      <c r="W67" s="333" t="s">
        <v>10494</v>
      </c>
      <c r="X67" s="333" t="s">
        <v>3738</v>
      </c>
      <c r="Y67" s="333" t="s">
        <v>2451</v>
      </c>
      <c r="Z67" s="333" t="s">
        <v>490</v>
      </c>
      <c r="AA67" s="333" t="s">
        <v>628</v>
      </c>
      <c r="AB67" s="333" t="s">
        <v>10568</v>
      </c>
      <c r="AC67" s="333" t="s">
        <v>5874</v>
      </c>
      <c r="AD67" s="333" t="s">
        <v>10189</v>
      </c>
      <c r="AE67" s="333" t="s">
        <v>143</v>
      </c>
      <c r="AF67" s="333" t="s">
        <v>10569</v>
      </c>
      <c r="AG67" s="333" t="s">
        <v>10570</v>
      </c>
      <c r="AH67" s="333" t="s">
        <v>10571</v>
      </c>
      <c r="AI67" s="333" t="s">
        <v>10572</v>
      </c>
      <c r="AJ67" s="333" t="s">
        <v>10573</v>
      </c>
      <c r="AK67" s="333" t="s">
        <v>9579</v>
      </c>
      <c r="AL67" s="333" t="s">
        <v>4544</v>
      </c>
      <c r="AM67" s="333" t="s">
        <v>10433</v>
      </c>
      <c r="AN67" s="333" t="s">
        <v>10574</v>
      </c>
      <c r="AO67" s="333" t="s">
        <v>10180</v>
      </c>
      <c r="AP67" s="333" t="s">
        <v>3333</v>
      </c>
      <c r="AQ67" s="333" t="s">
        <v>10575</v>
      </c>
      <c r="AR67" s="333" t="s">
        <v>10576</v>
      </c>
      <c r="AS67" s="333" t="s">
        <v>6619</v>
      </c>
      <c r="AT67" s="333" t="s">
        <v>10577</v>
      </c>
      <c r="AU67" s="333" t="s">
        <v>10578</v>
      </c>
      <c r="AV67" s="1463" t="str">
        <f t="shared" si="1"/>
        <v>2:37</v>
      </c>
      <c r="AW67" s="1743" t="s">
        <v>10579</v>
      </c>
    </row>
    <row r="68" ht="15.75" customHeight="1">
      <c r="A68" s="1635" t="s">
        <v>5137</v>
      </c>
      <c r="B68" s="1633" t="s">
        <v>9210</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2739</v>
      </c>
      <c r="R68" s="817" t="s">
        <v>10587</v>
      </c>
      <c r="S68" s="817" t="s">
        <v>9316</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3860</v>
      </c>
      <c r="AF68" s="817" t="s">
        <v>10593</v>
      </c>
      <c r="AG68" s="817" t="s">
        <v>527</v>
      </c>
      <c r="AH68" s="817" t="s">
        <v>10594</v>
      </c>
      <c r="AI68" s="817" t="s">
        <v>5536</v>
      </c>
      <c r="AJ68" s="817" t="s">
        <v>10595</v>
      </c>
      <c r="AK68" s="817" t="s">
        <v>10596</v>
      </c>
      <c r="AL68" s="817" t="s">
        <v>1748</v>
      </c>
      <c r="AM68" s="817" t="s">
        <v>10424</v>
      </c>
      <c r="AN68" s="817" t="s">
        <v>10597</v>
      </c>
      <c r="AO68" s="817" t="s">
        <v>2904</v>
      </c>
      <c r="AP68" s="817" t="s">
        <v>2073</v>
      </c>
      <c r="AQ68" s="817" t="s">
        <v>757</v>
      </c>
      <c r="AR68" s="817" t="s">
        <v>10208</v>
      </c>
      <c r="AS68" s="817" t="s">
        <v>8223</v>
      </c>
      <c r="AT68" s="817" t="s">
        <v>10598</v>
      </c>
      <c r="AU68" s="817" t="s">
        <v>10599</v>
      </c>
      <c r="AV68" s="1463" t="str">
        <f t="shared" si="1"/>
        <v>4:14</v>
      </c>
      <c r="AW68" s="1739" t="s">
        <v>10600</v>
      </c>
    </row>
    <row r="69" ht="15.75" customHeight="1">
      <c r="A69" s="1635" t="s">
        <v>2193</v>
      </c>
      <c r="B69" s="1725" t="s">
        <v>9210</v>
      </c>
      <c r="C69" s="1579">
        <v>0.05173611111111111</v>
      </c>
      <c r="D69" s="1021" t="s">
        <v>10601</v>
      </c>
      <c r="E69" s="817" t="s">
        <v>10602</v>
      </c>
      <c r="F69" s="817" t="s">
        <v>10603</v>
      </c>
      <c r="G69" s="817" t="s">
        <v>10604</v>
      </c>
      <c r="H69" s="817" t="s">
        <v>7012</v>
      </c>
      <c r="I69" s="817" t="s">
        <v>495</v>
      </c>
      <c r="J69" s="817" t="s">
        <v>9636</v>
      </c>
      <c r="K69" s="817" t="s">
        <v>9194</v>
      </c>
      <c r="L69" s="817" t="s">
        <v>8310</v>
      </c>
      <c r="M69" s="817" t="s">
        <v>3651</v>
      </c>
      <c r="N69" s="817" t="s">
        <v>10605</v>
      </c>
      <c r="O69" s="817" t="s">
        <v>10606</v>
      </c>
      <c r="P69" s="817" t="s">
        <v>3762</v>
      </c>
      <c r="Q69" s="817" t="s">
        <v>10607</v>
      </c>
      <c r="R69" s="817" t="s">
        <v>10548</v>
      </c>
      <c r="S69" s="817" t="s">
        <v>5670</v>
      </c>
      <c r="T69" s="817" t="s">
        <v>10608</v>
      </c>
      <c r="U69" s="817" t="s">
        <v>10609</v>
      </c>
      <c r="V69" s="817" t="s">
        <v>128</v>
      </c>
      <c r="W69" s="817" t="s">
        <v>5704</v>
      </c>
      <c r="X69" s="817" t="s">
        <v>10452</v>
      </c>
      <c r="Y69" s="817" t="s">
        <v>1164</v>
      </c>
      <c r="Z69" s="817" t="s">
        <v>10610</v>
      </c>
      <c r="AA69" s="817" t="s">
        <v>5947</v>
      </c>
      <c r="AB69" s="817" t="s">
        <v>7561</v>
      </c>
      <c r="AC69" s="817" t="s">
        <v>161</v>
      </c>
      <c r="AD69" s="817" t="s">
        <v>10477</v>
      </c>
      <c r="AE69" s="817" t="s">
        <v>9907</v>
      </c>
      <c r="AF69" s="817" t="s">
        <v>9920</v>
      </c>
      <c r="AG69" s="817" t="s">
        <v>10611</v>
      </c>
      <c r="AH69" s="817" t="s">
        <v>10612</v>
      </c>
      <c r="AI69" s="817" t="s">
        <v>10613</v>
      </c>
      <c r="AJ69" s="817" t="s">
        <v>6180</v>
      </c>
      <c r="AK69" s="817" t="s">
        <v>6808</v>
      </c>
      <c r="AL69" s="817" t="s">
        <v>10614</v>
      </c>
      <c r="AM69" s="817" t="s">
        <v>2984</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8920</v>
      </c>
      <c r="B70" s="1623" t="s">
        <v>9236</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9252</v>
      </c>
      <c r="AA70" s="1607" t="s">
        <v>964</v>
      </c>
      <c r="AB70" s="1606" t="s">
        <v>4358</v>
      </c>
      <c r="AC70" s="1607">
        <v>49.53</v>
      </c>
      <c r="AD70" s="1607" t="s">
        <v>2004</v>
      </c>
      <c r="AE70" s="1606" t="s">
        <v>10636</v>
      </c>
      <c r="AF70" s="1607" t="s">
        <v>9376</v>
      </c>
      <c r="AG70" s="1607" t="s">
        <v>10637</v>
      </c>
      <c r="AH70" s="1607">
        <v>59.93</v>
      </c>
      <c r="AI70" s="1607" t="s">
        <v>10638</v>
      </c>
      <c r="AJ70" s="1607" t="s">
        <v>10639</v>
      </c>
      <c r="AK70" s="1607" t="s">
        <v>6005</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9210</v>
      </c>
      <c r="C71" s="1746">
        <v>0.05181712962962963</v>
      </c>
      <c r="D71" s="1585" t="s">
        <v>10644</v>
      </c>
      <c r="E71" s="1585" t="s">
        <v>7648</v>
      </c>
      <c r="F71" s="1585" t="s">
        <v>10645</v>
      </c>
      <c r="G71" s="1585" t="s">
        <v>10646</v>
      </c>
      <c r="H71" s="1585" t="s">
        <v>10647</v>
      </c>
      <c r="I71" s="1585" t="s">
        <v>5084</v>
      </c>
      <c r="J71" s="1585" t="s">
        <v>9621</v>
      </c>
      <c r="K71" s="1585" t="s">
        <v>9220</v>
      </c>
      <c r="L71" s="1585" t="s">
        <v>10612</v>
      </c>
      <c r="M71" s="1585" t="s">
        <v>1453</v>
      </c>
      <c r="N71" s="1585" t="s">
        <v>10110</v>
      </c>
      <c r="O71" s="1585" t="s">
        <v>7067</v>
      </c>
      <c r="P71" s="1585" t="s">
        <v>9713</v>
      </c>
      <c r="Q71" s="1585" t="s">
        <v>10648</v>
      </c>
      <c r="R71" s="1585" t="s">
        <v>6893</v>
      </c>
      <c r="S71" s="1585" t="s">
        <v>3659</v>
      </c>
      <c r="T71" s="1585" t="s">
        <v>10649</v>
      </c>
      <c r="U71" s="1585" t="s">
        <v>10650</v>
      </c>
      <c r="V71" s="1585" t="s">
        <v>10567</v>
      </c>
      <c r="W71" s="1585" t="s">
        <v>9293</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3136</v>
      </c>
      <c r="B72" s="1669" t="s">
        <v>9210</v>
      </c>
      <c r="C72" s="1710">
        <v>0.051863425925925924</v>
      </c>
      <c r="D72" s="1021" t="s">
        <v>10664</v>
      </c>
      <c r="E72" s="333" t="s">
        <v>6606</v>
      </c>
      <c r="F72" s="333" t="s">
        <v>10665</v>
      </c>
      <c r="G72" s="333" t="s">
        <v>10666</v>
      </c>
      <c r="H72" s="333" t="s">
        <v>10667</v>
      </c>
      <c r="I72" s="333" t="s">
        <v>10668</v>
      </c>
      <c r="J72" s="333" t="s">
        <v>1672</v>
      </c>
      <c r="K72" s="333" t="s">
        <v>1589</v>
      </c>
      <c r="L72" s="333" t="s">
        <v>3145</v>
      </c>
      <c r="M72" s="333" t="s">
        <v>10446</v>
      </c>
      <c r="N72" s="333" t="s">
        <v>5161</v>
      </c>
      <c r="O72" s="333" t="s">
        <v>10669</v>
      </c>
      <c r="P72" s="333" t="s">
        <v>1235</v>
      </c>
      <c r="Q72" s="333" t="s">
        <v>10670</v>
      </c>
      <c r="R72" s="333" t="s">
        <v>5824</v>
      </c>
      <c r="S72" s="333" t="s">
        <v>10671</v>
      </c>
      <c r="T72" s="333" t="s">
        <v>10672</v>
      </c>
      <c r="U72" s="333" t="s">
        <v>10673</v>
      </c>
      <c r="V72" s="333" t="s">
        <v>10217</v>
      </c>
      <c r="W72" s="333" t="s">
        <v>10674</v>
      </c>
      <c r="X72" s="333" t="s">
        <v>10572</v>
      </c>
      <c r="Y72" s="333" t="s">
        <v>3371</v>
      </c>
      <c r="Z72" s="333" t="s">
        <v>10675</v>
      </c>
      <c r="AA72" s="333" t="s">
        <v>10676</v>
      </c>
      <c r="AB72" s="333" t="s">
        <v>9033</v>
      </c>
      <c r="AC72" s="333" t="s">
        <v>5874</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3211</v>
      </c>
      <c r="AO72" s="333" t="s">
        <v>9373</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9182</v>
      </c>
      <c r="C73" s="1710">
        <v>0.051875</v>
      </c>
      <c r="D73" s="1021" t="s">
        <v>10687</v>
      </c>
      <c r="E73" s="333" t="s">
        <v>3216</v>
      </c>
      <c r="F73" s="333" t="s">
        <v>10688</v>
      </c>
      <c r="G73" s="333" t="s">
        <v>10689</v>
      </c>
      <c r="H73" s="333" t="s">
        <v>10690</v>
      </c>
      <c r="I73" s="333" t="s">
        <v>10691</v>
      </c>
      <c r="J73" s="333" t="s">
        <v>2571</v>
      </c>
      <c r="K73" s="333" t="s">
        <v>10692</v>
      </c>
      <c r="L73" s="333" t="s">
        <v>9452</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5703</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9182</v>
      </c>
      <c r="C74" s="1579">
        <v>0.05188657407407407</v>
      </c>
      <c r="D74" s="817" t="s">
        <v>10706</v>
      </c>
      <c r="E74" s="1021" t="s">
        <v>175</v>
      </c>
      <c r="F74" s="1021" t="s">
        <v>10707</v>
      </c>
      <c r="G74" s="1021" t="s">
        <v>10708</v>
      </c>
      <c r="H74" s="1021" t="s">
        <v>10709</v>
      </c>
      <c r="I74" s="1021" t="s">
        <v>143</v>
      </c>
      <c r="J74" s="1021" t="s">
        <v>4158</v>
      </c>
      <c r="K74" s="1021" t="s">
        <v>9935</v>
      </c>
      <c r="L74" s="1021" t="s">
        <v>2885</v>
      </c>
      <c r="M74" s="1021" t="s">
        <v>10710</v>
      </c>
      <c r="N74" s="1021" t="s">
        <v>4083</v>
      </c>
      <c r="O74" s="1021" t="s">
        <v>10711</v>
      </c>
      <c r="P74" s="1021" t="s">
        <v>5221</v>
      </c>
      <c r="Q74" s="1021" t="s">
        <v>10712</v>
      </c>
      <c r="R74" s="1021" t="s">
        <v>5653</v>
      </c>
      <c r="S74" s="1021" t="s">
        <v>10713</v>
      </c>
      <c r="T74" s="1021" t="s">
        <v>9256</v>
      </c>
      <c r="U74" s="1021" t="s">
        <v>10714</v>
      </c>
      <c r="V74" s="1021" t="s">
        <v>5370</v>
      </c>
      <c r="W74" s="1021" t="s">
        <v>10715</v>
      </c>
      <c r="X74" s="1021" t="s">
        <v>10716</v>
      </c>
      <c r="Y74" s="1021" t="s">
        <v>10717</v>
      </c>
      <c r="Z74" s="1021" t="s">
        <v>9946</v>
      </c>
      <c r="AA74" s="1021" t="s">
        <v>5180</v>
      </c>
      <c r="AB74" s="1021" t="s">
        <v>689</v>
      </c>
      <c r="AC74" s="1021" t="s">
        <v>10718</v>
      </c>
      <c r="AD74" s="1021" t="s">
        <v>2668</v>
      </c>
      <c r="AE74" s="1021" t="s">
        <v>5984</v>
      </c>
      <c r="AF74" s="1021" t="s">
        <v>10719</v>
      </c>
      <c r="AG74" s="1021" t="s">
        <v>2418</v>
      </c>
      <c r="AH74" s="1021" t="s">
        <v>2885</v>
      </c>
      <c r="AI74" s="1021" t="s">
        <v>199</v>
      </c>
      <c r="AJ74" s="1021" t="s">
        <v>10720</v>
      </c>
      <c r="AK74" s="1021" t="s">
        <v>9953</v>
      </c>
      <c r="AL74" s="1021" t="s">
        <v>10405</v>
      </c>
      <c r="AM74" s="1021" t="s">
        <v>9922</v>
      </c>
      <c r="AN74" s="1021" t="s">
        <v>3645</v>
      </c>
      <c r="AO74" s="1021" t="s">
        <v>4863</v>
      </c>
      <c r="AP74" s="1021" t="s">
        <v>10360</v>
      </c>
      <c r="AQ74" s="1021" t="s">
        <v>10702</v>
      </c>
      <c r="AR74" s="1021" t="s">
        <v>10721</v>
      </c>
      <c r="AS74" s="1021" t="s">
        <v>6619</v>
      </c>
      <c r="AT74" s="1021" t="s">
        <v>9432</v>
      </c>
      <c r="AU74" s="817" t="s">
        <v>10722</v>
      </c>
      <c r="AV74" s="1463" t="str">
        <f t="shared" si="1"/>
        <v>4:21</v>
      </c>
      <c r="AW74" s="1739" t="s">
        <v>10723</v>
      </c>
    </row>
    <row r="75">
      <c r="A75" s="1635" t="s">
        <v>9087</v>
      </c>
      <c r="B75" s="1623" t="s">
        <v>9182</v>
      </c>
      <c r="C75" s="1579">
        <v>0.05193287037037037</v>
      </c>
      <c r="D75" s="1716" t="s">
        <v>10724</v>
      </c>
      <c r="E75" s="817" t="s">
        <v>7217</v>
      </c>
      <c r="F75" s="817" t="s">
        <v>10725</v>
      </c>
      <c r="G75" s="817" t="s">
        <v>10726</v>
      </c>
      <c r="H75" s="817" t="s">
        <v>10727</v>
      </c>
      <c r="I75" s="817" t="s">
        <v>2388</v>
      </c>
      <c r="J75" s="817" t="s">
        <v>4269</v>
      </c>
      <c r="K75" s="817" t="s">
        <v>9875</v>
      </c>
      <c r="L75" s="817"/>
      <c r="M75" s="817" t="s">
        <v>6841</v>
      </c>
      <c r="N75" s="817" t="s">
        <v>4701</v>
      </c>
      <c r="O75" s="817" t="s">
        <v>9250</v>
      </c>
      <c r="P75" s="817" t="s">
        <v>10353</v>
      </c>
      <c r="Q75" s="817" t="s">
        <v>10728</v>
      </c>
      <c r="R75" s="817" t="s">
        <v>10729</v>
      </c>
      <c r="S75" s="817" t="s">
        <v>10351</v>
      </c>
      <c r="T75" s="817" t="s">
        <v>9890</v>
      </c>
      <c r="U75" s="817" t="s">
        <v>2273</v>
      </c>
      <c r="V75" s="817" t="s">
        <v>9732</v>
      </c>
      <c r="W75" s="817" t="s">
        <v>6010</v>
      </c>
      <c r="X75" s="817" t="s">
        <v>628</v>
      </c>
      <c r="Y75" s="817" t="s">
        <v>9698</v>
      </c>
      <c r="Z75" s="817" t="s">
        <v>2653</v>
      </c>
      <c r="AA75" s="817" t="s">
        <v>7303</v>
      </c>
      <c r="AB75" s="817" t="s">
        <v>9565</v>
      </c>
      <c r="AC75" s="817" t="s">
        <v>3019</v>
      </c>
      <c r="AD75" s="817" t="s">
        <v>10730</v>
      </c>
      <c r="AE75" s="817" t="s">
        <v>10731</v>
      </c>
      <c r="AF75" s="817" t="s">
        <v>10732</v>
      </c>
      <c r="AG75" s="817" t="s">
        <v>10496</v>
      </c>
      <c r="AH75" s="817" t="s">
        <v>10733</v>
      </c>
      <c r="AI75" s="817" t="s">
        <v>10734</v>
      </c>
      <c r="AJ75" s="817" t="s">
        <v>10735</v>
      </c>
      <c r="AK75" s="817" t="s">
        <v>10736</v>
      </c>
      <c r="AL75" s="817" t="s">
        <v>3366</v>
      </c>
      <c r="AM75" s="817" t="s">
        <v>10737</v>
      </c>
      <c r="AN75" s="817" t="s">
        <v>3657</v>
      </c>
      <c r="AO75" s="817" t="s">
        <v>10738</v>
      </c>
      <c r="AP75" s="817" t="s">
        <v>10739</v>
      </c>
      <c r="AQ75" s="817" t="s">
        <v>10740</v>
      </c>
      <c r="AR75" s="817" t="s">
        <v>10741</v>
      </c>
      <c r="AS75" s="817" t="s">
        <v>3803</v>
      </c>
      <c r="AT75" s="817" t="s">
        <v>10742</v>
      </c>
      <c r="AU75" s="817" t="s">
        <v>10743</v>
      </c>
      <c r="AV75" s="1463" t="str">
        <f t="shared" si="1"/>
        <v>4:12</v>
      </c>
      <c r="AW75" s="1743"/>
    </row>
    <row r="76" ht="15.75" customHeight="1">
      <c r="A76" s="1700" t="s">
        <v>10744</v>
      </c>
      <c r="B76" s="1578" t="s">
        <v>9182</v>
      </c>
      <c r="C76" s="1710">
        <v>0.05199074074074074</v>
      </c>
      <c r="D76" s="1021" t="s">
        <v>10745</v>
      </c>
      <c r="E76" s="333" t="s">
        <v>10746</v>
      </c>
      <c r="F76" s="333" t="s">
        <v>10747</v>
      </c>
      <c r="G76" s="333" t="s">
        <v>10748</v>
      </c>
      <c r="H76" s="333" t="s">
        <v>7123</v>
      </c>
      <c r="I76" s="333" t="s">
        <v>10311</v>
      </c>
      <c r="J76" s="333" t="s">
        <v>10749</v>
      </c>
      <c r="K76" s="333" t="s">
        <v>10750</v>
      </c>
      <c r="L76" s="333" t="s">
        <v>3145</v>
      </c>
      <c r="M76" s="333" t="s">
        <v>10751</v>
      </c>
      <c r="N76" s="333" t="s">
        <v>10020</v>
      </c>
      <c r="O76" s="333" t="s">
        <v>10752</v>
      </c>
      <c r="P76" s="333" t="s">
        <v>2441</v>
      </c>
      <c r="Q76" s="333" t="s">
        <v>5140</v>
      </c>
      <c r="R76" s="333" t="s">
        <v>5420</v>
      </c>
      <c r="S76" s="333" t="s">
        <v>10753</v>
      </c>
      <c r="T76" s="333" t="s">
        <v>5908</v>
      </c>
      <c r="U76" s="333" t="s">
        <v>10754</v>
      </c>
      <c r="V76" s="333" t="s">
        <v>6615</v>
      </c>
      <c r="W76" s="333" t="s">
        <v>7523</v>
      </c>
      <c r="X76" s="333" t="s">
        <v>10755</v>
      </c>
      <c r="Y76" s="333" t="s">
        <v>2099</v>
      </c>
      <c r="Z76" s="333" t="s">
        <v>10756</v>
      </c>
      <c r="AA76" s="333" t="s">
        <v>10449</v>
      </c>
      <c r="AB76" s="333" t="s">
        <v>10757</v>
      </c>
      <c r="AC76" s="333" t="s">
        <v>5604</v>
      </c>
      <c r="AD76" s="333" t="s">
        <v>10758</v>
      </c>
      <c r="AE76" s="333" t="s">
        <v>7754</v>
      </c>
      <c r="AF76" s="333" t="s">
        <v>10759</v>
      </c>
      <c r="AG76" s="333" t="s">
        <v>10699</v>
      </c>
      <c r="AH76" s="333" t="s">
        <v>10760</v>
      </c>
      <c r="AI76" s="333" t="s">
        <v>10761</v>
      </c>
      <c r="AJ76" s="333" t="s">
        <v>10762</v>
      </c>
      <c r="AK76" s="333" t="s">
        <v>808</v>
      </c>
      <c r="AL76" s="333" t="s">
        <v>3346</v>
      </c>
      <c r="AM76" s="333" t="s">
        <v>10202</v>
      </c>
      <c r="AN76" s="333" t="s">
        <v>10763</v>
      </c>
      <c r="AO76" s="817" t="s">
        <v>10764</v>
      </c>
      <c r="AP76" s="817" t="s">
        <v>10765</v>
      </c>
      <c r="AQ76" s="333" t="s">
        <v>5473</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9182</v>
      </c>
      <c r="C77" s="1710">
        <v>0.052002314814814814</v>
      </c>
      <c r="D77" s="1021" t="s">
        <v>10768</v>
      </c>
      <c r="E77" s="333" t="s">
        <v>9542</v>
      </c>
      <c r="F77" s="333" t="s">
        <v>10769</v>
      </c>
      <c r="G77" s="333" t="s">
        <v>10770</v>
      </c>
      <c r="H77" s="333" t="s">
        <v>10771</v>
      </c>
      <c r="I77" s="333" t="s">
        <v>3658</v>
      </c>
      <c r="J77" s="333" t="s">
        <v>9911</v>
      </c>
      <c r="K77" s="333" t="s">
        <v>4450</v>
      </c>
      <c r="L77" s="333" t="s">
        <v>3506</v>
      </c>
      <c r="M77" s="333" t="s">
        <v>10491</v>
      </c>
      <c r="N77" s="333" t="s">
        <v>4490</v>
      </c>
      <c r="O77" s="333" t="s">
        <v>10772</v>
      </c>
      <c r="P77" s="333" t="s">
        <v>10773</v>
      </c>
      <c r="Q77" s="333" t="s">
        <v>4945</v>
      </c>
      <c r="R77" s="333" t="s">
        <v>1453</v>
      </c>
      <c r="S77" s="333" t="s">
        <v>9992</v>
      </c>
      <c r="T77" s="333" t="s">
        <v>528</v>
      </c>
      <c r="U77" s="333" t="s">
        <v>1990</v>
      </c>
      <c r="V77" s="333" t="s">
        <v>464</v>
      </c>
      <c r="W77" s="333" t="s">
        <v>5850</v>
      </c>
      <c r="X77" s="333" t="s">
        <v>3769</v>
      </c>
      <c r="Y77" s="333" t="s">
        <v>2451</v>
      </c>
      <c r="Z77" s="333" t="s">
        <v>5350</v>
      </c>
      <c r="AA77" s="333" t="s">
        <v>10020</v>
      </c>
      <c r="AB77" s="333" t="s">
        <v>10774</v>
      </c>
      <c r="AC77" s="333" t="s">
        <v>3117</v>
      </c>
      <c r="AD77" s="333" t="s">
        <v>10775</v>
      </c>
      <c r="AE77" s="333" t="s">
        <v>5221</v>
      </c>
      <c r="AF77" s="333" t="s">
        <v>10776</v>
      </c>
      <c r="AG77" s="333" t="s">
        <v>10777</v>
      </c>
      <c r="AH77" s="333" t="s">
        <v>2257</v>
      </c>
      <c r="AI77" s="333" t="s">
        <v>10778</v>
      </c>
      <c r="AJ77" s="333" t="s">
        <v>10779</v>
      </c>
      <c r="AK77" s="333" t="s">
        <v>4650</v>
      </c>
      <c r="AL77" s="333" t="s">
        <v>6186</v>
      </c>
      <c r="AM77" s="333" t="s">
        <v>1458</v>
      </c>
      <c r="AN77" s="333" t="s">
        <v>5590</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9210</v>
      </c>
      <c r="C78" s="1710">
        <v>0.05201388888888889</v>
      </c>
      <c r="D78" s="1021" t="s">
        <v>10787</v>
      </c>
      <c r="E78" s="817" t="s">
        <v>10788</v>
      </c>
      <c r="F78" s="333" t="s">
        <v>10789</v>
      </c>
      <c r="G78" s="333" t="s">
        <v>10790</v>
      </c>
      <c r="H78" s="333" t="s">
        <v>129</v>
      </c>
      <c r="I78" s="333" t="s">
        <v>10791</v>
      </c>
      <c r="J78" s="333" t="s">
        <v>10792</v>
      </c>
      <c r="K78" s="333" t="s">
        <v>4226</v>
      </c>
      <c r="L78" s="333" t="s">
        <v>10793</v>
      </c>
      <c r="M78" s="333" t="s">
        <v>10794</v>
      </c>
      <c r="N78" s="333" t="s">
        <v>10795</v>
      </c>
      <c r="O78" s="333" t="s">
        <v>10796</v>
      </c>
      <c r="P78" s="333" t="s">
        <v>161</v>
      </c>
      <c r="Q78" s="333" t="s">
        <v>10797</v>
      </c>
      <c r="R78" s="333" t="s">
        <v>6944</v>
      </c>
      <c r="S78" s="333" t="s">
        <v>10798</v>
      </c>
      <c r="T78" s="333" t="s">
        <v>10799</v>
      </c>
      <c r="U78" s="333" t="s">
        <v>10800</v>
      </c>
      <c r="V78" s="333" t="s">
        <v>8489</v>
      </c>
      <c r="W78" s="333" t="s">
        <v>10801</v>
      </c>
      <c r="X78" s="333" t="s">
        <v>3769</v>
      </c>
      <c r="Y78" s="333" t="s">
        <v>209</v>
      </c>
      <c r="Z78" s="333" t="s">
        <v>2382</v>
      </c>
      <c r="AA78" s="333" t="s">
        <v>5972</v>
      </c>
      <c r="AB78" s="333" t="s">
        <v>9589</v>
      </c>
      <c r="AC78" s="333" t="s">
        <v>925</v>
      </c>
      <c r="AD78" s="333" t="s">
        <v>10802</v>
      </c>
      <c r="AE78" s="333" t="s">
        <v>1164</v>
      </c>
      <c r="AF78" s="333" t="s">
        <v>10803</v>
      </c>
      <c r="AG78" s="333" t="s">
        <v>2984</v>
      </c>
      <c r="AH78" s="333" t="s">
        <v>6227</v>
      </c>
      <c r="AI78" s="333" t="s">
        <v>1568</v>
      </c>
      <c r="AJ78" s="333" t="s">
        <v>10804</v>
      </c>
      <c r="AK78" s="333" t="s">
        <v>3634</v>
      </c>
      <c r="AL78" s="333" t="s">
        <v>3904</v>
      </c>
      <c r="AM78" s="333" t="s">
        <v>839</v>
      </c>
      <c r="AN78" s="333" t="s">
        <v>4544</v>
      </c>
      <c r="AO78" s="333" t="s">
        <v>2259</v>
      </c>
      <c r="AP78" s="333" t="s">
        <v>10805</v>
      </c>
      <c r="AQ78" s="333" t="s">
        <v>1071</v>
      </c>
      <c r="AR78" s="333" t="s">
        <v>9251</v>
      </c>
      <c r="AS78" s="333" t="s">
        <v>9190</v>
      </c>
      <c r="AT78" s="333" t="s">
        <v>10806</v>
      </c>
      <c r="AU78" s="333" t="s">
        <v>10807</v>
      </c>
      <c r="AV78" s="1463" t="str">
        <f t="shared" si="1"/>
        <v>2:58</v>
      </c>
      <c r="AW78" s="1743" t="s">
        <v>10808</v>
      </c>
    </row>
    <row r="79" ht="15.75" customHeight="1">
      <c r="A79" s="1577" t="s">
        <v>7161</v>
      </c>
      <c r="B79" s="1669" t="s">
        <v>9210</v>
      </c>
      <c r="C79" s="1710">
        <v>0.05207175925925926</v>
      </c>
      <c r="D79" s="1021" t="s">
        <v>10809</v>
      </c>
      <c r="E79" s="333" t="s">
        <v>10810</v>
      </c>
      <c r="F79" s="333" t="s">
        <v>10811</v>
      </c>
      <c r="G79" s="333" t="s">
        <v>10812</v>
      </c>
      <c r="H79" s="333" t="s">
        <v>9431</v>
      </c>
      <c r="I79" s="333" t="s">
        <v>4896</v>
      </c>
      <c r="J79" s="333" t="s">
        <v>9821</v>
      </c>
      <c r="K79" s="333" t="s">
        <v>10457</v>
      </c>
      <c r="L79" s="333" t="s">
        <v>10813</v>
      </c>
      <c r="M79" s="333" t="s">
        <v>2823</v>
      </c>
      <c r="N79" s="333" t="s">
        <v>10814</v>
      </c>
      <c r="O79" s="333" t="s">
        <v>10815</v>
      </c>
      <c r="P79" s="333" t="s">
        <v>765</v>
      </c>
      <c r="Q79" s="333" t="s">
        <v>10816</v>
      </c>
      <c r="R79" s="333" t="s">
        <v>4963</v>
      </c>
      <c r="S79" s="333" t="s">
        <v>6204</v>
      </c>
      <c r="T79" s="333" t="s">
        <v>5908</v>
      </c>
      <c r="U79" s="333" t="s">
        <v>10817</v>
      </c>
      <c r="V79" s="333" t="s">
        <v>2424</v>
      </c>
      <c r="W79" s="333" t="s">
        <v>9255</v>
      </c>
      <c r="X79" s="333" t="s">
        <v>10818</v>
      </c>
      <c r="Y79" s="333" t="s">
        <v>1409</v>
      </c>
      <c r="Z79" s="333" t="s">
        <v>6914</v>
      </c>
      <c r="AA79" s="333" t="s">
        <v>1483</v>
      </c>
      <c r="AB79" s="333" t="s">
        <v>10819</v>
      </c>
      <c r="AC79" s="333" t="s">
        <v>239</v>
      </c>
      <c r="AD79" s="333" t="s">
        <v>4276</v>
      </c>
      <c r="AE79" s="333" t="s">
        <v>6164</v>
      </c>
      <c r="AF79" s="333" t="s">
        <v>10820</v>
      </c>
      <c r="AG79" s="333" t="s">
        <v>3769</v>
      </c>
      <c r="AH79" s="333" t="s">
        <v>8313</v>
      </c>
      <c r="AI79" s="333" t="s">
        <v>10613</v>
      </c>
      <c r="AJ79" s="333" t="s">
        <v>10821</v>
      </c>
      <c r="AK79" s="333" t="s">
        <v>10822</v>
      </c>
      <c r="AL79" s="333" t="s">
        <v>4371</v>
      </c>
      <c r="AM79" s="333" t="s">
        <v>10375</v>
      </c>
      <c r="AN79" s="333" t="s">
        <v>3904</v>
      </c>
      <c r="AO79" s="333" t="s">
        <v>4226</v>
      </c>
      <c r="AP79" s="333" t="s">
        <v>10101</v>
      </c>
      <c r="AQ79" s="333" t="s">
        <v>10823</v>
      </c>
      <c r="AR79" s="333" t="s">
        <v>1482</v>
      </c>
      <c r="AS79" s="333" t="s">
        <v>6325</v>
      </c>
      <c r="AT79" s="333" t="s">
        <v>7287</v>
      </c>
      <c r="AU79" s="333" t="s">
        <v>10824</v>
      </c>
      <c r="AV79" s="1463" t="str">
        <f t="shared" si="1"/>
        <v>3:10</v>
      </c>
      <c r="AW79" s="1743" t="s">
        <v>10825</v>
      </c>
    </row>
    <row r="80">
      <c r="A80" s="996" t="s">
        <v>3909</v>
      </c>
      <c r="B80" s="1729" t="s">
        <v>9236</v>
      </c>
      <c r="C80" s="1673">
        <v>0.052141203703703703</v>
      </c>
      <c r="D80" s="1021" t="s">
        <v>10826</v>
      </c>
      <c r="E80" s="1658" t="s">
        <v>3011</v>
      </c>
      <c r="F80" s="1658" t="s">
        <v>10827</v>
      </c>
      <c r="G80" s="1697" t="s">
        <v>10828</v>
      </c>
      <c r="H80" s="1697" t="s">
        <v>10829</v>
      </c>
      <c r="I80" s="1697" t="s">
        <v>2436</v>
      </c>
      <c r="J80" s="1697" t="s">
        <v>8119</v>
      </c>
      <c r="K80" s="1748" t="s">
        <v>6356</v>
      </c>
      <c r="L80" s="1749" t="s">
        <v>8310</v>
      </c>
      <c r="M80" s="1697" t="s">
        <v>10830</v>
      </c>
      <c r="N80" s="1697" t="s">
        <v>5908</v>
      </c>
      <c r="O80" s="1697" t="s">
        <v>5656</v>
      </c>
      <c r="P80" s="1697" t="s">
        <v>1915</v>
      </c>
      <c r="Q80" s="1697" t="s">
        <v>10831</v>
      </c>
      <c r="R80" s="1697" t="s">
        <v>10832</v>
      </c>
      <c r="S80" s="1750" t="s">
        <v>2271</v>
      </c>
      <c r="T80" s="1697" t="s">
        <v>9700</v>
      </c>
      <c r="U80" s="1697" t="s">
        <v>3555</v>
      </c>
      <c r="V80" s="1697" t="s">
        <v>10833</v>
      </c>
      <c r="W80" s="1697" t="s">
        <v>10834</v>
      </c>
      <c r="X80" s="1697" t="s">
        <v>4475</v>
      </c>
      <c r="Y80" s="1697" t="s">
        <v>3697</v>
      </c>
      <c r="Z80" s="1697" t="s">
        <v>4195</v>
      </c>
      <c r="AA80" s="1697" t="s">
        <v>174</v>
      </c>
      <c r="AB80" s="1697" t="s">
        <v>625</v>
      </c>
      <c r="AC80" s="1697" t="s">
        <v>6164</v>
      </c>
      <c r="AD80" s="1585" t="s">
        <v>9655</v>
      </c>
      <c r="AE80" s="1697" t="s">
        <v>478</v>
      </c>
      <c r="AF80" s="1697" t="s">
        <v>10835</v>
      </c>
      <c r="AG80" s="1697" t="s">
        <v>10836</v>
      </c>
      <c r="AH80" s="1697" t="s">
        <v>4592</v>
      </c>
      <c r="AI80" s="1697" t="s">
        <v>10837</v>
      </c>
      <c r="AJ80" s="1697" t="s">
        <v>10838</v>
      </c>
      <c r="AK80" s="1697" t="s">
        <v>10839</v>
      </c>
      <c r="AL80" s="1697" t="s">
        <v>5054</v>
      </c>
      <c r="AM80" s="1697" t="s">
        <v>10498</v>
      </c>
      <c r="AN80" s="1697" t="s">
        <v>4338</v>
      </c>
      <c r="AO80" s="1697" t="s">
        <v>9636</v>
      </c>
      <c r="AP80" s="1697" t="s">
        <v>10840</v>
      </c>
      <c r="AQ80" s="1748" t="s">
        <v>9263</v>
      </c>
      <c r="AR80" s="1697" t="s">
        <v>10841</v>
      </c>
      <c r="AS80" s="1751" t="s">
        <v>754</v>
      </c>
      <c r="AT80" s="1697" t="s">
        <v>10842</v>
      </c>
      <c r="AU80" s="1625" t="s">
        <v>10843</v>
      </c>
      <c r="AV80" s="1463" t="str">
        <f t="shared" si="1"/>
        <v>4:08</v>
      </c>
      <c r="AW80" s="1685" t="s">
        <v>10844</v>
      </c>
    </row>
    <row r="81">
      <c r="A81" s="1635" t="s">
        <v>3976</v>
      </c>
      <c r="B81" s="1623" t="s">
        <v>9182</v>
      </c>
      <c r="C81" s="1579">
        <v>0.0522337962962963</v>
      </c>
      <c r="D81" s="1716" t="s">
        <v>10845</v>
      </c>
      <c r="E81" s="817" t="s">
        <v>10846</v>
      </c>
      <c r="F81" s="817" t="s">
        <v>10847</v>
      </c>
      <c r="G81" s="817" t="s">
        <v>10848</v>
      </c>
      <c r="H81" s="817" t="s">
        <v>10849</v>
      </c>
      <c r="I81" s="817" t="s">
        <v>1975</v>
      </c>
      <c r="J81" s="817" t="s">
        <v>8872</v>
      </c>
      <c r="K81" s="817" t="s">
        <v>4450</v>
      </c>
      <c r="L81" s="817" t="s">
        <v>5840</v>
      </c>
      <c r="M81" s="817" t="s">
        <v>10850</v>
      </c>
      <c r="N81" s="817" t="s">
        <v>10246</v>
      </c>
      <c r="O81" s="817" t="s">
        <v>10851</v>
      </c>
      <c r="P81" s="817" t="s">
        <v>5221</v>
      </c>
      <c r="Q81" s="817" t="s">
        <v>10852</v>
      </c>
      <c r="R81" s="817" t="s">
        <v>6354</v>
      </c>
      <c r="S81" s="817" t="s">
        <v>607</v>
      </c>
      <c r="T81" s="817" t="s">
        <v>10656</v>
      </c>
      <c r="U81" s="817" t="s">
        <v>9679</v>
      </c>
      <c r="V81" s="817" t="s">
        <v>10853</v>
      </c>
      <c r="W81" s="817" t="s">
        <v>10854</v>
      </c>
      <c r="X81" s="817" t="s">
        <v>10855</v>
      </c>
      <c r="Y81" s="817" t="s">
        <v>759</v>
      </c>
      <c r="Z81" s="817" t="s">
        <v>10856</v>
      </c>
      <c r="AA81" s="1021" t="s">
        <v>10857</v>
      </c>
      <c r="AB81" s="817" t="s">
        <v>8255</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5706</v>
      </c>
      <c r="AQ81" s="817" t="s">
        <v>10862</v>
      </c>
      <c r="AR81" s="817" t="s">
        <v>692</v>
      </c>
      <c r="AS81" s="1390" t="s">
        <v>2831</v>
      </c>
      <c r="AT81" s="817" t="s">
        <v>10863</v>
      </c>
      <c r="AU81" s="817" t="s">
        <v>10864</v>
      </c>
      <c r="AV81" s="1463" t="str">
        <f t="shared" si="1"/>
        <v>4:32</v>
      </c>
      <c r="AW81" s="1739" t="s">
        <v>10865</v>
      </c>
    </row>
    <row r="82">
      <c r="A82" s="1635" t="s">
        <v>5307</v>
      </c>
      <c r="B82" s="1633" t="s">
        <v>9210</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4088</v>
      </c>
      <c r="AH82" s="817" t="s">
        <v>1955</v>
      </c>
      <c r="AI82" s="817" t="s">
        <v>418</v>
      </c>
      <c r="AJ82" s="817" t="s">
        <v>10878</v>
      </c>
      <c r="AK82" s="817" t="s">
        <v>10879</v>
      </c>
      <c r="AL82" s="817" t="s">
        <v>10614</v>
      </c>
      <c r="AM82" s="817" t="s">
        <v>2984</v>
      </c>
      <c r="AN82" s="817" t="s">
        <v>6079</v>
      </c>
      <c r="AO82" s="817" t="s">
        <v>3732</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3304</v>
      </c>
      <c r="N83" s="333" t="s">
        <v>4885</v>
      </c>
      <c r="O83" s="333" t="s">
        <v>10890</v>
      </c>
      <c r="P83" s="333" t="s">
        <v>10891</v>
      </c>
      <c r="Q83" s="333" t="s">
        <v>4252</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3375</v>
      </c>
      <c r="AJ83" s="333" t="s">
        <v>10898</v>
      </c>
      <c r="AK83" s="333" t="s">
        <v>8256</v>
      </c>
      <c r="AL83" s="333" t="s">
        <v>10899</v>
      </c>
      <c r="AM83" s="333" t="s">
        <v>1188</v>
      </c>
      <c r="AN83" s="333" t="s">
        <v>3012</v>
      </c>
      <c r="AO83" s="333" t="s">
        <v>10900</v>
      </c>
      <c r="AP83" s="333" t="s">
        <v>3667</v>
      </c>
      <c r="AQ83" s="333" t="s">
        <v>10901</v>
      </c>
      <c r="AR83" s="333" t="s">
        <v>10902</v>
      </c>
      <c r="AS83" s="333" t="s">
        <v>9290</v>
      </c>
      <c r="AT83" s="333" t="s">
        <v>9923</v>
      </c>
      <c r="AU83" s="333" t="s">
        <v>10903</v>
      </c>
      <c r="AV83" s="1463" t="str">
        <f t="shared" si="1"/>
        <v>3:40</v>
      </c>
      <c r="AW83" s="1742" t="s">
        <v>10904</v>
      </c>
    </row>
    <row r="84" ht="15.75" customHeight="1">
      <c r="A84" s="1700" t="s">
        <v>10905</v>
      </c>
      <c r="B84" s="1578" t="s">
        <v>9182</v>
      </c>
      <c r="C84" s="1710">
        <v>0.05263888888888889</v>
      </c>
      <c r="D84" s="1021" t="s">
        <v>10906</v>
      </c>
      <c r="E84" s="333" t="s">
        <v>7648</v>
      </c>
      <c r="F84" s="333" t="s">
        <v>10907</v>
      </c>
      <c r="G84" s="333" t="s">
        <v>10908</v>
      </c>
      <c r="H84" s="333" t="s">
        <v>10909</v>
      </c>
      <c r="I84" s="333" t="s">
        <v>10910</v>
      </c>
      <c r="J84" s="333" t="s">
        <v>10911</v>
      </c>
      <c r="K84" s="333" t="s">
        <v>4158</v>
      </c>
      <c r="L84" s="333" t="s">
        <v>4231</v>
      </c>
      <c r="M84" s="333" t="s">
        <v>9944</v>
      </c>
      <c r="N84" s="333" t="s">
        <v>10912</v>
      </c>
      <c r="O84" s="333" t="s">
        <v>9224</v>
      </c>
      <c r="P84" s="333" t="s">
        <v>482</v>
      </c>
      <c r="Q84" s="333" t="s">
        <v>10913</v>
      </c>
      <c r="R84" s="333" t="s">
        <v>5653</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3049</v>
      </c>
      <c r="AE84" s="333" t="s">
        <v>4793</v>
      </c>
      <c r="AF84" s="333" t="s">
        <v>10919</v>
      </c>
      <c r="AG84" s="333" t="s">
        <v>2893</v>
      </c>
      <c r="AH84" s="333" t="s">
        <v>7779</v>
      </c>
      <c r="AI84" s="333" t="s">
        <v>10920</v>
      </c>
      <c r="AJ84" s="333" t="s">
        <v>10921</v>
      </c>
      <c r="AK84" s="333" t="s">
        <v>10265</v>
      </c>
      <c r="AL84" s="333" t="s">
        <v>10922</v>
      </c>
      <c r="AM84" s="333" t="s">
        <v>10923</v>
      </c>
      <c r="AN84" s="333" t="s">
        <v>3903</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3630</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2886</v>
      </c>
      <c r="M85" s="1021" t="s">
        <v>270</v>
      </c>
      <c r="N85" s="1021" t="s">
        <v>9757</v>
      </c>
      <c r="O85" s="1021" t="s">
        <v>10934</v>
      </c>
      <c r="P85" s="1021" t="s">
        <v>10935</v>
      </c>
      <c r="Q85" s="1021" t="s">
        <v>3442</v>
      </c>
      <c r="R85" s="1021" t="s">
        <v>10936</v>
      </c>
      <c r="S85" s="1021" t="s">
        <v>6162</v>
      </c>
      <c r="T85" s="1021" t="s">
        <v>10937</v>
      </c>
      <c r="U85" s="1021" t="s">
        <v>10938</v>
      </c>
      <c r="V85" s="1021" t="s">
        <v>10939</v>
      </c>
      <c r="W85" s="1021" t="s">
        <v>10940</v>
      </c>
      <c r="X85" s="1021" t="s">
        <v>2811</v>
      </c>
      <c r="Y85" s="1021" t="s">
        <v>2844</v>
      </c>
      <c r="Z85" s="1021" t="s">
        <v>6450</v>
      </c>
      <c r="AA85" s="817" t="s">
        <v>10941</v>
      </c>
      <c r="AB85" s="1021" t="s">
        <v>9267</v>
      </c>
      <c r="AC85" s="1021" t="s">
        <v>7581</v>
      </c>
      <c r="AD85" s="1752" t="s">
        <v>9255</v>
      </c>
      <c r="AE85" s="1021" t="s">
        <v>334</v>
      </c>
      <c r="AF85" s="1021" t="s">
        <v>10942</v>
      </c>
      <c r="AG85" s="1021" t="s">
        <v>7069</v>
      </c>
      <c r="AH85" s="1021" t="s">
        <v>3836</v>
      </c>
      <c r="AI85" s="1021" t="s">
        <v>10943</v>
      </c>
      <c r="AJ85" s="1021" t="s">
        <v>10944</v>
      </c>
      <c r="AK85" s="1021" t="s">
        <v>10945</v>
      </c>
      <c r="AL85" s="1021" t="s">
        <v>4616</v>
      </c>
      <c r="AM85" s="1021" t="s">
        <v>5849</v>
      </c>
      <c r="AN85" s="1752" t="s">
        <v>9260</v>
      </c>
      <c r="AO85" s="1021" t="s">
        <v>10946</v>
      </c>
      <c r="AP85" s="1021" t="s">
        <v>10947</v>
      </c>
      <c r="AQ85" s="1021" t="s">
        <v>10948</v>
      </c>
      <c r="AR85" s="1021" t="s">
        <v>6116</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10341</v>
      </c>
      <c r="E86" s="817" t="s">
        <v>175</v>
      </c>
      <c r="F86" s="817" t="s">
        <v>10953</v>
      </c>
      <c r="G86" s="817" t="s">
        <v>10954</v>
      </c>
      <c r="H86" s="817" t="s">
        <v>10955</v>
      </c>
      <c r="I86" s="817" t="s">
        <v>5699</v>
      </c>
      <c r="J86" s="1021" t="s">
        <v>10956</v>
      </c>
      <c r="K86" s="817" t="s">
        <v>5459</v>
      </c>
      <c r="L86" s="817" t="s">
        <v>3836</v>
      </c>
      <c r="M86" s="817" t="s">
        <v>7051</v>
      </c>
      <c r="N86" s="817" t="s">
        <v>10957</v>
      </c>
      <c r="O86" s="817" t="s">
        <v>10958</v>
      </c>
      <c r="P86" s="817" t="s">
        <v>10311</v>
      </c>
      <c r="Q86" s="817" t="s">
        <v>10959</v>
      </c>
      <c r="R86" s="817" t="s">
        <v>5716</v>
      </c>
      <c r="S86" s="817" t="s">
        <v>10960</v>
      </c>
      <c r="T86" s="817" t="s">
        <v>10961</v>
      </c>
      <c r="U86" s="817" t="s">
        <v>10962</v>
      </c>
      <c r="V86" s="817" t="s">
        <v>3928</v>
      </c>
      <c r="W86" s="817" t="s">
        <v>10963</v>
      </c>
      <c r="X86" s="817" t="s">
        <v>2418</v>
      </c>
      <c r="Y86" s="817" t="s">
        <v>9907</v>
      </c>
      <c r="Z86" s="817" t="s">
        <v>9411</v>
      </c>
      <c r="AA86" s="817" t="s">
        <v>10964</v>
      </c>
      <c r="AB86" s="817" t="s">
        <v>10526</v>
      </c>
      <c r="AC86" s="817" t="s">
        <v>9795</v>
      </c>
      <c r="AD86" s="817" t="s">
        <v>10965</v>
      </c>
      <c r="AE86" s="817" t="s">
        <v>2388</v>
      </c>
      <c r="AF86" s="817" t="s">
        <v>10966</v>
      </c>
      <c r="AG86" s="817" t="s">
        <v>10967</v>
      </c>
      <c r="AH86" s="817" t="s">
        <v>4231</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6135</v>
      </c>
      <c r="B87" s="1669" t="s">
        <v>9210</v>
      </c>
      <c r="C87" s="1710">
        <v>0.05275462962962963</v>
      </c>
      <c r="D87" s="1021" t="s">
        <v>10975</v>
      </c>
      <c r="E87" s="333" t="s">
        <v>6043</v>
      </c>
      <c r="F87" s="333" t="s">
        <v>10976</v>
      </c>
      <c r="G87" s="333" t="s">
        <v>9376</v>
      </c>
      <c r="H87" s="333" t="s">
        <v>6881</v>
      </c>
      <c r="I87" s="333" t="s">
        <v>2287</v>
      </c>
      <c r="J87" s="333" t="s">
        <v>4172</v>
      </c>
      <c r="K87" s="333" t="s">
        <v>10671</v>
      </c>
      <c r="L87" s="333" t="s">
        <v>5398</v>
      </c>
      <c r="M87" s="333" t="s">
        <v>4157</v>
      </c>
      <c r="N87" s="333" t="s">
        <v>10977</v>
      </c>
      <c r="O87" s="333" t="s">
        <v>10978</v>
      </c>
      <c r="P87" s="333" t="s">
        <v>6403</v>
      </c>
      <c r="Q87" s="333" t="s">
        <v>10979</v>
      </c>
      <c r="R87" s="333" t="s">
        <v>10980</v>
      </c>
      <c r="S87" s="333" t="s">
        <v>9198</v>
      </c>
      <c r="T87" s="333" t="s">
        <v>2616</v>
      </c>
      <c r="U87" s="333" t="s">
        <v>497</v>
      </c>
      <c r="V87" s="333" t="s">
        <v>10981</v>
      </c>
      <c r="W87" s="333" t="s">
        <v>10982</v>
      </c>
      <c r="X87" s="333" t="s">
        <v>9378</v>
      </c>
      <c r="Y87" s="333" t="s">
        <v>5877</v>
      </c>
      <c r="Z87" s="333" t="s">
        <v>9589</v>
      </c>
      <c r="AA87" s="333" t="s">
        <v>10983</v>
      </c>
      <c r="AB87" s="333" t="s">
        <v>490</v>
      </c>
      <c r="AC87" s="333" t="s">
        <v>9433</v>
      </c>
      <c r="AD87" s="333" t="s">
        <v>10984</v>
      </c>
      <c r="AE87" s="333" t="s">
        <v>10985</v>
      </c>
      <c r="AF87" s="333" t="s">
        <v>10070</v>
      </c>
      <c r="AG87" s="333" t="s">
        <v>8113</v>
      </c>
      <c r="AH87" s="333" t="s">
        <v>723</v>
      </c>
      <c r="AI87" s="333" t="s">
        <v>5428</v>
      </c>
      <c r="AJ87" s="333" t="s">
        <v>10986</v>
      </c>
      <c r="AK87" s="333" t="s">
        <v>10987</v>
      </c>
      <c r="AL87" s="333" t="s">
        <v>5283</v>
      </c>
      <c r="AM87" s="333" t="s">
        <v>2664</v>
      </c>
      <c r="AN87" s="333" t="s">
        <v>6597</v>
      </c>
      <c r="AO87" s="333" t="s">
        <v>6301</v>
      </c>
      <c r="AP87" s="333" t="s">
        <v>10988</v>
      </c>
      <c r="AQ87" s="333" t="s">
        <v>10989</v>
      </c>
      <c r="AR87" s="333" t="s">
        <v>10608</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5975</v>
      </c>
      <c r="G88" s="333" t="s">
        <v>10203</v>
      </c>
      <c r="H88" s="333" t="s">
        <v>10545</v>
      </c>
      <c r="I88" s="333" t="s">
        <v>3124</v>
      </c>
      <c r="J88" s="333" t="s">
        <v>10996</v>
      </c>
      <c r="K88" s="333" t="s">
        <v>5538</v>
      </c>
      <c r="L88" s="333" t="s">
        <v>7431</v>
      </c>
      <c r="M88" s="333" t="s">
        <v>10997</v>
      </c>
      <c r="N88" s="333" t="s">
        <v>10998</v>
      </c>
      <c r="O88" s="333" t="s">
        <v>10999</v>
      </c>
      <c r="P88" s="333" t="s">
        <v>10413</v>
      </c>
      <c r="Q88" s="333" t="s">
        <v>11000</v>
      </c>
      <c r="R88" s="333" t="s">
        <v>5948</v>
      </c>
      <c r="S88" s="333" t="s">
        <v>2728</v>
      </c>
      <c r="T88" s="333" t="s">
        <v>9602</v>
      </c>
      <c r="U88" s="333" t="s">
        <v>5613</v>
      </c>
      <c r="V88" s="333" t="s">
        <v>1147</v>
      </c>
      <c r="W88" s="333" t="s">
        <v>1897</v>
      </c>
      <c r="X88" s="333" t="s">
        <v>3367</v>
      </c>
      <c r="Y88" s="333" t="s">
        <v>661</v>
      </c>
      <c r="Z88" s="333" t="s">
        <v>11001</v>
      </c>
      <c r="AA88" s="817" t="s">
        <v>7298</v>
      </c>
      <c r="AB88" s="333" t="s">
        <v>3683</v>
      </c>
      <c r="AC88" s="333" t="s">
        <v>2451</v>
      </c>
      <c r="AD88" s="333" t="s">
        <v>11002</v>
      </c>
      <c r="AE88" s="333" t="s">
        <v>11003</v>
      </c>
      <c r="AF88" s="333" t="s">
        <v>11004</v>
      </c>
      <c r="AG88" s="333" t="s">
        <v>2695</v>
      </c>
      <c r="AH88" s="333" t="s">
        <v>10239</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4379</v>
      </c>
      <c r="AT88" s="333" t="s">
        <v>11011</v>
      </c>
      <c r="AU88" s="333" t="s">
        <v>11012</v>
      </c>
      <c r="AV88" s="1463" t="str">
        <f t="shared" si="1"/>
        <v>2:38</v>
      </c>
      <c r="AW88" s="1743"/>
    </row>
    <row r="89" ht="15.75" customHeight="1">
      <c r="A89" s="1635" t="s">
        <v>6468</v>
      </c>
      <c r="B89" s="1623" t="s">
        <v>9182</v>
      </c>
      <c r="C89" s="1579">
        <v>0.05324074074074074</v>
      </c>
      <c r="D89" s="1021" t="s">
        <v>11013</v>
      </c>
      <c r="E89" s="1021" t="s">
        <v>11014</v>
      </c>
      <c r="F89" s="1021" t="s">
        <v>11015</v>
      </c>
      <c r="G89" s="1021" t="s">
        <v>9950</v>
      </c>
      <c r="H89" s="1021" t="s">
        <v>11016</v>
      </c>
      <c r="I89" s="1021" t="s">
        <v>6164</v>
      </c>
      <c r="J89" s="1021" t="s">
        <v>1707</v>
      </c>
      <c r="K89" s="1021" t="s">
        <v>4294</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2905</v>
      </c>
      <c r="W89" s="1021" t="s">
        <v>11026</v>
      </c>
      <c r="X89" s="1021" t="s">
        <v>11027</v>
      </c>
      <c r="Y89" s="1021" t="s">
        <v>5699</v>
      </c>
      <c r="Z89" s="1021" t="s">
        <v>3580</v>
      </c>
      <c r="AA89" s="817" t="s">
        <v>11028</v>
      </c>
      <c r="AB89" s="1021" t="s">
        <v>10347</v>
      </c>
      <c r="AC89" s="1021" t="s">
        <v>5652</v>
      </c>
      <c r="AD89" s="1021" t="s">
        <v>11029</v>
      </c>
      <c r="AE89" s="1021" t="s">
        <v>10140</v>
      </c>
      <c r="AF89" s="1021" t="s">
        <v>11030</v>
      </c>
      <c r="AG89" s="1021" t="s">
        <v>10836</v>
      </c>
      <c r="AH89" s="1021" t="s">
        <v>5852</v>
      </c>
      <c r="AI89" s="1021" t="s">
        <v>11031</v>
      </c>
      <c r="AJ89" s="1021" t="s">
        <v>6810</v>
      </c>
      <c r="AK89" s="817" t="s">
        <v>11032</v>
      </c>
      <c r="AL89" s="1021" t="s">
        <v>10654</v>
      </c>
      <c r="AM89" s="1021" t="s">
        <v>8557</v>
      </c>
      <c r="AN89" s="1021" t="s">
        <v>10493</v>
      </c>
      <c r="AO89" s="1021" t="s">
        <v>4551</v>
      </c>
      <c r="AP89" s="1021" t="s">
        <v>11033</v>
      </c>
      <c r="AQ89" s="1021" t="s">
        <v>11034</v>
      </c>
      <c r="AR89" s="817" t="s">
        <v>3835</v>
      </c>
      <c r="AS89" s="1021" t="s">
        <v>11035</v>
      </c>
      <c r="AT89" s="1021" t="s">
        <v>11036</v>
      </c>
      <c r="AU89" s="817" t="s">
        <v>10950</v>
      </c>
      <c r="AV89" s="1463" t="str">
        <f t="shared" si="1"/>
        <v>3:53</v>
      </c>
      <c r="AW89" s="1739" t="s">
        <v>11037</v>
      </c>
    </row>
    <row r="90">
      <c r="A90" s="1635" t="s">
        <v>4806</v>
      </c>
      <c r="B90" s="1633" t="s">
        <v>9236</v>
      </c>
      <c r="C90" s="1579">
        <v>0.05331018518518518</v>
      </c>
      <c r="D90" s="817" t="s">
        <v>11038</v>
      </c>
      <c r="E90" s="817" t="s">
        <v>7504</v>
      </c>
      <c r="F90" s="817" t="s">
        <v>10811</v>
      </c>
      <c r="G90" s="817" t="s">
        <v>11039</v>
      </c>
      <c r="H90" s="1021" t="s">
        <v>11040</v>
      </c>
      <c r="I90" s="817" t="s">
        <v>11041</v>
      </c>
      <c r="J90" s="817" t="s">
        <v>10586</v>
      </c>
      <c r="K90" s="817" t="s">
        <v>9373</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5553</v>
      </c>
      <c r="Z90" s="817" t="s">
        <v>10377</v>
      </c>
      <c r="AA90" s="817" t="s">
        <v>11047</v>
      </c>
      <c r="AB90" s="817" t="s">
        <v>3572</v>
      </c>
      <c r="AC90" s="817" t="s">
        <v>11048</v>
      </c>
      <c r="AD90" s="817" t="s">
        <v>11049</v>
      </c>
      <c r="AE90" s="817" t="s">
        <v>5877</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2817</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10846</v>
      </c>
      <c r="F91" s="333" t="s">
        <v>6596</v>
      </c>
      <c r="G91" s="333" t="s">
        <v>11061</v>
      </c>
      <c r="H91" s="333" t="s">
        <v>11062</v>
      </c>
      <c r="I91" s="333" t="s">
        <v>2354</v>
      </c>
      <c r="J91" s="333" t="s">
        <v>9771</v>
      </c>
      <c r="K91" s="333" t="s">
        <v>9248</v>
      </c>
      <c r="L91" s="333" t="s">
        <v>4883</v>
      </c>
      <c r="M91" s="333" t="s">
        <v>11063</v>
      </c>
      <c r="N91" s="333" t="s">
        <v>11064</v>
      </c>
      <c r="O91" s="333" t="s">
        <v>4340</v>
      </c>
      <c r="P91" s="333" t="s">
        <v>925</v>
      </c>
      <c r="Q91" s="817" t="s">
        <v>11065</v>
      </c>
      <c r="R91" s="333" t="s">
        <v>10631</v>
      </c>
      <c r="S91" s="333" t="s">
        <v>9978</v>
      </c>
      <c r="T91" s="333" t="s">
        <v>10818</v>
      </c>
      <c r="U91" s="333" t="s">
        <v>11066</v>
      </c>
      <c r="V91" s="333" t="s">
        <v>3233</v>
      </c>
      <c r="W91" s="333" t="s">
        <v>11067</v>
      </c>
      <c r="X91" s="333" t="s">
        <v>3150</v>
      </c>
      <c r="Y91" s="333" t="s">
        <v>1427</v>
      </c>
      <c r="Z91" s="333" t="s">
        <v>9677</v>
      </c>
      <c r="AA91" s="817" t="s">
        <v>11068</v>
      </c>
      <c r="AB91" s="333" t="s">
        <v>10386</v>
      </c>
      <c r="AC91" s="333" t="s">
        <v>1154</v>
      </c>
      <c r="AD91" s="333" t="s">
        <v>11069</v>
      </c>
      <c r="AE91" s="333" t="s">
        <v>585</v>
      </c>
      <c r="AF91" s="817" t="s">
        <v>11070</v>
      </c>
      <c r="AG91" s="333" t="s">
        <v>5895</v>
      </c>
      <c r="AH91" s="333" t="s">
        <v>9851</v>
      </c>
      <c r="AI91" s="333" t="s">
        <v>2641</v>
      </c>
      <c r="AJ91" s="333" t="s">
        <v>11071</v>
      </c>
      <c r="AK91" s="333" t="s">
        <v>9691</v>
      </c>
      <c r="AL91" s="333" t="s">
        <v>11072</v>
      </c>
      <c r="AM91" s="333" t="s">
        <v>9425</v>
      </c>
      <c r="AN91" s="333" t="s">
        <v>10654</v>
      </c>
      <c r="AO91" s="333" t="s">
        <v>9353</v>
      </c>
      <c r="AP91" s="333" t="s">
        <v>11073</v>
      </c>
      <c r="AQ91" s="333" t="s">
        <v>4477</v>
      </c>
      <c r="AR91" s="333" t="s">
        <v>1381</v>
      </c>
      <c r="AS91" s="333" t="s">
        <v>9447</v>
      </c>
      <c r="AT91" s="333" t="s">
        <v>4748</v>
      </c>
      <c r="AU91" s="333" t="s">
        <v>11074</v>
      </c>
      <c r="AV91" s="1463" t="str">
        <f t="shared" si="1"/>
        <v>3:27</v>
      </c>
      <c r="AW91" s="1739" t="s">
        <v>11075</v>
      </c>
    </row>
    <row r="92">
      <c r="A92" s="1635" t="s">
        <v>5494</v>
      </c>
      <c r="B92" s="1623" t="s">
        <v>9182</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6108</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9404</v>
      </c>
      <c r="AT92" s="817" t="s">
        <v>11098</v>
      </c>
      <c r="AU92" s="817" t="s">
        <v>11099</v>
      </c>
      <c r="AV92" s="1463" t="str">
        <f t="shared" si="1"/>
        <v>4:58</v>
      </c>
      <c r="AW92" s="1756"/>
    </row>
    <row r="93" ht="15.75" customHeight="1">
      <c r="A93" s="1700" t="s">
        <v>6633</v>
      </c>
      <c r="B93" s="1729" t="s">
        <v>9236</v>
      </c>
      <c r="C93" s="1710">
        <v>0.05386574074074074</v>
      </c>
      <c r="D93" s="333" t="s">
        <v>11100</v>
      </c>
      <c r="E93" s="333" t="s">
        <v>11101</v>
      </c>
      <c r="F93" s="333" t="s">
        <v>11102</v>
      </c>
      <c r="G93" s="333" t="s">
        <v>4302</v>
      </c>
      <c r="H93" s="333" t="s">
        <v>11103</v>
      </c>
      <c r="I93" s="333" t="s">
        <v>11041</v>
      </c>
      <c r="J93" s="333" t="s">
        <v>11104</v>
      </c>
      <c r="K93" s="333" t="s">
        <v>11105</v>
      </c>
      <c r="L93" s="333" t="s">
        <v>1434</v>
      </c>
      <c r="M93" s="333" t="s">
        <v>4571</v>
      </c>
      <c r="N93" s="333" t="s">
        <v>7044</v>
      </c>
      <c r="O93" s="333" t="s">
        <v>11106</v>
      </c>
      <c r="P93" s="333" t="s">
        <v>6350</v>
      </c>
      <c r="Q93" s="333" t="s">
        <v>11107</v>
      </c>
      <c r="R93" s="333" t="s">
        <v>9568</v>
      </c>
      <c r="S93" s="333" t="s">
        <v>11108</v>
      </c>
      <c r="T93" s="333" t="s">
        <v>7423</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10698</v>
      </c>
      <c r="AG93" s="333" t="s">
        <v>11116</v>
      </c>
      <c r="AH93" s="333" t="s">
        <v>11117</v>
      </c>
      <c r="AI93" s="333" t="s">
        <v>3660</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9236</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9682</v>
      </c>
      <c r="S94" s="817" t="s">
        <v>11134</v>
      </c>
      <c r="T94" s="817" t="s">
        <v>11047</v>
      </c>
      <c r="U94" s="817" t="s">
        <v>11135</v>
      </c>
      <c r="V94" s="817" t="s">
        <v>840</v>
      </c>
      <c r="W94" s="817" t="s">
        <v>6480</v>
      </c>
      <c r="X94" s="817" t="s">
        <v>11136</v>
      </c>
      <c r="Y94" s="817" t="s">
        <v>1678</v>
      </c>
      <c r="Z94" s="817" t="s">
        <v>10406</v>
      </c>
      <c r="AA94" s="817" t="s">
        <v>2394</v>
      </c>
      <c r="AB94" s="817" t="s">
        <v>6815</v>
      </c>
      <c r="AC94" s="817" t="s">
        <v>11137</v>
      </c>
      <c r="AD94" s="817" t="s">
        <v>11138</v>
      </c>
      <c r="AE94" s="817" t="s">
        <v>1537</v>
      </c>
      <c r="AF94" s="817" t="s">
        <v>11139</v>
      </c>
      <c r="AG94" s="817" t="s">
        <v>11140</v>
      </c>
      <c r="AH94" s="817" t="s">
        <v>11141</v>
      </c>
      <c r="AI94" s="817" t="s">
        <v>5828</v>
      </c>
      <c r="AJ94" s="817" t="s">
        <v>11142</v>
      </c>
      <c r="AK94" s="817" t="s">
        <v>246</v>
      </c>
      <c r="AL94" s="817" t="s">
        <v>8310</v>
      </c>
      <c r="AM94" s="817" t="s">
        <v>4307</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9182</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3407</v>
      </c>
      <c r="S95" s="1612" t="s">
        <v>11158</v>
      </c>
      <c r="T95" s="1612" t="s">
        <v>5103</v>
      </c>
      <c r="U95" s="1612" t="s">
        <v>3266</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5614</v>
      </c>
      <c r="B96" s="1633" t="s">
        <v>9182</v>
      </c>
      <c r="C96" s="1579">
        <v>0.05559027777777778</v>
      </c>
      <c r="D96" s="1716" t="s">
        <v>11172</v>
      </c>
      <c r="E96" s="817" t="s">
        <v>11173</v>
      </c>
      <c r="F96" s="817" t="s">
        <v>11174</v>
      </c>
      <c r="G96" s="817" t="s">
        <v>11175</v>
      </c>
      <c r="H96" s="817" t="s">
        <v>5986</v>
      </c>
      <c r="I96" s="817" t="s">
        <v>1912</v>
      </c>
      <c r="J96" s="817" t="s">
        <v>11176</v>
      </c>
      <c r="K96" s="817" t="s">
        <v>6353</v>
      </c>
      <c r="L96" s="817" t="s">
        <v>8964</v>
      </c>
      <c r="M96" s="817" t="s">
        <v>6914</v>
      </c>
      <c r="N96" s="817" t="s">
        <v>11177</v>
      </c>
      <c r="O96" s="817" t="s">
        <v>11178</v>
      </c>
      <c r="P96" s="817" t="s">
        <v>190</v>
      </c>
      <c r="Q96" s="817" t="s">
        <v>1667</v>
      </c>
      <c r="R96" s="817" t="s">
        <v>11179</v>
      </c>
      <c r="S96" s="817" t="s">
        <v>5328</v>
      </c>
      <c r="T96" s="817" t="s">
        <v>11180</v>
      </c>
      <c r="U96" s="817" t="s">
        <v>11181</v>
      </c>
      <c r="V96" s="817" t="s">
        <v>6630</v>
      </c>
      <c r="W96" s="817" t="s">
        <v>9287</v>
      </c>
      <c r="X96" s="817" t="s">
        <v>5036</v>
      </c>
      <c r="Y96" s="817" t="s">
        <v>101</v>
      </c>
      <c r="Z96" s="817" t="s">
        <v>11182</v>
      </c>
      <c r="AA96" s="817" t="s">
        <v>10943</v>
      </c>
      <c r="AB96" s="817" t="s">
        <v>3511</v>
      </c>
      <c r="AC96" s="817" t="s">
        <v>4761</v>
      </c>
      <c r="AD96" s="817" t="s">
        <v>6175</v>
      </c>
      <c r="AE96" s="817" t="s">
        <v>858</v>
      </c>
      <c r="AF96" s="817" t="s">
        <v>11183</v>
      </c>
      <c r="AG96" s="817" t="s">
        <v>11184</v>
      </c>
      <c r="AH96" s="817" t="s">
        <v>8830</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9210</v>
      </c>
      <c r="C97" s="1665">
        <v>0.05565972222222222</v>
      </c>
      <c r="D97" s="817" t="s">
        <v>11195</v>
      </c>
      <c r="E97" s="817" t="s">
        <v>3215</v>
      </c>
      <c r="F97" s="817" t="s">
        <v>11196</v>
      </c>
      <c r="G97" s="817" t="s">
        <v>11197</v>
      </c>
      <c r="H97" s="1021" t="s">
        <v>9740</v>
      </c>
      <c r="I97" s="817" t="s">
        <v>3508</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5592</v>
      </c>
      <c r="AF97" s="817" t="s">
        <v>11208</v>
      </c>
      <c r="AG97" s="817" t="s">
        <v>11209</v>
      </c>
      <c r="AH97" s="817" t="s">
        <v>11210</v>
      </c>
      <c r="AI97" s="817" t="s">
        <v>11211</v>
      </c>
      <c r="AJ97" s="817" t="s">
        <v>11212</v>
      </c>
      <c r="AK97" s="817" t="s">
        <v>6863</v>
      </c>
      <c r="AL97" s="817" t="s">
        <v>3767</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5794</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9334</v>
      </c>
      <c r="Q98" s="1093" t="s">
        <v>11226</v>
      </c>
      <c r="R98" s="1093" t="s">
        <v>4022</v>
      </c>
      <c r="S98" s="1093" t="s">
        <v>5452</v>
      </c>
      <c r="T98" s="1093" t="s">
        <v>1650</v>
      </c>
      <c r="U98" s="1093" t="s">
        <v>9470</v>
      </c>
      <c r="V98" s="1093" t="s">
        <v>2691</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2820</v>
      </c>
      <c r="AR98" s="1093" t="s">
        <v>10677</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3721</v>
      </c>
      <c r="L99" s="333" t="s">
        <v>11250</v>
      </c>
      <c r="M99" s="333" t="s">
        <v>7912</v>
      </c>
      <c r="N99" s="333" t="s">
        <v>11251</v>
      </c>
      <c r="O99" s="333" t="s">
        <v>11252</v>
      </c>
      <c r="P99" s="333" t="s">
        <v>3822</v>
      </c>
      <c r="Q99" s="333" t="s">
        <v>11253</v>
      </c>
      <c r="R99" s="333" t="s">
        <v>11254</v>
      </c>
      <c r="S99" s="333" t="s">
        <v>11255</v>
      </c>
      <c r="T99" s="333" t="s">
        <v>1676</v>
      </c>
      <c r="U99" s="333" t="s">
        <v>11256</v>
      </c>
      <c r="V99" s="333" t="s">
        <v>11257</v>
      </c>
      <c r="W99" s="333" t="s">
        <v>11258</v>
      </c>
      <c r="X99" s="333" t="s">
        <v>11259</v>
      </c>
      <c r="Y99" s="333" t="s">
        <v>2981</v>
      </c>
      <c r="Z99" s="333" t="s">
        <v>11260</v>
      </c>
      <c r="AA99" s="817" t="s">
        <v>11261</v>
      </c>
      <c r="AB99" s="333" t="s">
        <v>9771</v>
      </c>
      <c r="AC99" s="333" t="s">
        <v>3439</v>
      </c>
      <c r="AD99" s="333" t="s">
        <v>5407</v>
      </c>
      <c r="AE99" s="333" t="s">
        <v>2618</v>
      </c>
      <c r="AF99" s="333" t="s">
        <v>11262</v>
      </c>
      <c r="AG99" s="333" t="s">
        <v>5898</v>
      </c>
      <c r="AH99" s="333" t="s">
        <v>11263</v>
      </c>
      <c r="AI99" s="333" t="s">
        <v>4921</v>
      </c>
      <c r="AJ99" s="333" t="s">
        <v>11264</v>
      </c>
      <c r="AK99" s="333" t="s">
        <v>11265</v>
      </c>
      <c r="AL99" s="333" t="s">
        <v>4037</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3591</v>
      </c>
      <c r="F100" s="1763" t="s">
        <v>11273</v>
      </c>
      <c r="G100" s="1763" t="s">
        <v>11274</v>
      </c>
      <c r="H100" s="1762" t="s">
        <v>11275</v>
      </c>
      <c r="I100" s="1764" t="s">
        <v>9433</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9549</v>
      </c>
      <c r="AD100" s="1763" t="s">
        <v>11287</v>
      </c>
      <c r="AE100" s="1763" t="s">
        <v>1372</v>
      </c>
      <c r="AF100" s="1769" t="s">
        <v>11288</v>
      </c>
      <c r="AG100" s="1769" t="s">
        <v>11289</v>
      </c>
      <c r="AH100" s="1769" t="s">
        <v>11290</v>
      </c>
      <c r="AI100" s="1769" t="s">
        <v>6731</v>
      </c>
      <c r="AJ100" s="1769" t="s">
        <v>11291</v>
      </c>
      <c r="AK100" s="1769" t="s">
        <v>10716</v>
      </c>
      <c r="AL100" s="1769" t="s">
        <v>1886</v>
      </c>
      <c r="AM100" s="1770" t="s">
        <v>8977</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9210</v>
      </c>
      <c r="C101" s="1579">
        <v>0.06635416666666667</v>
      </c>
      <c r="D101" s="1021" t="s">
        <v>11298</v>
      </c>
      <c r="E101" s="1021" t="s">
        <v>9007</v>
      </c>
      <c r="F101" s="1021" t="s">
        <v>11299</v>
      </c>
      <c r="G101" s="1021" t="s">
        <v>11300</v>
      </c>
      <c r="H101" s="1021" t="s">
        <v>11301</v>
      </c>
      <c r="I101" s="1021" t="s">
        <v>3448</v>
      </c>
      <c r="J101" s="1021" t="s">
        <v>11302</v>
      </c>
      <c r="K101" s="1021" t="s">
        <v>4007</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4089</v>
      </c>
      <c r="AT101" s="1021" t="s">
        <v>11325</v>
      </c>
      <c r="AU101" s="1391" t="s">
        <v>11326</v>
      </c>
      <c r="AV101" s="1463" t="str">
        <f t="shared" si="1"/>
        <v>9:53</v>
      </c>
      <c r="AW101" s="1724" t="s">
        <v>11327</v>
      </c>
    </row>
    <row r="102">
      <c r="A102" s="1635" t="s">
        <v>7045</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2989</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7819</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6623</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6786</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3681</v>
      </c>
      <c r="M11" s="1832">
        <v>0.051076388888888886</v>
      </c>
      <c r="N11" s="1835" t="str">
        <f t="shared" si="1"/>
        <v>0:52</v>
      </c>
      <c r="O11" s="1664" t="s">
        <v>11403</v>
      </c>
    </row>
    <row r="12">
      <c r="A12" s="1672" t="s">
        <v>1807</v>
      </c>
      <c r="B12" s="1840" t="s">
        <v>9182</v>
      </c>
      <c r="C12" s="1828">
        <v>0.05059429398148148</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1:03</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3518</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6547</v>
      </c>
      <c r="J15" s="1610" t="s">
        <v>11434</v>
      </c>
      <c r="K15" s="1610" t="s">
        <v>11435</v>
      </c>
      <c r="L15" s="1610" t="s">
        <v>9405</v>
      </c>
      <c r="M15" s="1832">
        <v>0.05164351851851852</v>
      </c>
      <c r="N15" s="1835" t="str">
        <f t="shared" si="1"/>
        <v>1:23</v>
      </c>
      <c r="O15" s="1664" t="s">
        <v>11372</v>
      </c>
    </row>
    <row r="16" ht="15.75" customHeight="1">
      <c r="A16" s="1672" t="s">
        <v>2712</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2776</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3125</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6129</v>
      </c>
      <c r="M21" s="1832">
        <v>0.05224537037037037</v>
      </c>
      <c r="N21" s="1835" t="str">
        <f t="shared" si="1"/>
        <v>1:28</v>
      </c>
      <c r="O21" s="1664" t="s">
        <v>11482</v>
      </c>
    </row>
    <row r="22" ht="15.75" customHeight="1">
      <c r="A22" s="1672" t="s">
        <v>7045</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9808</v>
      </c>
      <c r="B24" s="1636" t="s">
        <v>9210</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9182</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2827</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3100</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9210</v>
      </c>
      <c r="C31" s="1833">
        <v>0.05215277777777778</v>
      </c>
      <c r="D31" s="1610" t="s">
        <v>11550</v>
      </c>
      <c r="E31" s="1610" t="s">
        <v>6056</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2995</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3100</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4058</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9182</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3755</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3408</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7819</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6623</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6786</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2776</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9182</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2995</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3100</v>
      </c>
      <c r="B28" s="1840" t="s">
        <v>9210</v>
      </c>
      <c r="C28" s="1926" t="s">
        <v>11837</v>
      </c>
      <c r="D28" s="1610"/>
      <c r="E28" s="1610" t="s">
        <v>11838</v>
      </c>
      <c r="F28" s="1610" t="s">
        <v>11839</v>
      </c>
      <c r="G28" s="871"/>
      <c r="H28" s="1906"/>
      <c r="I28" s="1912"/>
      <c r="J28" s="1913"/>
      <c r="K28" s="1610" t="s">
        <v>10319</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5794</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4356</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4058</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4356</v>
      </c>
      <c r="D13" s="1961" t="s">
        <v>11914</v>
      </c>
      <c r="E13" s="1960" t="s">
        <v>11898</v>
      </c>
      <c r="F13" s="1962">
        <v>44250.0</v>
      </c>
    </row>
    <row r="14" ht="15.75" customHeight="1">
      <c r="A14" s="1958" t="s">
        <v>11915</v>
      </c>
      <c r="B14" s="1963" t="s">
        <v>11900</v>
      </c>
      <c r="C14" s="1960" t="s">
        <v>4270</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4356</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4138</v>
      </c>
      <c r="D127" s="1983">
        <v>0.06892361111111112</v>
      </c>
      <c r="E127" s="1960" t="s">
        <v>11908</v>
      </c>
      <c r="F127" s="1962">
        <v>44652.0</v>
      </c>
    </row>
    <row r="128">
      <c r="A128" s="1982"/>
      <c r="B128" s="1964" t="s">
        <v>11903</v>
      </c>
      <c r="C128" s="1969" t="s">
        <v>5494</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4270</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