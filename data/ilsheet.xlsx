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<sst xmlns="http://schemas.openxmlformats.org/spreadsheetml/2006/main" count="26852" uniqueCount="11257">
  <si>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</si>
  <si>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</si>
  <si>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</si>
  <si>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</si>
  <si>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</si>
  <si>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</si>
  <si>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</si>
  <si>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</si>
  <si>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</si>
  <si>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</si>
  <si>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</si>
  <si>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</si>
  <si>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</si>
  <si>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</si>
  <si>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</si>
  <si>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</si>
  <si>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</si>
  <si>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</si>
  <si>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</si>
  <si>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</si>
  <si>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</si>
  <si>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</si>
  <si>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</si>
  <si>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</si>
  <si>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</si>
  <si>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</si>
  <si>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</si>
  <si>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</si>
  <si>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</si>
  <si>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</si>
  <si>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</si>
  <si>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</si>
  <si>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</si>
  <si>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</si>
  <si>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</si>
  <si>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</si>
  <si>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</si>
  <si>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</si>
  <si>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</si>
  <si>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</si>
  <si>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</si>
  <si>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</si>
  <si>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</si>
  <si>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</si>
  <si>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</si>
  <si>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</si>
  <si>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</si>
  <si>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</si>
  <si>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</si>
  <si>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</si>
  <si>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</si>
  <si>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</si>
  <si>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</si>
  <si>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</si>
  <si>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</si>
  <si>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</si>
  <si>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</si>
  <si>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</si>
  <si>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</si>
  <si>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</si>
  <si>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</si>
  <si>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</si>
  <si>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</si>
  <si>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</si>
  <si>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</si>
  <si>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</si>
  <si>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</si>
  <si>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</si>
  <si>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</si>
  <si>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</si>
  <si>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</si>
  <si>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</si>
  <si>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</si>
  <si>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</si>
  <si>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</si>
  <si>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</si>
  <si>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</si>
  <si>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</si>
  <si>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</si>
  <si>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</si>
  <si>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</si>
  <si>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</si>
  <si>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</si>
  <si>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</si>
  <si>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</si>
  <si>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</si>
  <si>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</si>
  <si>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</si>
  <si>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</si>
  <si>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</si>
  <si>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</si>
  <si>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</si>
  <si>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</si>
  <si>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</si>
  <si>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</si>
  <si>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</si>
  <si>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</si>
  <si>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</si>
  <si>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</si>
  <si>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</si>
  <si>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</si>
  <si>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</si>
  <si>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</si>
  <si>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</si>
  <si>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</si>
  <si>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</si>
  <si>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</si>
  <si>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</si>
  <si>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</si>
  <si>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</si>
  <si>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</si>
  <si>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</si>
  <si>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</si>
  <si>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</si>
  <si>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</si>
  <si>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</si>
  <si>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</si>
  <si>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</si>
  <si>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</si>
  <si>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</si>
  <si>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</si>
  <si>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</si>
  <si>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</si>
  <si>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</si>
  <si>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</si>
  <si>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</si>
  <si>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</si>
  <si>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</si>
  <si>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</si>
  <si>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</si>
  <si>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</si>
  <si>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</si>
  <si>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</si>
  <si>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</si>
  <si>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</si>
  <si>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</si>
  <si>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</si>
  <si>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</si>
  <si>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</si>
  <si>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</si>
  <si>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</si>
  <si>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</si>
  <si>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</si>
  <si>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</si>
  <si>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</si>
  <si>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</si>
  <si>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</si>
  <si>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</si>
  <si>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</si>
  <si>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</si>
  <si>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</si>
  <si>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</si>
  <si>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</si>
  <si>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</si>
  <si>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</si>
  <si>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</si>
  <si>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</si>
  <si>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</si>
  <si>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</si>
  <si>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</si>
  <si>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</si>
  <si>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</si>
  <si>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</si>
  <si>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</si>
  <si>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</si>
  <si>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</si>
  <si>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</si>
  <si>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</si>
  <si>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</si>
  <si>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</si>
  <si>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</si>
  <si>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</si>
  <si>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</si>
  <si>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</si>
  <si>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</si>
  <si>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</si>
  <si>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</si>
  <si>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</si>
  <si>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</si>
  <si>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</si>
  <si>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</si>
  <si>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</si>
  <si>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</si>
  <si>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</si>
  <si>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</si>
  <si>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</si>
  <si>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</si>
  <si>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</si>
  <si>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</si>
  <si>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</si>
  <si>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</si>
  <si>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</si>
  <si>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</si>
  <si>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</si>
  <si>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</si>
  <si>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</si>
  <si>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</si>
  <si>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</si>
  <si>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</si>
  <si>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</si>
  <si>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</si>
  <si>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</si>
  <si>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</si>
  <si>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</si>
  <si>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</si>
  <si>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</si>
  <si>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</si>
  <si>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</si>
  <si>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</si>
  <si>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</si>
  <si>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</si>
  <si>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</si>
  <si>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</si>
  <si>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</si>
  <si>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</si>
  <si>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</si>
  <si>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</si>
  <si>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9672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</si>
  <si>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</si>
  <si>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</si>
  <si>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</si>
  <si>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</si>
  <si>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</si>
  <si>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</si>
  <si>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</si>
  <si>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</si>
  <si>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</si>
  <si>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</si>
  <si>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</si>
  <si>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</si>
  <si>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</si>
  <si>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</si>
  <si>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</si>
  <si>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</si>
  <si>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</si>
  <si>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</si>
  <si>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</si>
  <si>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</si>
  <si>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</si>
  <si>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</si>
  <si>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</si>
  <si>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</si>
  <si>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</si>
  <si>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</si>
  <si>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</si>
  <si>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</si>
  <si>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</si>
  <si>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</si>
  <si>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</si>
  <si>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</si>
  <si>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</si>
  <si>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</si>
  <si>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</si>
  <si>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</si>
  <si>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</si>
  <si>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</si>
  <si>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</si>
  <si>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</si>
  <si>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</si>
  <si>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</si>
  <si>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</si>
  <si>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</si>
  <si>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</si>
  <si>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</si>
  <si>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</si>
  <si>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</si>
  <si>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</si>
  <si>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</si>
  <si>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</si>
  <si>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</si>
  <si>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</si>
  <si>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</si>
  <si>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</si>
  <si>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</si>
  <si>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</si>
  <si>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</si>
  <si>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</si>
  <si>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</si>
  <si>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</si>
  <si>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</si>
  <si>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</si>
  <si>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</si>
  <si>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</si>
  <si>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</si>
  <si>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</si>
  <si>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</si>
  <si>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</si>
  <si>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</si>
  <si>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</si>
  <si>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</si>
  <si>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</si>
  <si>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</si>
  <si>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</si>
  <si>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</si>
  <si>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</si>
  <si>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</si>
  <si>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</si>
  <si>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</si>
  <si>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</si>
  <si>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</si>
  <si>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</si>
  <si>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</si>
  <si>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</si>
  <si>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</si>
  <si>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</si>
  <si>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</si>
  <si>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</si>
  <si>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</si>
  <si>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</si>
  <si>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</si>
  <si>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</si>
  <si>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</si>
  <si>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</si>
  <si>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</si>
  <si>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</si>
  <si>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</si>
  <si>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</si>
  <si>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</si>
  <si>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</si>
  <si>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</si>
  <si>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</si>
  <si>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</si>
  <si>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</si>
  <si>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</si>
  <si>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</si>
  <si>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</si>
  <si>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</si>
  <si>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</si>
  <si>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</si>
  <si>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</si>
  <si>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</si>
  <si>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</si>
  <si>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</si>
  <si>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</si>
  <si>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</si>
  <si>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9426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</si>
  <si>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</si>
  <si>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</si>
  <si>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</si>
  <si>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</si>
  <si>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</si>
  <si>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</si>
  <si>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</si>
  <si>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</si>
  <si>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</si>
  <si>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</si>
  <si>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</si>
  <si>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</si>
  <si>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</si>
  <si>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</si>
  <si>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</si>
  <si>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</si>
  <si>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</si>
  <si>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</si>
  <si>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</si>
  <si>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</si>
  <si>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</si>
  <si>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</si>
  <si>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</si>
  <si>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</si>
  <si>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</si>
  <si>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</si>
  <si>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</si>
  <si>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</si>
  <si>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</si>
  <si>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</si>
  <si>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</si>
  <si>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</si>
  <si>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</si>
  <si>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</si>
  <si>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</si>
  <si>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</si>
  <si>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</si>
  <si>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</si>
  <si>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</si>
  <si>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</si>
  <si>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</si>
  <si>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</si>
  <si>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</si>
  <si>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</si>
  <si>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</si>
  <si>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</si>
  <si>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</si>
  <si>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</si>
  <si>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</si>
  <si>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</si>
  <si>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</si>
  <si>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</si>
  <si>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</si>
  <si>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</si>
  <si>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</si>
  <si>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</si>
  <si>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</si>
  <si>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</si>
  <si>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</si>
  <si>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</si>
  <si>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</si>
  <si>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</si>
  <si>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</si>
  <si>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</si>
  <si>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</si>
  <si>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</si>
  <si>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</si>
  <si>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</si>
  <si>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</si>
  <si>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</si>
  <si>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</si>
  <si>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</si>
  <si>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</si>
  <si>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</si>
  <si>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</si>
  <si>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</si>
  <si>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</si>
  <si>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</si>
  <si>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</si>
  <si>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</si>
  <si>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</si>
  <si>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</si>
  <si>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</si>
  <si>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</si>
  <si>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</si>
  <si>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</si>
  <si>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</si>
  <si>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</si>
  <si>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</si>
  <si>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</si>
  <si>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</si>
  <si>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</si>
  <si>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</si>
  <si>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</si>
  <si>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</si>
  <si>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</si>
  <si>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</si>
  <si>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</si>
  <si>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</si>
  <si>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</si>
  <si>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</si>
  <si>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</si>
  <si>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</si>
  <si>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</si>
  <si>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</si>
  <si>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</si>
  <si>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</si>
  <si>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</si>
  <si>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</si>
  <si>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</si>
  <si>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</si>
  <si>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9058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</si>
  <si>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</si>
  <si>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</si>
  <si>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</si>
  <si>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</si>
  <si>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</si>
  <si>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</si>
  <si>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</si>
  <si>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</si>
  <si>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</si>
  <si>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</si>
  <si>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</si>
  <si>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</si>
  <si>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</si>
  <si>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</si>
  <si>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</si>
  <si>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</si>
  <si>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</si>
  <si>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</si>
  <si>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</si>
  <si>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</si>
  <si>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</si>
  <si>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</si>
  <si>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</si>
  <si>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</si>
  <si>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</si>
  <si>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</si>
  <si>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</si>
  <si>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</si>
  <si>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</si>
  <si>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</si>
  <si>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</si>
  <si>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</si>
  <si>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</si>
  <si>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</si>
  <si>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</si>
  <si>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</si>
  <si>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</si>
  <si>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</si>
  <si>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</si>
  <si>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</si>
  <si>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</si>
  <si>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</si>
  <si>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</si>
  <si>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</si>
  <si>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</si>
  <si>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</si>
  <si>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</si>
  <si>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</si>
  <si>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</si>
  <si>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</si>
  <si>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</si>
  <si>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</si>
  <si>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</si>
  <si>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</si>
  <si>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</si>
  <si>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</si>
  <si>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</si>
  <si>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</si>
  <si>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</si>
  <si>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</si>
  <si>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</si>
  <si>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</si>
  <si>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</si>
  <si>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</si>
  <si>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</si>
  <si>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</si>
  <si>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</si>
  <si>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</si>
  <si>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</si>
  <si>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</si>
  <si>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</si>
  <si>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</si>
  <si>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</si>
  <si>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</si>
  <si>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</si>
  <si>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</si>
  <si>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</si>
  <si>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</si>
  <si>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</si>
  <si>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</si>
  <si>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</si>
  <si>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</si>
  <si>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</si>
  <si>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</si>
  <si>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</si>
  <si>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</si>
  <si>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</si>
  <si>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</si>
  <si>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</si>
  <si>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</si>
  <si>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</si>
  <si>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</si>
  <si>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</si>
  <si>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</si>
  <si>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</si>
  <si>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</si>
  <si>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</si>
  <si>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</si>
  <si>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</si>
  <si>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</si>
  <si>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</si>
  <si>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</si>
  <si>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</si>
  <si>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</si>
  <si>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</si>
  <si>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</si>
  <si>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</si>
  <si>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</si>
  <si>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</si>
  <si>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</si>
  <si>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</si>
  <si>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</si>
  <si>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</si>
  <si>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</si>
  <si>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</si>
  <si>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</si>
  <si>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</si>
  <si>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</si>
  <si>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</si>
  <si>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</si>
  <si>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</si>
  <si>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</si>
  <si>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</si>
  <si>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</si>
  <si>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</si>
  <si>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</si>
  <si>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</si>
  <si>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</si>
  <si>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</si>
  <si>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</si>
  <si>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</si>
  <si>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</si>
  <si>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</si>
  <si>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</si>
  <si>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</si>
  <si>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</si>
  <si>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</si>
  <si>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</si>
  <si>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</si>
  <si>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</si>
  <si>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</si>
  <si>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</si>
  <si>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</si>
  <si>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</si>
  <si>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</si>
  <si>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</si>
  <si>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</si>
  <si>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</si>
  <si>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</si>
  <si>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</si>
  <si>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</si>
  <si>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</si>
  <si>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</si>
  <si>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</si>
  <si>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</si>
  <si>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</si>
  <si>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</si>
  <si>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</si>
  <si>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</si>
  <si>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</si>
  <si>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</si>
  <si>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</si>
  <si>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</si>
  <si>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</si>
  <si>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</si>
  <si>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</si>
  <si>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</si>
  <si>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</si>
  <si>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</si>
  <si>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</si>
  <si>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</si>
  <si>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</si>
  <si>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</si>
  <si>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</si>
  <si>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</si>
  <si>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</si>
  <si>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</si>
  <si>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</si>
  <si>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</si>
  <si>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</si>
  <si>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</si>
  <si>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</si>
  <si>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</si>
  <si>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</si>
  <si>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</si>
  <si>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</si>
  <si>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</si>
  <si>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</si>
  <si>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</si>
  <si>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</si>
  <si>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</si>
  <si>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</si>
  <si>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</si>
  <si>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</si>
  <si>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</si>
  <si>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</si>
  <si>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</si>
  <si>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</si>
  <si>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</si>
  <si>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</si>
  <si>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</si>
  <si>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</si>
  <si>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</si>
  <si>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</si>
  <si>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</si>
  <si>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</si>
  <si>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</si>
  <si>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</si>
  <si>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</si>
  <si>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</si>
  <si>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</si>
  <si>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</si>
  <si>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</si>
  <si>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</si>
  <si>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</si>
  <si>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</si>
  <si>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</si>
  <si>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</si>
  <si>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8755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</si>
  <si>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</si>
  <si>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</si>
  <si>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</si>
  <si>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</si>
  <si>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</si>
  <si>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</si>
  <si>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</si>
  <si>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</si>
  <si>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</si>
  <si>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</si>
  <si>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</si>
  <si>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</si>
  <si>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</si>
  <si>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</si>
  <si>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</si>
  <si>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</si>
  <si>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</si>
  <si>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</si>
  <si>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</si>
  <si>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</si>
  <si>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</si>
  <si>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</si>
  <si>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</si>
  <si>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</si>
  <si>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</si>
  <si>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</si>
  <si>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</si>
  <si>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</si>
  <si>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</si>
  <si>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</si>
  <si>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</si>
  <si>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</si>
  <si>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</si>
  <si>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</si>
  <si>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</si>
  <si>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</si>
  <si>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</si>
  <si>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</si>
  <si>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</si>
  <si>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</si>
  <si>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</si>
  <si>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</si>
  <si>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</si>
  <si>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</si>
  <si>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</si>
  <si>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</si>
  <si>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</si>
  <si>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</si>
  <si>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</si>
  <si>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</si>
  <si>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</si>
  <si>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</si>
  <si>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</si>
  <si>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</si>
  <si>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</si>
  <si>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</si>
  <si>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</si>
  <si>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</si>
  <si>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</si>
  <si>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</si>
  <si>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</si>
  <si>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</si>
  <si>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</si>
  <si>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</si>
  <si>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</si>
  <si>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</si>
  <si>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</si>
  <si>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</si>
  <si>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</si>
  <si>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</si>
  <si>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</si>
  <si>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</si>
  <si>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</si>
  <si>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</si>
  <si>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</si>
  <si>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</si>
  <si>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</si>
  <si>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</si>
  <si>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</si>
  <si>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</si>
  <si>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</si>
  <si>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</si>
  <si>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</si>
  <si>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</si>
  <si>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</si>
  <si>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</si>
  <si>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</si>
  <si>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</si>
  <si>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</si>
  <si>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</si>
  <si>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</si>
  <si>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</si>
  <si>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</si>
  <si>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</si>
  <si>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</si>
  <si>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</si>
  <si>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</si>
  <si>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</si>
  <si>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</si>
  <si>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</si>
  <si>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</si>
  <si>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</si>
  <si>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</si>
  <si>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</si>
  <si>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</si>
  <si>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</si>
  <si>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</si>
  <si>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</si>
  <si>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</si>
  <si>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</si>
  <si>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</si>
  <si>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</si>
  <si>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</si>
  <si>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</si>
  <si>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</si>
  <si>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</si>
  <si>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</si>
  <si>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</si>
  <si>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</si>
  <si>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</si>
  <si>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</si>
  <si>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</si>
  <si>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</si>
  <si>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</si>
  <si>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</si>
  <si>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</si>
  <si>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</si>
  <si>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</si>
  <si>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</si>
  <si>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</si>
  <si>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</si>
  <si>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</si>
  <si>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</si>
  <si>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</si>
  <si>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</si>
  <si>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</si>
  <si>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</si>
  <si>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</si>
  <si>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</si>
  <si>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</si>
  <si>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</si>
  <si>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</si>
  <si>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</si>
  <si>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</si>
  <si>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</si>
  <si>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</si>
  <si>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</si>
  <si>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</si>
  <si>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</si>
  <si>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</si>
  <si>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</si>
  <si>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</si>
  <si>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</si>
  <si>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</si>
  <si>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</si>
  <si>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</si>
  <si>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</si>
  <si>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</si>
  <si>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</si>
  <si>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</si>
  <si>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</si>
  <si>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</si>
  <si>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</si>
  <si>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</si>
  <si>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</si>
  <si>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</si>
  <si>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</si>
  <si>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</si>
  <si>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</si>
  <si>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</si>
  <si>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</si>
  <si>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</si>
  <si>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</si>
  <si>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</si>
  <si>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</si>
  <si>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</si>
  <si>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</si>
  <si>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</si>
  <si>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</si>
  <si>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</si>
  <si>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</si>
  <si>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</si>
  <si>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</si>
  <si>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</si>
  <si>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</si>
  <si>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</si>
  <si>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</si>
  <si>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</si>
  <si>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</si>
  <si>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</si>
  <si>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</si>
  <si>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</si>
  <si>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</si>
  <si>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8568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</si>
  <si>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</si>
  <si>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</si>
  <si>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</si>
  <si>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</si>
  <si>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</si>
  <si>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</si>
  <si>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</si>
  <si>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</si>
  <si>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</si>
  <si>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</si>
  <si>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</si>
  <si>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</si>
  <si>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</si>
  <si>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</si>
  <si>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</si>
  <si>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</si>
  <si>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</si>
  <si>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</si>
  <si>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</si>
  <si>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</si>
  <si>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</si>
  <si>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</si>
  <si>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</si>
  <si>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</si>
  <si>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</si>
  <si>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</si>
  <si>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</si>
  <si>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</si>
  <si>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</si>
  <si>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</si>
  <si>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</si>
  <si>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</si>
  <si>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</si>
  <si>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</si>
  <si>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</si>
  <si>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</si>
  <si>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</si>
  <si>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</si>
  <si>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</si>
  <si>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</si>
  <si>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</si>
  <si>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</si>
  <si>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</si>
  <si>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</si>
  <si>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</si>
  <si>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</si>
  <si>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</si>
  <si>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</si>
  <si>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</si>
  <si>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</si>
  <si>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</si>
  <si>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</si>
  <si>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</si>
  <si>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</si>
  <si>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</si>
  <si>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</si>
  <si>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</si>
  <si>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</si>
  <si>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</si>
  <si>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</si>
  <si>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</si>
  <si>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</si>
  <si>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</si>
  <si>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</si>
  <si>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</si>
  <si>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</si>
  <si>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</si>
  <si>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</si>
  <si>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</si>
  <si>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</si>
  <si>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</si>
  <si>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</si>
  <si>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</si>
  <si>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</si>
  <si>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</si>
  <si>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</si>
  <si>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</si>
  <si>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</si>
  <si>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</si>
  <si>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</si>
  <si>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</si>
  <si>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</si>
  <si>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</si>
  <si>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</si>
  <si>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</si>
  <si>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</si>
  <si>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</si>
  <si>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</si>
  <si>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</si>
  <si>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</si>
  <si>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</si>
  <si>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</si>
  <si>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</si>
  <si>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</si>
  <si>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</si>
  <si>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8555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</si>
  <si>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</si>
  <si>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</si>
  <si>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</si>
  <si>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</si>
  <si>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</si>
  <si>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</si>
  <si>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</si>
  <si>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</si>
  <si>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</si>
  <si>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</si>
  <si>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</si>
  <si>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</si>
  <si>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</si>
  <si>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</si>
  <si>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</si>
  <si>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</si>
  <si>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</si>
  <si>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</si>
  <si>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</si>
  <si>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</si>
  <si>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</si>
  <si>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</si>
  <si>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</si>
  <si>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</si>
  <si>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</si>
  <si>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</si>
  <si>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</si>
  <si>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</si>
  <si>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</si>
  <si>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</si>
  <si>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</si>
  <si>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</si>
  <si>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</si>
  <si>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</si>
  <si>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</si>
  <si>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</si>
  <si>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</si>
  <si>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</si>
  <si>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</si>
  <si>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</si>
  <si>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</si>
  <si>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</si>
  <si>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</si>
  <si>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</si>
  <si>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</si>
  <si>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</si>
  <si>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</si>
  <si>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</si>
  <si>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</si>
  <si>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</si>
  <si>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</si>
  <si>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</si>
  <si>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</si>
  <si>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</si>
  <si>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</si>
  <si>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</si>
  <si>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</si>
  <si>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</si>
  <si>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</si>
  <si>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</si>
  <si>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</si>
  <si>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</si>
  <si>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</si>
  <si>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</si>
  <si>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</si>
  <si>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</si>
  <si>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</si>
  <si>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</si>
  <si>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</si>
  <si>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</si>
  <si>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</si>
  <si>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</si>
  <si>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</si>
  <si>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</si>
  <si>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</si>
  <si>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8472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</si>
  <si>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</si>
  <si>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</si>
  <si>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</si>
  <si>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</si>
  <si>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</si>
  <si>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</si>
  <si>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</si>
  <si>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</si>
  <si>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</si>
  <si>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</si>
  <si>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</si>
  <si>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</si>
  <si>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</si>
  <si>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</si>
  <si>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</si>
  <si>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</si>
  <si>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</si>
  <si>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</si>
  <si>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</si>
  <si>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</si>
  <si>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</si>
  <si>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</si>
  <si>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</si>
  <si>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</si>
  <si>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</si>
  <si>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</si>
  <si>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</si>
  <si>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</si>
  <si>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</si>
  <si>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</si>
  <si>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</si>
  <si>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</si>
  <si>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</si>
  <si>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</si>
  <si>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</si>
  <si>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</si>
  <si>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</si>
  <si>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</si>
  <si>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</si>
  <si>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</si>
  <si>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</si>
  <si>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</si>
  <si>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</si>
  <si>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</si>
  <si>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</si>
  <si>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</si>
  <si>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</si>
  <si>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</si>
  <si>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</si>
  <si>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</si>
  <si>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</si>
  <si>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</si>
  <si>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</si>
  <si>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</si>
  <si>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</si>
  <si>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</si>
  <si>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</si>
  <si>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</si>
  <si>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</si>
  <si>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</si>
  <si>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</si>
  <si>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</si>
  <si>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</si>
  <si>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</si>
  <si>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</si>
  <si>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</si>
  <si>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</si>
  <si>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</si>
  <si>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</si>
  <si>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</si>
  <si>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</si>
  <si>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</si>
  <si>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</si>
  <si>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</si>
  <si>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</si>
  <si>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</si>
  <si>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</si>
  <si>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</si>
  <si>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</si>
  <si>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</si>
  <si>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</si>
  <si>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</si>
  <si>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</si>
  <si>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</si>
  <si>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</si>
  <si>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</si>
  <si>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</si>
  <si>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</si>
  <si>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</si>
  <si>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</si>
  <si>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</si>
  <si>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</si>
  <si>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</si>
  <si>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</si>
  <si>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</si>
  <si>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</si>
  <si>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</si>
  <si>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</si>
  <si>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</si>
  <si>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</si>
  <si>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</si>
  <si>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</si>
  <si>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</si>
  <si>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</si>
  <si>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</si>
  <si>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</si>
  <si>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</si>
  <si>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</si>
  <si>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</si>
  <si>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</si>
  <si>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</si>
  <si>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</si>
  <si>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</si>
  <si>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</si>
  <si>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</si>
  <si>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</si>
  <si>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</si>
  <si>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</si>
  <si>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</si>
  <si>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</si>
  <si>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</si>
  <si>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</si>
  <si>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</si>
  <si>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</si>
  <si>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</si>
  <si>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</si>
  <si>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</si>
  <si>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</si>
  <si>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</si>
  <si>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</si>
  <si>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</si>
  <si>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</si>
  <si>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</si>
  <si>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</si>
  <si>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</si>
  <si>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</si>
  <si>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</si>
  <si>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</si>
  <si>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</si>
  <si>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</si>
  <si>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</si>
  <si>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</si>
  <si>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</si>
  <si>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</si>
  <si>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</si>
  <si>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</si>
  <si>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</si>
  <si>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</si>
  <si>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</si>
  <si>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</si>
  <si>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</si>
  <si>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</si>
  <si>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</si>
  <si>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</si>
  <si>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</si>
  <si>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</si>
  <si>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</si>
  <si>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</si>
  <si>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</si>
  <si>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</si>
  <si>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</si>
  <si>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</si>
  <si>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</si>
  <si>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</si>
  <si>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</si>
  <si>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</si>
  <si>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</si>
  <si>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</si>
  <si>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</si>
  <si>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</si>
  <si>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</si>
  <si>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</si>
  <si>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</si>
  <si>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</si>
  <si>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</si>
  <si>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</si>
  <si>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</si>
  <si>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</si>
  <si>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</si>
  <si>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</si>
  <si>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</si>
  <si>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</si>
  <si>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</si>
  <si>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</si>
  <si>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</si>
  <si>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</si>
  <si>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</si>
  <si>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</si>
  <si>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</si>
  <si>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</si>
  <si>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</si>
  <si>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</si>
  <si>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</si>
  <si>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</si>
  <si>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</si>
  <si>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</si>
  <si>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</si>
  <si>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</si>
  <si>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</si>
  <si>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</si>
  <si>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</si>
  <si>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</si>
  <si>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</si>
  <si>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</si>
  <si>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</si>
  <si>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</si>
  <si>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</si>
  <si>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</si>
  <si>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</si>
  <si>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</si>
  <si>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</si>
  <si>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</si>
  <si>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</si>
  <si>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</si>
  <si>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</si>
  <si>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</si>
  <si>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7987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</si>
  <si>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</si>
  <si>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</si>
  <si>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</si>
  <si>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</si>
  <si>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</si>
  <si>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</si>
  <si>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</si>
  <si>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</si>
  <si>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</si>
  <si>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</si>
  <si>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</si>
  <si>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</si>
  <si>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</si>
  <si>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</si>
  <si>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</si>
  <si>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</si>
  <si>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</si>
  <si>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</si>
  <si>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</si>
  <si>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</si>
  <si>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</si>
  <si>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</si>
  <si>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</si>
  <si>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</si>
  <si>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</si>
  <si>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</si>
  <si>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</si>
  <si>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</si>
  <si>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</si>
  <si>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</si>
  <si>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</si>
  <si>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</si>
  <si>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</si>
  <si>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</si>
  <si>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</si>
  <si>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</si>
  <si>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</si>
  <si>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</si>
  <si>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</si>
  <si>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</si>
  <si>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</si>
  <si>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</si>
  <si>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</si>
  <si>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</si>
  <si>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</si>
  <si>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</si>
  <si>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</si>
  <si>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</si>
  <si>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</si>
  <si>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</si>
  <si>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</si>
  <si>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</si>
  <si>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</si>
  <si>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</si>
  <si>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</si>
  <si>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</si>
  <si>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</si>
  <si>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</si>
  <si>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</si>
  <si>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</si>
  <si>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</si>
  <si>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</si>
  <si>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7957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</si>
  <si>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</si>
  <si>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</si>
  <si>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</si>
  <si>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</si>
  <si>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</si>
  <si>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</si>
  <si>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</si>
  <si>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</si>
  <si>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</si>
  <si>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</si>
  <si>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</si>
  <si>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</si>
  <si>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</si>
  <si>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</si>
  <si>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</si>
  <si>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</si>
  <si>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</si>
  <si>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</si>
  <si>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</si>
  <si>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</si>
  <si>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</si>
  <si>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</si>
  <si>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</si>
  <si>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</si>
  <si>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</si>
  <si>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</si>
  <si>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</si>
  <si>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</si>
  <si>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</si>
  <si>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</si>
  <si>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</si>
  <si>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</si>
  <si>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</si>
  <si>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</si>
  <si>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</si>
  <si>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</si>
  <si>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</si>
  <si>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</si>
  <si>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</si>
  <si>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</si>
  <si>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</si>
  <si>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</si>
  <si>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</si>
  <si>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</si>
  <si>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</si>
  <si>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</si>
  <si>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</si>
  <si>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</si>
  <si>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</si>
  <si>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</si>
  <si>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</si>
  <si>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</si>
  <si>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</si>
  <si>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</si>
  <si>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</si>
  <si>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</si>
  <si>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</si>
  <si>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</si>
  <si>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</si>
  <si>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</si>
  <si>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</si>
  <si>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</si>
  <si>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</si>
  <si>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</si>
  <si>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</si>
  <si>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</si>
  <si>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</si>
  <si>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</si>
  <si>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</si>
  <si>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</si>
  <si>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</si>
  <si>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</si>
  <si>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</si>
  <si>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</si>
  <si>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</si>
  <si>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</si>
  <si>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</si>
  <si>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</si>
  <si>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</si>
  <si>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</si>
  <si>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</si>
  <si>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</si>
  <si>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</si>
  <si>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</si>
  <si>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</si>
  <si>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</si>
  <si>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</si>
  <si>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</si>
  <si>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</si>
  <si>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</si>
  <si>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</si>
  <si>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</si>
  <si>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</si>
  <si>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</si>
  <si>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</si>
  <si>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</si>
  <si>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</si>
  <si>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</si>
  <si>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</si>
  <si>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</si>
  <si>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</si>
  <si>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</si>
  <si>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</si>
  <si>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</si>
  <si>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</si>
  <si>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</si>
  <si>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</si>
  <si>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</si>
  <si>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</si>
  <si>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</si>
  <si>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</si>
  <si>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</si>
  <si>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</si>
  <si>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</si>
  <si>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</si>
  <si>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</si>
  <si>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</si>
  <si>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</si>
  <si>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</si>
  <si>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</si>
  <si>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</si>
  <si>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</si>
  <si>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</si>
  <si>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</si>
  <si>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</si>
  <si>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</si>
  <si>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</si>
  <si>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</si>
  <si>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</si>
  <si>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</si>
  <si>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</si>
  <si>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</si>
  <si>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</si>
  <si>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</si>
  <si>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</si>
  <si>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</si>
  <si>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</si>
  <si>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</si>
  <si>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</si>
  <si>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</si>
  <si>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</si>
  <si>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</si>
  <si>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</si>
  <si>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</si>
  <si>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</si>
  <si>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</si>
  <si>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</si>
  <si>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</si>
  <si>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</si>
  <si>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</si>
  <si>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</si>
  <si>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</si>
  <si>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</si>
  <si>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</si>
  <si>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</si>
  <si>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</si>
  <si>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</si>
  <si>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</si>
  <si>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</si>
  <si>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</si>
  <si>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</si>
  <si>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</si>
  <si>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</si>
  <si>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</si>
  <si>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</si>
  <si>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</si>
  <si>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</si>
  <si>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</si>
  <si>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</si>
  <si>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7795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</si>
  <si>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</si>
  <si>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</si>
  <si>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</si>
  <si>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</si>
  <si>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</si>
  <si>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</si>
  <si>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</si>
  <si>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</si>
  <si>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</si>
  <si>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</si>
  <si>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</si>
  <si>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</si>
  <si>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</si>
  <si>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</si>
  <si>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</si>
  <si>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</si>
  <si>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</si>
  <si>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</si>
  <si>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</si>
  <si>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</si>
  <si>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</si>
  <si>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</si>
  <si>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</si>
  <si>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</si>
  <si>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</si>
  <si>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</si>
  <si>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</si>
  <si>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</si>
  <si>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</si>
  <si>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</si>
  <si>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</si>
  <si>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</si>
  <si>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</si>
  <si>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</si>
  <si>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</si>
  <si>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</si>
  <si>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</si>
  <si>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</si>
  <si>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</si>
  <si>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</si>
  <si>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</si>
  <si>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</si>
  <si>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</si>
  <si>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</si>
  <si>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</si>
  <si>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</si>
  <si>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</si>
  <si>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</si>
  <si>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</si>
  <si>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</si>
  <si>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</si>
  <si>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</si>
  <si>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</si>
  <si>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</si>
  <si>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</si>
  <si>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</si>
  <si>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</si>
  <si>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</si>
  <si>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</si>
  <si>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</si>
  <si>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</si>
  <si>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</si>
  <si>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</si>
  <si>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</si>
  <si>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</si>
  <si>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</si>
  <si>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</si>
  <si>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</si>
  <si>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</si>
  <si>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</si>
  <si>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</si>
  <si>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</si>
  <si>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</si>
  <si>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</si>
  <si>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</si>
  <si>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</si>
  <si>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</si>
  <si>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</si>
  <si>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</si>
  <si>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</si>
  <si>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</si>
  <si>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</si>
  <si>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</si>
  <si>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</si>
  <si>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</si>
  <si>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</si>
  <si>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</si>
  <si>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</si>
  <si>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</si>
  <si>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</si>
  <si>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</si>
  <si>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</si>
  <si>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</si>
  <si>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</si>
  <si>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</si>
  <si>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</si>
  <si>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</si>
  <si>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</si>
  <si>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</si>
  <si>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</si>
  <si>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</si>
  <si>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</si>
  <si>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</si>
  <si>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</si>
  <si>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</si>
  <si>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</si>
  <si>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</si>
  <si>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</si>
  <si>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</si>
  <si>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</si>
  <si>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</si>
  <si>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</si>
  <si>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</si>
  <si>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</si>
  <si>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</si>
  <si>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</si>
  <si>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</si>
  <si>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</si>
  <si>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</si>
  <si>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</si>
  <si>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</si>
  <si>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</si>
  <si>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</si>
  <si>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</si>
  <si>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</si>
  <si>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</si>
  <si>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</si>
  <si>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</si>
  <si>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</si>
  <si>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</si>
  <si>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</si>
  <si>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</si>
  <si>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</si>
  <si>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</si>
  <si>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</si>
  <si>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</si>
  <si>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</si>
  <si>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</si>
  <si>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</si>
  <si>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</si>
  <si>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</si>
  <si>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</si>
  <si>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</si>
  <si>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</si>
  <si>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</si>
  <si>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</si>
  <si>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</si>
  <si>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</si>
  <si>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</si>
  <si>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</si>
  <si>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</si>
  <si>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</si>
  <si>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</si>
  <si>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</si>
  <si>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</si>
  <si>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</si>
  <si>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</si>
  <si>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</si>
  <si>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</si>
  <si>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</si>
  <si>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</si>
  <si>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</si>
  <si>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</si>
  <si>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</si>
  <si>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</si>
  <si>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</si>
  <si>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</si>
  <si>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</si>
  <si>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</si>
  <si>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</si>
  <si>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</si>
  <si>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</si>
  <si>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</si>
  <si>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</si>
  <si>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</si>
  <si>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</si>
  <si>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</si>
  <si>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</si>
  <si>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</si>
  <si>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</si>
  <si>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</si>
  <si>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</si>
  <si>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</si>
  <si>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</si>
  <si>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</si>
  <si>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</si>
  <si>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</si>
  <si>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</si>
  <si>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</si>
  <si>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</si>
  <si>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</si>
  <si>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</si>
  <si>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</si>
  <si>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</si>
  <si>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</si>
  <si>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</si>
  <si>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</si>
  <si>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</si>
  <si>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</si>
  <si>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</si>
  <si>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</si>
  <si>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</si>
  <si>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</si>
  <si>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</si>
  <si>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</si>
  <si>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</si>
  <si>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</si>
  <si>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</si>
  <si>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</si>
  <si>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</si>
  <si>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</si>
  <si>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</si>
  <si>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</si>
  <si>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</si>
  <si>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</si>
  <si>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</si>
  <si>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</si>
  <si>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</si>
  <si>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</si>
  <si>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</si>
  <si>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</si>
  <si>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</si>
  <si>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</si>
  <si>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</si>
  <si>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</si>
  <si>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</si>
  <si>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</si>
  <si>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</si>
  <si>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</si>
  <si>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</si>
  <si>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</si>
  <si>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</si>
  <si>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</si>
  <si>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</si>
  <si>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</si>
  <si>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</si>
  <si>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</si>
  <si>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</si>
  <si>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</si>
  <si>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</si>
  <si>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</si>
  <si>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</si>
  <si>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</si>
  <si>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</si>
  <si>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</si>
  <si>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</si>
  <si>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</si>
  <si>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</si>
  <si>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</si>
  <si>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</si>
  <si>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</si>
  <si>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</si>
  <si>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</si>
  <si>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</si>
  <si>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</si>
  <si>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</si>
  <si>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</si>
  <si>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</si>
  <si>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</si>
  <si>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</si>
  <si>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</si>
  <si>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</si>
  <si>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</si>
  <si>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</si>
  <si>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</si>
  <si>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</si>
  <si>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</si>
  <si>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</si>
  <si>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</si>
  <si>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</si>
  <si>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</si>
  <si>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</si>
  <si>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</si>
  <si>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</si>
  <si>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</si>
  <si>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</si>
  <si>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</si>
  <si>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</si>
  <si>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</si>
  <si>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</si>
  <si>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</si>
  <si>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</si>
  <si>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</si>
  <si>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</si>
  <si>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</si>
  <si>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</si>
  <si>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</si>
  <si>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</si>
  <si>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</si>
  <si>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</si>
  <si>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</si>
  <si>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</si>
  <si>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</si>
  <si>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</si>
  <si>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</si>
  <si>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</si>
  <si>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</si>
  <si>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</si>
  <si>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</si>
  <si>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</si>
  <si>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</si>
  <si>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</si>
  <si>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</si>
  <si>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</si>
  <si>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</si>
  <si>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</si>
  <si>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</si>
  <si>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</si>
  <si>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</si>
  <si>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</si>
  <si>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</si>
  <si>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</si>
  <si>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</si>
  <si>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</si>
  <si>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</si>
  <si>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</si>
  <si>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</si>
  <si>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</si>
  <si>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</si>
  <si>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</si>
  <si>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</si>
  <si>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</si>
  <si>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</si>
  <si>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</si>
  <si>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</si>
  <si>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</si>
  <si>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</si>
  <si>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</si>
  <si>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</si>
  <si>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</si>
  <si>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</si>
  <si>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</si>
  <si>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</si>
  <si>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</si>
  <si>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</si>
  <si>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</si>
  <si>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</si>
  <si>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</si>
  <si>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</si>
  <si>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</si>
  <si>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</si>
  <si>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</si>
  <si>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</si>
  <si>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</si>
  <si>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</si>
  <si>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</si>
  <si>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</si>
  <si>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</si>
  <si>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</si>
  <si>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</si>
  <si>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</si>
  <si>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</si>
  <si>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</si>
  <si>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</si>
  <si>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</si>
  <si>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</si>
  <si>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</si>
  <si>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</si>
  <si>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</si>
  <si>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</si>
  <si>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</si>
  <si>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</si>
  <si>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</si>
  <si>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</si>
  <si>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</si>
  <si>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</si>
  <si>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</si>
  <si>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</si>
  <si>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</si>
  <si>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</si>
  <si>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</si>
  <si>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</si>
  <si>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</si>
  <si>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</si>
  <si>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</si>
  <si>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</si>
  <si>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</si>
  <si>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</si>
  <si>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</si>
  <si>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</si>
  <si>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</si>
  <si>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</si>
  <si>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</si>
  <si>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</si>
  <si>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</si>
  <si>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</si>
  <si>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</si>
  <si>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</si>
  <si>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</si>
  <si>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</si>
  <si>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</si>
  <si>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</si>
  <si>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</si>
  <si>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</si>
  <si>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</si>
  <si>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</si>
  <si>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</si>
  <si>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</si>
  <si>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</si>
  <si>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</si>
  <si>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</si>
  <si>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</si>
  <si>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</si>
  <si>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</si>
  <si>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</si>
  <si>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</si>
  <si>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</si>
  <si>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</si>
  <si>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</si>
  <si>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</si>
  <si>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</si>
  <si>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</si>
  <si>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</si>
  <si>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</si>
  <si>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</si>
  <si>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</si>
  <si>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</si>
  <si>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</si>
  <si>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</si>
  <si>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</si>
  <si>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</si>
  <si>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</si>
  <si>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</si>
  <si>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</si>
  <si>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</si>
  <si>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</si>
  <si>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</si>
  <si>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</si>
  <si>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</si>
  <si>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</si>
  <si>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</si>
  <si>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</si>
  <si>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</si>
  <si>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</si>
  <si>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</si>
  <si>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</si>
  <si>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</si>
  <si>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</si>
  <si>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</si>
  <si>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</si>
  <si>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</si>
  <si>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</si>
  <si>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</si>
  <si>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</si>
  <si>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</si>
  <si>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</si>
  <si>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</si>
  <si>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</si>
  <si>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</si>
  <si>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</si>
  <si>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</si>
  <si>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</si>
  <si>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</si>
  <si>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</si>
  <si>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</si>
  <si>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</si>
  <si>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</si>
  <si>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</si>
  <si>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</si>
  <si>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</si>
  <si>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</si>
  <si>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</si>
  <si>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</si>
  <si>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</si>
  <si>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</si>
  <si>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</si>
  <si>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</si>
  <si>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</si>
  <si>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</si>
  <si>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</si>
  <si>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</si>
  <si>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</si>
  <si>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</si>
  <si>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</si>
  <si>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</si>
  <si>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</si>
  <si>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</si>
  <si>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</si>
  <si>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</si>
  <si>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</si>
  <si>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</si>
  <si>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</si>
  <si>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</si>
  <si>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</si>
  <si>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</si>
  <si>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</si>
  <si>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</si>
  <si>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6999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</si>
  <si>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</si>
  <si>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</si>
  <si>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</si>
  <si>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</si>
  <si>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</si>
  <si>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</si>
  <si>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</si>
  <si>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</si>
  <si>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</si>
  <si>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</si>
  <si>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</si>
  <si>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</si>
  <si>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</si>
  <si>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</si>
  <si>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</si>
  <si>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</si>
  <si>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</si>
  <si>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</si>
  <si>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</si>
  <si>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</si>
  <si>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</si>
  <si>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</si>
  <si>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</si>
  <si>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</si>
  <si>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</si>
  <si>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</si>
  <si>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</si>
  <si>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</si>
  <si>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</si>
  <si>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</si>
  <si>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</si>
  <si>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</si>
  <si>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</si>
  <si>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</si>
  <si>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</si>
  <si>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</si>
  <si>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</si>
  <si>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</si>
  <si>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</si>
  <si>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</si>
  <si>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</si>
  <si>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</si>
  <si>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</si>
  <si>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</si>
  <si>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</si>
  <si>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</si>
  <si>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</si>
  <si>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</si>
  <si>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</si>
  <si>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</si>
  <si>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</si>
  <si>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</si>
  <si>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</si>
  <si>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</si>
  <si>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</si>
  <si>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</si>
  <si>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</si>
  <si>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</si>
  <si>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</si>
  <si>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</si>
  <si>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</si>
  <si>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</si>
  <si>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</si>
  <si>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</si>
  <si>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</si>
  <si>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</si>
  <si>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</si>
  <si>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</si>
  <si>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</si>
  <si>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</si>
  <si>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</si>
  <si>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</si>
  <si>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</si>
  <si>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</si>
  <si>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</si>
  <si>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</si>
  <si>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</si>
  <si>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</si>
  <si>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</si>
  <si>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</si>
  <si>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</si>
  <si>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</si>
  <si>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</si>
  <si>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</si>
  <si>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</si>
  <si>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</si>
  <si>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</si>
  <si>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</si>
  <si>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</si>
  <si>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</si>
  <si>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</si>
  <si>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</si>
  <si>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</si>
  <si>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</si>
  <si>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</si>
  <si>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</si>
  <si>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</si>
  <si>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</si>
  <si>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</si>
  <si>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</si>
  <si>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</si>
  <si>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</si>
  <si>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</si>
  <si>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</si>
  <si>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</si>
  <si>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</si>
  <si>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</si>
  <si>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</si>
  <si>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</si>
  <si>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</si>
  <si>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</si>
  <si>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</si>
  <si>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</si>
  <si>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</si>
  <si>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</si>
  <si>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</si>
  <si>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</si>
  <si>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</si>
  <si>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</si>
  <si>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</si>
  <si>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</si>
  <si>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</si>
  <si>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</si>
  <si>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</si>
  <si>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</si>
  <si>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</si>
  <si>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</si>
  <si>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</si>
  <si>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</si>
  <si>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6857</t>
  </si>
  <si>
    <t>50</t>
  </si>
  <si>
    <t>72</t>
  </si>
  <si>
    <t>51.35</t>
  </si>
  <si>
    <t>1:18.45</t>
  </si>
  <si>
    <t>37.10</t>
  </si>
  <si>
    <t>2:17.90</t>
  </si>
  <si>
    <t>51.11</t>
  </si>
  <si>
    <t>55.54</t>
  </si>
  <si>
    <t>32.68</t>
  </si>
  <si>
    <t>48.18</t>
  </si>
  <si>
    <t>42.00</t>
  </si>
  <si>
    <t>1:22.50</t>
  </si>
  <si>
    <t>49.11</t>
  </si>
  <si>
    <t>2:32.74</t>
  </si>
  <si>
    <t>51.26</t>
  </si>
  <si>
    <t>2:18.73</t>
  </si>
  <si>
    <t>20.82</t>
  </si>
  <si>
    <t>21.29</t>
  </si>
  <si>
    <t>OrnateRope</t>
  </si>
  <si>
    <t>6816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</si>
  <si>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</si>
  <si>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</si>
  <si>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</si>
  <si>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</si>
  <si>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</si>
  <si>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</si>
  <si>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</si>
  <si>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</si>
  <si>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</si>
  <si>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</si>
  <si>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</si>
  <si>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</si>
  <si>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</si>
  <si>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</si>
  <si>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</si>
  <si>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</si>
  <si>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</si>
  <si>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</si>
  <si>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</si>
  <si>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</si>
  <si>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</si>
  <si>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</si>
  <si>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</si>
  <si>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</si>
  <si>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</si>
  <si>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</si>
  <si>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</si>
  <si>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</si>
  <si>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</si>
  <si>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</si>
  <si>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</si>
  <si>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</si>
  <si>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</si>
  <si>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</si>
  <si>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</si>
  <si>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</si>
  <si>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</si>
  <si>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</si>
  <si>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</si>
  <si>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</si>
  <si>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</si>
  <si>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</si>
  <si>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</si>
  <si>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</si>
  <si>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</si>
  <si>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</si>
  <si>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</si>
  <si>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</si>
  <si>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</si>
  <si>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</si>
  <si>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</si>
  <si>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</si>
  <si>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</si>
  <si>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</si>
  <si>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</si>
  <si>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</si>
  <si>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</si>
  <si>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</si>
  <si>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</si>
  <si>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</si>
  <si>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</si>
  <si>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</si>
  <si>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</si>
  <si>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</si>
  <si>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</si>
  <si>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</si>
  <si>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</si>
  <si>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</si>
  <si>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</si>
  <si>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</si>
  <si>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</si>
  <si>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</si>
  <si>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</si>
  <si>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</si>
  <si>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</si>
  <si>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</si>
  <si>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</si>
  <si>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</si>
  <si>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</si>
  <si>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</si>
  <si>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</si>
  <si>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</si>
  <si>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</si>
  <si>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</si>
  <si>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</si>
  <si>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</si>
  <si>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</si>
  <si>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</si>
  <si>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</si>
  <si>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</si>
  <si>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</si>
  <si>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</si>
  <si>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</si>
  <si>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</si>
  <si>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</si>
  <si>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</si>
  <si>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</si>
  <si>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</si>
  <si>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</si>
  <si>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</si>
  <si>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</si>
  <si>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</si>
  <si>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</si>
  <si>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</si>
  <si>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</si>
  <si>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</si>
  <si>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</si>
  <si>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</si>
  <si>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</si>
  <si>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</si>
  <si>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</si>
  <si>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</si>
  <si>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</si>
  <si>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</si>
  <si>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6418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</si>
  <si>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</si>
  <si>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</si>
  <si>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</si>
  <si>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</si>
  <si>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</si>
  <si>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</si>
  <si>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</si>
  <si>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</si>
  <si>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</si>
  <si>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</si>
  <si>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</si>
  <si>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</si>
  <si>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</si>
  <si>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</si>
  <si>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</si>
  <si>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</si>
  <si>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</si>
  <si>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</si>
  <si>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</si>
  <si>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</si>
  <si>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</si>
  <si>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</si>
  <si>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</si>
  <si>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</si>
  <si>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</si>
  <si>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</si>
  <si>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</si>
  <si>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</si>
  <si>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</si>
  <si>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</si>
  <si>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</si>
  <si>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</si>
  <si>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</si>
  <si>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</si>
  <si>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</si>
  <si>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</si>
  <si>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</si>
  <si>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</si>
  <si>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</si>
  <si>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</si>
  <si>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</si>
  <si>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</si>
  <si>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</si>
  <si>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</si>
  <si>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</si>
  <si>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</si>
  <si>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</si>
  <si>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</si>
  <si>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</si>
  <si>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</si>
  <si>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</si>
  <si>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</si>
  <si>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</si>
  <si>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</si>
  <si>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</si>
  <si>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</si>
  <si>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</si>
  <si>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</si>
  <si>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</si>
  <si>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</si>
  <si>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</si>
  <si>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</si>
  <si>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</si>
  <si>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</si>
  <si>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</si>
  <si>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</si>
  <si>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</si>
  <si>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</si>
  <si>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</si>
  <si>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</si>
  <si>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</si>
  <si>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</si>
  <si>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</si>
  <si>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</si>
  <si>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</si>
  <si>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</si>
  <si>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</si>
  <si>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6236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</si>
  <si>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</si>
  <si>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</si>
  <si>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</si>
  <si>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</si>
  <si>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</si>
  <si>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</si>
  <si>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</si>
  <si>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</si>
  <si>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</si>
  <si>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</si>
  <si>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</si>
  <si>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</si>
  <si>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</si>
  <si>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</si>
  <si>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</si>
  <si>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</si>
  <si>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</si>
  <si>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</si>
  <si>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</si>
  <si>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</si>
  <si>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</si>
  <si>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</si>
  <si>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</si>
  <si>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</si>
  <si>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</si>
  <si>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</si>
  <si>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</si>
  <si>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</si>
  <si>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</si>
  <si>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</si>
  <si>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</si>
  <si>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</si>
  <si>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</si>
  <si>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</si>
  <si>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6203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</si>
  <si>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</si>
  <si>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</si>
  <si>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</si>
  <si>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</si>
  <si>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</si>
  <si>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</si>
  <si>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</si>
  <si>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</si>
  <si>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</si>
  <si>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</si>
  <si>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</si>
  <si>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</si>
  <si>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</si>
  <si>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</si>
  <si>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</si>
  <si>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</si>
  <si>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</si>
  <si>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</si>
  <si>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</si>
  <si>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</si>
  <si>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</si>
  <si>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</si>
  <si>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</si>
  <si>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</si>
  <si>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</si>
  <si>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</si>
  <si>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</si>
  <si>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</si>
  <si>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</si>
  <si>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</si>
  <si>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</si>
  <si>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</si>
  <si>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</si>
  <si>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</si>
  <si>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</si>
  <si>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</si>
  <si>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</si>
  <si>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</si>
  <si>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</si>
  <si>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</si>
  <si>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</si>
  <si>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</si>
  <si>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</si>
  <si>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</si>
  <si>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</si>
  <si>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</si>
  <si>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</si>
  <si>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</si>
  <si>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</si>
  <si>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</si>
  <si>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</si>
  <si>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</si>
  <si>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</si>
  <si>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</si>
  <si>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</si>
  <si>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</si>
  <si>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</si>
  <si>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</si>
  <si>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</si>
  <si>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</si>
  <si>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</si>
  <si>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</si>
  <si>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</si>
  <si>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</si>
  <si>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</si>
  <si>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</si>
  <si>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</si>
  <si>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</si>
  <si>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</si>
  <si>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</si>
  <si>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</si>
  <si>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</si>
  <si>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</si>
  <si>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</si>
  <si>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</si>
  <si>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</si>
  <si>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</si>
  <si>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</si>
  <si>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</si>
  <si>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6094</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</si>
  <si>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</si>
  <si>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</si>
  <si>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</si>
  <si>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</si>
  <si>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</si>
  <si>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</si>
  <si>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</si>
  <si>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</si>
  <si>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</si>
  <si>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</si>
  <si>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</si>
  <si>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</si>
  <si>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</si>
  <si>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</si>
  <si>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</si>
  <si>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</si>
  <si>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</si>
  <si>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</si>
  <si>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</si>
  <si>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</si>
  <si>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</si>
  <si>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</si>
  <si>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</si>
  <si>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</si>
  <si>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</si>
  <si>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</si>
  <si>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</si>
  <si>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</si>
  <si>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</si>
  <si>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</si>
  <si>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</si>
  <si>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</si>
  <si>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</si>
  <si>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</si>
  <si>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</si>
  <si>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</si>
  <si>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</si>
  <si>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</si>
  <si>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</si>
  <si>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</si>
  <si>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</si>
  <si>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</si>
  <si>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</si>
  <si>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</si>
  <si>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</si>
  <si>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</si>
  <si>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</si>
  <si>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</si>
  <si>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</si>
  <si>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</si>
  <si>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</si>
  <si>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</si>
  <si>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</si>
  <si>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</si>
  <si>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</si>
  <si>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</si>
  <si>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</si>
  <si>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</si>
  <si>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</si>
  <si>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</si>
  <si>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</si>
  <si>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</si>
  <si>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</si>
  <si>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</si>
  <si>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</si>
  <si>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</si>
  <si>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</si>
  <si>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</si>
  <si>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</si>
  <si>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</si>
  <si>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</si>
  <si>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</si>
  <si>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</si>
  <si>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</si>
  <si>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</si>
  <si>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</si>
  <si>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</si>
  <si>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</si>
  <si>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</si>
  <si>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</si>
  <si>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</si>
  <si>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</si>
  <si>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</si>
  <si>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</si>
  <si>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</si>
  <si>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</si>
  <si>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</si>
  <si>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</si>
  <si>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</si>
  <si>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</si>
  <si>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</si>
  <si>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</si>
  <si>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</si>
  <si>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</si>
  <si>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</si>
  <si>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</si>
  <si>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</si>
  <si>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</si>
  <si>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</si>
  <si>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</si>
  <si>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</si>
  <si>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</si>
  <si>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</si>
  <si>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</si>
  <si>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</si>
  <si>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</si>
  <si>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</si>
  <si>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</si>
  <si>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</si>
  <si>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</si>
  <si>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</si>
  <si>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</si>
  <si>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</si>
  <si>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</si>
  <si>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</si>
  <si>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</si>
  <si>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</si>
  <si>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</si>
  <si>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</si>
  <si>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</si>
  <si>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</si>
  <si>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5849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</si>
  <si>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</si>
  <si>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</si>
  <si>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</si>
  <si>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</si>
  <si>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</si>
  <si>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</si>
  <si>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</si>
  <si>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</si>
  <si>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</si>
  <si>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</si>
  <si>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</si>
  <si>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</si>
  <si>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</si>
  <si>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</si>
  <si>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</si>
  <si>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</si>
  <si>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</si>
  <si>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</si>
  <si>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</si>
  <si>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</si>
  <si>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</si>
  <si>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</si>
  <si>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</si>
  <si>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</si>
  <si>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</si>
  <si>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</si>
  <si>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</si>
  <si>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</si>
  <si>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</si>
  <si>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</si>
  <si>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</si>
  <si>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</si>
  <si>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</si>
  <si>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</si>
  <si>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</si>
  <si>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</si>
  <si>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</si>
  <si>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</si>
  <si>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</si>
  <si>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</si>
  <si>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</si>
  <si>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</si>
  <si>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</si>
  <si>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</si>
  <si>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</si>
  <si>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</si>
  <si>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</si>
  <si>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</si>
  <si>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</si>
  <si>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</si>
  <si>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</si>
  <si>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</si>
  <si>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</si>
  <si>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</si>
  <si>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</si>
  <si>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</si>
  <si>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</si>
  <si>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</si>
  <si>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</si>
  <si>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</si>
  <si>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</si>
  <si>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</si>
  <si>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</si>
  <si>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</si>
  <si>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</si>
  <si>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</si>
  <si>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</si>
  <si>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</si>
  <si>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</si>
  <si>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</si>
  <si>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</si>
  <si>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</si>
  <si>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</si>
  <si>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</si>
  <si>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</si>
  <si>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</si>
  <si>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</si>
  <si>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</si>
  <si>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</si>
  <si>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</si>
  <si>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</si>
  <si>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</si>
  <si>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</si>
  <si>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5589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</si>
  <si>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</si>
  <si>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</si>
  <si>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</si>
  <si>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</si>
  <si>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</si>
  <si>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</si>
  <si>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</si>
  <si>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</si>
  <si>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</si>
  <si>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</si>
  <si>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</si>
  <si>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</si>
  <si>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</si>
  <si>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</si>
  <si>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</si>
  <si>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</si>
  <si>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</si>
  <si>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</si>
  <si>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</si>
  <si>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</si>
  <si>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</si>
  <si>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</si>
  <si>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</si>
  <si>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</si>
  <si>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</si>
  <si>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</si>
  <si>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</si>
  <si>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</si>
  <si>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</si>
  <si>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</si>
  <si>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</si>
  <si>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</si>
  <si>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</si>
  <si>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</si>
  <si>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</si>
  <si>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</si>
  <si>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</si>
  <si>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</si>
  <si>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</si>
  <si>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</si>
  <si>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</si>
  <si>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</si>
  <si>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</si>
  <si>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</si>
  <si>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</si>
  <si>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</si>
  <si>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</si>
  <si>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</si>
  <si>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</si>
  <si>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</si>
  <si>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</si>
  <si>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</si>
  <si>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</si>
  <si>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</si>
  <si>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</si>
  <si>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</si>
  <si>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</si>
  <si>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</si>
  <si>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</si>
  <si>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</si>
  <si>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</si>
  <si>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</si>
  <si>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</si>
  <si>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</si>
  <si>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</si>
  <si>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</si>
  <si>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5585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</si>
  <si>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</si>
  <si>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</si>
  <si>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</si>
  <si>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</si>
  <si>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</si>
  <si>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</si>
  <si>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</si>
  <si>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</si>
  <si>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</si>
  <si>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</si>
  <si>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</si>
  <si>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</si>
  <si>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</si>
  <si>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</si>
  <si>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</si>
  <si>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</si>
  <si>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</si>
  <si>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</si>
  <si>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</si>
  <si>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</si>
  <si>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</si>
  <si>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</si>
  <si>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</si>
  <si>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</si>
  <si>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</si>
  <si>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</si>
  <si>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</si>
  <si>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</si>
  <si>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</si>
  <si>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</si>
  <si>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</si>
  <si>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</si>
  <si>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</si>
  <si>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</si>
  <si>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</si>
  <si>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</si>
  <si>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</si>
  <si>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</si>
  <si>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</si>
  <si>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</si>
  <si>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</si>
  <si>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</si>
  <si>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</si>
  <si>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</si>
  <si>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</si>
  <si>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</si>
  <si>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</si>
  <si>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</si>
  <si>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</si>
  <si>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</si>
  <si>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</si>
  <si>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</si>
  <si>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</si>
  <si>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</si>
  <si>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</si>
  <si>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</si>
  <si>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</si>
  <si>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</si>
  <si>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</si>
  <si>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</si>
  <si>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</si>
  <si>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</si>
  <si>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</si>
  <si>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</si>
  <si>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</si>
  <si>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</si>
  <si>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</si>
  <si>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</si>
  <si>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</si>
  <si>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</si>
  <si>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</si>
  <si>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</si>
  <si>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</si>
  <si>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</si>
  <si>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</si>
  <si>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</si>
  <si>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</si>
  <si>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</si>
  <si>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</si>
  <si>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</si>
  <si>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</si>
  <si>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</si>
  <si>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</si>
  <si>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</si>
  <si>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</si>
  <si>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</si>
  <si>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</si>
  <si>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</si>
  <si>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</si>
  <si>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</si>
  <si>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</si>
  <si>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</si>
  <si>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</si>
  <si>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</si>
  <si>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</si>
  <si>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</si>
  <si>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</si>
  <si>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</si>
  <si>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</si>
  <si>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</si>
  <si>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</si>
  <si>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</si>
  <si>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</si>
  <si>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</si>
  <si>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</si>
  <si>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</si>
  <si>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</si>
  <si>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</si>
  <si>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</si>
  <si>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</si>
  <si>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</si>
  <si>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</si>
  <si>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</si>
  <si>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</si>
  <si>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</si>
  <si>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</si>
  <si>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</si>
  <si>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</si>
  <si>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</si>
  <si>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</si>
  <si>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</si>
  <si>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</si>
  <si>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</si>
  <si>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</si>
  <si>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</si>
  <si>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</si>
  <si>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</si>
  <si>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</si>
  <si>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</si>
  <si>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</si>
  <si>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</si>
  <si>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</si>
  <si>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</si>
  <si>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</si>
  <si>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</si>
  <si>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</si>
  <si>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</si>
  <si>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</si>
  <si>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</si>
  <si>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</si>
  <si>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</si>
  <si>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</si>
  <si>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</si>
  <si>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</si>
  <si>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</si>
  <si>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</si>
  <si>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</si>
  <si>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</si>
  <si>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</si>
  <si>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</si>
  <si>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</si>
  <si>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</si>
  <si>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</si>
  <si>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</si>
  <si>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</si>
  <si>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</si>
  <si>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</si>
  <si>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</si>
  <si>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</si>
  <si>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</si>
  <si>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5336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</si>
  <si>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</si>
  <si>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</si>
  <si>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</si>
  <si>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</si>
  <si>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</si>
  <si>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</si>
  <si>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</si>
  <si>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</si>
  <si>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</si>
  <si>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</si>
  <si>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</si>
  <si>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</si>
  <si>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</si>
  <si>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</si>
  <si>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</si>
  <si>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</si>
  <si>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</si>
  <si>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</si>
  <si>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</si>
  <si>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</si>
  <si>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</si>
  <si>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</si>
  <si>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</si>
  <si>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</si>
  <si>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</si>
  <si>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</si>
  <si>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</si>
  <si>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</si>
  <si>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</si>
  <si>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</si>
  <si>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</si>
  <si>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</si>
  <si>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</si>
  <si>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</si>
  <si>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</si>
  <si>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</si>
  <si>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</si>
  <si>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</si>
  <si>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</si>
  <si>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</si>
  <si>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</si>
  <si>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</si>
  <si>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</si>
  <si>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</si>
  <si>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</si>
  <si>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</si>
  <si>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</si>
  <si>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</si>
  <si>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</si>
  <si>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</si>
  <si>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</si>
  <si>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</si>
  <si>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</si>
  <si>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</si>
  <si>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</si>
  <si>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</si>
  <si>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</si>
  <si>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</si>
  <si>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</si>
  <si>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</si>
  <si>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</si>
  <si>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</si>
  <si>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</si>
  <si>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</si>
  <si>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</si>
  <si>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</si>
  <si>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</si>
  <si>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</si>
  <si>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</si>
  <si>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</si>
  <si>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</si>
  <si>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</si>
  <si>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</si>
  <si>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</si>
  <si>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</si>
  <si>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</si>
  <si>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</si>
  <si>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</si>
  <si>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</si>
  <si>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</si>
  <si>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</si>
  <si>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</si>
  <si>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</si>
  <si>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</si>
  <si>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</si>
  <si>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</si>
  <si>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</si>
  <si>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</si>
  <si>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</si>
  <si>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</si>
  <si>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</si>
  <si>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</si>
  <si>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</si>
  <si>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</si>
  <si>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</si>
  <si>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</si>
  <si>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</si>
  <si>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</si>
  <si>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</si>
  <si>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</si>
  <si>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</si>
  <si>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</si>
  <si>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</si>
  <si>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</si>
  <si>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</si>
  <si>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</si>
  <si>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</si>
  <si>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5163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</si>
  <si>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</si>
  <si>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</si>
  <si>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</si>
  <si>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</si>
  <si>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</si>
  <si>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</si>
  <si>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</si>
  <si>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</si>
  <si>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</si>
  <si>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</si>
  <si>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</si>
  <si>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</si>
  <si>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</si>
  <si>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</si>
  <si>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</si>
  <si>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</si>
  <si>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</si>
  <si>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</si>
  <si>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</si>
  <si>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</si>
  <si>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</si>
  <si>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</si>
  <si>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</si>
  <si>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</si>
  <si>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</si>
  <si>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</si>
  <si>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</si>
  <si>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</si>
  <si>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</si>
  <si>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</si>
  <si>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</si>
  <si>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</si>
  <si>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</si>
  <si>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</si>
  <si>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</si>
  <si>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</si>
  <si>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</si>
  <si>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</si>
  <si>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</si>
  <si>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</si>
  <si>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</si>
  <si>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</si>
  <si>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</si>
  <si>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</si>
  <si>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</si>
  <si>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</si>
  <si>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</si>
  <si>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</si>
  <si>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</si>
  <si>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</si>
  <si>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</si>
  <si>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</si>
  <si>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</si>
  <si>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</si>
  <si>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</si>
  <si>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</si>
  <si>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</si>
  <si>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</si>
  <si>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</si>
  <si>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</si>
  <si>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</si>
  <si>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</si>
  <si>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</si>
  <si>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</si>
  <si>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</si>
  <si>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</si>
  <si>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</si>
  <si>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</si>
  <si>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</si>
  <si>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</si>
  <si>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</si>
  <si>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</si>
  <si>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</si>
  <si>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</si>
  <si>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</si>
  <si>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</si>
  <si>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</si>
  <si>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</si>
  <si>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</si>
  <si>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</si>
  <si>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</si>
  <si>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</si>
  <si>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</si>
  <si>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</si>
  <si>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</si>
  <si>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</si>
  <si>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</si>
  <si>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</si>
  <si>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</si>
  <si>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</si>
  <si>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</si>
  <si>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</si>
  <si>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</si>
  <si>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</si>
  <si>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</si>
  <si>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</si>
  <si>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</si>
  <si>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</si>
  <si>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</si>
  <si>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</si>
  <si>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</si>
  <si>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5158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</si>
  <si>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</si>
  <si>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</si>
  <si>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</si>
  <si>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</si>
  <si>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</si>
  <si>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</si>
  <si>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</si>
  <si>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</si>
  <si>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</si>
  <si>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</si>
  <si>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</si>
  <si>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</si>
  <si>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</si>
  <si>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</si>
  <si>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</si>
  <si>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</si>
  <si>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</si>
  <si>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</si>
  <si>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</si>
  <si>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</si>
  <si>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</si>
  <si>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</si>
  <si>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</si>
  <si>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</si>
  <si>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</si>
  <si>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</si>
  <si>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</si>
  <si>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</si>
  <si>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</si>
  <si>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</si>
  <si>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</si>
  <si>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</si>
  <si>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</si>
  <si>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</si>
  <si>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</si>
  <si>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</si>
  <si>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</si>
  <si>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</si>
  <si>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</si>
  <si>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</si>
  <si>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</si>
  <si>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</si>
  <si>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</si>
  <si>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</si>
  <si>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</si>
  <si>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</si>
  <si>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</si>
  <si>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</si>
  <si>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</si>
  <si>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</si>
  <si>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</si>
  <si>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</si>
  <si>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</si>
  <si>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</si>
  <si>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</si>
  <si>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</si>
  <si>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</si>
  <si>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</si>
  <si>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</si>
  <si>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</si>
  <si>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</si>
  <si>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</si>
  <si>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</si>
  <si>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</si>
  <si>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</si>
  <si>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</si>
  <si>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</si>
  <si>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</si>
  <si>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</si>
  <si>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</si>
  <si>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</si>
  <si>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</si>
  <si>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</si>
  <si>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</si>
  <si>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</si>
  <si>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</si>
  <si>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</si>
  <si>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</si>
  <si>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</si>
  <si>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</si>
  <si>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</si>
  <si>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</si>
  <si>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</si>
  <si>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</si>
  <si>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</si>
  <si>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</si>
  <si>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</si>
  <si>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</si>
  <si>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</si>
  <si>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</si>
  <si>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</si>
  <si>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</si>
  <si>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</si>
  <si>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</si>
  <si>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</si>
  <si>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</si>
  <si>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</si>
  <si>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</si>
  <si>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</si>
  <si>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</si>
  <si>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</si>
  <si>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5017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</si>
  <si>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</si>
  <si>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</si>
  <si>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</si>
  <si>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</si>
  <si>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</si>
  <si>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</si>
  <si>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</si>
  <si>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</si>
  <si>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</si>
  <si>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</si>
  <si>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</si>
  <si>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</si>
  <si>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</si>
  <si>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</si>
  <si>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</si>
  <si>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</si>
  <si>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</si>
  <si>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</si>
  <si>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</si>
  <si>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</si>
  <si>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</si>
  <si>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</si>
  <si>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</si>
  <si>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</si>
  <si>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</si>
  <si>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</si>
  <si>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</si>
  <si>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</si>
  <si>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</si>
  <si>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</si>
  <si>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</si>
  <si>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</si>
  <si>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</si>
  <si>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</si>
  <si>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</si>
  <si>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</si>
  <si>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</si>
  <si>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</si>
  <si>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</si>
  <si>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</si>
  <si>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</si>
  <si>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</si>
  <si>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</si>
  <si>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</si>
  <si>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</si>
  <si>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</si>
  <si>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</si>
  <si>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</si>
  <si>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</si>
  <si>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</si>
  <si>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</si>
  <si>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</si>
  <si>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</si>
  <si>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</si>
  <si>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</si>
  <si>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</si>
  <si>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</si>
  <si>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</si>
  <si>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</si>
  <si>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</si>
  <si>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</si>
  <si>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</si>
  <si>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</si>
  <si>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</si>
  <si>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</si>
  <si>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</si>
  <si>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</si>
  <si>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</si>
  <si>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</si>
  <si>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</si>
  <si>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</si>
  <si>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</si>
  <si>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</si>
  <si>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</si>
  <si>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</si>
  <si>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</si>
  <si>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</si>
  <si>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</si>
  <si>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</si>
  <si>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</si>
  <si>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</si>
  <si>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</si>
  <si>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</si>
  <si>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</si>
  <si>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</si>
  <si>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</si>
  <si>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</si>
  <si>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4808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</si>
  <si>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</si>
  <si>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</si>
  <si>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</si>
  <si>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</si>
  <si>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</si>
  <si>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</si>
  <si>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</si>
  <si>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</si>
  <si>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</si>
  <si>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</si>
  <si>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</si>
  <si>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</si>
  <si>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</si>
  <si>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</si>
  <si>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</si>
  <si>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</si>
  <si>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</si>
  <si>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</si>
  <si>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</si>
  <si>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</si>
  <si>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</si>
  <si>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</si>
  <si>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</si>
  <si>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</si>
  <si>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</si>
  <si>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</si>
  <si>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</si>
  <si>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</si>
  <si>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</si>
  <si>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</si>
  <si>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</si>
  <si>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</si>
  <si>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</si>
  <si>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</si>
  <si>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</si>
  <si>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</si>
  <si>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</si>
  <si>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</si>
  <si>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</si>
  <si>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</si>
  <si>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</si>
  <si>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</si>
  <si>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</si>
  <si>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</si>
  <si>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</si>
  <si>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</si>
  <si>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</si>
  <si>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</si>
  <si>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</si>
  <si>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</si>
  <si>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</si>
  <si>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</si>
  <si>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4797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</si>
  <si>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</si>
  <si>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</si>
  <si>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</si>
  <si>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</si>
  <si>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</si>
  <si>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</si>
  <si>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</si>
  <si>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</si>
  <si>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</si>
  <si>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</si>
  <si>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</si>
  <si>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</si>
  <si>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</si>
  <si>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</si>
  <si>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</si>
  <si>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</si>
  <si>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</si>
  <si>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</si>
  <si>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</si>
  <si>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</si>
  <si>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</si>
  <si>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</si>
  <si>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</si>
  <si>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</si>
  <si>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</si>
  <si>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</si>
  <si>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</si>
  <si>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</si>
  <si>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</si>
  <si>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</si>
  <si>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</si>
  <si>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</si>
  <si>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</si>
  <si>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</si>
  <si>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</si>
  <si>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</si>
  <si>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</si>
  <si>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</si>
  <si>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</si>
  <si>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</si>
  <si>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</si>
  <si>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</si>
  <si>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</si>
  <si>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</si>
  <si>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</si>
  <si>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</si>
  <si>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</si>
  <si>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</si>
  <si>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</si>
  <si>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</si>
  <si>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</si>
  <si>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</si>
  <si>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</si>
  <si>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</si>
  <si>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</si>
  <si>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</si>
  <si>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</si>
  <si>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</si>
  <si>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</si>
  <si>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</si>
  <si>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</si>
  <si>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</si>
  <si>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</si>
  <si>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</si>
  <si>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</si>
  <si>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</si>
  <si>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</si>
  <si>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</si>
  <si>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</si>
  <si>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</si>
  <si>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</si>
  <si>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</si>
  <si>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</si>
  <si>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</si>
  <si>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</si>
  <si>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</si>
  <si>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</si>
  <si>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</si>
  <si>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</si>
  <si>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</si>
  <si>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</si>
  <si>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</si>
  <si>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</si>
  <si>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</si>
  <si>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</si>
  <si>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</si>
  <si>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</si>
  <si>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</si>
  <si>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</si>
  <si>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</si>
  <si>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4670</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</si>
  <si>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</si>
  <si>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</si>
  <si>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</si>
  <si>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</si>
  <si>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</si>
  <si>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</si>
  <si>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</si>
  <si>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</si>
  <si>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</si>
  <si>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</si>
  <si>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</si>
  <si>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</si>
  <si>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</si>
  <si>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</si>
  <si>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</si>
  <si>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</si>
  <si>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</si>
  <si>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</si>
  <si>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</si>
  <si>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</si>
  <si>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</si>
  <si>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</si>
  <si>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</si>
  <si>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</si>
  <si>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</si>
  <si>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</si>
  <si>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</si>
  <si>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</si>
  <si>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</si>
  <si>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</si>
  <si>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</si>
  <si>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</si>
  <si>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</si>
  <si>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</si>
  <si>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</si>
  <si>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</si>
  <si>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</si>
  <si>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</si>
  <si>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</si>
  <si>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</si>
  <si>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</si>
  <si>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</si>
  <si>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</si>
  <si>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</si>
  <si>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</si>
  <si>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</si>
  <si>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</si>
  <si>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</si>
  <si>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</si>
  <si>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</si>
  <si>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</si>
  <si>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</si>
  <si>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</si>
  <si>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</si>
  <si>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</si>
  <si>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4647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</si>
  <si>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</si>
  <si>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</si>
  <si>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</si>
  <si>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</si>
  <si>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</si>
  <si>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</si>
  <si>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</si>
  <si>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</si>
  <si>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</si>
  <si>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</si>
  <si>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</si>
  <si>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</si>
  <si>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</si>
  <si>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</si>
  <si>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</si>
  <si>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</si>
  <si>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</si>
  <si>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</si>
  <si>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</si>
  <si>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</si>
  <si>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</si>
  <si>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</si>
  <si>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</si>
  <si>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</si>
  <si>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</si>
  <si>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</si>
  <si>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</si>
  <si>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</si>
  <si>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</si>
  <si>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</si>
  <si>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</si>
  <si>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</si>
  <si>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</si>
  <si>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</si>
  <si>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</si>
  <si>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4619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</si>
  <si>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</si>
  <si>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</si>
  <si>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</si>
  <si>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</si>
  <si>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</si>
  <si>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</si>
  <si>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</si>
  <si>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</si>
  <si>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</si>
  <si>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</si>
  <si>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</si>
  <si>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</si>
  <si>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</si>
  <si>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</si>
  <si>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</si>
  <si>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</si>
  <si>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</si>
  <si>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</si>
  <si>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</si>
  <si>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</si>
  <si>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</si>
  <si>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</si>
  <si>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</si>
  <si>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</si>
  <si>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</si>
  <si>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</si>
  <si>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</si>
  <si>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</si>
  <si>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</si>
  <si>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</si>
  <si>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</si>
  <si>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</si>
  <si>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</si>
  <si>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</si>
  <si>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</si>
  <si>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</si>
  <si>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</si>
  <si>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</si>
  <si>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</si>
  <si>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</si>
  <si>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</si>
  <si>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</si>
  <si>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</si>
  <si>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</si>
  <si>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</si>
  <si>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</si>
  <si>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</si>
  <si>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</si>
  <si>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</si>
  <si>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</si>
  <si>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</si>
  <si>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4616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</si>
  <si>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</si>
  <si>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</si>
  <si>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</si>
  <si>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</si>
  <si>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</si>
  <si>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</si>
  <si>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</si>
  <si>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</si>
  <si>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</si>
  <si>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</si>
  <si>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</si>
  <si>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</si>
  <si>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</si>
  <si>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</si>
  <si>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</si>
  <si>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</si>
  <si>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</si>
  <si>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</si>
  <si>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</si>
  <si>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</si>
  <si>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</si>
  <si>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</si>
  <si>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</si>
  <si>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</si>
  <si>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</si>
  <si>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</si>
  <si>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</si>
  <si>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</si>
  <si>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</si>
  <si>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</si>
  <si>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</si>
  <si>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</si>
  <si>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</si>
  <si>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</si>
  <si>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</si>
  <si>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</si>
  <si>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</si>
  <si>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</si>
  <si>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</si>
  <si>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</si>
  <si>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</si>
  <si>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</si>
  <si>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</si>
  <si>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</si>
  <si>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</si>
  <si>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</si>
  <si>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</si>
  <si>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</si>
  <si>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</si>
  <si>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</si>
  <si>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</si>
  <si>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</si>
  <si>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</si>
  <si>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</si>
  <si>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</si>
  <si>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</si>
  <si>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</si>
  <si>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</si>
  <si>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</si>
  <si>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</si>
  <si>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</si>
  <si>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</si>
  <si>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</si>
  <si>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</si>
  <si>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</si>
  <si>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</si>
  <si>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</si>
  <si>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</si>
  <si>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</si>
  <si>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</si>
  <si>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</si>
  <si>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</si>
  <si>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</si>
  <si>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</si>
  <si>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</si>
  <si>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</si>
  <si>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</si>
  <si>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</si>
  <si>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</si>
  <si>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</si>
  <si>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</si>
  <si>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</si>
  <si>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</si>
  <si>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</si>
  <si>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</si>
  <si>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</si>
  <si>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</si>
  <si>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</si>
  <si>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</si>
  <si>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</si>
  <si>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</si>
  <si>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</si>
  <si>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</si>
  <si>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</si>
  <si>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</si>
  <si>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</si>
  <si>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</si>
  <si>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</si>
  <si>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</si>
  <si>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</si>
  <si>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</si>
  <si>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</si>
  <si>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</si>
  <si>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</si>
  <si>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</si>
  <si>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</si>
  <si>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</si>
  <si>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</si>
  <si>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</si>
  <si>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</si>
  <si>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</si>
  <si>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</si>
  <si>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</si>
  <si>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</si>
  <si>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</si>
  <si>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</si>
  <si>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</si>
  <si>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</si>
  <si>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</si>
  <si>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</si>
  <si>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</si>
  <si>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</si>
  <si>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</si>
  <si>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</si>
  <si>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</si>
  <si>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</si>
  <si>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</si>
  <si>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</si>
  <si>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</si>
  <si>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</si>
  <si>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</si>
  <si>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</si>
  <si>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</si>
  <si>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</si>
  <si>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</si>
  <si>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</si>
  <si>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</si>
  <si>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</si>
  <si>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</si>
  <si>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4548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</si>
  <si>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</si>
  <si>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</si>
  <si>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</si>
  <si>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</si>
  <si>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</si>
  <si>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</si>
  <si>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</si>
  <si>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</si>
  <si>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</si>
  <si>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</si>
  <si>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</si>
  <si>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</si>
  <si>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</si>
  <si>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</si>
  <si>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</si>
  <si>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</si>
  <si>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</si>
  <si>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</si>
  <si>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</si>
  <si>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</si>
  <si>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</si>
  <si>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</si>
  <si>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</si>
  <si>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</si>
  <si>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</si>
  <si>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</si>
  <si>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</si>
  <si>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</si>
  <si>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</si>
  <si>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</si>
  <si>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</si>
  <si>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</si>
  <si>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</si>
  <si>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</si>
  <si>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</si>
  <si>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</si>
  <si>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</si>
  <si>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</si>
  <si>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</si>
  <si>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</si>
  <si>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</si>
  <si>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</si>
  <si>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</si>
  <si>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</si>
  <si>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</si>
  <si>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</si>
  <si>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</si>
  <si>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</si>
  <si>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</si>
  <si>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</si>
  <si>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</si>
  <si>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</si>
  <si>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</si>
  <si>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</si>
  <si>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</si>
  <si>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</si>
  <si>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</si>
  <si>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</si>
  <si>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</si>
  <si>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</si>
  <si>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</si>
  <si>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</si>
  <si>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</si>
  <si>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4476</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</si>
  <si>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</si>
  <si>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</si>
  <si>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</si>
  <si>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</si>
  <si>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</si>
  <si>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</si>
  <si>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</si>
  <si>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</si>
  <si>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</si>
  <si>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</si>
  <si>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</si>
  <si>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</si>
  <si>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</si>
  <si>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</si>
  <si>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</si>
  <si>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</si>
  <si>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</si>
  <si>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</si>
  <si>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</si>
  <si>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</si>
  <si>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</si>
  <si>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</si>
  <si>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</si>
  <si>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</si>
  <si>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</si>
  <si>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</si>
  <si>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</si>
  <si>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</si>
  <si>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</si>
  <si>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</si>
  <si>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</si>
  <si>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</si>
  <si>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</si>
  <si>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</si>
  <si>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</si>
  <si>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4339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</si>
  <si>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</si>
  <si>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</si>
  <si>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</si>
  <si>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</si>
  <si>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</si>
  <si>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</si>
  <si>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</si>
  <si>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</si>
  <si>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</si>
  <si>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</si>
  <si>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</si>
  <si>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</si>
  <si>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</si>
  <si>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</si>
  <si>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</si>
  <si>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</si>
  <si>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</si>
  <si>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</si>
  <si>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</si>
  <si>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</si>
  <si>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</si>
  <si>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</si>
  <si>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</si>
  <si>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</si>
  <si>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</si>
  <si>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</si>
  <si>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</si>
  <si>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</si>
  <si>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</si>
  <si>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4307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</si>
  <si>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</si>
  <si>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</si>
  <si>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</si>
  <si>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</si>
  <si>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</si>
  <si>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</si>
  <si>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</si>
  <si>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</si>
  <si>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</si>
  <si>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</si>
  <si>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</si>
  <si>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</si>
  <si>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</si>
  <si>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</si>
  <si>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</si>
  <si>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</si>
  <si>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</si>
  <si>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</si>
  <si>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</si>
  <si>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</si>
  <si>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</si>
  <si>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</si>
  <si>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</si>
  <si>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</si>
  <si>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</si>
  <si>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</si>
  <si>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</si>
  <si>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</si>
  <si>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</si>
  <si>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</si>
  <si>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</si>
  <si>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</si>
  <si>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</si>
  <si>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</si>
  <si>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</si>
  <si>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</si>
  <si>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</si>
  <si>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</si>
  <si>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</si>
  <si>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</si>
  <si>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</si>
  <si>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</si>
  <si>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</si>
  <si>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</si>
  <si>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</si>
  <si>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</si>
  <si>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</si>
  <si>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</si>
  <si>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</si>
  <si>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</si>
  <si>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</si>
  <si>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</si>
  <si>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</si>
  <si>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</si>
  <si>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</si>
  <si>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</si>
  <si>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</si>
  <si>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</si>
  <si>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</si>
  <si>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</si>
  <si>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</si>
  <si>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</si>
  <si>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</si>
  <si>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</si>
  <si>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</si>
  <si>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</si>
  <si>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</si>
  <si>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</si>
  <si>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</si>
  <si>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</si>
  <si>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</si>
  <si>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</si>
  <si>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</si>
  <si>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</si>
  <si>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</si>
  <si>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</si>
  <si>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</si>
  <si>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</si>
  <si>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</si>
  <si>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</si>
  <si>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</si>
  <si>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</si>
  <si>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</si>
  <si>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</si>
  <si>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</si>
  <si>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</si>
  <si>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</si>
  <si>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</si>
  <si>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</si>
  <si>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</si>
  <si>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</si>
  <si>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</si>
  <si>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4153</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</si>
  <si>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</si>
  <si>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</si>
  <si>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</si>
  <si>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</si>
  <si>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</si>
  <si>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</si>
  <si>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</si>
  <si>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</si>
  <si>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</si>
  <si>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</si>
  <si>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</si>
  <si>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</si>
  <si>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</si>
  <si>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</si>
  <si>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</si>
  <si>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</si>
  <si>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</si>
  <si>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</si>
  <si>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</si>
  <si>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</si>
  <si>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</si>
  <si>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</si>
  <si>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</si>
  <si>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</si>
  <si>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</si>
  <si>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</si>
  <si>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</si>
  <si>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</si>
  <si>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</si>
  <si>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</si>
  <si>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</si>
  <si>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</si>
  <si>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4145</t>
  </si>
  <si>
    <t>47</t>
  </si>
  <si>
    <t>1:19.62</t>
  </si>
  <si>
    <t>37.42</t>
  </si>
  <si>
    <t>43.60</t>
  </si>
  <si>
    <t>16.61</t>
  </si>
  <si>
    <t>44.05</t>
  </si>
  <si>
    <t>56.85</t>
  </si>
  <si>
    <t>15.19</t>
  </si>
  <si>
    <t>1:00.44</t>
  </si>
  <si>
    <t>28.03</t>
  </si>
  <si>
    <t>45.86</t>
  </si>
  <si>
    <t>1:26.89</t>
  </si>
  <si>
    <t>13.06</t>
  </si>
  <si>
    <t>52.52</t>
  </si>
  <si>
    <t>35.29</t>
  </si>
  <si>
    <t>54.13</t>
  </si>
  <si>
    <t>30.49</t>
  </si>
  <si>
    <t>1:45.71</t>
  </si>
  <si>
    <t>DrewCoug</t>
  </si>
  <si>
    <t>4115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</si>
  <si>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</si>
  <si>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</si>
  <si>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</si>
  <si>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</si>
  <si>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</si>
  <si>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</si>
  <si>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</si>
  <si>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</si>
  <si>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</si>
  <si>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</si>
  <si>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</si>
  <si>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</si>
  <si>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</si>
  <si>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</si>
  <si>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</si>
  <si>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</si>
  <si>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</si>
  <si>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</si>
  <si>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</si>
  <si>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</si>
  <si>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</si>
  <si>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</si>
  <si>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</si>
  <si>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</si>
  <si>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</si>
  <si>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</si>
  <si>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</si>
  <si>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</si>
  <si>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</si>
  <si>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</si>
  <si>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</si>
  <si>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</si>
  <si>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</si>
  <si>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</si>
  <si>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</si>
  <si>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</si>
  <si>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</si>
  <si>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</si>
  <si>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</si>
  <si>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</si>
  <si>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</si>
  <si>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</si>
  <si>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</si>
  <si>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</si>
  <si>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</si>
  <si>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</si>
  <si>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</si>
  <si>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</si>
  <si>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</si>
  <si>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</si>
  <si>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</si>
  <si>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</si>
  <si>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</si>
  <si>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</si>
  <si>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</si>
  <si>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</si>
  <si>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</si>
  <si>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</si>
  <si>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</si>
  <si>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4057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</si>
  <si>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</si>
  <si>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</si>
  <si>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</si>
  <si>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</si>
  <si>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</si>
  <si>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</si>
  <si>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</si>
  <si>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</si>
  <si>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</si>
  <si>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</si>
  <si>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</si>
  <si>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</si>
  <si>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</si>
  <si>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</si>
  <si>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</si>
  <si>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</si>
  <si>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</si>
  <si>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</si>
  <si>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</si>
  <si>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</si>
  <si>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</si>
  <si>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</si>
  <si>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</si>
  <si>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</si>
  <si>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</si>
  <si>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</si>
  <si>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</si>
  <si>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</si>
  <si>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</si>
  <si>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</si>
  <si>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</si>
  <si>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</si>
  <si>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</si>
  <si>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</si>
  <si>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</si>
  <si>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</si>
  <si>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</si>
  <si>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</si>
  <si>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</si>
  <si>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</si>
  <si>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</si>
  <si>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</si>
  <si>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</si>
  <si>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</si>
  <si>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</si>
  <si>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</si>
  <si>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</si>
  <si>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</si>
  <si>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</si>
  <si>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</si>
  <si>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</si>
  <si>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</si>
  <si>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</si>
  <si>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</si>
  <si>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</si>
  <si>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</si>
  <si>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</si>
  <si>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</si>
  <si>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</si>
  <si>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</si>
  <si>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</si>
  <si>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</si>
  <si>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</si>
  <si>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</si>
  <si>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</si>
  <si>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</si>
  <si>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</si>
  <si>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</si>
  <si>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</si>
  <si>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</si>
  <si>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</si>
  <si>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</si>
  <si>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</si>
  <si>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</si>
  <si>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</si>
  <si>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</si>
  <si>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</si>
  <si>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</si>
  <si>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</si>
  <si>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</si>
  <si>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</si>
  <si>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</si>
  <si>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</si>
  <si>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</si>
  <si>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</si>
  <si>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</si>
  <si>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</si>
  <si>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</si>
  <si>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</si>
  <si>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</si>
  <si>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</si>
  <si>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</si>
  <si>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</si>
  <si>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</si>
  <si>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</si>
  <si>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</si>
  <si>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</si>
  <si>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</si>
  <si>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</si>
  <si>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</si>
  <si>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</si>
  <si>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</si>
  <si>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</si>
  <si>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</si>
  <si>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</si>
  <si>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</si>
  <si>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</si>
  <si>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</si>
  <si>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</si>
  <si>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</si>
  <si>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</si>
  <si>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</si>
  <si>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</si>
  <si>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</si>
  <si>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</si>
  <si>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</si>
  <si>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</si>
  <si>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</si>
  <si>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</si>
  <si>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</si>
  <si>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</si>
  <si>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</si>
  <si>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</si>
  <si>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</si>
  <si>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</si>
  <si>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</si>
  <si>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</si>
  <si>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</si>
  <si>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3939</t>
  </si>
  <si>
    <t>50.97</t>
  </si>
  <si>
    <t>37.45</t>
  </si>
  <si>
    <t>2:21.86</t>
  </si>
  <si>
    <t>1:12.81</t>
  </si>
  <si>
    <t>40.29</t>
  </si>
  <si>
    <t>43.68</t>
  </si>
  <si>
    <t>1:33.15</t>
  </si>
  <si>
    <t>40.34</t>
  </si>
  <si>
    <t>9.71</t>
  </si>
  <si>
    <t>19.44</t>
  </si>
  <si>
    <t>27.46</t>
  </si>
  <si>
    <t>50.14</t>
  </si>
  <si>
    <t>1:27.86</t>
  </si>
  <si>
    <t>54.89</t>
  </si>
  <si>
    <t>17.99</t>
  </si>
  <si>
    <t>1:16.18</t>
  </si>
  <si>
    <t>Erthide</t>
  </si>
  <si>
    <t>3848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</si>
  <si>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</si>
  <si>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</si>
  <si>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</si>
  <si>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</si>
  <si>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</si>
  <si>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</si>
  <si>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</si>
  <si>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</si>
  <si>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</si>
  <si>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</si>
  <si>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</si>
  <si>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</si>
  <si>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</si>
  <si>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</si>
  <si>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</si>
  <si>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</si>
  <si>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</si>
  <si>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</si>
  <si>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</si>
  <si>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</si>
  <si>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</si>
  <si>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</si>
  <si>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</si>
  <si>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</si>
  <si>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</si>
  <si>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</si>
  <si>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</si>
  <si>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</si>
  <si>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</si>
  <si>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</si>
  <si>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</si>
  <si>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</si>
  <si>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</si>
  <si>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</si>
  <si>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</si>
  <si>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</si>
  <si>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</si>
  <si>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</si>
  <si>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</si>
  <si>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</si>
  <si>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</si>
  <si>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</si>
  <si>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</si>
  <si>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</si>
  <si>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</si>
  <si>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</si>
  <si>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</si>
  <si>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</si>
  <si>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</si>
  <si>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</si>
  <si>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</si>
  <si>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</si>
  <si>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</si>
  <si>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</si>
  <si>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</si>
  <si>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</si>
  <si>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</si>
  <si>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</si>
  <si>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</si>
  <si>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</si>
  <si>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</si>
  <si>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</si>
  <si>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</si>
  <si>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</si>
  <si>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</si>
  <si>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</si>
  <si>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</si>
  <si>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</si>
  <si>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</si>
  <si>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</si>
  <si>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</si>
  <si>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</si>
  <si>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</si>
  <si>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</si>
  <si>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</si>
  <si>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</si>
  <si>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</si>
  <si>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</si>
  <si>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</si>
  <si>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</si>
  <si>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</si>
  <si>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</si>
  <si>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</si>
  <si>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</si>
  <si>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</si>
  <si>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</si>
  <si>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</si>
  <si>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</si>
  <si>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</si>
  <si>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</si>
  <si>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</si>
  <si>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</si>
  <si>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</si>
  <si>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</si>
  <si>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</si>
  <si>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</si>
  <si>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</si>
  <si>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</si>
  <si>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</si>
  <si>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</si>
  <si>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</si>
  <si>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</si>
  <si>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</si>
  <si>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</si>
  <si>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</si>
  <si>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</si>
  <si>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</si>
  <si>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</si>
  <si>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</si>
  <si>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</si>
  <si>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</si>
  <si>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</si>
  <si>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</si>
  <si>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</si>
  <si>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</si>
  <si>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</si>
  <si>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</si>
  <si>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</si>
  <si>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</si>
  <si>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</si>
  <si>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</si>
  <si>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</si>
  <si>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</si>
  <si>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</si>
  <si>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</si>
  <si>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</si>
  <si>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</si>
  <si>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</si>
  <si>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</si>
  <si>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</si>
  <si>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</si>
  <si>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</si>
  <si>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</si>
  <si>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</si>
  <si>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</si>
  <si>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</si>
  <si>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</si>
  <si>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</si>
  <si>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</si>
  <si>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</si>
  <si>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</si>
  <si>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</si>
  <si>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</si>
  <si>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</si>
  <si>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</si>
  <si>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</si>
  <si>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</si>
  <si>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</si>
  <si>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</si>
  <si>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</si>
  <si>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</si>
  <si>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</si>
  <si>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</si>
  <si>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</si>
  <si>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</si>
  <si>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</si>
  <si>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</si>
  <si>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</si>
  <si>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</si>
  <si>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</si>
  <si>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</si>
  <si>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</si>
  <si>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</si>
  <si>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</si>
  <si>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</si>
  <si>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</si>
  <si>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</si>
  <si>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</si>
  <si>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</si>
  <si>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3667</t>
  </si>
  <si>
    <t>1:21.36</t>
  </si>
  <si>
    <t>2:18.95</t>
  </si>
  <si>
    <t>1:12.24</t>
  </si>
  <si>
    <t>52.63</t>
  </si>
  <si>
    <t>17.48</t>
  </si>
  <si>
    <t>45.35</t>
  </si>
  <si>
    <t>19.58</t>
  </si>
  <si>
    <t>31.08</t>
  </si>
  <si>
    <t>36.92</t>
  </si>
  <si>
    <t>35.61</t>
  </si>
  <si>
    <t>53.80</t>
  </si>
  <si>
    <t>23.97</t>
  </si>
  <si>
    <t>22.44</t>
  </si>
  <si>
    <t>4:21.54</t>
  </si>
  <si>
    <t>36.31</t>
  </si>
  <si>
    <t>16.43</t>
  </si>
  <si>
    <t>45.20</t>
  </si>
  <si>
    <t>46.06</t>
  </si>
  <si>
    <t>sIime</t>
  </si>
  <si>
    <t>3529</t>
  </si>
  <si>
    <t>48.29</t>
  </si>
  <si>
    <t>43.55</t>
  </si>
  <si>
    <t>1:59.34</t>
  </si>
  <si>
    <t>32.69</t>
  </si>
  <si>
    <t>25.95</t>
  </si>
  <si>
    <t>2:17.23</t>
  </si>
  <si>
    <t>Samura1man</t>
  </si>
  <si>
    <t>3522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</si>
  <si>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</si>
  <si>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</si>
  <si>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</si>
  <si>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</si>
  <si>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</si>
  <si>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</si>
  <si>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</si>
  <si>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</si>
  <si>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</si>
  <si>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</si>
  <si>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</si>
  <si>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</si>
  <si>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</si>
  <si>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</si>
  <si>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</si>
  <si>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</si>
  <si>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</si>
  <si>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</si>
  <si>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</si>
  <si>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</si>
  <si>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</si>
  <si>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</si>
  <si>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</si>
  <si>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</si>
  <si>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</si>
  <si>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</si>
  <si>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</si>
  <si>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</si>
  <si>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</si>
  <si>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</si>
  <si>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</si>
  <si>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</si>
  <si>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</si>
  <si>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</si>
  <si>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</si>
  <si>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</si>
  <si>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</si>
  <si>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</si>
  <si>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</si>
  <si>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</si>
  <si>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</si>
  <si>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</si>
  <si>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</si>
  <si>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</si>
  <si>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</si>
  <si>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</si>
  <si>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</si>
  <si>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</si>
  <si>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</si>
  <si>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</si>
  <si>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</si>
  <si>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</si>
  <si>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</si>
  <si>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</si>
  <si>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</si>
  <si>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</si>
  <si>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</si>
  <si>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</si>
  <si>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</si>
  <si>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</si>
  <si>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3435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</si>
  <si>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</si>
  <si>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</si>
  <si>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</si>
  <si>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</si>
  <si>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</si>
  <si>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</si>
  <si>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</si>
  <si>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</si>
  <si>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</si>
  <si>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</si>
  <si>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</si>
  <si>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</si>
  <si>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</si>
  <si>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</si>
  <si>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</si>
  <si>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</si>
  <si>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</si>
  <si>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</si>
  <si>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</si>
  <si>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</si>
  <si>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</si>
  <si>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</si>
  <si>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</si>
  <si>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</si>
  <si>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</si>
  <si>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</si>
  <si>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</si>
  <si>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</si>
  <si>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</si>
  <si>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</si>
  <si>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</si>
  <si>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</si>
  <si>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</si>
  <si>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</si>
  <si>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</si>
  <si>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</si>
  <si>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</si>
  <si>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</si>
  <si>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</si>
  <si>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</si>
  <si>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</si>
  <si>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</si>
  <si>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</si>
  <si>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</si>
  <si>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</si>
  <si>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</si>
  <si>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</si>
  <si>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</si>
  <si>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</si>
  <si>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</si>
  <si>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</si>
  <si>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</si>
  <si>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</si>
  <si>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</si>
  <si>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</si>
  <si>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</si>
  <si>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</si>
  <si>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</si>
  <si>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</si>
  <si>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3325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</si>
  <si>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</si>
  <si>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</si>
  <si>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</si>
  <si>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</si>
  <si>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</si>
  <si>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</si>
  <si>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</si>
  <si>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</si>
  <si>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</si>
  <si>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</si>
  <si>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</si>
  <si>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</si>
  <si>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</si>
  <si>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</si>
  <si>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</si>
  <si>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</si>
  <si>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</si>
  <si>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</si>
  <si>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</si>
  <si>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</si>
  <si>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</si>
  <si>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</si>
  <si>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</si>
  <si>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</si>
  <si>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</si>
  <si>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</si>
  <si>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</si>
  <si>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</si>
  <si>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</si>
  <si>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</si>
  <si>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</si>
  <si>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</si>
  <si>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</si>
  <si>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</si>
  <si>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</si>
  <si>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3298</t>
  </si>
  <si>
    <t>13</t>
  </si>
  <si>
    <t>1:19.84</t>
  </si>
  <si>
    <t>13.97</t>
  </si>
  <si>
    <t>42.87</t>
  </si>
  <si>
    <t>41.02</t>
  </si>
  <si>
    <t>44.80</t>
  </si>
  <si>
    <t>1:56.01</t>
  </si>
  <si>
    <t>18.23</t>
  </si>
  <si>
    <t>34.85</t>
  </si>
  <si>
    <t>56.03</t>
  </si>
  <si>
    <t>1:25.80</t>
  </si>
  <si>
    <t>1:39.31</t>
  </si>
  <si>
    <t>2:29.07</t>
  </si>
  <si>
    <t>45.55</t>
  </si>
  <si>
    <t>1:21.37</t>
  </si>
  <si>
    <t>MrYhatoh</t>
  </si>
  <si>
    <t>3222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</si>
  <si>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</si>
  <si>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</si>
  <si>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</si>
  <si>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</si>
  <si>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</si>
  <si>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</si>
  <si>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</si>
  <si>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</si>
  <si>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</si>
  <si>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</si>
  <si>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</si>
  <si>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</si>
  <si>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</si>
  <si>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</si>
  <si>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</si>
  <si>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</si>
  <si>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</si>
  <si>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</si>
  <si>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</si>
  <si>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</si>
  <si>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</si>
  <si>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</si>
  <si>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</si>
  <si>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</si>
  <si>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</si>
  <si>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</si>
  <si>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</si>
  <si>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</si>
  <si>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</si>
  <si>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</si>
  <si>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</si>
  <si>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</si>
  <si>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</si>
  <si>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</si>
  <si>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</si>
  <si>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</si>
  <si>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</si>
  <si>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</si>
  <si>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</si>
  <si>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</si>
  <si>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</si>
  <si>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</si>
  <si>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</si>
  <si>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</si>
  <si>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</si>
  <si>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</si>
  <si>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</si>
  <si>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</si>
  <si>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</si>
  <si>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</si>
  <si>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</si>
  <si>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</si>
  <si>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</si>
  <si>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</si>
  <si>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</si>
  <si>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</si>
  <si>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</si>
  <si>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</si>
  <si>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</si>
  <si>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</si>
  <si>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</si>
  <si>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</si>
  <si>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</si>
  <si>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</si>
  <si>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</si>
  <si>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</si>
  <si>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</si>
  <si>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</si>
  <si>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</si>
  <si>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</si>
  <si>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</si>
  <si>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</si>
  <si>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</si>
  <si>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</si>
  <si>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</si>
  <si>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</si>
  <si>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</si>
  <si>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</si>
  <si>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</si>
  <si>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</si>
  <si>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</si>
  <si>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</si>
  <si>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</si>
  <si>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</si>
  <si>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</si>
  <si>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</si>
  <si>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</si>
  <si>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</si>
  <si>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</si>
  <si>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</si>
  <si>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</si>
  <si>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</si>
  <si>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</si>
  <si>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</si>
  <si>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</si>
  <si>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</si>
  <si>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</si>
  <si>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</si>
  <si>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</si>
  <si>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</si>
  <si>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</si>
  <si>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</si>
  <si>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</si>
  <si>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</si>
  <si>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</si>
  <si>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</si>
  <si>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</si>
  <si>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</si>
  <si>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</si>
  <si>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</si>
  <si>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</si>
  <si>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</si>
  <si>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</si>
  <si>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</si>
  <si>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</si>
  <si>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</si>
  <si>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</si>
  <si>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</si>
  <si>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</si>
  <si>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</si>
  <si>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</si>
  <si>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</si>
  <si>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</si>
  <si>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</si>
  <si>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</si>
  <si>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</si>
  <si>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</si>
  <si>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</si>
  <si>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</si>
  <si>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</si>
  <si>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</si>
  <si>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</si>
  <si>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</si>
  <si>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</si>
  <si>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</si>
  <si>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</si>
  <si>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</si>
  <si>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</si>
  <si>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</si>
  <si>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</si>
  <si>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</si>
  <si>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3060</t>
  </si>
  <si>
    <t>39</t>
  </si>
  <si>
    <t>1:21.30</t>
  </si>
  <si>
    <t>44.51</t>
  </si>
  <si>
    <t>39.29</t>
  </si>
  <si>
    <t>45.65</t>
  </si>
  <si>
    <t>57.81</t>
  </si>
  <si>
    <t>1:28.93</t>
  </si>
  <si>
    <t>34.50</t>
  </si>
  <si>
    <t>1:31.87</t>
  </si>
  <si>
    <t>54.72</t>
  </si>
  <si>
    <t>44.74</t>
  </si>
  <si>
    <t>44.46</t>
  </si>
  <si>
    <t>56.82</t>
  </si>
  <si>
    <t>2:13.66</t>
  </si>
  <si>
    <t>1:18.91</t>
  </si>
  <si>
    <t>TomDollars</t>
  </si>
  <si>
    <t>3047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</si>
  <si>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</si>
  <si>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</si>
  <si>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</si>
  <si>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</si>
  <si>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</si>
  <si>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</si>
  <si>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</si>
  <si>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</si>
  <si>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</si>
  <si>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</si>
  <si>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</si>
  <si>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</si>
  <si>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</si>
  <si>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</si>
  <si>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</si>
  <si>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</si>
  <si>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</si>
  <si>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</si>
  <si>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</si>
  <si>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</si>
  <si>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</si>
  <si>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</si>
  <si>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</si>
  <si>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</si>
  <si>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</si>
  <si>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</si>
  <si>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</si>
  <si>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</si>
  <si>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</si>
  <si>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</si>
  <si>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</si>
  <si>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2913</t>
  </si>
  <si>
    <t>51.42</t>
  </si>
  <si>
    <t>1:28.45</t>
  </si>
  <si>
    <t>29.26</t>
  </si>
  <si>
    <t>55.91</t>
  </si>
  <si>
    <t>Papaccino</t>
  </si>
  <si>
    <t>2879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</si>
  <si>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</si>
  <si>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</si>
  <si>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</si>
  <si>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</si>
  <si>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</si>
  <si>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</si>
  <si>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</si>
  <si>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</si>
  <si>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</si>
  <si>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</si>
  <si>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</si>
  <si>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</si>
  <si>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</si>
  <si>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</si>
  <si>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</si>
  <si>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</si>
  <si>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</si>
  <si>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</si>
  <si>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</si>
  <si>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</si>
  <si>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</si>
  <si>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</si>
  <si>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</si>
  <si>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</si>
  <si>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</si>
  <si>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</si>
  <si>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</si>
  <si>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</si>
  <si>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</si>
  <si>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</si>
  <si>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</si>
  <si>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</si>
  <si>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</si>
  <si>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</si>
  <si>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</si>
  <si>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</si>
  <si>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</si>
  <si>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</si>
  <si>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</si>
  <si>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</si>
  <si>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</si>
  <si>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</si>
  <si>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</si>
  <si>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</si>
  <si>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</si>
  <si>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</si>
  <si>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</si>
  <si>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</si>
  <si>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</si>
  <si>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</si>
  <si>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</si>
  <si>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</si>
  <si>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</si>
  <si>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</si>
  <si>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</si>
  <si>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</si>
  <si>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</si>
  <si>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</si>
  <si>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</si>
  <si>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</si>
  <si>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</si>
  <si>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</si>
  <si>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</si>
  <si>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</si>
  <si>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</si>
  <si>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</si>
  <si>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</si>
  <si>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</si>
  <si>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</si>
  <si>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</si>
  <si>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</si>
  <si>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</si>
  <si>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</si>
  <si>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2756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</si>
  <si>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</si>
  <si>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</si>
  <si>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</si>
  <si>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</si>
  <si>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</si>
  <si>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</si>
  <si>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</si>
  <si>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</si>
  <si>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</si>
  <si>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</si>
  <si>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</si>
  <si>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</si>
  <si>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</si>
  <si>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</si>
  <si>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</si>
  <si>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</si>
  <si>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</si>
  <si>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</si>
  <si>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</si>
  <si>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</si>
  <si>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</si>
  <si>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</si>
  <si>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</si>
  <si>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</si>
  <si>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</si>
  <si>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</si>
  <si>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</si>
  <si>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</si>
  <si>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</si>
  <si>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</si>
  <si>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</si>
  <si>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</si>
  <si>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</si>
  <si>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</si>
  <si>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</si>
  <si>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</si>
  <si>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</si>
  <si>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</si>
  <si>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</si>
  <si>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2704</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</si>
  <si>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</si>
  <si>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</si>
  <si>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</si>
  <si>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</si>
  <si>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</si>
  <si>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</si>
  <si>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</si>
  <si>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</si>
  <si>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</si>
  <si>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</si>
  <si>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</si>
  <si>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</si>
  <si>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</si>
  <si>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</si>
  <si>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</si>
  <si>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</si>
  <si>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</si>
  <si>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</si>
  <si>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</si>
  <si>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</si>
  <si>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</si>
  <si>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</si>
  <si>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</si>
  <si>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</si>
  <si>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</si>
  <si>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</si>
  <si>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</si>
  <si>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2577</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</si>
  <si>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</si>
  <si>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</si>
  <si>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</si>
  <si>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</si>
  <si>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</si>
  <si>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</si>
  <si>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</si>
  <si>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</si>
  <si>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</si>
  <si>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</si>
  <si>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</si>
  <si>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</si>
  <si>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</si>
  <si>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</si>
  <si>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</si>
  <si>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</si>
  <si>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</si>
  <si>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</si>
  <si>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</si>
  <si>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</si>
  <si>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</si>
  <si>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</si>
  <si>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</si>
  <si>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</si>
  <si>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</si>
  <si>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</si>
  <si>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</si>
  <si>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</si>
  <si>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</si>
  <si>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</si>
  <si>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</si>
  <si>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</si>
  <si>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</si>
  <si>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</si>
  <si>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</si>
  <si>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</si>
  <si>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</si>
  <si>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</si>
  <si>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</si>
  <si>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</si>
  <si>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</si>
  <si>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</si>
  <si>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</si>
  <si>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</si>
  <si>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</si>
  <si>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</si>
  <si>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</si>
  <si>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</si>
  <si>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</si>
  <si>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</si>
  <si>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</si>
  <si>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</si>
  <si>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</si>
  <si>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</si>
  <si>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</si>
  <si>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</si>
  <si>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</si>
  <si>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</si>
  <si>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2544</t>
  </si>
  <si>
    <t>49</t>
  </si>
  <si>
    <t>1:24.45</t>
  </si>
  <si>
    <t>39.27</t>
  </si>
  <si>
    <t>44.84</t>
  </si>
  <si>
    <t>48.38</t>
  </si>
  <si>
    <t>58.08</t>
  </si>
  <si>
    <t>1:37.58</t>
  </si>
  <si>
    <t>40.85</t>
  </si>
  <si>
    <t>1:31.67</t>
  </si>
  <si>
    <t>2:30.90</t>
  </si>
  <si>
    <t>2:23.43</t>
  </si>
  <si>
    <t>35.63</t>
  </si>
  <si>
    <t>1:06.99</t>
  </si>
  <si>
    <t>46.03</t>
  </si>
  <si>
    <t>33.08</t>
  </si>
  <si>
    <t>20.13</t>
  </si>
  <si>
    <t>1:20.98</t>
  </si>
  <si>
    <t>RedsMSR</t>
  </si>
  <si>
    <t>2502</t>
  </si>
  <si>
    <t>36</t>
  </si>
  <si>
    <t>2:13.31</t>
  </si>
  <si>
    <t>52.88</t>
  </si>
  <si>
    <t>18.21</t>
  </si>
  <si>
    <t>49.89</t>
  </si>
  <si>
    <t>1:23.34</t>
  </si>
  <si>
    <t>1:24.97</t>
  </si>
  <si>
    <t>2:23.86</t>
  </si>
  <si>
    <t>23.34</t>
  </si>
  <si>
    <t>1:27.90</t>
  </si>
  <si>
    <t>1:19.40</t>
  </si>
  <si>
    <t>1:19.77</t>
  </si>
  <si>
    <t>Denial</t>
  </si>
  <si>
    <t>2458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</si>
  <si>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</si>
  <si>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</si>
  <si>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</si>
  <si>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</si>
  <si>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</si>
  <si>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</si>
  <si>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</si>
  <si>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</si>
  <si>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</si>
  <si>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</si>
  <si>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</si>
  <si>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</si>
  <si>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</si>
  <si>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</si>
  <si>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</si>
  <si>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</si>
  <si>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</si>
  <si>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</si>
  <si>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</si>
  <si>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</si>
  <si>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</si>
  <si>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</si>
  <si>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</si>
  <si>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</si>
  <si>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</si>
  <si>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</si>
  <si>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</si>
  <si>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</si>
  <si>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</si>
  <si>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</si>
  <si>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</si>
  <si>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</si>
  <si>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</si>
  <si>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</si>
  <si>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</si>
  <si>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</si>
  <si>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</si>
  <si>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</si>
  <si>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</si>
  <si>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</si>
  <si>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</si>
  <si>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2457</t>
  </si>
  <si>
    <t>1:10.92</t>
  </si>
  <si>
    <t>14.67</t>
  </si>
  <si>
    <t>44.48</t>
  </si>
  <si>
    <t>30.01</t>
  </si>
  <si>
    <t>27.97</t>
  </si>
  <si>
    <t>Nimzo</t>
  </si>
  <si>
    <t>2341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</si>
  <si>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</si>
  <si>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</si>
  <si>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</si>
  <si>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</si>
  <si>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</si>
  <si>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</si>
  <si>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</si>
  <si>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</si>
  <si>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</si>
  <si>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</si>
  <si>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</si>
  <si>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</si>
  <si>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</si>
  <si>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</si>
  <si>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</si>
  <si>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2325</t>
  </si>
  <si>
    <t>1:25.24</t>
  </si>
  <si>
    <t>48.40</t>
  </si>
  <si>
    <t>1:12.85</t>
  </si>
  <si>
    <t>54.65</t>
  </si>
  <si>
    <t>43.35</t>
  </si>
  <si>
    <t>39.69</t>
  </si>
  <si>
    <t>1:27.05</t>
  </si>
  <si>
    <t>1:43.86</t>
  </si>
  <si>
    <t>26.03</t>
  </si>
  <si>
    <t>2:18.14</t>
  </si>
  <si>
    <t>2:11.98</t>
  </si>
  <si>
    <t>1:43.75</t>
  </si>
  <si>
    <t>31.75</t>
  </si>
  <si>
    <t>48.64</t>
  </si>
  <si>
    <t>49.81</t>
  </si>
  <si>
    <t>2:11.32</t>
  </si>
  <si>
    <t>1:22.22</t>
  </si>
  <si>
    <t>27.74</t>
  </si>
  <si>
    <t>Harusrl</t>
  </si>
  <si>
    <t>2221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</si>
  <si>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</si>
  <si>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</si>
  <si>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</si>
  <si>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</si>
  <si>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</si>
  <si>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</si>
  <si>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</si>
  <si>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</si>
  <si>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</si>
  <si>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</si>
  <si>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</si>
  <si>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</si>
  <si>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</si>
  <si>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</si>
  <si>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</si>
  <si>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</si>
  <si>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</si>
  <si>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</si>
  <si>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</si>
  <si>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</si>
  <si>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</si>
  <si>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</si>
  <si>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</si>
  <si>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</si>
  <si>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</si>
  <si>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</si>
  <si>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</si>
  <si>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2168</t>
  </si>
  <si>
    <t>39.25</t>
  </si>
  <si>
    <t>2:14.87</t>
  </si>
  <si>
    <t>41.25</t>
  </si>
  <si>
    <t>58.30</t>
  </si>
  <si>
    <t>55.98</t>
  </si>
  <si>
    <t>13.46</t>
  </si>
  <si>
    <t>1:24.59</t>
  </si>
  <si>
    <t>36.09</t>
  </si>
  <si>
    <t>2:23.56</t>
  </si>
  <si>
    <t>23.99</t>
  </si>
  <si>
    <t>4:12.52</t>
  </si>
  <si>
    <t>56.42</t>
  </si>
  <si>
    <t>29.76</t>
  </si>
  <si>
    <t>17.17</t>
  </si>
  <si>
    <t>46.94</t>
  </si>
  <si>
    <t>2:12.45</t>
  </si>
  <si>
    <t>Bramz</t>
  </si>
  <si>
    <t>2163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</si>
  <si>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</si>
  <si>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</si>
  <si>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</si>
  <si>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</si>
  <si>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</si>
  <si>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</si>
  <si>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</si>
  <si>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</si>
  <si>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</si>
  <si>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</si>
  <si>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</si>
  <si>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</si>
  <si>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</si>
  <si>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</si>
  <si>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</si>
  <si>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</si>
  <si>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</si>
  <si>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</si>
  <si>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</si>
  <si>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</si>
  <si>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</si>
  <si>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</si>
  <si>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</si>
  <si>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</si>
  <si>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</si>
  <si>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</si>
  <si>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</si>
  <si>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</si>
  <si>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</si>
  <si>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</si>
  <si>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</si>
  <si>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</si>
  <si>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</si>
  <si>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</si>
  <si>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</si>
  <si>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</si>
  <si>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</si>
  <si>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</si>
  <si>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</si>
  <si>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</si>
  <si>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</si>
  <si>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</si>
  <si>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</si>
  <si>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</si>
  <si>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</si>
  <si>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</si>
  <si>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</si>
  <si>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</si>
  <si>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</si>
  <si>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</si>
  <si>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</si>
  <si>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</si>
  <si>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2133</t>
  </si>
  <si>
    <t>41</t>
  </si>
  <si>
    <t>39.43</t>
  </si>
  <si>
    <t>45.77</t>
  </si>
  <si>
    <t>2:20.31</t>
  </si>
  <si>
    <t>1:15.22</t>
  </si>
  <si>
    <t>41.05</t>
  </si>
  <si>
    <t>56.84</t>
  </si>
  <si>
    <t>1:30.37</t>
  </si>
  <si>
    <t>35.52</t>
  </si>
  <si>
    <t>28.13</t>
  </si>
  <si>
    <t>58.41</t>
  </si>
  <si>
    <t>47.20</t>
  </si>
  <si>
    <t>46.70</t>
  </si>
  <si>
    <t>2:12.25</t>
  </si>
  <si>
    <t>19.24</t>
  </si>
  <si>
    <t>1:24.47</t>
  </si>
  <si>
    <t>dapperpenguino</t>
  </si>
  <si>
    <t>2116</t>
  </si>
  <si>
    <t>37</t>
  </si>
  <si>
    <t>44.40</t>
  </si>
  <si>
    <t>1:15.34</t>
  </si>
  <si>
    <t>3:09.95</t>
  </si>
  <si>
    <t>53.05</t>
  </si>
  <si>
    <t>46.42</t>
  </si>
  <si>
    <t>1:37.45</t>
  </si>
  <si>
    <t>16.90</t>
  </si>
  <si>
    <t>40.68</t>
  </si>
  <si>
    <t>29.27</t>
  </si>
  <si>
    <t>41.56</t>
  </si>
  <si>
    <t>31.00</t>
  </si>
  <si>
    <t>18.89</t>
  </si>
  <si>
    <t>Ian_LC</t>
  </si>
  <si>
    <t>2088</t>
  </si>
  <si>
    <t>44</t>
  </si>
  <si>
    <t>1:23.92</t>
  </si>
  <si>
    <t>38.55</t>
  </si>
  <si>
    <t>41.22</t>
  </si>
  <si>
    <t>16.54</t>
  </si>
  <si>
    <t>17.50</t>
  </si>
  <si>
    <t>31.17</t>
  </si>
  <si>
    <t>29.17</t>
  </si>
  <si>
    <t>1:30.76</t>
  </si>
  <si>
    <t>26.38</t>
  </si>
  <si>
    <t>23.84</t>
  </si>
  <si>
    <t>1:44.82</t>
  </si>
  <si>
    <t>54.25</t>
  </si>
  <si>
    <t>46.11</t>
  </si>
  <si>
    <t>15.41</t>
  </si>
  <si>
    <t>1:23.35</t>
  </si>
  <si>
    <t>Vipa_51</t>
  </si>
  <si>
    <t>1978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</si>
  <si>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</si>
  <si>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</si>
  <si>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</si>
  <si>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</si>
  <si>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</si>
  <si>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</si>
  <si>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</si>
  <si>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</si>
  <si>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</si>
  <si>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</si>
  <si>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</si>
  <si>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</si>
  <si>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</si>
  <si>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</si>
  <si>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</si>
  <si>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</si>
  <si>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</si>
  <si>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</si>
  <si>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</si>
  <si>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</si>
  <si>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</si>
  <si>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</si>
  <si>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</si>
  <si>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</si>
  <si>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</si>
  <si>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</si>
  <si>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</si>
  <si>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</si>
  <si>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</si>
  <si>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</si>
  <si>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</si>
  <si>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</si>
  <si>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</si>
  <si>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</si>
  <si>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</si>
  <si>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</si>
  <si>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</si>
  <si>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</si>
  <si>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</si>
  <si>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</si>
  <si>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</si>
  <si>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</si>
  <si>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</si>
  <si>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</si>
  <si>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</si>
  <si>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</si>
  <si>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</si>
  <si>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</si>
  <si>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</si>
  <si>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1911</t>
  </si>
  <si>
    <t>1:22.78</t>
  </si>
  <si>
    <t>38.07</t>
  </si>
  <si>
    <t>1:16.14</t>
  </si>
  <si>
    <t>46.32</t>
  </si>
  <si>
    <t>34.60</t>
  </si>
  <si>
    <t>1:32.24</t>
  </si>
  <si>
    <t>38.43</t>
  </si>
  <si>
    <t>24.68</t>
  </si>
  <si>
    <t>24.72</t>
  </si>
  <si>
    <t>59.36</t>
  </si>
  <si>
    <t>59.37</t>
  </si>
  <si>
    <t>Anonymous 7</t>
  </si>
  <si>
    <t>1891</t>
  </si>
  <si>
    <t>1:22.84</t>
  </si>
  <si>
    <t>39.01</t>
  </si>
  <si>
    <t>43.42</t>
  </si>
  <si>
    <t>32.55</t>
  </si>
  <si>
    <t>58.90</t>
  </si>
  <si>
    <t>1:32.94</t>
  </si>
  <si>
    <t>16.97</t>
  </si>
  <si>
    <t>19.91</t>
  </si>
  <si>
    <t>1:02.67</t>
  </si>
  <si>
    <t>1:04.29</t>
  </si>
  <si>
    <t>18.91</t>
  </si>
  <si>
    <t>Carpenter</t>
  </si>
  <si>
    <t>1882</t>
  </si>
  <si>
    <t>38.28</t>
  </si>
  <si>
    <t>scatter</t>
  </si>
  <si>
    <t>1879</t>
  </si>
  <si>
    <t>1:26.06</t>
  </si>
  <si>
    <t>38.58</t>
  </si>
  <si>
    <t>47.43</t>
  </si>
  <si>
    <t>1:14.04</t>
  </si>
  <si>
    <t>16.84</t>
  </si>
  <si>
    <t>17.24</t>
  </si>
  <si>
    <t>58.46</t>
  </si>
  <si>
    <t>1:31.95</t>
  </si>
  <si>
    <t>1:44.87</t>
  </si>
  <si>
    <t>37.16</t>
  </si>
  <si>
    <t>1:09.57</t>
  </si>
  <si>
    <t>24.18</t>
  </si>
  <si>
    <t>49.21</t>
  </si>
  <si>
    <t>33.12</t>
  </si>
  <si>
    <t>1:28.39</t>
  </si>
  <si>
    <t>2:11.92</t>
  </si>
  <si>
    <t>GravityBeatle</t>
  </si>
  <si>
    <t>1791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</si>
  <si>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</si>
  <si>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</si>
  <si>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</si>
  <si>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</si>
  <si>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</si>
  <si>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</si>
  <si>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</si>
  <si>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</si>
  <si>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</si>
  <si>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</si>
  <si>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</si>
  <si>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</si>
  <si>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</si>
  <si>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</si>
  <si>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</si>
  <si>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</si>
  <si>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</si>
  <si>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</si>
  <si>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</si>
  <si>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</si>
  <si>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</si>
  <si>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</si>
  <si>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</si>
  <si>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</si>
  <si>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</si>
  <si>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</si>
  <si>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</si>
  <si>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</si>
  <si>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</si>
  <si>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</si>
  <si>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</si>
  <si>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</si>
  <si>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</si>
  <si>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</si>
  <si>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</si>
  <si>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</si>
  <si>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</si>
  <si>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</si>
  <si>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</si>
  <si>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</si>
  <si>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</si>
  <si>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</si>
  <si>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</si>
  <si>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</si>
  <si>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</si>
  <si>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</si>
  <si>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</si>
  <si>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</si>
  <si>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</si>
  <si>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</si>
  <si>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</si>
  <si>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</si>
  <si>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</si>
  <si>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</si>
  <si>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</si>
  <si>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</si>
  <si>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</si>
  <si>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</si>
  <si>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</si>
  <si>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</si>
  <si>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</si>
  <si>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</si>
  <si>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</si>
  <si>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</si>
  <si>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</si>
  <si>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</si>
  <si>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</si>
  <si>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</si>
  <si>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</si>
  <si>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</si>
  <si>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</si>
  <si>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1724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</si>
  <si>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</si>
  <si>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</si>
  <si>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</si>
  <si>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</si>
  <si>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</si>
  <si>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</si>
  <si>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</si>
  <si>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</si>
  <si>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</si>
  <si>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</si>
  <si>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</si>
  <si>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</si>
  <si>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</si>
  <si>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</si>
  <si>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</si>
  <si>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</si>
  <si>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</si>
  <si>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</si>
  <si>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</si>
  <si>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</si>
  <si>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</si>
  <si>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</si>
  <si>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</si>
  <si>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</si>
  <si>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</si>
  <si>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</si>
  <si>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1717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</si>
  <si>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</si>
  <si>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</si>
  <si>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</si>
  <si>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</si>
  <si>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</si>
  <si>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</si>
  <si>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</si>
  <si>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</si>
  <si>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</si>
  <si>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</si>
  <si>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</si>
  <si>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</si>
  <si>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</si>
  <si>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</si>
  <si>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</si>
  <si>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</si>
  <si>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</si>
  <si>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</si>
  <si>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</si>
  <si>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</si>
  <si>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</si>
  <si>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</si>
  <si>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</si>
  <si>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</si>
  <si>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</si>
  <si>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</si>
  <si>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</si>
  <si>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</si>
  <si>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</si>
  <si>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</si>
  <si>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</si>
  <si>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</si>
  <si>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</si>
  <si>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</si>
  <si>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</si>
  <si>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</si>
  <si>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</si>
  <si>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</si>
  <si>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</si>
  <si>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</si>
  <si>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</si>
  <si>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</si>
  <si>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</si>
  <si>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</si>
  <si>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</si>
  <si>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</si>
  <si>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</si>
  <si>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</si>
  <si>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</si>
  <si>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</si>
  <si>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</si>
  <si>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</si>
  <si>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</si>
  <si>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</si>
  <si>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</si>
  <si>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</si>
  <si>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</si>
  <si>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</si>
  <si>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</si>
  <si>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</si>
  <si>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</si>
  <si>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</si>
  <si>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</si>
  <si>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</si>
  <si>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</si>
  <si>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</si>
  <si>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</si>
  <si>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</si>
  <si>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</si>
  <si>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</si>
  <si>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</si>
  <si>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</si>
  <si>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</si>
  <si>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</si>
  <si>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</si>
  <si>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</si>
  <si>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</si>
  <si>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</si>
  <si>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</si>
  <si>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</si>
  <si>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</si>
  <si>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</si>
  <si>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</si>
  <si>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</si>
  <si>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</si>
  <si>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</si>
  <si>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</si>
  <si>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</si>
  <si>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</si>
  <si>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</si>
  <si>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</si>
  <si>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</si>
  <si>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</si>
  <si>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</si>
  <si>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</si>
  <si>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</si>
  <si>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</si>
  <si>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</si>
  <si>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</si>
  <si>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</si>
  <si>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</si>
  <si>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</si>
  <si>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</si>
  <si>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</si>
  <si>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</si>
  <si>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</si>
  <si>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</si>
  <si>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</si>
  <si>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1645</t>
  </si>
  <si>
    <t>43.13</t>
  </si>
  <si>
    <t>2:32.77</t>
  </si>
  <si>
    <t>FirstTryDampe</t>
  </si>
  <si>
    <t>1586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</si>
  <si>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</si>
  <si>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</si>
  <si>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</si>
  <si>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</si>
  <si>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</si>
  <si>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</si>
  <si>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</si>
  <si>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</si>
  <si>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</si>
  <si>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</si>
  <si>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</si>
  <si>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</si>
  <si>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</si>
  <si>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</si>
  <si>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</si>
  <si>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</si>
  <si>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</si>
  <si>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</si>
  <si>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</si>
  <si>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</si>
  <si>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</si>
  <si>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</si>
  <si>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</si>
  <si>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</si>
  <si>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</si>
  <si>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</si>
  <si>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</si>
  <si>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</si>
  <si>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</si>
  <si>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</si>
  <si>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</si>
  <si>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</si>
  <si>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</si>
  <si>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</si>
  <si>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</si>
  <si>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</si>
  <si>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</si>
  <si>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</si>
  <si>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</si>
  <si>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</si>
  <si>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</si>
  <si>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</si>
  <si>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</si>
  <si>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</si>
  <si>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</si>
  <si>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</si>
  <si>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</si>
  <si>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</si>
  <si>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</si>
  <si>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</si>
  <si>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</si>
  <si>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</si>
  <si>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</si>
  <si>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</si>
  <si>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</si>
  <si>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</si>
  <si>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</si>
  <si>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</si>
  <si>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</si>
  <si>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</si>
  <si>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</si>
  <si>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</si>
  <si>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</si>
  <si>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</si>
  <si>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</si>
  <si>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</si>
  <si>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</si>
  <si>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</si>
  <si>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</si>
  <si>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</si>
  <si>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</si>
  <si>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</si>
  <si>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</si>
  <si>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</si>
  <si>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</si>
  <si>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</si>
  <si>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</si>
  <si>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</si>
  <si>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</si>
  <si>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</si>
  <si>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</si>
  <si>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</si>
  <si>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</si>
  <si>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</si>
  <si>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</si>
  <si>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</si>
  <si>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</si>
  <si>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</si>
  <si>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</si>
  <si>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</si>
  <si>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</si>
  <si>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</si>
  <si>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</si>
  <si>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</si>
  <si>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</si>
  <si>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</si>
  <si>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</si>
  <si>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</si>
  <si>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</si>
  <si>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</si>
  <si>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</si>
  <si>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</si>
  <si>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</si>
  <si>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</si>
  <si>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</si>
  <si>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</si>
  <si>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</si>
  <si>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</si>
  <si>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</si>
  <si>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</si>
  <si>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</si>
  <si>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</si>
  <si>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</si>
  <si>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</si>
  <si>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</si>
  <si>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</si>
  <si>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</si>
  <si>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</si>
  <si>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</si>
  <si>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</si>
  <si>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</si>
  <si>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1305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</si>
  <si>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</si>
  <si>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</si>
  <si>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</si>
  <si>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</si>
  <si>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</si>
  <si>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</si>
  <si>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</si>
  <si>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</si>
  <si>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</si>
  <si>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</si>
  <si>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</si>
  <si>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</si>
  <si>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</si>
  <si>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</si>
  <si>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</si>
  <si>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</si>
  <si>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</si>
  <si>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</si>
  <si>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</si>
  <si>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</si>
  <si>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</si>
  <si>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</si>
  <si>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</si>
  <si>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</si>
  <si>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</si>
  <si>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</si>
  <si>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</si>
  <si>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</si>
  <si>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</si>
  <si>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</si>
  <si>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</si>
  <si>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1303</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</si>
  <si>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</si>
  <si>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</si>
  <si>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</si>
  <si>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</si>
  <si>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</si>
  <si>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</si>
  <si>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</si>
  <si>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</si>
  <si>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</si>
  <si>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</si>
  <si>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</si>
  <si>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</si>
  <si>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</si>
  <si>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</si>
  <si>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</si>
  <si>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</si>
  <si>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1270</t>
  </si>
  <si>
    <t>38.71</t>
  </si>
  <si>
    <t>41.60</t>
  </si>
  <si>
    <t>57.96</t>
  </si>
  <si>
    <t>1:42.17</t>
  </si>
  <si>
    <t>1:33.17</t>
  </si>
  <si>
    <t>1:02.89</t>
  </si>
  <si>
    <t>1:48.60</t>
  </si>
  <si>
    <t>Pokepowerz</t>
  </si>
  <si>
    <t>1182</t>
  </si>
  <si>
    <t>41.63</t>
  </si>
  <si>
    <t>56.46</t>
  </si>
  <si>
    <t>21.43</t>
  </si>
  <si>
    <t>33.98</t>
  </si>
  <si>
    <t>2:15.00</t>
  </si>
  <si>
    <t>Angry_Max</t>
  </si>
  <si>
    <t>1127</t>
  </si>
  <si>
    <t>52.43</t>
  </si>
  <si>
    <t>1:24.29</t>
  </si>
  <si>
    <t>47.80</t>
  </si>
  <si>
    <t>2:25.96</t>
  </si>
  <si>
    <t>17.21</t>
  </si>
  <si>
    <t>1:32.85</t>
  </si>
  <si>
    <t>1:48.65</t>
  </si>
  <si>
    <t>1:00.22</t>
  </si>
  <si>
    <t>57.68</t>
  </si>
  <si>
    <t>2:11.55</t>
  </si>
  <si>
    <t>OptimisticEmo</t>
  </si>
  <si>
    <t>1126</t>
  </si>
  <si>
    <t>1:28.70</t>
  </si>
  <si>
    <t>20.95</t>
  </si>
  <si>
    <t>57.77</t>
  </si>
  <si>
    <t>59.32</t>
  </si>
  <si>
    <t>2:29.57</t>
  </si>
  <si>
    <t>1:51.20</t>
  </si>
  <si>
    <t>2:11.02</t>
  </si>
  <si>
    <t>Sarcrai</t>
  </si>
  <si>
    <t>1100</t>
  </si>
  <si>
    <t>50.64</t>
  </si>
  <si>
    <t>1:21.60</t>
  </si>
  <si>
    <t>53.03</t>
  </si>
  <si>
    <t>23.65</t>
  </si>
  <si>
    <t>VyralGalaxy</t>
  </si>
  <si>
    <t>1086</t>
  </si>
  <si>
    <t>1:34.96</t>
  </si>
  <si>
    <t>48.63</t>
  </si>
  <si>
    <t>2:32.03</t>
  </si>
  <si>
    <t>1:42.77</t>
  </si>
  <si>
    <t>57.63</t>
  </si>
  <si>
    <t>23.69</t>
  </si>
  <si>
    <t>50.75</t>
  </si>
  <si>
    <t>59.80</t>
  </si>
  <si>
    <t>1:31.04</t>
  </si>
  <si>
    <t>26.84</t>
  </si>
  <si>
    <t>1:10.99</t>
  </si>
  <si>
    <t>19.48</t>
  </si>
  <si>
    <t>57.85</t>
  </si>
  <si>
    <t>16.28</t>
  </si>
  <si>
    <t>45.59</t>
  </si>
  <si>
    <t>9.32</t>
  </si>
  <si>
    <t>Anonymous 8</t>
  </si>
  <si>
    <t>1076</t>
  </si>
  <si>
    <t>54.28</t>
  </si>
  <si>
    <t>1:28.12</t>
  </si>
  <si>
    <t>47.60</t>
  </si>
  <si>
    <t>2:26.14</t>
  </si>
  <si>
    <t>1:15.32</t>
  </si>
  <si>
    <t>40.93</t>
  </si>
  <si>
    <t>55.60</t>
  </si>
  <si>
    <t>20.45</t>
  </si>
  <si>
    <t>43.28</t>
  </si>
  <si>
    <t>1:02.45</t>
  </si>
  <si>
    <t>15.75</t>
  </si>
  <si>
    <t>2:10.52</t>
  </si>
  <si>
    <t>1:35.62</t>
  </si>
  <si>
    <t>Basten</t>
  </si>
  <si>
    <t>1066</t>
  </si>
  <si>
    <t>39.13</t>
  </si>
  <si>
    <t>46.61</t>
  </si>
  <si>
    <t>18.48</t>
  </si>
  <si>
    <t>1:34.81</t>
  </si>
  <si>
    <t>35.55</t>
  </si>
  <si>
    <t>24.41</t>
  </si>
  <si>
    <t>PK</t>
  </si>
  <si>
    <t>1051</t>
  </si>
  <si>
    <t>1:29.20</t>
  </si>
  <si>
    <t>1:13.81</t>
  </si>
  <si>
    <t>34.44</t>
  </si>
  <si>
    <t>51.09</t>
  </si>
  <si>
    <t>47.73</t>
  </si>
  <si>
    <t>1:01.50</t>
  </si>
  <si>
    <t>31.51</t>
  </si>
  <si>
    <t>1:33.86</t>
  </si>
  <si>
    <t>38.63</t>
  </si>
  <si>
    <t>4:11.59</t>
  </si>
  <si>
    <t>1:49.97</t>
  </si>
  <si>
    <t>1:06.17</t>
  </si>
  <si>
    <t>40.42</t>
  </si>
  <si>
    <t>2:04.24</t>
  </si>
  <si>
    <t>48.59</t>
  </si>
  <si>
    <t>1:04.71</t>
  </si>
  <si>
    <t>2:11.19</t>
  </si>
  <si>
    <t>31.54</t>
  </si>
  <si>
    <t>ChiliChesdog</t>
  </si>
  <si>
    <t>1035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</si>
  <si>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</si>
  <si>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</si>
  <si>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</si>
  <si>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</si>
  <si>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</si>
  <si>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</si>
  <si>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</si>
  <si>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</si>
  <si>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</si>
  <si>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</si>
  <si>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</si>
  <si>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</si>
  <si>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</si>
  <si>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</si>
  <si>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</si>
  <si>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</si>
  <si>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</si>
  <si>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</si>
  <si>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</si>
  <si>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</si>
  <si>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</si>
  <si>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</si>
  <si>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</si>
  <si>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</si>
  <si>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</si>
  <si>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</si>
  <si>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</si>
  <si>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</si>
  <si>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</si>
  <si>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1015</t>
  </si>
  <si>
    <t>17</t>
  </si>
  <si>
    <t>1:24.34</t>
  </si>
  <si>
    <t>1:12.57</t>
  </si>
  <si>
    <t>41.30</t>
  </si>
  <si>
    <t>31.21</t>
  </si>
  <si>
    <t>54.50</t>
  </si>
  <si>
    <t>36.87</t>
  </si>
  <si>
    <t>31.26</t>
  </si>
  <si>
    <t>1:01.22</t>
  </si>
  <si>
    <t>1:22.18</t>
  </si>
  <si>
    <t>TheHaywire</t>
  </si>
  <si>
    <t>985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</si>
  <si>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</si>
  <si>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</si>
  <si>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</si>
  <si>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</si>
  <si>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</si>
  <si>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</si>
  <si>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</si>
  <si>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</si>
  <si>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</si>
  <si>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</si>
  <si>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</si>
  <si>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</si>
  <si>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</si>
  <si>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</si>
  <si>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</si>
  <si>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</si>
  <si>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</si>
  <si>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</si>
  <si>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</si>
  <si>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</si>
  <si>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</si>
  <si>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</si>
  <si>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</si>
  <si>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</si>
  <si>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</si>
  <si>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</si>
  <si>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</si>
  <si>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</si>
  <si>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970</t>
  </si>
  <si>
    <t>38</t>
  </si>
  <si>
    <t>54.35</t>
  </si>
  <si>
    <t>1:24.48</t>
  </si>
  <si>
    <t>41.15</t>
  </si>
  <si>
    <t>2:33.70</t>
  </si>
  <si>
    <t>1:18.35</t>
  </si>
  <si>
    <t>3:19.38</t>
  </si>
  <si>
    <t>38.67</t>
  </si>
  <si>
    <t>1:48.58</t>
  </si>
  <si>
    <t>29.03</t>
  </si>
  <si>
    <t>4:00.92</t>
  </si>
  <si>
    <t>3:17.34</t>
  </si>
  <si>
    <t>1:02.27</t>
  </si>
  <si>
    <t>2:07.38</t>
  </si>
  <si>
    <t>1:48.11</t>
  </si>
  <si>
    <t>SukeSJ</t>
  </si>
  <si>
    <t>928</t>
  </si>
  <si>
    <t>2:46.52</t>
  </si>
  <si>
    <t>1:20.57</t>
  </si>
  <si>
    <t>16.75</t>
  </si>
  <si>
    <t>16.99</t>
  </si>
  <si>
    <t>3:38.26</t>
  </si>
  <si>
    <t>24.70</t>
  </si>
  <si>
    <t>2:03.74</t>
  </si>
  <si>
    <t>16.40</t>
  </si>
  <si>
    <t>Mevius0229</t>
  </si>
  <si>
    <t>924</t>
  </si>
  <si>
    <t>42.37</t>
  </si>
  <si>
    <t>56.72</t>
  </si>
  <si>
    <t>2:08.98</t>
  </si>
  <si>
    <t>1:10.05</t>
  </si>
  <si>
    <t>27.49</t>
  </si>
  <si>
    <t>33.80</t>
  </si>
  <si>
    <t>1:36.64</t>
  </si>
  <si>
    <t>2:17.69</t>
  </si>
  <si>
    <t>1:28.28</t>
  </si>
  <si>
    <t>icedbee</t>
  </si>
  <si>
    <t>832</t>
  </si>
  <si>
    <t>40.75</t>
  </si>
  <si>
    <t>16.18</t>
  </si>
  <si>
    <t>28.90</t>
  </si>
  <si>
    <t>26.32</t>
  </si>
  <si>
    <t>1:43.62</t>
  </si>
  <si>
    <t>14.28</t>
  </si>
  <si>
    <t>Source</t>
  </si>
  <si>
    <t>820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</si>
  <si>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</si>
  <si>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</si>
  <si>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</si>
  <si>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</si>
  <si>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</si>
  <si>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</si>
  <si>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</si>
  <si>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</si>
  <si>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</si>
  <si>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</si>
  <si>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</si>
  <si>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</si>
  <si>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</si>
  <si>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</si>
  <si>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</si>
  <si>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</si>
  <si>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</si>
  <si>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</si>
  <si>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</si>
  <si>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</si>
  <si>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</si>
  <si>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</si>
  <si>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</si>
  <si>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</si>
  <si>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</si>
  <si>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</si>
  <si>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</si>
  <si>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</si>
  <si>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</si>
  <si>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</si>
  <si>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</si>
  <si>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</si>
  <si>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</si>
  <si>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</si>
  <si>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</si>
  <si>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</si>
  <si>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</si>
  <si>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</si>
  <si>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</si>
  <si>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</si>
  <si>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</si>
  <si>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</si>
  <si>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</si>
  <si>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</si>
  <si>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</si>
  <si>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</si>
  <si>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</si>
  <si>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</si>
  <si>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</si>
  <si>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</si>
  <si>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</si>
  <si>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</si>
  <si>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</si>
  <si>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</si>
  <si>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</si>
  <si>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</si>
  <si>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810</t>
  </si>
  <si>
    <t>1:56.02</t>
  </si>
  <si>
    <t>53.00</t>
  </si>
  <si>
    <t>40.04</t>
  </si>
  <si>
    <t>1:02.23</t>
  </si>
  <si>
    <t>34.83</t>
  </si>
  <si>
    <t>35.08</t>
  </si>
  <si>
    <t>9.39</t>
  </si>
  <si>
    <t>Xeifo</t>
  </si>
  <si>
    <t>758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</si>
  <si>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</si>
  <si>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</si>
  <si>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</si>
  <si>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</si>
  <si>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</si>
  <si>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</si>
  <si>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</si>
  <si>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</si>
  <si>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</si>
  <si>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</si>
  <si>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</si>
  <si>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</si>
  <si>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</si>
  <si>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</si>
  <si>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</si>
  <si>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</si>
  <si>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</si>
  <si>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</si>
  <si>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</si>
  <si>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</si>
  <si>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</si>
  <si>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</si>
  <si>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</si>
  <si>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</si>
  <si>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</si>
  <si>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</si>
  <si>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</si>
  <si>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</si>
  <si>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656</t>
  </si>
  <si>
    <t>1:26.22</t>
  </si>
  <si>
    <t>52.34</t>
  </si>
  <si>
    <t>2:36.48</t>
  </si>
  <si>
    <t>1:01.33</t>
  </si>
  <si>
    <t>53.06</t>
  </si>
  <si>
    <t>1:30.98</t>
  </si>
  <si>
    <t>20.28</t>
  </si>
  <si>
    <t>53.04</t>
  </si>
  <si>
    <t>32.51</t>
  </si>
  <si>
    <t>28.73</t>
  </si>
  <si>
    <t>2:19.99</t>
  </si>
  <si>
    <t>26.70</t>
  </si>
  <si>
    <t>36.24</t>
  </si>
  <si>
    <t>1:50.03</t>
  </si>
  <si>
    <t>36.13</t>
  </si>
  <si>
    <t>25.43</t>
  </si>
  <si>
    <t>Evan44</t>
  </si>
  <si>
    <t>639</t>
  </si>
  <si>
    <t>Kydi</t>
  </si>
  <si>
    <t>607</t>
  </si>
  <si>
    <t>1:51.39</t>
  </si>
  <si>
    <t>1:08.35</t>
  </si>
  <si>
    <t>26.76</t>
  </si>
  <si>
    <t>1:03.68</t>
  </si>
  <si>
    <t>17.49</t>
  </si>
  <si>
    <t>1:42.00</t>
  </si>
  <si>
    <t>45.24</t>
  </si>
  <si>
    <t>29.96</t>
  </si>
  <si>
    <t>32.00</t>
  </si>
  <si>
    <t>29.63</t>
  </si>
  <si>
    <t>PKSMG2</t>
  </si>
  <si>
    <t>604</t>
  </si>
  <si>
    <t>25</t>
  </si>
  <si>
    <t>2:37.70</t>
  </si>
  <si>
    <t>1:31.53</t>
  </si>
  <si>
    <t>1:15.03</t>
  </si>
  <si>
    <t>2:21.65</t>
  </si>
  <si>
    <t>1:43.99</t>
  </si>
  <si>
    <t>41.81</t>
  </si>
  <si>
    <t>54.96</t>
  </si>
  <si>
    <t>1:02.36</t>
  </si>
  <si>
    <t>1:52.47</t>
  </si>
  <si>
    <t>Trobbin</t>
  </si>
  <si>
    <t>595</t>
  </si>
  <si>
    <t>39.64</t>
  </si>
  <si>
    <t>1:58.89</t>
  </si>
  <si>
    <r>
      <rPr>
        <color rgb="FF000000"/>
        <sz val="9.0"/>
      </rPr>
      <t>22.</t>
    </r>
    <r>
      <rPr>
        <color rgb="FF000000"/>
        <sz val="9.0"/>
      </rPr>
      <t>04</t>
    </r>
  </si>
  <si>
    <t>31.24</t>
  </si>
  <si>
    <t>mae</t>
  </si>
  <si>
    <t>593</t>
  </si>
  <si>
    <t>2:42.88</t>
  </si>
  <si>
    <t>1:27.69</t>
  </si>
  <si>
    <t>47.36</t>
  </si>
  <si>
    <t>35.18</t>
  </si>
  <si>
    <t>1:00.27</t>
  </si>
  <si>
    <t>20.51</t>
  </si>
  <si>
    <t>13.32</t>
  </si>
  <si>
    <t>45.12</t>
  </si>
  <si>
    <t>11.65</t>
  </si>
  <si>
    <t>1:01.51</t>
  </si>
  <si>
    <t>yotsugii</t>
  </si>
  <si>
    <t>575</t>
  </si>
  <si>
    <t>Psychonauter</t>
  </si>
  <si>
    <t>567</t>
  </si>
  <si>
    <t>54.78</t>
  </si>
  <si>
    <t>17.47</t>
  </si>
  <si>
    <t>34.79</t>
  </si>
  <si>
    <t>1:02.85</t>
  </si>
  <si>
    <t>38.93</t>
  </si>
  <si>
    <t>26.04</t>
  </si>
  <si>
    <t>Wilko</t>
  </si>
  <si>
    <t>554</t>
  </si>
  <si>
    <t>1:24.09</t>
  </si>
  <si>
    <t>pierre</t>
  </si>
  <si>
    <t>540</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</si>
  <si>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</si>
  <si>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</si>
  <si>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</si>
  <si>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</si>
  <si>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</si>
  <si>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</si>
  <si>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</si>
  <si>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</si>
  <si>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</si>
  <si>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</si>
  <si>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</si>
  <si>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</si>
  <si>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</si>
  <si>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</si>
  <si>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</si>
  <si>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</si>
  <si>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</si>
  <si>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</si>
  <si>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</si>
  <si>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</si>
  <si>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</si>
  <si>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</si>
  <si>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488</t>
  </si>
  <si>
    <t>1:08.53</t>
  </si>
  <si>
    <t>20.07</t>
  </si>
  <si>
    <t>38.30</t>
  </si>
  <si>
    <t>1:09.54</t>
  </si>
  <si>
    <t>13.42</t>
  </si>
  <si>
    <t>23.30</t>
  </si>
  <si>
    <t>15.65</t>
  </si>
  <si>
    <t>2:02.72</t>
  </si>
  <si>
    <t>21.26</t>
  </si>
  <si>
    <t>36.07</t>
  </si>
  <si>
    <t>Shigbe</t>
  </si>
  <si>
    <t>484</t>
  </si>
  <si>
    <t>14.16</t>
  </si>
  <si>
    <t>47.40</t>
  </si>
  <si>
    <t>1:34.86</t>
  </si>
  <si>
    <t>48.79</t>
  </si>
  <si>
    <t>MichaelGuy</t>
  </si>
  <si>
    <t>482</t>
  </si>
  <si>
    <t>31</t>
  </si>
  <si>
    <t>49.26</t>
  </si>
  <si>
    <t>50.36</t>
  </si>
  <si>
    <t>5:37.73</t>
  </si>
  <si>
    <t>44.15</t>
  </si>
  <si>
    <t>49.51</t>
  </si>
  <si>
    <t>2:22.45</t>
  </si>
  <si>
    <t>37.22</t>
  </si>
  <si>
    <t>1:05.30</t>
  </si>
  <si>
    <t>27.36</t>
  </si>
  <si>
    <t>2:00.78</t>
  </si>
  <si>
    <t>switch_runner</t>
  </si>
  <si>
    <t>470</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</si>
  <si>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</si>
  <si>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</si>
  <si>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</si>
  <si>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</si>
  <si>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</si>
  <si>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</si>
  <si>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</si>
  <si>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</si>
  <si>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</si>
  <si>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</si>
  <si>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</si>
  <si>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</si>
  <si>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</si>
  <si>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</si>
  <si>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</si>
  <si>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</si>
  <si>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</si>
  <si>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</si>
  <si>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</si>
  <si>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</si>
  <si>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</si>
  <si>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</si>
  <si>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</si>
  <si>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</si>
  <si>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</si>
  <si>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469</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</si>
  <si>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</si>
  <si>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</si>
  <si>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</si>
  <si>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</si>
  <si>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</si>
  <si>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</si>
  <si>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</si>
  <si>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</si>
  <si>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</si>
  <si>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</si>
  <si>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</si>
  <si>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</si>
  <si>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</si>
  <si>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</si>
  <si>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</si>
  <si>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</si>
  <si>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</si>
  <si>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</si>
  <si>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</si>
  <si>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</si>
  <si>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</si>
  <si>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</si>
  <si>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</si>
  <si>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</si>
  <si>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</si>
  <si>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</si>
  <si>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</si>
  <si>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415</t>
  </si>
  <si>
    <t>1:47.67</t>
  </si>
  <si>
    <t>59.40</t>
  </si>
  <si>
    <t>2:47.69</t>
  </si>
  <si>
    <t>1:26.72</t>
  </si>
  <si>
    <t>49.24</t>
  </si>
  <si>
    <t>1:09.43</t>
  </si>
  <si>
    <t>35.13</t>
  </si>
  <si>
    <t>1:24.52</t>
  </si>
  <si>
    <t>1:16.55</t>
  </si>
  <si>
    <t>2:19.55</t>
  </si>
  <si>
    <t>1:26.40</t>
  </si>
  <si>
    <t>1:10.72</t>
  </si>
  <si>
    <t>1:17.73</t>
  </si>
  <si>
    <t>37.54</t>
  </si>
  <si>
    <t>1:39.92</t>
  </si>
  <si>
    <t>54.41</t>
  </si>
  <si>
    <t>1:48.18</t>
  </si>
  <si>
    <t>20.47</t>
  </si>
  <si>
    <t>Nanashi</t>
  </si>
  <si>
    <t>410</t>
  </si>
  <si>
    <t>1:27.50</t>
  </si>
  <si>
    <t>Syrup</t>
  </si>
  <si>
    <t>Hansel_Panda</t>
  </si>
  <si>
    <t>402</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</si>
  <si>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</si>
  <si>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</si>
  <si>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</si>
  <si>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</si>
  <si>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</si>
  <si>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</si>
  <si>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</si>
  <si>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</si>
  <si>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</si>
  <si>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</si>
  <si>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</si>
  <si>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</si>
  <si>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</si>
  <si>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</si>
  <si>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362</t>
  </si>
  <si>
    <t>17.02</t>
  </si>
  <si>
    <t>Kars</t>
  </si>
  <si>
    <t>358</t>
  </si>
  <si>
    <t>43.56</t>
  </si>
  <si>
    <t>21.22</t>
  </si>
  <si>
    <t>1:03.93</t>
  </si>
  <si>
    <t>39.90</t>
  </si>
  <si>
    <t>1:01.84</t>
  </si>
  <si>
    <t>1:20.69</t>
  </si>
  <si>
    <t>1:11.89</t>
  </si>
  <si>
    <t>33.30</t>
  </si>
  <si>
    <t>22.38</t>
  </si>
  <si>
    <t>57.92</t>
  </si>
  <si>
    <t>2:00.74</t>
  </si>
  <si>
    <t>Tiinncho0</t>
  </si>
  <si>
    <t>350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</si>
  <si>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</si>
  <si>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</si>
  <si>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</si>
  <si>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</si>
  <si>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</si>
  <si>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</si>
  <si>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</si>
  <si>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</si>
  <si>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</si>
  <si>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</si>
  <si>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</si>
  <si>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</si>
  <si>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</si>
  <si>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</si>
  <si>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</si>
  <si>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</si>
  <si>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</si>
  <si>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</si>
  <si>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</si>
  <si>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</si>
  <si>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</si>
  <si>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</si>
  <si>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</si>
  <si>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</si>
  <si>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</si>
  <si>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</si>
  <si>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</si>
  <si>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</si>
  <si>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</si>
  <si>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</si>
  <si>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</si>
  <si>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</si>
  <si>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</si>
  <si>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</si>
  <si>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</si>
  <si>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</si>
  <si>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</si>
  <si>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</si>
  <si>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</si>
  <si>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324</t>
  </si>
  <si>
    <t>39.11</t>
  </si>
  <si>
    <t>48.04</t>
  </si>
  <si>
    <t>22.39</t>
  </si>
  <si>
    <t>2:00.14</t>
  </si>
  <si>
    <t>Orange</t>
  </si>
  <si>
    <t>319</t>
  </si>
  <si>
    <t>1:51.11</t>
  </si>
  <si>
    <t>Cannalyst</t>
  </si>
  <si>
    <t>310</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</si>
  <si>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</si>
  <si>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</si>
  <si>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</si>
  <si>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</si>
  <si>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</si>
  <si>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</si>
  <si>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</si>
  <si>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</si>
  <si>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</si>
  <si>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</si>
  <si>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</si>
  <si>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</si>
  <si>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</si>
  <si>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</si>
  <si>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</si>
  <si>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</si>
  <si>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</si>
  <si>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</si>
  <si>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</si>
  <si>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</si>
  <si>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</si>
  <si>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</si>
  <si>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</si>
  <si>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</si>
  <si>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</si>
  <si>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227</t>
  </si>
  <si>
    <t>Kwaniza</t>
  </si>
  <si>
    <t>226</t>
  </si>
  <si>
    <t>1:26.87</t>
  </si>
  <si>
    <t>36.68</t>
  </si>
  <si>
    <t>yourgirlhazel</t>
  </si>
  <si>
    <t>201</t>
  </si>
  <si>
    <t>23.89</t>
  </si>
  <si>
    <t>10.21</t>
  </si>
  <si>
    <t>32.31</t>
  </si>
  <si>
    <t>1:43.03</t>
  </si>
  <si>
    <t>Minibeast</t>
  </si>
  <si>
    <t>199</t>
  </si>
  <si>
    <t>1:47.41</t>
  </si>
  <si>
    <t>58.35</t>
  </si>
  <si>
    <t>35.70</t>
  </si>
  <si>
    <t>43.81</t>
  </si>
  <si>
    <t>31.43</t>
  </si>
  <si>
    <t>36.60</t>
  </si>
  <si>
    <t>48.94</t>
  </si>
  <si>
    <t>9.21</t>
  </si>
  <si>
    <t>Caprisuhn</t>
  </si>
  <si>
    <t>196</t>
  </si>
  <si>
    <t>33.38</t>
  </si>
  <si>
    <t>1:29.01</t>
  </si>
  <si>
    <t>48.78</t>
  </si>
  <si>
    <t>1:06.81</t>
  </si>
  <si>
    <t>WynnterCoat</t>
  </si>
  <si>
    <t>184</t>
  </si>
  <si>
    <t>hector</t>
  </si>
  <si>
    <t>163</t>
  </si>
  <si>
    <t>1:16.97</t>
  </si>
  <si>
    <t>14.76</t>
  </si>
  <si>
    <t>1:30.81</t>
  </si>
  <si>
    <t>26.90</t>
  </si>
  <si>
    <t>HoneyNuTz</t>
  </si>
  <si>
    <t>145</t>
  </si>
  <si>
    <t>24.58</t>
  </si>
  <si>
    <t>16.65</t>
  </si>
  <si>
    <t>daiden47</t>
  </si>
  <si>
    <t>131</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</si>
  <si>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</si>
  <si>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</si>
  <si>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</si>
  <si>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</si>
  <si>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</si>
  <si>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</si>
  <si>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</si>
  <si>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</si>
  <si>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</si>
  <si>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</si>
  <si>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</si>
  <si>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</si>
  <si>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</si>
  <si>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</si>
  <si>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</si>
  <si>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</si>
  <si>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</si>
  <si>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</si>
  <si>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</si>
  <si>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</si>
  <si>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</si>
  <si>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</si>
  <si>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</si>
  <si>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</si>
  <si>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</si>
  <si>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</si>
  <si>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</si>
  <si>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</si>
  <si>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</si>
  <si>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</si>
  <si>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</si>
  <si>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</si>
  <si>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</si>
  <si>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</si>
  <si>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</si>
  <si>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</si>
  <si>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</si>
  <si>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</si>
  <si>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</si>
  <si>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</si>
  <si>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</si>
  <si>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</si>
  <si>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</si>
  <si>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119</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</si>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</sst>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LSvQoslgvzg"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clips.twitch.tv/FantasticSleepyCourgetteDatSheffy" TargetMode="External"/><Relationship Id="rId1052" Type="http://schemas.openxmlformats.org/officeDocument/2006/relationships/hyperlink" Target="https://youtu.be/gRYcsS32LEE" TargetMode="External"/><Relationship Id="rId1053" Type="http://schemas.openxmlformats.org/officeDocument/2006/relationships/hyperlink" Target="https://clips.twitch.tv/HardColdWatercressKappa-JBoKqGvZ-Zv53GMh" TargetMode="External"/><Relationship Id="rId1054" Type="http://schemas.openxmlformats.org/officeDocument/2006/relationships/hyperlink" Target="https://youtu.be/pnewRURW5ps" TargetMode="External"/><Relationship Id="rId224" Type="http://schemas.openxmlformats.org/officeDocument/2006/relationships/hyperlink" Target="https://youtu.be/di3E3mBAumI" TargetMode="External"/><Relationship Id="rId1055" Type="http://schemas.openxmlformats.org/officeDocument/2006/relationships/hyperlink" Target="https://youtu.be/DKv_4rurSS0" TargetMode="External"/><Relationship Id="rId223" Type="http://schemas.openxmlformats.org/officeDocument/2006/relationships/hyperlink" Target="https://youtu.be/AY6s3rmBLps" TargetMode="External"/><Relationship Id="rId1056" Type="http://schemas.openxmlformats.org/officeDocument/2006/relationships/hyperlink" Target="https://youtu.be/W2qcH9W0i-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uNx6NSup6aM" TargetMode="External"/><Relationship Id="rId221" Type="http://schemas.openxmlformats.org/officeDocument/2006/relationships/hyperlink" Target="https://youtu.be/hz2unkDO8uk" TargetMode="External"/><Relationship Id="rId1058" Type="http://schemas.openxmlformats.org/officeDocument/2006/relationships/hyperlink" Target="https://youtu.be/a2MRHB-JXU0" TargetMode="External"/><Relationship Id="rId1048" Type="http://schemas.openxmlformats.org/officeDocument/2006/relationships/hyperlink" Target="https://youtu.be/6gDUknvuEMg" TargetMode="External"/><Relationship Id="rId1049" Type="http://schemas.openxmlformats.org/officeDocument/2006/relationships/hyperlink" Target="https://clips.twitch.tv/CautiousFriendlyFrogTheThing-6Jrgc8jtaiq8q8CQ"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youtu.be/zw7IMG-cM2U"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g0TzG3AIDz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VpGivMUEB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SucculentInquisitiveAsparagusLeeroyJenkins-OmpLrLuzoxHCavOG" TargetMode="External"/><Relationship Id="rId210" Type="http://schemas.openxmlformats.org/officeDocument/2006/relationships/hyperlink" Target="https://youtu.be/YSIJt-HfJWg" TargetMode="External"/><Relationship Id="rId1047" Type="http://schemas.openxmlformats.org/officeDocument/2006/relationships/hyperlink" Target="https://www.youtube.com/watch?v=WPlkURzFGl4"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WtYDIiRwpow" TargetMode="External"/><Relationship Id="rId1071" Type="http://schemas.openxmlformats.org/officeDocument/2006/relationships/hyperlink" Target="https://www.youtube.com/watch?v=Ln4jjibr1K0" TargetMode="External"/><Relationship Id="rId1072" Type="http://schemas.openxmlformats.org/officeDocument/2006/relationships/hyperlink" Target="https://www.youtube.com/watch?v=RNAqhWK9Ins" TargetMode="External"/><Relationship Id="rId242" Type="http://schemas.openxmlformats.org/officeDocument/2006/relationships/hyperlink" Target="https://youtu.be/a7-SiZhtDgc" TargetMode="External"/><Relationship Id="rId1073" Type="http://schemas.openxmlformats.org/officeDocument/2006/relationships/hyperlink" Target="https://youtu.be/1fe7Fe5MXSM" TargetMode="External"/><Relationship Id="rId241" Type="http://schemas.openxmlformats.org/officeDocument/2006/relationships/hyperlink" Target="https://youtu.be/U6CWT4ozXxo" TargetMode="External"/><Relationship Id="rId1074" Type="http://schemas.openxmlformats.org/officeDocument/2006/relationships/hyperlink" Target="https://youtu.be/b_fjcdwVo9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Ji5c99CvARE" TargetMode="External"/><Relationship Id="rId1076" Type="http://schemas.openxmlformats.org/officeDocument/2006/relationships/hyperlink" Target="https://youtu.be/5vUNzwaesc8"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n7lzjZ9mb4k" TargetMode="External"/><Relationship Id="rId244" Type="http://schemas.openxmlformats.org/officeDocument/2006/relationships/hyperlink" Target="https://youtu.be/gGmXKDagtPY" TargetMode="External"/><Relationship Id="rId1079" Type="http://schemas.openxmlformats.org/officeDocument/2006/relationships/hyperlink" Target="https://youtu.be/RcFElzSKBC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xOek-DUeh94?t=7" TargetMode="External"/><Relationship Id="rId1061" Type="http://schemas.openxmlformats.org/officeDocument/2006/relationships/hyperlink" Target="https://youtu.be/D2-wF0sDV0U"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BxN9IYgkrlk"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youtu.be/BRYGZD8Aw8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twitch.tv/inkstar/clip/SeductiveWonderfulFungusNotATK-_5nVhVUpxAADgmaq"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GpE0IBf-cg" TargetMode="External"/><Relationship Id="rId233" Type="http://schemas.openxmlformats.org/officeDocument/2006/relationships/hyperlink" Target="https://youtu.be/m0whgLJ2zkU" TargetMode="External"/><Relationship Id="rId1068" Type="http://schemas.openxmlformats.org/officeDocument/2006/relationships/hyperlink" Target="https://youtu.be/i4SOT8lEbJ8"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PKy8Rx4VBs4"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youtu.be/zw7IMG-cM2U"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youtu.be/YKhYKlk0DN4"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www.youtube.com/watch?v=Pnj2t4CQGiM&amp;feature=youtu.be&amp;ab_channel=SMSArchives" TargetMode="External"/><Relationship Id="rId1093" Type="http://schemas.openxmlformats.org/officeDocument/2006/relationships/hyperlink" Target="https://clips.twitch.tv/AmericanSmoggyMeerkatWholeWheat-ZCu1oZIXMktbs8CL" TargetMode="External"/><Relationship Id="rId1094" Type="http://schemas.openxmlformats.org/officeDocument/2006/relationships/hyperlink" Target="https://youtu.be/D725_B1n0GM"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www.youtube.com/watch?v=hRCDsXj44WI" TargetMode="External"/><Relationship Id="rId1097" Type="http://schemas.openxmlformats.org/officeDocument/2006/relationships/hyperlink" Target="https://youtu.be/8Y5Ph2vnEBE" TargetMode="External"/><Relationship Id="rId1098" Type="http://schemas.openxmlformats.org/officeDocument/2006/relationships/hyperlink" Target="https://youtu.be/TOopvpfnb90" TargetMode="External"/><Relationship Id="rId1099" Type="http://schemas.openxmlformats.org/officeDocument/2006/relationships/hyperlink" Target="https://youtu.be/uFpzb8pTGYw" TargetMode="External"/><Relationship Id="rId1080" Type="http://schemas.openxmlformats.org/officeDocument/2006/relationships/hyperlink" Target="https://youtu.be/dEDkFfC3I-A" TargetMode="External"/><Relationship Id="rId1081" Type="http://schemas.openxmlformats.org/officeDocument/2006/relationships/hyperlink" Target="https://youtu.be/SBmIdDRShp4" TargetMode="External"/><Relationship Id="rId1082" Type="http://schemas.openxmlformats.org/officeDocument/2006/relationships/hyperlink" Target="https://youtu.be/yfazR8c_Jpw"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youtu.be/8-hWzmC6QZY"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www.youtube.com/watch?v=cBP-KfubET4&amp;feature=youtu.be&amp;ab_channel=SMSArchives" TargetMode="External"/><Relationship Id="rId1087" Type="http://schemas.openxmlformats.org/officeDocument/2006/relationships/hyperlink" Target="https://youtu.be/VU76y1qot-A" TargetMode="External"/><Relationship Id="rId1088" Type="http://schemas.openxmlformats.org/officeDocument/2006/relationships/hyperlink" Target="https://clips.twitch.tv/FaintFitOstrichKeepo-L3yy2Sj35Eq1RYLP" TargetMode="External"/><Relationship Id="rId1089" Type="http://schemas.openxmlformats.org/officeDocument/2006/relationships/hyperlink" Target="https://youtu.be/H36MF9fXNe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lYi4TdoiTuI" TargetMode="External"/><Relationship Id="rId1115" Type="http://schemas.openxmlformats.org/officeDocument/2006/relationships/hyperlink" Target="https://youtu.be/saeB2BJyl3w" TargetMode="External"/><Relationship Id="rId1116" Type="http://schemas.openxmlformats.org/officeDocument/2006/relationships/hyperlink" Target="https://youtu.be/cTFRTeFZ_J8" TargetMode="External"/><Relationship Id="rId1117" Type="http://schemas.openxmlformats.org/officeDocument/2006/relationships/hyperlink" Target="https://youtu.be/9xdcEVyiBHI" TargetMode="External"/><Relationship Id="rId1118" Type="http://schemas.openxmlformats.org/officeDocument/2006/relationships/hyperlink" Target="https://youtu.be/_-CeL_OF9PE" TargetMode="External"/><Relationship Id="rId1119" Type="http://schemas.openxmlformats.org/officeDocument/2006/relationships/hyperlink" Target="https://clips.twitch.tv/FaithfulAgitatedSardineSeemsGood-k1jxuaQOQXlfuVn-"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DTClS_qtBNg"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q3IUc8chiVo" TargetMode="External"/><Relationship Id="rId1112" Type="http://schemas.openxmlformats.org/officeDocument/2006/relationships/hyperlink" Target="https://youtu.be/tatoriHF17g" TargetMode="External"/><Relationship Id="rId1113" Type="http://schemas.openxmlformats.org/officeDocument/2006/relationships/hyperlink" Target="https://youtu.be/lYi4TdoiTuI" TargetMode="External"/><Relationship Id="rId1103" Type="http://schemas.openxmlformats.org/officeDocument/2006/relationships/hyperlink" Target="https://youtu.be/1XmqPaMOiiY" TargetMode="External"/><Relationship Id="rId1104" Type="http://schemas.openxmlformats.org/officeDocument/2006/relationships/hyperlink" Target="https://youtu.be/OwsTTjQaO3w"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hLdJgk9HnhU" TargetMode="External"/><Relationship Id="rId1107" Type="http://schemas.openxmlformats.org/officeDocument/2006/relationships/hyperlink" Target="https://clips.twitch.tv/PlainEntertainingMartenFunRun-JV2tg9yRROTkgLJp" TargetMode="External"/><Relationship Id="rId1108" Type="http://schemas.openxmlformats.org/officeDocument/2006/relationships/hyperlink" Target="https://youtu.be/q3IUc8chiVo" TargetMode="External"/><Relationship Id="rId1109" Type="http://schemas.openxmlformats.org/officeDocument/2006/relationships/hyperlink" Target="https://youtu.be/ZD38xZvhuTY"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DepressedMiniaturePotatoBigBrother-BMOL-MO0RjCxjoI4" TargetMode="External"/><Relationship Id="rId1101" Type="http://schemas.openxmlformats.org/officeDocument/2006/relationships/hyperlink" Target="https://www.youtube.com/watch?v=x2-SXpYJI6M" TargetMode="External"/><Relationship Id="rId1102" Type="http://schemas.openxmlformats.org/officeDocument/2006/relationships/hyperlink" Target="https://clips.twitch.tv/TriangularLuckyPepperoniDxCat-knGjDZY028Z5_WR-"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twitter.com/Qbe_Root/status/1267201521541959680" TargetMode="External"/><Relationship Id="rId1171" Type="http://schemas.openxmlformats.org/officeDocument/2006/relationships/hyperlink" Target="https://youtu.be/Un8GBYhUU3E?si=_9oMA0fSL4zoQw4f" TargetMode="External"/><Relationship Id="rId583" Type="http://schemas.openxmlformats.org/officeDocument/2006/relationships/hyperlink" Target="https://youtu.be/mQcB8t9PNLk" TargetMode="External"/><Relationship Id="rId1172" Type="http://schemas.openxmlformats.org/officeDocument/2006/relationships/hyperlink" Target="https://www.youtube.com/watch?v=7798HAhO4wU&amp;feature=youtu.be&amp;ab_channel=SMSArchives" TargetMode="External"/><Relationship Id="rId582" Type="http://schemas.openxmlformats.org/officeDocument/2006/relationships/hyperlink" Target="https://youtu.be/SdpYg6f9g1I" TargetMode="External"/><Relationship Id="rId1173" Type="http://schemas.openxmlformats.org/officeDocument/2006/relationships/hyperlink" Target="https://youtu.be/n9Pgok3_gLk"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www.youtube.com/watch?v=7798HAhO4wU&amp;feature=youtu.be&amp;ab_channel=SMSArchives"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BIwB8aMG3fk" TargetMode="External"/><Relationship Id="rId587" Type="http://schemas.openxmlformats.org/officeDocument/2006/relationships/hyperlink" Target="https://youtu.be/XMGmoWpoTVg" TargetMode="External"/><Relationship Id="rId1176" Type="http://schemas.openxmlformats.org/officeDocument/2006/relationships/hyperlink" Target="https://youtu.be/DpbmS4DrZ0s"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clips.twitch.tv/MildWittyHerbsLitFam-1tUBUJoQnTtzkoSc"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www.youtube.com/watch?v=4SGAQETyNZ0"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clips.twitch.tv/SweetHonorableFungusThunBeast-EqIPETChLfP9dMVx" TargetMode="External"/><Relationship Id="rId1169" Type="http://schemas.openxmlformats.org/officeDocument/2006/relationships/hyperlink" Target="https://youtu.be/U0nS3g0zOvI"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BwT0G0Js7bA"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WxhdtLEsUR0"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ZuU1SRn-vGM"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7mi3rKCeBsI" TargetMode="External"/><Relationship Id="rId1164" Type="http://schemas.openxmlformats.org/officeDocument/2006/relationships/hyperlink" Target="https://youtu.be/M822PVs1H2w"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ZuU1SRn-vGM"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elaYSWhDvFA"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U0nS3g0zOvI" TargetMode="External"/><Relationship Id="rId573" Type="http://schemas.openxmlformats.org/officeDocument/2006/relationships/hyperlink" Target="https://youtu.be/Ev_tzMFl7Mo" TargetMode="External"/><Relationship Id="rId1168" Type="http://schemas.openxmlformats.org/officeDocument/2006/relationships/hyperlink" Target="https://youtu.be/Vix-gMQfukI?si=6dlzLJh2a-1zjeG8" TargetMode="External"/><Relationship Id="rId1190" Type="http://schemas.openxmlformats.org/officeDocument/2006/relationships/hyperlink" Target="https://youtu.be/oWQXsAIPCvw" TargetMode="External"/><Relationship Id="rId1191" Type="http://schemas.openxmlformats.org/officeDocument/2006/relationships/hyperlink" Target="https://youtu.be/2Um5c2WuWvI" TargetMode="External"/><Relationship Id="rId1192" Type="http://schemas.openxmlformats.org/officeDocument/2006/relationships/hyperlink" Target="https://youtu.be/hLSXNf9Tyrs" TargetMode="External"/><Relationship Id="rId1193" Type="http://schemas.openxmlformats.org/officeDocument/2006/relationships/hyperlink" Target="https://youtu.be/JJujtnxFUXg" TargetMode="External"/><Relationship Id="rId1194" Type="http://schemas.openxmlformats.org/officeDocument/2006/relationships/hyperlink" Target="https://clips.twitch.tv/HyperEvilThymeVoHiYo-po11OK77dQEmShef" TargetMode="External"/><Relationship Id="rId1195" Type="http://schemas.openxmlformats.org/officeDocument/2006/relationships/hyperlink" Target="https://youtu.be/y1GKQSO9qU0" TargetMode="External"/><Relationship Id="rId1196" Type="http://schemas.openxmlformats.org/officeDocument/2006/relationships/hyperlink" Target="https://youtu.be/ZgRlEQwomQ8" TargetMode="External"/><Relationship Id="rId1197" Type="http://schemas.openxmlformats.org/officeDocument/2006/relationships/hyperlink" Target="https://youtu.be/2qsci_GLiAo" TargetMode="External"/><Relationship Id="rId1198" Type="http://schemas.openxmlformats.org/officeDocument/2006/relationships/hyperlink" Target="https://youtu.be/nvtBwUPOOjs" TargetMode="External"/><Relationship Id="rId1199" Type="http://schemas.openxmlformats.org/officeDocument/2006/relationships/hyperlink" Target="https://www.youtube.com/watch?v=kbs-FSaXOdo" TargetMode="External"/><Relationship Id="rId599" Type="http://schemas.openxmlformats.org/officeDocument/2006/relationships/hyperlink" Target="https://youtu.be/-cZziOaZ-0M" TargetMode="External"/><Relationship Id="rId1180" Type="http://schemas.openxmlformats.org/officeDocument/2006/relationships/hyperlink" Target="https://www.twitch.tv/jpeppp/clip/AmericanDoubtfulLadiesPipeHype?filter=clips&amp;range=all&amp;sort=time" TargetMode="External"/><Relationship Id="rId1181" Type="http://schemas.openxmlformats.org/officeDocument/2006/relationships/hyperlink" Target="https://youtu.be/iIxItO2qyp0" TargetMode="External"/><Relationship Id="rId1182" Type="http://schemas.openxmlformats.org/officeDocument/2006/relationships/hyperlink" Target="https://youtu.be/osb0MUIpTXA" TargetMode="External"/><Relationship Id="rId594" Type="http://schemas.openxmlformats.org/officeDocument/2006/relationships/hyperlink" Target="https://youtu.be/YD-o9RHPZWo" TargetMode="External"/><Relationship Id="rId1183" Type="http://schemas.openxmlformats.org/officeDocument/2006/relationships/hyperlink" Target="https://youtu.be/KeVM5h8wzD4" TargetMode="External"/><Relationship Id="rId593" Type="http://schemas.openxmlformats.org/officeDocument/2006/relationships/hyperlink" Target="https://youtu.be/t7D3CoBhB2Q" TargetMode="External"/><Relationship Id="rId1184" Type="http://schemas.openxmlformats.org/officeDocument/2006/relationships/hyperlink" Target="https://youtu.be/Ctn3rI5RKb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aseWRk7Y8sg" TargetMode="External"/><Relationship Id="rId591" Type="http://schemas.openxmlformats.org/officeDocument/2006/relationships/hyperlink" Target="https://youtu.be/0SdmxBStK6Q" TargetMode="External"/><Relationship Id="rId1186" Type="http://schemas.openxmlformats.org/officeDocument/2006/relationships/hyperlink" Target="https://youtu.be/osb0MUIpTXA" TargetMode="External"/><Relationship Id="rId598" Type="http://schemas.openxmlformats.org/officeDocument/2006/relationships/hyperlink" Target="https://youtu.be/7CUKmCF5tCE" TargetMode="External"/><Relationship Id="rId1187" Type="http://schemas.openxmlformats.org/officeDocument/2006/relationships/hyperlink" Target="https://clips.twitch.tv/UnsightlyEmpathicPineappleBrokeBack--m-hDZdSRLdX1K6b"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_iKhHERDn-k" TargetMode="External"/><Relationship Id="rId596" Type="http://schemas.openxmlformats.org/officeDocument/2006/relationships/hyperlink" Target="https://youtu.be/sDPkawvhuRo" TargetMode="External"/><Relationship Id="rId1189" Type="http://schemas.openxmlformats.org/officeDocument/2006/relationships/hyperlink" Target="https://youtu.be/JJujtnxFUXg" TargetMode="External"/><Relationship Id="rId595" Type="http://schemas.openxmlformats.org/officeDocument/2006/relationships/hyperlink" Target="https://youtu.be/TS0U7Mhv004" TargetMode="External"/><Relationship Id="rId1136" Type="http://schemas.openxmlformats.org/officeDocument/2006/relationships/hyperlink" Target="https://youtu.be/BO18jxRH70M" TargetMode="External"/><Relationship Id="rId1137" Type="http://schemas.openxmlformats.org/officeDocument/2006/relationships/hyperlink" Target="https://www.youtube.com/watch?v=uEdt3LvXS-I" TargetMode="External"/><Relationship Id="rId1138" Type="http://schemas.openxmlformats.org/officeDocument/2006/relationships/hyperlink" Target="https://www.youtube.com/watch?v=OoD4qy-ngWw&amp;feature=youtu.be&amp;ab_channel=SMSArchive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Viy4GiOKJXw" TargetMode="External"/><Relationship Id="rId1131" Type="http://schemas.openxmlformats.org/officeDocument/2006/relationships/hyperlink" Target="https://youtu.be/fSPfpmktFMo" TargetMode="External"/><Relationship Id="rId543" Type="http://schemas.openxmlformats.org/officeDocument/2006/relationships/hyperlink" Target="https://youtu.be/iBxubJeUngI" TargetMode="External"/><Relationship Id="rId1132" Type="http://schemas.openxmlformats.org/officeDocument/2006/relationships/hyperlink" Target="https://youtu.be/f3lYWpZEEgI?si=M_bvwPGHYXWFfha4&amp;t=24" TargetMode="External"/><Relationship Id="rId542" Type="http://schemas.openxmlformats.org/officeDocument/2006/relationships/hyperlink" Target="https://youtu.be/eqBfv6kOuq0" TargetMode="External"/><Relationship Id="rId1133" Type="http://schemas.openxmlformats.org/officeDocument/2006/relationships/hyperlink" Target="https://youtu.be/Viy4GiOKJXw" TargetMode="External"/><Relationship Id="rId541" Type="http://schemas.openxmlformats.org/officeDocument/2006/relationships/hyperlink" Target="https://youtu.be/4SFPJQOfmYE" TargetMode="External"/><Relationship Id="rId1134" Type="http://schemas.openxmlformats.org/officeDocument/2006/relationships/hyperlink" Target="https://youtu.be/_ZkoUbYRWrk" TargetMode="External"/><Relationship Id="rId540" Type="http://schemas.openxmlformats.org/officeDocument/2006/relationships/hyperlink" Target="https://youtu.be/vTpWxxEdx-8" TargetMode="External"/><Relationship Id="rId1135" Type="http://schemas.openxmlformats.org/officeDocument/2006/relationships/hyperlink" Target="https://www.youtube.com/watch?v=Ue1Nbckte5I" TargetMode="External"/><Relationship Id="rId1125" Type="http://schemas.openxmlformats.org/officeDocument/2006/relationships/hyperlink" Target="https://www.twitch.tv/videos/1280710333" TargetMode="External"/><Relationship Id="rId1126" Type="http://schemas.openxmlformats.org/officeDocument/2006/relationships/hyperlink" Target="https://youtu.be/CwbLgREWKVs" TargetMode="External"/><Relationship Id="rId1127" Type="http://schemas.openxmlformats.org/officeDocument/2006/relationships/hyperlink" Target="https://youtu.be/c99cCXZCmK4" TargetMode="External"/><Relationship Id="rId1128" Type="http://schemas.openxmlformats.org/officeDocument/2006/relationships/hyperlink" Target="https://youtu.be/tJDFV1A7was" TargetMode="External"/><Relationship Id="rId1129" Type="http://schemas.openxmlformats.org/officeDocument/2006/relationships/hyperlink" Target="https://www.youtube.com/watch?v=Z6OBxMRNy1o"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clips.twitch.tv/VibrantBrightThymeStinkyCheese-x2GYoSaGQWXd9TQP"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U9qXLAXAd7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MPlNTwHHCGk"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c99cCXZCmK4" TargetMode="External"/><Relationship Id="rId1124" Type="http://schemas.openxmlformats.org/officeDocument/2006/relationships/hyperlink" Target="https://youtu.be/RUEB2vlTuT0" TargetMode="External"/><Relationship Id="rId1158" Type="http://schemas.openxmlformats.org/officeDocument/2006/relationships/hyperlink" Target="https://youtu.be/Bz_l6_86h-Q" TargetMode="External"/><Relationship Id="rId1159" Type="http://schemas.openxmlformats.org/officeDocument/2006/relationships/hyperlink" Target="https://youtu.be/kvu97FX2j0I"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tDcJhRAA9_Y" TargetMode="External"/><Relationship Id="rId560" Type="http://schemas.openxmlformats.org/officeDocument/2006/relationships/hyperlink" Target="https://youtu.be/uokFysnxkns" TargetMode="External"/><Relationship Id="rId1151" Type="http://schemas.openxmlformats.org/officeDocument/2006/relationships/hyperlink" Target="https://youtu.be/_Gl10yuQ8FY" TargetMode="External"/><Relationship Id="rId1152" Type="http://schemas.openxmlformats.org/officeDocument/2006/relationships/hyperlink" Target="https://youtu.be/ZczNTkR9KbE" TargetMode="External"/><Relationship Id="rId1153" Type="http://schemas.openxmlformats.org/officeDocument/2006/relationships/hyperlink" Target="https://youtu.be/kHROQLQTclw" TargetMode="External"/><Relationship Id="rId565" Type="http://schemas.openxmlformats.org/officeDocument/2006/relationships/hyperlink" Target="https://youtu.be/c89HaUk4nbc" TargetMode="External"/><Relationship Id="rId1154" Type="http://schemas.openxmlformats.org/officeDocument/2006/relationships/hyperlink" Target="https://youtu.be/tcfld4v8t2Q" TargetMode="External"/><Relationship Id="rId564" Type="http://schemas.openxmlformats.org/officeDocument/2006/relationships/hyperlink" Target="https://youtu.be/x-k4Bjyv388" TargetMode="External"/><Relationship Id="rId1155" Type="http://schemas.openxmlformats.org/officeDocument/2006/relationships/hyperlink" Target="https://youtu.be/KXv-tmNS8TM" TargetMode="External"/><Relationship Id="rId563" Type="http://schemas.openxmlformats.org/officeDocument/2006/relationships/hyperlink" Target="https://youtu.be/x-k4Bjyv388" TargetMode="External"/><Relationship Id="rId1156" Type="http://schemas.openxmlformats.org/officeDocument/2006/relationships/hyperlink" Target="https://youtu.be/tcfld4v8t2Q" TargetMode="External"/><Relationship Id="rId562" Type="http://schemas.openxmlformats.org/officeDocument/2006/relationships/hyperlink" Target="https://youtu.be/YDxrxFj0Jv0" TargetMode="External"/><Relationship Id="rId1157" Type="http://schemas.openxmlformats.org/officeDocument/2006/relationships/hyperlink" Target="https://youtu.be/4cDf1smVSUE" TargetMode="External"/><Relationship Id="rId1147" Type="http://schemas.openxmlformats.org/officeDocument/2006/relationships/hyperlink" Target="https://youtu.be/YMXdBLGHEEc" TargetMode="External"/><Relationship Id="rId1148" Type="http://schemas.openxmlformats.org/officeDocument/2006/relationships/hyperlink" Target="https://youtu.be/WSeZ9m3uFA4" TargetMode="External"/><Relationship Id="rId1149" Type="http://schemas.openxmlformats.org/officeDocument/2006/relationships/hyperlink" Target="https://www.twitch.tv/jjsrl/clip/MuddyRoughGrasshopperOneHand-PfA0nue3cvmB_Jt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x7CDVxiIMcw" TargetMode="External"/><Relationship Id="rId1141" Type="http://schemas.openxmlformats.org/officeDocument/2006/relationships/hyperlink" Target="https://youtu.be/7xtfqhftzys" TargetMode="External"/><Relationship Id="rId1142" Type="http://schemas.openxmlformats.org/officeDocument/2006/relationships/hyperlink" Target="https://clips.twitch.tv/GiftedRudeWebThisIsSparta-BzGe-Sy_N0q2Ld62" TargetMode="External"/><Relationship Id="rId554" Type="http://schemas.openxmlformats.org/officeDocument/2006/relationships/hyperlink" Target="https://youtu.be/azAp4GAinUA" TargetMode="External"/><Relationship Id="rId1143" Type="http://schemas.openxmlformats.org/officeDocument/2006/relationships/hyperlink" Target="https://youtu.be/2RtyVMkalQs"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youtu.be/Gqm-krmqD4k" TargetMode="External"/><Relationship Id="rId552" Type="http://schemas.openxmlformats.org/officeDocument/2006/relationships/hyperlink" Target="https://youtu.be/Q_MyVwQo4yM" TargetMode="External"/><Relationship Id="rId1145" Type="http://schemas.openxmlformats.org/officeDocument/2006/relationships/hyperlink" Target="https://www.youtube.com/watch?v=TZbdrUxQdY0"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bEnkKuin0AU"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Awt0kRubMRs" TargetMode="External"/><Relationship Id="rId1216" Type="http://schemas.openxmlformats.org/officeDocument/2006/relationships/hyperlink" Target="https://youtu.be/yaUZ7zMs4j0" TargetMode="External"/><Relationship Id="rId1217" Type="http://schemas.openxmlformats.org/officeDocument/2006/relationships/hyperlink" Target="https://youtu.be/iYHU33uHEBc" TargetMode="External"/><Relationship Id="rId1218" Type="http://schemas.openxmlformats.org/officeDocument/2006/relationships/hyperlink" Target="https://clips.twitch.tv/SparklingSmilingWallabyCoolStoryBob-_ensxpQ0szxamxyd" TargetMode="External"/><Relationship Id="rId1219" Type="http://schemas.openxmlformats.org/officeDocument/2006/relationships/hyperlink" Target="https://youtu.be/uM1I8GG5zVk" TargetMode="External"/><Relationship Id="rId1210" Type="http://schemas.openxmlformats.org/officeDocument/2006/relationships/hyperlink" Target="https://youtu.be/NdyFOs0CNzA" TargetMode="External"/><Relationship Id="rId1211" Type="http://schemas.openxmlformats.org/officeDocument/2006/relationships/hyperlink" Target="https://youtu.be/28pWRddzP1o" TargetMode="External"/><Relationship Id="rId1212" Type="http://schemas.openxmlformats.org/officeDocument/2006/relationships/hyperlink" Target="https://clips.twitch.tv/NaiveSuperEyeballUWot-FjpYnzacEzYqQuiE" TargetMode="External"/><Relationship Id="rId1202" Type="http://schemas.openxmlformats.org/officeDocument/2006/relationships/hyperlink" Target="https://youtu.be/Kyud9n21QFM" TargetMode="External"/><Relationship Id="rId1203" Type="http://schemas.openxmlformats.org/officeDocument/2006/relationships/hyperlink" Target="https://youtu.be/zbdC7rooh2Y?si=865g6-C8lEOoEopW" TargetMode="External"/><Relationship Id="rId1204" Type="http://schemas.openxmlformats.org/officeDocument/2006/relationships/hyperlink" Target="https://youtu.be/2qsci_GLiAo" TargetMode="External"/><Relationship Id="rId1205" Type="http://schemas.openxmlformats.org/officeDocument/2006/relationships/hyperlink" Target="https://youtu.be/ymTj7oKg9AA" TargetMode="External"/><Relationship Id="rId1206" Type="http://schemas.openxmlformats.org/officeDocument/2006/relationships/hyperlink" Target="https://www.twitch.tv/videos/1601827892" TargetMode="External"/><Relationship Id="rId1207" Type="http://schemas.openxmlformats.org/officeDocument/2006/relationships/hyperlink" Target="https://youtu.be/ZVx314GtAOQ" TargetMode="External"/><Relationship Id="rId1208" Type="http://schemas.openxmlformats.org/officeDocument/2006/relationships/hyperlink" Target="https://youtu.be/3DqzAPYrpF4" TargetMode="External"/><Relationship Id="rId1209" Type="http://schemas.openxmlformats.org/officeDocument/2006/relationships/hyperlink" Target="https://youtu.be/80CjYSyiwxo" TargetMode="External"/><Relationship Id="rId1200" Type="http://schemas.openxmlformats.org/officeDocument/2006/relationships/hyperlink" Target="https://youtu.be/vhC33um_174" TargetMode="External"/><Relationship Id="rId1201" Type="http://schemas.openxmlformats.org/officeDocument/2006/relationships/hyperlink" Target="https://youtu.be/0DuI0wesCj4" TargetMode="External"/><Relationship Id="rId1235" Type="http://schemas.openxmlformats.org/officeDocument/2006/relationships/hyperlink" Target="https://www.youtube.com/watch?v=sqTuGwDvVjI&amp;feature=youtu.be&amp;ab_channel=SMSArchives" TargetMode="External"/><Relationship Id="rId1236" Type="http://schemas.openxmlformats.org/officeDocument/2006/relationships/hyperlink" Target="https://youtu.be/pXkmcZIsCgA" TargetMode="External"/><Relationship Id="rId1237" Type="http://schemas.openxmlformats.org/officeDocument/2006/relationships/hyperlink" Target="https://youtu.be/L2J13jF-zCY" TargetMode="External"/><Relationship Id="rId1238" Type="http://schemas.openxmlformats.org/officeDocument/2006/relationships/hyperlink" Target="https://x.com/inkstarLum/status/1713868539566899289?s=20" TargetMode="External"/><Relationship Id="rId1239" Type="http://schemas.openxmlformats.org/officeDocument/2006/relationships/hyperlink" Target="https://youtu.be/Ep8IDi5o2Ec"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6M4ARzKlbFE"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youtube.com/watch?v=etTxUYPYcg4" TargetMode="External"/><Relationship Id="rId1232" Type="http://schemas.openxmlformats.org/officeDocument/2006/relationships/hyperlink" Target="https://youtu.be/XJPRsCvWvWI" TargetMode="External"/><Relationship Id="rId1233" Type="http://schemas.openxmlformats.org/officeDocument/2006/relationships/hyperlink" Target="https://twitter.com/inkstarLum/status/1713868539566899289" TargetMode="External"/><Relationship Id="rId1234" Type="http://schemas.openxmlformats.org/officeDocument/2006/relationships/hyperlink" Target="https://youtu.be/IVozaNgTvUE" TargetMode="External"/><Relationship Id="rId1224" Type="http://schemas.openxmlformats.org/officeDocument/2006/relationships/hyperlink" Target="https://youtu.be/NdyFOs0CNzA" TargetMode="External"/><Relationship Id="rId1225" Type="http://schemas.openxmlformats.org/officeDocument/2006/relationships/hyperlink" Target="https://youtu.be/tDVO42-EmKY" TargetMode="External"/><Relationship Id="rId1226" Type="http://schemas.openxmlformats.org/officeDocument/2006/relationships/hyperlink" Target="https://youtu.be/bDV8fM7A1eA" TargetMode="External"/><Relationship Id="rId1227" Type="http://schemas.openxmlformats.org/officeDocument/2006/relationships/hyperlink" Target="https://youtu.be/7pMKee3TeoI" TargetMode="External"/><Relationship Id="rId1228" Type="http://schemas.openxmlformats.org/officeDocument/2006/relationships/hyperlink" Target="https://youtu.be/Xo4t95JdZqM" TargetMode="External"/><Relationship Id="rId1229" Type="http://schemas.openxmlformats.org/officeDocument/2006/relationships/hyperlink" Target="https://youtu.be/Wfk3pXadilY" TargetMode="External"/><Relationship Id="rId1220" Type="http://schemas.openxmlformats.org/officeDocument/2006/relationships/hyperlink" Target="https://youtu.be/3ASpf58HwCg" TargetMode="External"/><Relationship Id="rId1221" Type="http://schemas.openxmlformats.org/officeDocument/2006/relationships/hyperlink" Target="https://youtu.be/RPNLhL9Mwx8" TargetMode="External"/><Relationship Id="rId1222" Type="http://schemas.openxmlformats.org/officeDocument/2006/relationships/hyperlink" Target="https://youtu.be/7pMKee3TeoI" TargetMode="External"/><Relationship Id="rId1223" Type="http://schemas.openxmlformats.org/officeDocument/2006/relationships/hyperlink" Target="https://www.youtube.com/watch?v=_sGFnkXOmWA&amp;feature=youtu.be&amp;ab_channel=SMSArchives"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youtu.be/n5s23mXJ58o" TargetMode="External"/><Relationship Id="rId1291" Type="http://schemas.openxmlformats.org/officeDocument/2006/relationships/hyperlink" Target="https://www.youtube.com/watch?v=3F2muoR_V9w" TargetMode="External"/><Relationship Id="rId1292" Type="http://schemas.openxmlformats.org/officeDocument/2006/relationships/hyperlink" Target="https://youtu.be/VbQuQcZvtbo" TargetMode="External"/><Relationship Id="rId462" Type="http://schemas.openxmlformats.org/officeDocument/2006/relationships/hyperlink" Target="https://youtu.be/m45SeeT15mk" TargetMode="External"/><Relationship Id="rId1293" Type="http://schemas.openxmlformats.org/officeDocument/2006/relationships/hyperlink" Target="https://youtu.be/3QYNV827jxk" TargetMode="External"/><Relationship Id="rId461" Type="http://schemas.openxmlformats.org/officeDocument/2006/relationships/hyperlink" Target="https://youtu.be/CGy2fVWesj0" TargetMode="External"/><Relationship Id="rId1294" Type="http://schemas.openxmlformats.org/officeDocument/2006/relationships/hyperlink" Target="https://www.youtube.com/watch?v=_x8uBJYB3rw" TargetMode="External"/><Relationship Id="rId460" Type="http://schemas.openxmlformats.org/officeDocument/2006/relationships/hyperlink" Target="https://youtu.be/xknzl-aZiJ0" TargetMode="External"/><Relationship Id="rId1295" Type="http://schemas.openxmlformats.org/officeDocument/2006/relationships/hyperlink" Target="https://youtu.be/F_b2Hy-bsn8" TargetMode="External"/><Relationship Id="rId1296" Type="http://schemas.openxmlformats.org/officeDocument/2006/relationships/hyperlink" Target="https://youtu.be/dreI1G64N8U" TargetMode="External"/><Relationship Id="rId466" Type="http://schemas.openxmlformats.org/officeDocument/2006/relationships/hyperlink" Target="https://youtu.be/8__y2Qad2Og" TargetMode="External"/><Relationship Id="rId1297" Type="http://schemas.openxmlformats.org/officeDocument/2006/relationships/hyperlink" Target="https://youtu.be/3QYNV827jxk"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nO0zfCsMG4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twitch.tv/videos/805711247" TargetMode="External"/><Relationship Id="rId450" Type="http://schemas.openxmlformats.org/officeDocument/2006/relationships/hyperlink" Target="https://youtu.be/tJkEfz431oM" TargetMode="External"/><Relationship Id="rId1283" Type="http://schemas.openxmlformats.org/officeDocument/2006/relationships/hyperlink" Target="https://youtu.be/Xy-2rHEx6Kk" TargetMode="External"/><Relationship Id="rId1284" Type="http://schemas.openxmlformats.org/officeDocument/2006/relationships/hyperlink" Target="https://youtu.be/UkJdOKDmTO4" TargetMode="External"/><Relationship Id="rId1285" Type="http://schemas.openxmlformats.org/officeDocument/2006/relationships/hyperlink" Target="https://youtu.be/Xy-2rHEx6Kk"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tAAvzoOfUkg" TargetMode="External"/><Relationship Id="rId454" Type="http://schemas.openxmlformats.org/officeDocument/2006/relationships/hyperlink" Target="https://youtu.be/4aqw-ew_sN0" TargetMode="External"/><Relationship Id="rId1287" Type="http://schemas.openxmlformats.org/officeDocument/2006/relationships/hyperlink" Target="https://youtu.be/pTCxfH7GqGo" TargetMode="External"/><Relationship Id="rId453" Type="http://schemas.openxmlformats.org/officeDocument/2006/relationships/hyperlink" Target="https://youtu.be/eCqXZSJbD5M" TargetMode="External"/><Relationship Id="rId1288" Type="http://schemas.openxmlformats.org/officeDocument/2006/relationships/hyperlink" Target="https://www.twitch.tv/videos/2030169824" TargetMode="External"/><Relationship Id="rId452" Type="http://schemas.openxmlformats.org/officeDocument/2006/relationships/hyperlink" Target="https://youtu.be/mybjZ1zHSGk" TargetMode="External"/><Relationship Id="rId1289" Type="http://schemas.openxmlformats.org/officeDocument/2006/relationships/hyperlink" Target="https://youtu.be/rAB7TqLFJuw?si=TDTsZP6wLrlhUNzX"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clips.twitch.tv/FurryThirstyGaurUncleNox-62xsKc6hM-iBI_O-"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QrOv5szwRs&amp;feature=youtu.be&amp;ab_channel=SMSArchives"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X8Oe2Rwyuw" TargetMode="External"/><Relationship Id="rId1251" Type="http://schemas.openxmlformats.org/officeDocument/2006/relationships/hyperlink" Target="https://youtu.be/Ay4FY71sJJo" TargetMode="External"/><Relationship Id="rId1252" Type="http://schemas.openxmlformats.org/officeDocument/2006/relationships/hyperlink" Target="https://youtu.be/fpEEA8nWq0Q"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TK27xUh2So&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phvKkRyVEV4" TargetMode="External"/><Relationship Id="rId420" Type="http://schemas.openxmlformats.org/officeDocument/2006/relationships/hyperlink" Target="https://youtu.be/tZcf4PystIo" TargetMode="External"/><Relationship Id="rId1255" Type="http://schemas.openxmlformats.org/officeDocument/2006/relationships/hyperlink" Target="https://www.youtube.com/watch?v=4YO7lfEtNd8" TargetMode="External"/><Relationship Id="rId1256" Type="http://schemas.openxmlformats.org/officeDocument/2006/relationships/hyperlink" Target="https://youtu.be/Ay4FY71sJJo"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www.youtube.com/watch?v=BanNtsjIhb4&amp;feature=youtu.be&amp;ab_channel=SMSArchives" TargetMode="External"/><Relationship Id="rId1248" Type="http://schemas.openxmlformats.org/officeDocument/2006/relationships/hyperlink" Target="https://youtu.be/hHITvO7XueU" TargetMode="External"/><Relationship Id="rId1249" Type="http://schemas.openxmlformats.org/officeDocument/2006/relationships/hyperlink" Target="https://clips.twitch.tv/ConfidentRelievedGoblinNononoCat-lWNlVySfGUvshW8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gPYL3ON-eEU" TargetMode="External"/><Relationship Id="rId1241" Type="http://schemas.openxmlformats.org/officeDocument/2006/relationships/hyperlink" Target="https://youtu.be/_zy6O8EMW9o" TargetMode="External"/><Relationship Id="rId411" Type="http://schemas.openxmlformats.org/officeDocument/2006/relationships/hyperlink" Target="https://youtu.be/y2ToyAmG1Z0" TargetMode="External"/><Relationship Id="rId1242" Type="http://schemas.openxmlformats.org/officeDocument/2006/relationships/hyperlink" Target="https://youtu.be/Vn-avrb6ChU"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FunFilthyHerringPicoMause-5CS6RTHfNlvZK2Qq" TargetMode="External"/><Relationship Id="rId1244" Type="http://schemas.openxmlformats.org/officeDocument/2006/relationships/hyperlink" Target="https://www.twitch.tv/fech8763/clip/BenevolentEasyWatermelonFailFish?filter=clips&amp;range=all&amp;sort=time" TargetMode="External"/><Relationship Id="rId1245" Type="http://schemas.openxmlformats.org/officeDocument/2006/relationships/hyperlink" Target="https://youtu.be/r98lzLa__VE" TargetMode="External"/><Relationship Id="rId1279" Type="http://schemas.openxmlformats.org/officeDocument/2006/relationships/hyperlink" Target="https://youtu.be/8WTflQ-UW8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NVot0WUxsoM&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4oISpHWupWc" TargetMode="External"/><Relationship Id="rId1272" Type="http://schemas.openxmlformats.org/officeDocument/2006/relationships/hyperlink" Target="https://www.youtube.com/watch?v=NVot0WUxsoM&amp;feature=youtu.be&amp;ab_channel=SMSArchives" TargetMode="External"/><Relationship Id="rId1273" Type="http://schemas.openxmlformats.org/officeDocument/2006/relationships/hyperlink" Target="https://www.youtube.com/watch?v=fcbTy4CZXv4" TargetMode="External"/><Relationship Id="rId1274" Type="http://schemas.openxmlformats.org/officeDocument/2006/relationships/hyperlink" Target="https://youtu.be/BnHhD0LrPM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x7QbK6Pofg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4AA621TpKiM" TargetMode="External"/><Relationship Id="rId442" Type="http://schemas.openxmlformats.org/officeDocument/2006/relationships/hyperlink" Target="https://youtu.be/JhVWra7g52o" TargetMode="External"/><Relationship Id="rId1277" Type="http://schemas.openxmlformats.org/officeDocument/2006/relationships/hyperlink" Target="https://youtu.be/qQm2BH-evQ0" TargetMode="External"/><Relationship Id="rId441" Type="http://schemas.openxmlformats.org/officeDocument/2006/relationships/hyperlink" Target="https://youtu.be/lI720L0pgPs" TargetMode="External"/><Relationship Id="rId1278" Type="http://schemas.openxmlformats.org/officeDocument/2006/relationships/hyperlink" Target="https://youtu.be/WpmrZiHdUmg" TargetMode="External"/><Relationship Id="rId1268" Type="http://schemas.openxmlformats.org/officeDocument/2006/relationships/hyperlink" Target="https://youtu.be/vRTP-4qZ-TE" TargetMode="External"/><Relationship Id="rId1269" Type="http://schemas.openxmlformats.org/officeDocument/2006/relationships/hyperlink" Target="https://youtu.be/dpYU8IDFLKY"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MHOSL-gR_ZE" TargetMode="External"/><Relationship Id="rId1261" Type="http://schemas.openxmlformats.org/officeDocument/2006/relationships/hyperlink" Target="https://youtu.be/06D7QFhkGHU" TargetMode="External"/><Relationship Id="rId1262" Type="http://schemas.openxmlformats.org/officeDocument/2006/relationships/hyperlink" Target="https://youtu.be/6fp0twJPjPo" TargetMode="External"/><Relationship Id="rId1263" Type="http://schemas.openxmlformats.org/officeDocument/2006/relationships/hyperlink" Target="https://youtu.be/TtbKVZj2o3k"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BQscRiGi4h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tFgAtSSQHpQ"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k5V8na3uoBY"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BJNJgSLnXT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GMvPH3mzKms" TargetMode="External"/><Relationship Id="rId1335" Type="http://schemas.openxmlformats.org/officeDocument/2006/relationships/hyperlink" Target="https://youtu.be/kKX5vObntZM" TargetMode="External"/><Relationship Id="rId1336" Type="http://schemas.openxmlformats.org/officeDocument/2006/relationships/hyperlink" Target="https://youtu.be/0LjLuRGKBuU" TargetMode="External"/><Relationship Id="rId1337" Type="http://schemas.openxmlformats.org/officeDocument/2006/relationships/hyperlink" Target="https://youtu.be/9ZyY3FpK88M" TargetMode="External"/><Relationship Id="rId1338" Type="http://schemas.openxmlformats.org/officeDocument/2006/relationships/hyperlink" Target="https://youtu.be/KWPsUk2wEIE" TargetMode="External"/><Relationship Id="rId1339" Type="http://schemas.openxmlformats.org/officeDocument/2006/relationships/hyperlink" Target="https://www.youtube.com/watch?v=OzWJBH1XaE8"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youtu.be/UAaPTc80xqw?t=8"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www.youtube.com/watch?v=kQj1nHa8jcM&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youtu.be/ONge9Un7EcM" TargetMode="External"/><Relationship Id="rId1321" Type="http://schemas.openxmlformats.org/officeDocument/2006/relationships/hyperlink" Target="https://x.com/inkstarLum/status/1741066026253746202?s=20" TargetMode="External"/><Relationship Id="rId1322" Type="http://schemas.openxmlformats.org/officeDocument/2006/relationships/hyperlink" Target="https://youtu.be/wUbxoT-_Ka4?si=ya6MiO3ekHO5i1aD" TargetMode="External"/><Relationship Id="rId1356" Type="http://schemas.openxmlformats.org/officeDocument/2006/relationships/hyperlink" Target="https://x.com/inkstarLum/status/1746791604630028327?s=20" TargetMode="External"/><Relationship Id="rId1357" Type="http://schemas.openxmlformats.org/officeDocument/2006/relationships/hyperlink" Target="https://youtu.be/ohXH1vfTvII" TargetMode="External"/><Relationship Id="rId1358" Type="http://schemas.openxmlformats.org/officeDocument/2006/relationships/hyperlink" Target="https://clips.twitch.tv/PlayfulBoredSalamanderWholeWheat" TargetMode="External"/><Relationship Id="rId1359" Type="http://schemas.openxmlformats.org/officeDocument/2006/relationships/hyperlink" Target="https://youtu.be/zVBF9xHkT10"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m-NJgNhWbUg" TargetMode="External"/><Relationship Id="rId1351" Type="http://schemas.openxmlformats.org/officeDocument/2006/relationships/hyperlink" Target="https://www.youtube.com/watch?v=FJcnBQ2EAE8"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wcEM9uE522w" TargetMode="External"/><Relationship Id="rId762" Type="http://schemas.openxmlformats.org/officeDocument/2006/relationships/hyperlink" Target="https://youtu.be/mjRN8CUWyiA"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Muxnsa6HyOg" TargetMode="External"/><Relationship Id="rId760" Type="http://schemas.openxmlformats.org/officeDocument/2006/relationships/hyperlink" Target="https://youtu.be/GSc6VtIUdK8" TargetMode="External"/><Relationship Id="rId1355" Type="http://schemas.openxmlformats.org/officeDocument/2006/relationships/hyperlink" Target="https://youtu.be/FkDEMmGQkU8" TargetMode="External"/><Relationship Id="rId1345" Type="http://schemas.openxmlformats.org/officeDocument/2006/relationships/hyperlink" Target="https://youtu.be/G2rw4aWcpxY" TargetMode="External"/><Relationship Id="rId1346" Type="http://schemas.openxmlformats.org/officeDocument/2006/relationships/hyperlink" Target="https://youtu.be/NH0ahwsf718" TargetMode="External"/><Relationship Id="rId1347" Type="http://schemas.openxmlformats.org/officeDocument/2006/relationships/hyperlink" Target="https://youtu.be/S2iLJ4lyzlA" TargetMode="External"/><Relationship Id="rId1348" Type="http://schemas.openxmlformats.org/officeDocument/2006/relationships/hyperlink" Target="https://youtu.be/G2rw4aWcpxY" TargetMode="External"/><Relationship Id="rId1349" Type="http://schemas.openxmlformats.org/officeDocument/2006/relationships/hyperlink" Target="https://www.youtube.com/watch?v=3cokSh5LaVs"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youtu.be/kKX5vObntZ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oZbSXPTi3Bs" TargetMode="External"/><Relationship Id="rId751" Type="http://schemas.openxmlformats.org/officeDocument/2006/relationships/hyperlink" Target="https://youtu.be/2Jw4VLpW0j0" TargetMode="External"/><Relationship Id="rId1342" Type="http://schemas.openxmlformats.org/officeDocument/2006/relationships/hyperlink" Target="https://youtu.be/T0A9oRMEdno"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Zt72DgCMRr4"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iLGsEwZu7rM" TargetMode="External"/><Relationship Id="rId1313" Type="http://schemas.openxmlformats.org/officeDocument/2006/relationships/hyperlink" Target="https://www.youtube.com/watch?v=hcTcNFer4OU&amp;feature=youtu.be" TargetMode="External"/><Relationship Id="rId1314" Type="http://schemas.openxmlformats.org/officeDocument/2006/relationships/hyperlink" Target="https://youtu.be/eiCkNYWehy4" TargetMode="External"/><Relationship Id="rId1315" Type="http://schemas.openxmlformats.org/officeDocument/2006/relationships/hyperlink" Target="https://www.youtube.com/watch?v=hcTcNFer4OU&amp;feature=youtu.be"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WiA_s8jlj7A" TargetMode="External"/><Relationship Id="rId1319" Type="http://schemas.openxmlformats.org/officeDocument/2006/relationships/hyperlink" Target="https://x.com/inkstarLum/status/1741066026253746202?s=20"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6BHwPzwPmWQ" TargetMode="External"/><Relationship Id="rId1301" Type="http://schemas.openxmlformats.org/officeDocument/2006/relationships/hyperlink" Target="https://youtu.be/foVg2cBpyeA" TargetMode="External"/><Relationship Id="rId1302" Type="http://schemas.openxmlformats.org/officeDocument/2006/relationships/hyperlink" Target="https://youtu.be/zDa47CZ6kZE" TargetMode="External"/><Relationship Id="rId1303" Type="http://schemas.openxmlformats.org/officeDocument/2006/relationships/hyperlink" Target="https://youtu.be/8mtRTj2BYn0" TargetMode="External"/><Relationship Id="rId1304" Type="http://schemas.openxmlformats.org/officeDocument/2006/relationships/hyperlink" Target="https://youtu.be/84gmAUcAD6Y" TargetMode="External"/><Relationship Id="rId1305" Type="http://schemas.openxmlformats.org/officeDocument/2006/relationships/hyperlink" Target="https://youtu.be/1oskbS7aWLY" TargetMode="External"/><Relationship Id="rId1306" Type="http://schemas.openxmlformats.org/officeDocument/2006/relationships/hyperlink" Target="https://clips.twitch.tv/RelatedCoyWaspOhMyDog-Jn-IO2hOlpCeg8LO" TargetMode="External"/><Relationship Id="rId1307" Type="http://schemas.openxmlformats.org/officeDocument/2006/relationships/hyperlink" Target="https://youtu.be/Kk8g_-PNVdk" TargetMode="External"/><Relationship Id="rId1308" Type="http://schemas.openxmlformats.org/officeDocument/2006/relationships/hyperlink" Target="https://youtu.be/foVg2cBpyeA" TargetMode="External"/><Relationship Id="rId1309" Type="http://schemas.openxmlformats.org/officeDocument/2006/relationships/hyperlink" Target="https://www.youtube.com/watch?v=9kxYuxGiQN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tbvTUyC2vMc" TargetMode="External"/><Relationship Id="rId1378" Type="http://schemas.openxmlformats.org/officeDocument/2006/relationships/hyperlink" Target="https://youtu.be/7LclDQkIkYU" TargetMode="External"/><Relationship Id="rId1379" Type="http://schemas.openxmlformats.org/officeDocument/2006/relationships/hyperlink" Target="https://youtu.be/VlGSJ7oj0LY"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J4BzX00buXY" TargetMode="External"/><Relationship Id="rId1372" Type="http://schemas.openxmlformats.org/officeDocument/2006/relationships/hyperlink" Target="https://youtu.be/mtPLaPYM5bE" TargetMode="External"/><Relationship Id="rId1373" Type="http://schemas.openxmlformats.org/officeDocument/2006/relationships/hyperlink" Target="https://youtu.be/mtPLaPYM5bE"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3e65Ym3gNJ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2w3KSdOuDXQ" TargetMode="External"/><Relationship Id="rId1367" Type="http://schemas.openxmlformats.org/officeDocument/2006/relationships/hyperlink" Target="https://www.youtube.com/watch?v=z9Cply6-a14" TargetMode="External"/><Relationship Id="rId1368" Type="http://schemas.openxmlformats.org/officeDocument/2006/relationships/hyperlink" Target="https://youtu.be/zwUKiy2wr3A" TargetMode="External"/><Relationship Id="rId1369" Type="http://schemas.openxmlformats.org/officeDocument/2006/relationships/hyperlink" Target="https://youtu.be/zwUKiy2wr3A"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s4sYOmDATnE" TargetMode="External"/><Relationship Id="rId1361" Type="http://schemas.openxmlformats.org/officeDocument/2006/relationships/hyperlink" Target="https://www.youtube.com/watch?v=umdkqOKct6s"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www.youtube.com/watch?v=eaeQZ3MiWy0"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RBbHHzCiO54"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youtu.be/tFsfr38lm10" TargetMode="External"/><Relationship Id="rId1390" Type="http://schemas.openxmlformats.org/officeDocument/2006/relationships/hyperlink" Target="https://youtu.be/r3QCIKx-vOk" TargetMode="External"/><Relationship Id="rId1391" Type="http://schemas.openxmlformats.org/officeDocument/2006/relationships/hyperlink" Target="https://www.youtube.com/watch?v=glGhyszoz8s" TargetMode="External"/><Relationship Id="rId1392" Type="http://schemas.openxmlformats.org/officeDocument/2006/relationships/hyperlink" Target="https://clips.twitch.tv/MoistSuperDonkeyPhilosoraptor-jrGYmeVt_OOP23B-" TargetMode="External"/><Relationship Id="rId1393" Type="http://schemas.openxmlformats.org/officeDocument/2006/relationships/hyperlink" Target="https://youtu.be/kHU3tgqVirw" TargetMode="External"/><Relationship Id="rId1394" Type="http://schemas.openxmlformats.org/officeDocument/2006/relationships/hyperlink" Target="https://youtu.be/kHU3tgqVirw" TargetMode="External"/><Relationship Id="rId1395" Type="http://schemas.openxmlformats.org/officeDocument/2006/relationships/hyperlink" Target="https://www.twitch.tv/warspyking/clip/FuriousTallMouseWoofer--MIhtu8T8HnCKxHM" TargetMode="External"/><Relationship Id="rId1396" Type="http://schemas.openxmlformats.org/officeDocument/2006/relationships/hyperlink" Target="https://youtu.be/KWNTLN9BQZ8" TargetMode="External"/><Relationship Id="rId1397" Type="http://schemas.openxmlformats.org/officeDocument/2006/relationships/hyperlink" Target="https://youtu.be/vBxvh2XXMoQ" TargetMode="External"/><Relationship Id="rId1398" Type="http://schemas.openxmlformats.org/officeDocument/2006/relationships/hyperlink" Target="https://www.youtube.com/watch?v=b5XLa5pW6mk"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clips.twitch.tv/TolerantFairVelociraptorFloof--3_9x879_IsfRAXm"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zM-W6S4Pv9g" TargetMode="External"/><Relationship Id="rId792" Type="http://schemas.openxmlformats.org/officeDocument/2006/relationships/hyperlink" Target="https://youtu.be/FAK9lsxbQhY" TargetMode="External"/><Relationship Id="rId1381" Type="http://schemas.openxmlformats.org/officeDocument/2006/relationships/hyperlink" Target="https://youtu.be/7LclDQkIkYU" TargetMode="External"/><Relationship Id="rId791" Type="http://schemas.openxmlformats.org/officeDocument/2006/relationships/hyperlink" Target="https://youtu.be/Rn7yvpNUrrk"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o-H2DTwTB0k" TargetMode="External"/><Relationship Id="rId1383" Type="http://schemas.openxmlformats.org/officeDocument/2006/relationships/hyperlink" Target="https://clips.twitch.tv/JollySilkyAniseTBTacoLeft-J6HX7xY5l-8m9d60" TargetMode="External"/><Relationship Id="rId1384" Type="http://schemas.openxmlformats.org/officeDocument/2006/relationships/hyperlink" Target="https://www.youtube.com/watch?v=bygDghuzAGQ"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iSi_quRJz2g&amp;ab_channel=SMSArchives"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www.youtube.com/watch?v=vf0VNnfO3Ak"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clips.twitch.tv/TolerantFairVelociraptorFloof--3_9x879_IsfRAXm" TargetMode="External"/><Relationship Id="rId793" Type="http://schemas.openxmlformats.org/officeDocument/2006/relationships/hyperlink" Target="https://youtu.be/QE1MXNcBJD4" TargetMode="External"/><Relationship Id="rId1388" Type="http://schemas.openxmlformats.org/officeDocument/2006/relationships/hyperlink" Target="https://youtu.be/Ws0dMUnDmeg"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0.xml"/><Relationship Id="rId1441" Type="http://schemas.openxmlformats.org/officeDocument/2006/relationships/table" Target="../tables/table11.xml"/><Relationship Id="rId1442"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youtu.be/bUDUMMtDllA"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ImpossibleProtectiveZucchiniTTours-xaEMi-6kkVi1P-4h" TargetMode="External"/><Relationship Id="rId1417" Type="http://schemas.openxmlformats.org/officeDocument/2006/relationships/hyperlink" Target="https://youtu.be/ZaKGkDD88RI" TargetMode="External"/><Relationship Id="rId1418" Type="http://schemas.openxmlformats.org/officeDocument/2006/relationships/hyperlink" Target="https://clips.twitch.tv/ImpossibleProtectiveZucchiniTTours-xaEMi-6kkVi1P-4h" TargetMode="External"/><Relationship Id="rId1419" Type="http://schemas.openxmlformats.org/officeDocument/2006/relationships/hyperlink" Target="https://youtu.be/vLYGP3AR_5M" TargetMode="External"/><Relationship Id="rId1410" Type="http://schemas.openxmlformats.org/officeDocument/2006/relationships/hyperlink" Target="https://www.youtube.com/watch?v=q8_1FvsuuYE"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youtu.be/uI-xscpEras" TargetMode="External"/><Relationship Id="rId1402" Type="http://schemas.openxmlformats.org/officeDocument/2006/relationships/hyperlink" Target="https://youtu.be/p4rExIVV-uU" TargetMode="External"/><Relationship Id="rId1403" Type="http://schemas.openxmlformats.org/officeDocument/2006/relationships/hyperlink" Target="https://clips.twitch.tv/OriginalFrailHerdPMSTwin-KS-qRbfk1pmFP48Q" TargetMode="External"/><Relationship Id="rId1404" Type="http://schemas.openxmlformats.org/officeDocument/2006/relationships/hyperlink" Target="https://youtu.be/uI-xscpEras" TargetMode="External"/><Relationship Id="rId1405" Type="http://schemas.openxmlformats.org/officeDocument/2006/relationships/hyperlink" Target="https://www.youtube.com/watch?v=-VCTQ99kxFM"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youtu.be/B7EdTLDF-w8" TargetMode="External"/><Relationship Id="rId1408" Type="http://schemas.openxmlformats.org/officeDocument/2006/relationships/hyperlink" Target="https://youtu.be/KyXyCDQolGI" TargetMode="External"/><Relationship Id="rId1409" Type="http://schemas.openxmlformats.org/officeDocument/2006/relationships/hyperlink" Target="https://www.youtube.com/watch?v=PyOjKtmMa0k" TargetMode="External"/><Relationship Id="rId1434" Type="http://schemas.openxmlformats.org/officeDocument/2006/relationships/table" Target="../tables/table4.xml"/><Relationship Id="rId1435" Type="http://schemas.openxmlformats.org/officeDocument/2006/relationships/table" Target="../tables/table5.xml"/><Relationship Id="rId1436" Type="http://schemas.openxmlformats.org/officeDocument/2006/relationships/table" Target="../tables/table6.xml"/><Relationship Id="rId1437" Type="http://schemas.openxmlformats.org/officeDocument/2006/relationships/table" Target="../tables/table7.xml"/><Relationship Id="rId1438" Type="http://schemas.openxmlformats.org/officeDocument/2006/relationships/table" Target="../tables/table8.xml"/><Relationship Id="rId1439" Type="http://schemas.openxmlformats.org/officeDocument/2006/relationships/table" Target="../tables/table9.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drawing" Target="../drawings/drawing3.xml"/><Relationship Id="rId1424" Type="http://schemas.openxmlformats.org/officeDocument/2006/relationships/vmlDrawing" Target="../drawings/vmlDrawing2.vml"/><Relationship Id="rId1420" Type="http://schemas.openxmlformats.org/officeDocument/2006/relationships/hyperlink" Target="https://www.youtube.com/watch?v=cIP9ywhJs_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2708</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2802</v>
      </c>
      <c r="AJ44" s="197" t="s">
        <v>2570</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2695</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2668</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2464</v>
      </c>
      <c r="G47" s="82" t="s">
        <v>2464</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2653</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2743</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2545</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2889</v>
      </c>
      <c r="AD53" s="476"/>
      <c r="AE53" s="474" t="s">
        <v>3419</v>
      </c>
      <c r="AF53" s="475" t="s">
        <v>2811</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2847</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2824</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2919</v>
      </c>
      <c r="CA53" s="88" t="s">
        <v>3441</v>
      </c>
      <c r="CB53" s="476"/>
      <c r="CC53" s="476"/>
      <c r="CD53" s="88" t="s">
        <v>3442</v>
      </c>
      <c r="CE53" s="192"/>
      <c r="CF53" s="475" t="s">
        <v>3443</v>
      </c>
      <c r="CG53" s="474" t="s">
        <v>3426</v>
      </c>
      <c r="CH53" s="474" t="s">
        <v>3444</v>
      </c>
      <c r="CI53" s="474" t="s">
        <v>3445</v>
      </c>
      <c r="CJ53" s="475" t="s">
        <v>3446</v>
      </c>
      <c r="CK53" s="474" t="s">
        <v>3399</v>
      </c>
      <c r="CL53" s="474" t="s">
        <v>1773</v>
      </c>
      <c r="CM53" s="474" t="s">
        <v>3447</v>
      </c>
      <c r="CN53" s="476"/>
      <c r="CO53" s="476"/>
      <c r="CP53" s="476"/>
      <c r="CQ53" s="476"/>
      <c r="CR53" s="88" t="s">
        <v>3448</v>
      </c>
      <c r="CS53" s="187"/>
      <c r="CT53" s="474" t="s">
        <v>671</v>
      </c>
      <c r="CU53" s="475" t="s">
        <v>2684</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2667</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2653</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3000</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4"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4" t="s">
        <v>3532</v>
      </c>
      <c r="CE55" s="261"/>
      <c r="CF55" s="101" t="s">
        <v>3533</v>
      </c>
      <c r="CG55" s="101" t="s">
        <v>528</v>
      </c>
      <c r="CH55" s="101" t="s">
        <v>2695</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3117</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2662</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2693</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2653</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2761</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2986</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2732</v>
      </c>
      <c r="BC59" s="88" t="s">
        <v>2144</v>
      </c>
      <c r="BD59" s="93" t="s">
        <v>3715</v>
      </c>
      <c r="BE59" s="93" t="s">
        <v>3716</v>
      </c>
      <c r="BF59" s="93" t="s">
        <v>1272</v>
      </c>
      <c r="BG59" s="93" t="s">
        <v>3717</v>
      </c>
      <c r="BH59" s="88" t="s">
        <v>1832</v>
      </c>
      <c r="BI59" s="93" t="s">
        <v>2722</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2687</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3094</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3014</v>
      </c>
      <c r="CN60" s="279"/>
      <c r="CO60" s="279"/>
      <c r="CP60" s="279"/>
      <c r="CQ60" s="279"/>
      <c r="CR60" s="279"/>
      <c r="CS60" s="92"/>
      <c r="CT60" s="205" t="s">
        <v>3784</v>
      </c>
      <c r="CU60" s="388" t="s">
        <v>2295</v>
      </c>
      <c r="CV60" s="205" t="s">
        <v>630</v>
      </c>
      <c r="CW60" s="388" t="s">
        <v>3540</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3715</v>
      </c>
      <c r="P61" s="93" t="s">
        <v>2930</v>
      </c>
      <c r="Q61" s="93" t="s">
        <v>3796</v>
      </c>
      <c r="R61" s="98"/>
      <c r="S61" s="98"/>
      <c r="T61" s="98"/>
      <c r="U61" s="98"/>
      <c r="V61" s="93" t="s">
        <v>3797</v>
      </c>
      <c r="W61" s="92"/>
      <c r="X61" s="88" t="s">
        <v>2627</v>
      </c>
      <c r="Y61" s="88" t="s">
        <v>3798</v>
      </c>
      <c r="Z61" s="88" t="s">
        <v>1985</v>
      </c>
      <c r="AA61" s="93" t="s">
        <v>3079</v>
      </c>
      <c r="AB61" s="93" t="s">
        <v>3080</v>
      </c>
      <c r="AC61" s="209" t="s">
        <v>3799</v>
      </c>
      <c r="AD61" s="98"/>
      <c r="AE61" s="93" t="s">
        <v>3342</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3642</v>
      </c>
      <c r="Q62" s="299"/>
      <c r="R62" s="299" t="s">
        <v>3825</v>
      </c>
      <c r="S62" s="299" t="s">
        <v>3663</v>
      </c>
      <c r="T62" s="299" t="s">
        <v>1597</v>
      </c>
      <c r="U62" s="299" t="s">
        <v>3826</v>
      </c>
      <c r="V62" s="299" t="s">
        <v>3827</v>
      </c>
      <c r="W62" s="493"/>
      <c r="X62" s="196" t="s">
        <v>3155</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3049</v>
      </c>
      <c r="AN62" s="199" t="s">
        <v>3836</v>
      </c>
      <c r="AO62" s="199" t="s">
        <v>3837</v>
      </c>
      <c r="AP62" s="199" t="s">
        <v>3838</v>
      </c>
      <c r="AQ62" s="199" t="s">
        <v>3839</v>
      </c>
      <c r="AR62" s="199" t="s">
        <v>3244</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3451</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3256</v>
      </c>
      <c r="DB62" s="388" t="s">
        <v>3871</v>
      </c>
      <c r="DC62" s="388" t="s">
        <v>3872</v>
      </c>
      <c r="DD62" s="388" t="s">
        <v>3873</v>
      </c>
      <c r="DE62" s="388" t="s">
        <v>3874</v>
      </c>
      <c r="DF62" s="388"/>
      <c r="DG62" s="208" t="s">
        <v>3875</v>
      </c>
      <c r="DH62" s="208" t="s">
        <v>3587</v>
      </c>
      <c r="DI62" s="208" t="s">
        <v>3876</v>
      </c>
      <c r="DJ62" s="208"/>
      <c r="DK62" s="208" t="s">
        <v>544</v>
      </c>
      <c r="DL62" s="208" t="s">
        <v>1559</v>
      </c>
      <c r="DM62" s="208" t="s">
        <v>3877</v>
      </c>
      <c r="DN62" s="208" t="s">
        <v>3878</v>
      </c>
      <c r="DO62" s="208" t="s">
        <v>3374</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3329</v>
      </c>
      <c r="AF63" s="93" t="s">
        <v>3896</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3288</v>
      </c>
      <c r="BS63" s="93" t="s">
        <v>3235</v>
      </c>
      <c r="BT63" s="93" t="s">
        <v>3901</v>
      </c>
      <c r="BU63" s="93" t="s">
        <v>3120</v>
      </c>
      <c r="BV63" s="93" t="s">
        <v>3723</v>
      </c>
      <c r="BW63" s="93" t="s">
        <v>3902</v>
      </c>
      <c r="BX63" s="97" t="str">
        <f>HYPERLINK("https://clips.twitch.tv/EnergeticWrongManateeKlappa","2:32.84")</f>
        <v>2:32.84</v>
      </c>
      <c r="BY63" s="93" t="s">
        <v>3903</v>
      </c>
      <c r="BZ63" s="93" t="s">
        <v>907</v>
      </c>
      <c r="CA63" s="98"/>
      <c r="CB63" s="98"/>
      <c r="CC63" s="98"/>
      <c r="CD63" s="98"/>
      <c r="CE63" s="261"/>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3310</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3677</v>
      </c>
      <c r="I64" s="166" t="s">
        <v>3175</v>
      </c>
      <c r="J64" s="166" t="s">
        <v>3914</v>
      </c>
      <c r="K64" s="290" t="s">
        <v>1633</v>
      </c>
      <c r="L64" s="112" t="s">
        <v>3915</v>
      </c>
      <c r="M64" s="166" t="s">
        <v>3916</v>
      </c>
      <c r="N64" s="166" t="s">
        <v>695</v>
      </c>
      <c r="O64" s="166" t="s">
        <v>3917</v>
      </c>
      <c r="P64" s="112" t="s">
        <v>777</v>
      </c>
      <c r="Q64" s="222"/>
      <c r="R64" s="222"/>
      <c r="S64" s="112" t="s">
        <v>3204</v>
      </c>
      <c r="T64" s="222"/>
      <c r="U64" s="166" t="s">
        <v>2985</v>
      </c>
      <c r="V64" s="222"/>
      <c r="W64" s="92"/>
      <c r="X64" s="197" t="s">
        <v>1755</v>
      </c>
      <c r="Y64" s="197" t="s">
        <v>3918</v>
      </c>
      <c r="Z64" s="197" t="s">
        <v>3642</v>
      </c>
      <c r="AA64" s="197" t="s">
        <v>1221</v>
      </c>
      <c r="AB64" s="197" t="s">
        <v>2291</v>
      </c>
      <c r="AC64" s="197" t="s">
        <v>3919</v>
      </c>
      <c r="AD64" s="270"/>
      <c r="AE64" s="197" t="s">
        <v>3018</v>
      </c>
      <c r="AF64" s="197" t="s">
        <v>3920</v>
      </c>
      <c r="AG64" s="270"/>
      <c r="AH64" s="197"/>
      <c r="AI64" s="197" t="s">
        <v>2821</v>
      </c>
      <c r="AJ64" s="270"/>
      <c r="AK64" s="96"/>
      <c r="AL64" s="167" t="s">
        <v>3921</v>
      </c>
      <c r="AM64" s="167" t="s">
        <v>3922</v>
      </c>
      <c r="AN64" s="271"/>
      <c r="AO64" s="271"/>
      <c r="AP64" s="271"/>
      <c r="AQ64" s="271"/>
      <c r="AR64" s="271"/>
      <c r="AS64" s="271"/>
      <c r="AT64" s="306" t="s">
        <v>3475</v>
      </c>
      <c r="AU64" s="167" t="s">
        <v>1007</v>
      </c>
      <c r="AV64" s="167" t="s">
        <v>3923</v>
      </c>
      <c r="AW64" s="271"/>
      <c r="AX64" s="167" t="s">
        <v>3077</v>
      </c>
      <c r="AY64" s="271"/>
      <c r="AZ64" s="271"/>
      <c r="BA64" s="173" t="s">
        <v>2751</v>
      </c>
      <c r="BB64" s="173" t="s">
        <v>1018</v>
      </c>
      <c r="BC64" s="173" t="s">
        <v>3657</v>
      </c>
      <c r="BD64" s="127" t="s">
        <v>3924</v>
      </c>
      <c r="BE64" s="127" t="s">
        <v>2158</v>
      </c>
      <c r="BF64" s="173" t="s">
        <v>1597</v>
      </c>
      <c r="BG64" s="172"/>
      <c r="BH64" s="173" t="s">
        <v>2160</v>
      </c>
      <c r="BI64" s="172"/>
      <c r="BJ64" s="173" t="s">
        <v>3925</v>
      </c>
      <c r="BK64" s="173" t="s">
        <v>3143</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3052</v>
      </c>
      <c r="CC64" s="174" t="s">
        <v>234</v>
      </c>
      <c r="CD64" s="276"/>
      <c r="CE64" s="277"/>
      <c r="CF64" s="176" t="s">
        <v>3932</v>
      </c>
      <c r="CG64" s="176" t="s">
        <v>3027</v>
      </c>
      <c r="CH64" s="176" t="s">
        <v>3933</v>
      </c>
      <c r="CI64" s="176" t="s">
        <v>3934</v>
      </c>
      <c r="CJ64" s="176"/>
      <c r="CK64" s="176" t="s">
        <v>3935</v>
      </c>
      <c r="CL64" s="176" t="s">
        <v>849</v>
      </c>
      <c r="CM64" s="176" t="s">
        <v>3100</v>
      </c>
      <c r="CN64" s="279"/>
      <c r="CO64" s="279"/>
      <c r="CP64" s="176"/>
      <c r="CQ64" s="176" t="s">
        <v>2398</v>
      </c>
      <c r="CR64" s="279"/>
      <c r="CS64" s="92"/>
      <c r="CT64" s="205" t="s">
        <v>3936</v>
      </c>
      <c r="CU64" s="205" t="s">
        <v>2684</v>
      </c>
      <c r="CV64" s="205" t="s">
        <v>3937</v>
      </c>
      <c r="CW64" s="205" t="s">
        <v>3938</v>
      </c>
      <c r="CX64" s="205" t="s">
        <v>3939</v>
      </c>
      <c r="CY64" s="205" t="s">
        <v>3940</v>
      </c>
      <c r="CZ64" s="140" t="s">
        <v>3495</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3561</v>
      </c>
      <c r="AU65" s="88" t="s">
        <v>3956</v>
      </c>
      <c r="AV65" s="98"/>
      <c r="AW65" s="98"/>
      <c r="AX65" s="98"/>
      <c r="AY65" s="98"/>
      <c r="AZ65" s="98"/>
      <c r="BA65" s="88" t="s">
        <v>293</v>
      </c>
      <c r="BB65" s="161" t="s">
        <v>568</v>
      </c>
      <c r="BC65" s="88" t="s">
        <v>892</v>
      </c>
      <c r="BD65" s="88" t="s">
        <v>1052</v>
      </c>
      <c r="BE65" s="88" t="s">
        <v>3535</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3160</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3601</v>
      </c>
      <c r="L66" s="506" t="s">
        <v>2613</v>
      </c>
      <c r="M66" s="506" t="s">
        <v>3969</v>
      </c>
      <c r="N66" s="335" t="s">
        <v>3332</v>
      </c>
      <c r="O66" s="507" t="s">
        <v>3970</v>
      </c>
      <c r="P66" s="506" t="s">
        <v>2852</v>
      </c>
      <c r="Q66" s="506" t="s">
        <v>3971</v>
      </c>
      <c r="R66" s="506" t="s">
        <v>3972</v>
      </c>
      <c r="S66" s="506" t="s">
        <v>3182</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3627</v>
      </c>
      <c r="AW66" s="343" t="s">
        <v>1879</v>
      </c>
      <c r="AX66" s="343" t="s">
        <v>3984</v>
      </c>
      <c r="AY66" s="343" t="s">
        <v>3985</v>
      </c>
      <c r="AZ66" s="343"/>
      <c r="BA66" s="510" t="s">
        <v>3986</v>
      </c>
      <c r="BB66" s="349" t="s">
        <v>2743</v>
      </c>
      <c r="BC66" s="510" t="s">
        <v>1361</v>
      </c>
      <c r="BD66" s="510" t="s">
        <v>3115</v>
      </c>
      <c r="BE66" s="510" t="s">
        <v>3343</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3137</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3135</v>
      </c>
      <c r="CH66" s="457" t="s">
        <v>4002</v>
      </c>
      <c r="CI66" s="356" t="s">
        <v>4003</v>
      </c>
      <c r="CJ66" s="516" t="s">
        <v>4004</v>
      </c>
      <c r="CK66" s="457" t="s">
        <v>4005</v>
      </c>
      <c r="CL66" s="356" t="s">
        <v>3362</v>
      </c>
      <c r="CM66" s="356" t="s">
        <v>4006</v>
      </c>
      <c r="CN66" s="457" t="s">
        <v>4007</v>
      </c>
      <c r="CO66" s="457" t="s">
        <v>4008</v>
      </c>
      <c r="CP66" s="457"/>
      <c r="CQ66" s="457" t="s">
        <v>1504</v>
      </c>
      <c r="CR66" s="457" t="s">
        <v>3397</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3512</v>
      </c>
      <c r="DF66" s="359"/>
      <c r="DG66" s="366" t="s">
        <v>1997</v>
      </c>
      <c r="DH66" s="366"/>
      <c r="DI66" s="366" t="s">
        <v>4017</v>
      </c>
      <c r="DJ66" s="366" t="s">
        <v>4018</v>
      </c>
      <c r="DK66" s="366" t="s">
        <v>2692</v>
      </c>
      <c r="DL66" s="366" t="s">
        <v>719</v>
      </c>
      <c r="DM66" s="366" t="s">
        <v>4019</v>
      </c>
      <c r="DN66" s="366" t="s">
        <v>4020</v>
      </c>
      <c r="DO66" s="366" t="s">
        <v>3743</v>
      </c>
      <c r="DP66" s="366" t="s">
        <v>3816</v>
      </c>
      <c r="DQ66" s="366" t="s">
        <v>3458</v>
      </c>
      <c r="DR66" s="366" t="s">
        <v>3506</v>
      </c>
      <c r="DS66" s="366" t="s">
        <v>4021</v>
      </c>
      <c r="DT66" s="518" t="s">
        <v>4022</v>
      </c>
      <c r="DU66" s="519" t="s">
        <v>659</v>
      </c>
      <c r="DV66" s="366" t="s">
        <v>4023</v>
      </c>
      <c r="DW66" s="366" t="s">
        <v>3426</v>
      </c>
      <c r="DX66" s="366" t="s">
        <v>3710</v>
      </c>
      <c r="DY66" s="366" t="s">
        <v>2238</v>
      </c>
      <c r="DZ66" s="366" t="s">
        <v>3901</v>
      </c>
      <c r="EA66" s="366" t="s">
        <v>1914</v>
      </c>
      <c r="EB66" s="316" t="s">
        <v>4024</v>
      </c>
    </row>
    <row r="67">
      <c r="A67" s="520" t="s">
        <v>4025</v>
      </c>
      <c r="B67" s="82" t="s">
        <v>4026</v>
      </c>
      <c r="C67" s="83" t="s">
        <v>1483</v>
      </c>
      <c r="D67" s="84" t="s">
        <v>1483</v>
      </c>
      <c r="E67" s="85" t="s">
        <v>1483</v>
      </c>
      <c r="F67" s="86" t="s">
        <v>1033</v>
      </c>
      <c r="G67" s="82" t="s">
        <v>3007</v>
      </c>
      <c r="H67" s="88" t="s">
        <v>3499</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3125</v>
      </c>
      <c r="AF67" s="93" t="s">
        <v>1502</v>
      </c>
      <c r="AG67" s="93" t="s">
        <v>4041</v>
      </c>
      <c r="AH67" s="93"/>
      <c r="AI67" s="93" t="s">
        <v>3312</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3032</v>
      </c>
      <c r="BJ67" s="93"/>
      <c r="BK67" s="93" t="s">
        <v>4055</v>
      </c>
      <c r="BL67" s="93" t="s">
        <v>1603</v>
      </c>
      <c r="BM67" s="93" t="s">
        <v>2695</v>
      </c>
      <c r="BN67" s="93" t="s">
        <v>4056</v>
      </c>
      <c r="BO67" s="93" t="s">
        <v>4057</v>
      </c>
      <c r="BP67" s="99"/>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3046</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3412</v>
      </c>
      <c r="DL67" s="93" t="s">
        <v>719</v>
      </c>
      <c r="DM67" s="93" t="s">
        <v>4084</v>
      </c>
      <c r="DN67" s="93" t="s">
        <v>4085</v>
      </c>
      <c r="DO67" s="93" t="s">
        <v>4086</v>
      </c>
      <c r="DP67" s="93" t="s">
        <v>2040</v>
      </c>
      <c r="DQ67" s="88" t="s">
        <v>3087</v>
      </c>
      <c r="DR67" s="93" t="s">
        <v>455</v>
      </c>
      <c r="DS67" s="93" t="s">
        <v>3235</v>
      </c>
      <c r="DT67" s="93" t="s">
        <v>4087</v>
      </c>
      <c r="DU67" s="93" t="s">
        <v>4088</v>
      </c>
      <c r="DV67" s="93" t="s">
        <v>382</v>
      </c>
      <c r="DW67" s="522" t="s">
        <v>3159</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3750</v>
      </c>
      <c r="K68" s="166" t="s">
        <v>4098</v>
      </c>
      <c r="L68" s="299" t="s">
        <v>3552</v>
      </c>
      <c r="M68" s="166" t="s">
        <v>4099</v>
      </c>
      <c r="N68" s="166" t="s">
        <v>4100</v>
      </c>
      <c r="O68" s="166" t="s">
        <v>4101</v>
      </c>
      <c r="P68" s="112" t="s">
        <v>2977</v>
      </c>
      <c r="Q68" s="166" t="s">
        <v>4102</v>
      </c>
      <c r="R68" s="166" t="s">
        <v>548</v>
      </c>
      <c r="S68" s="301" t="s">
        <v>3344</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3566</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3603</v>
      </c>
      <c r="BE68" s="171" t="s">
        <v>4116</v>
      </c>
      <c r="BF68" s="173" t="s">
        <v>2359</v>
      </c>
      <c r="BG68" s="173" t="s">
        <v>1922</v>
      </c>
      <c r="BH68" s="173" t="s">
        <v>3104</v>
      </c>
      <c r="BI68" s="173" t="s">
        <v>4117</v>
      </c>
      <c r="BJ68" s="171" t="s">
        <v>4118</v>
      </c>
      <c r="BK68" s="173" t="s">
        <v>3959</v>
      </c>
      <c r="BL68" s="127" t="s">
        <v>4119</v>
      </c>
      <c r="BM68" s="127" t="s">
        <v>4120</v>
      </c>
      <c r="BN68" s="173" t="s">
        <v>4121</v>
      </c>
      <c r="BO68" s="173" t="s">
        <v>4122</v>
      </c>
      <c r="BP68" s="173"/>
      <c r="BQ68" s="130" t="s">
        <v>3185</v>
      </c>
      <c r="BR68" s="174" t="s">
        <v>2384</v>
      </c>
      <c r="BS68" s="130" t="s">
        <v>3961</v>
      </c>
      <c r="BT68" s="308" t="s">
        <v>3665</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3119</v>
      </c>
      <c r="CQ68" s="176" t="s">
        <v>1774</v>
      </c>
      <c r="CR68" s="176" t="s">
        <v>4135</v>
      </c>
      <c r="CS68" s="92"/>
      <c r="CT68" s="205" t="s">
        <v>4136</v>
      </c>
      <c r="CU68" s="205" t="s">
        <v>4137</v>
      </c>
      <c r="CV68" s="205" t="s">
        <v>3593</v>
      </c>
      <c r="CW68" s="140" t="s">
        <v>4138</v>
      </c>
      <c r="CX68" s="205" t="s">
        <v>4139</v>
      </c>
      <c r="CY68" s="372" t="s">
        <v>4140</v>
      </c>
      <c r="CZ68" s="388" t="s">
        <v>4141</v>
      </c>
      <c r="DA68" s="205" t="s">
        <v>3198</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3259</v>
      </c>
      <c r="DO68" s="282"/>
      <c r="DP68" s="206" t="s">
        <v>4148</v>
      </c>
      <c r="DQ68" s="206" t="s">
        <v>3152</v>
      </c>
      <c r="DR68" s="282"/>
      <c r="DS68" s="206" t="s">
        <v>4149</v>
      </c>
      <c r="DT68" s="206" t="s">
        <v>4150</v>
      </c>
      <c r="DU68" s="206" t="s">
        <v>1020</v>
      </c>
      <c r="DV68" s="206" t="s">
        <v>4151</v>
      </c>
      <c r="DW68" s="206" t="s">
        <v>1102</v>
      </c>
      <c r="DX68" s="206" t="s">
        <v>2658</v>
      </c>
      <c r="DY68" s="206" t="s">
        <v>1566</v>
      </c>
      <c r="DZ68" s="206" t="s">
        <v>4152</v>
      </c>
      <c r="EA68" s="145" t="s">
        <v>3376</v>
      </c>
      <c r="EB68" s="316" t="s">
        <v>4153</v>
      </c>
    </row>
    <row r="69">
      <c r="A69" s="148" t="s">
        <v>4154</v>
      </c>
      <c r="B69" s="523" t="s">
        <v>4155</v>
      </c>
      <c r="C69" s="524" t="s">
        <v>1483</v>
      </c>
      <c r="D69" s="525" t="s">
        <v>562</v>
      </c>
      <c r="E69" s="526" t="s">
        <v>562</v>
      </c>
      <c r="F69" s="527" t="s">
        <v>1109</v>
      </c>
      <c r="G69" s="523" t="s">
        <v>1571</v>
      </c>
      <c r="H69" s="528" t="s">
        <v>4156</v>
      </c>
      <c r="I69" s="528" t="s">
        <v>3074</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3764</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3264</v>
      </c>
      <c r="I70" s="112" t="s">
        <v>4174</v>
      </c>
      <c r="J70" s="112" t="s">
        <v>3324</v>
      </c>
      <c r="K70" s="112" t="s">
        <v>1488</v>
      </c>
      <c r="L70" s="112" t="s">
        <v>419</v>
      </c>
      <c r="M70" s="290" t="s">
        <v>4175</v>
      </c>
      <c r="N70" s="112" t="s">
        <v>4176</v>
      </c>
      <c r="O70" s="112" t="s">
        <v>3386</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3241</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3108</v>
      </c>
      <c r="BU70" s="130" t="s">
        <v>3212</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3378</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3594</v>
      </c>
      <c r="DV70" s="282"/>
      <c r="DW70" s="208" t="s">
        <v>302</v>
      </c>
      <c r="DX70" s="206" t="s">
        <v>4218</v>
      </c>
      <c r="DY70" s="206" t="s">
        <v>4219</v>
      </c>
      <c r="DZ70" s="145" t="s">
        <v>4220</v>
      </c>
      <c r="EA70" s="145" t="s">
        <v>1966</v>
      </c>
      <c r="EB70" s="142" t="s">
        <v>3110</v>
      </c>
    </row>
    <row r="71">
      <c r="A71" s="81" t="s">
        <v>4221</v>
      </c>
      <c r="B71" s="82" t="s">
        <v>4222</v>
      </c>
      <c r="C71" s="83" t="s">
        <v>1483</v>
      </c>
      <c r="D71" s="84" t="s">
        <v>1483</v>
      </c>
      <c r="E71" s="85" t="s">
        <v>1483</v>
      </c>
      <c r="F71" s="86" t="s">
        <v>3463</v>
      </c>
      <c r="G71" s="82" t="s">
        <v>3263</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3722</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3166</v>
      </c>
      <c r="AU71" s="88" t="s">
        <v>418</v>
      </c>
      <c r="AV71" s="98"/>
      <c r="AW71" s="98"/>
      <c r="AX71" s="98"/>
      <c r="AY71" s="98"/>
      <c r="AZ71" s="98"/>
      <c r="BA71" s="88" t="s">
        <v>2869</v>
      </c>
      <c r="BB71" s="88" t="s">
        <v>312</v>
      </c>
      <c r="BC71" s="88" t="s">
        <v>1062</v>
      </c>
      <c r="BD71" s="88" t="s">
        <v>4235</v>
      </c>
      <c r="BE71" s="88" t="s">
        <v>4236</v>
      </c>
      <c r="BF71" s="88" t="s">
        <v>3157</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3247</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3143</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3764</v>
      </c>
      <c r="DO71" s="98"/>
      <c r="DP71" s="88" t="s">
        <v>4257</v>
      </c>
      <c r="DQ71" s="88" t="s">
        <v>3825</v>
      </c>
      <c r="DR71" s="93" t="s">
        <v>4258</v>
      </c>
      <c r="DS71" s="93" t="s">
        <v>1965</v>
      </c>
      <c r="DT71" s="93" t="s">
        <v>4259</v>
      </c>
      <c r="DU71" s="88" t="s">
        <v>1791</v>
      </c>
      <c r="DV71" s="93" t="s">
        <v>3655</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3158</v>
      </c>
      <c r="L72" s="166" t="s">
        <v>3470</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3514</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3728</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3730</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3687</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3705</v>
      </c>
      <c r="V73" s="87" t="s">
        <v>4322</v>
      </c>
      <c r="W73" s="92"/>
      <c r="X73" s="98"/>
      <c r="Y73" s="93" t="s">
        <v>3121</v>
      </c>
      <c r="Z73" s="97" t="str">
        <f>HYPERLINK("https://youtu.be/esd_xoh2Wlk","14.77")</f>
        <v>14.77</v>
      </c>
      <c r="AA73" s="98"/>
      <c r="AB73" s="88" t="s">
        <v>3622</v>
      </c>
      <c r="AC73" s="93" t="s">
        <v>4323</v>
      </c>
      <c r="AD73" s="98"/>
      <c r="AE73" s="98"/>
      <c r="AF73" s="93" t="s">
        <v>3833</v>
      </c>
      <c r="AG73" s="93" t="s">
        <v>3540</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3748</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3303</v>
      </c>
      <c r="CH73" s="295" t="s">
        <v>4010</v>
      </c>
      <c r="CI73" s="93" t="s">
        <v>2842</v>
      </c>
      <c r="CJ73" s="93" t="s">
        <v>3244</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3705</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3115</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3212</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3328</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3493</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3599</v>
      </c>
      <c r="H76" s="166" t="s">
        <v>706</v>
      </c>
      <c r="I76" s="301" t="s">
        <v>4372</v>
      </c>
      <c r="J76" s="301" t="s">
        <v>4373</v>
      </c>
      <c r="K76" s="166" t="s">
        <v>2797</v>
      </c>
      <c r="L76" s="301" t="s">
        <v>4374</v>
      </c>
      <c r="M76" s="222"/>
      <c r="N76" s="301" t="s">
        <v>4375</v>
      </c>
      <c r="O76" s="301" t="s">
        <v>3322</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3749</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3139</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3734</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3092</v>
      </c>
      <c r="BU77" s="93" t="s">
        <v>885</v>
      </c>
      <c r="BV77" s="93" t="s">
        <v>4417</v>
      </c>
      <c r="BW77" s="93" t="s">
        <v>4418</v>
      </c>
      <c r="BX77" s="93" t="s">
        <v>4419</v>
      </c>
      <c r="BY77" s="93" t="s">
        <v>4420</v>
      </c>
      <c r="BZ77" s="93" t="s">
        <v>3723</v>
      </c>
      <c r="CA77" s="98"/>
      <c r="CB77" s="98"/>
      <c r="CC77" s="98"/>
      <c r="CD77" s="98"/>
      <c r="CE77" s="261"/>
      <c r="CF77" s="93" t="s">
        <v>2251</v>
      </c>
      <c r="CG77" s="93" t="s">
        <v>2940</v>
      </c>
      <c r="CH77" s="93" t="s">
        <v>3924</v>
      </c>
      <c r="CI77" s="93" t="s">
        <v>4421</v>
      </c>
      <c r="CJ77" s="93" t="s">
        <v>4422</v>
      </c>
      <c r="CK77" s="93" t="s">
        <v>573</v>
      </c>
      <c r="CL77" s="93" t="s">
        <v>4090</v>
      </c>
      <c r="CM77" s="93" t="s">
        <v>3403</v>
      </c>
      <c r="CN77" s="98"/>
      <c r="CO77" s="98"/>
      <c r="CP77" s="98"/>
      <c r="CQ77" s="98"/>
      <c r="CR77" s="98"/>
      <c r="CS77" s="92"/>
      <c r="CT77" s="93" t="s">
        <v>4423</v>
      </c>
      <c r="CU77" s="93" t="s">
        <v>4424</v>
      </c>
      <c r="CV77" s="93" t="s">
        <v>4425</v>
      </c>
      <c r="CW77" s="93" t="s">
        <v>4426</v>
      </c>
      <c r="CX77" s="93" t="s">
        <v>3290</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3317</v>
      </c>
      <c r="H78" s="166" t="s">
        <v>1416</v>
      </c>
      <c r="I78" s="166" t="s">
        <v>4433</v>
      </c>
      <c r="J78" s="166" t="s">
        <v>4434</v>
      </c>
      <c r="K78" s="166" t="s">
        <v>4435</v>
      </c>
      <c r="L78" s="166" t="s">
        <v>4436</v>
      </c>
      <c r="M78" s="166" t="s">
        <v>4437</v>
      </c>
      <c r="N78" s="166" t="s">
        <v>4438</v>
      </c>
      <c r="O78" s="166" t="s">
        <v>3151</v>
      </c>
      <c r="P78" s="166" t="s">
        <v>3269</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3027</v>
      </c>
      <c r="BD78" s="173" t="s">
        <v>264</v>
      </c>
      <c r="BE78" s="173" t="s">
        <v>3942</v>
      </c>
      <c r="BF78" s="173" t="s">
        <v>1272</v>
      </c>
      <c r="BG78" s="173" t="s">
        <v>2875</v>
      </c>
      <c r="BH78" s="173" t="s">
        <v>533</v>
      </c>
      <c r="BI78" s="172"/>
      <c r="BJ78" s="173" t="s">
        <v>4458</v>
      </c>
      <c r="BK78" s="173" t="s">
        <v>3206</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3413</v>
      </c>
      <c r="CH78" s="176" t="s">
        <v>4471</v>
      </c>
      <c r="CI78" s="176" t="s">
        <v>4472</v>
      </c>
      <c r="CJ78" s="176" t="s">
        <v>240</v>
      </c>
      <c r="CK78" s="538" t="s">
        <v>4473</v>
      </c>
      <c r="CL78" s="176" t="s">
        <v>3770</v>
      </c>
      <c r="CM78" s="176" t="s">
        <v>3730</v>
      </c>
      <c r="CN78" s="279"/>
      <c r="CO78" s="176" t="s">
        <v>1352</v>
      </c>
      <c r="CP78" s="176"/>
      <c r="CQ78" s="176" t="s">
        <v>4474</v>
      </c>
      <c r="CR78" s="176" t="s">
        <v>4475</v>
      </c>
      <c r="CS78" s="92"/>
      <c r="CT78" s="205" t="s">
        <v>3054</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3246</v>
      </c>
      <c r="DY78" s="206" t="s">
        <v>1142</v>
      </c>
      <c r="DZ78" s="206" t="s">
        <v>4490</v>
      </c>
      <c r="EA78" s="206" t="s">
        <v>2537</v>
      </c>
      <c r="EB78" s="316" t="s">
        <v>3379</v>
      </c>
    </row>
    <row r="79">
      <c r="A79" s="539" t="s">
        <v>4491</v>
      </c>
      <c r="B79" s="82" t="s">
        <v>4492</v>
      </c>
      <c r="C79" s="83" t="s">
        <v>1483</v>
      </c>
      <c r="D79" s="84" t="s">
        <v>1483</v>
      </c>
      <c r="E79" s="85" t="s">
        <v>1483</v>
      </c>
      <c r="F79" s="86" t="s">
        <v>562</v>
      </c>
      <c r="G79" s="82" t="s">
        <v>4493</v>
      </c>
      <c r="H79" s="93" t="s">
        <v>2207</v>
      </c>
      <c r="I79" s="93" t="s">
        <v>4494</v>
      </c>
      <c r="J79" s="93" t="s">
        <v>3641</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3018</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3318</v>
      </c>
      <c r="BB79" s="93" t="s">
        <v>3611</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3572</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3127</v>
      </c>
      <c r="CX79" s="378" t="s">
        <v>4520</v>
      </c>
      <c r="CY79" s="378" t="s">
        <v>1726</v>
      </c>
      <c r="CZ79" s="377" t="s">
        <v>4521</v>
      </c>
      <c r="DA79" s="378" t="s">
        <v>3537</v>
      </c>
      <c r="DB79" s="98"/>
      <c r="DC79" s="98"/>
      <c r="DD79" s="98"/>
      <c r="DE79" s="98"/>
      <c r="DF79" s="261"/>
      <c r="DG79" s="378"/>
      <c r="DH79" s="378"/>
      <c r="DI79" s="378"/>
      <c r="DJ79" s="378"/>
      <c r="DK79" s="378"/>
      <c r="DL79" s="93" t="s">
        <v>4522</v>
      </c>
      <c r="DM79" s="378"/>
      <c r="DN79" s="378"/>
      <c r="DO79" s="93" t="s">
        <v>3412</v>
      </c>
      <c r="DP79" s="93" t="s">
        <v>4523</v>
      </c>
      <c r="DQ79" s="93" t="s">
        <v>4524</v>
      </c>
      <c r="DR79" s="93" t="s">
        <v>3833</v>
      </c>
      <c r="DS79" s="93" t="s">
        <v>3114</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3307</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3725</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4542</v>
      </c>
      <c r="CU80" s="280"/>
      <c r="CV80" s="401" t="s">
        <v>785</v>
      </c>
      <c r="CW80" s="205" t="s">
        <v>3766</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3028</v>
      </c>
      <c r="T81" s="93" t="s">
        <v>3019</v>
      </c>
      <c r="U81" s="93" t="s">
        <v>2147</v>
      </c>
      <c r="V81" s="93" t="s">
        <v>4552</v>
      </c>
      <c r="W81" s="92"/>
      <c r="X81" s="297" t="s">
        <v>4553</v>
      </c>
      <c r="Y81" s="93" t="s">
        <v>3107</v>
      </c>
      <c r="Z81" s="209" t="s">
        <v>3580</v>
      </c>
      <c r="AA81" s="161" t="s">
        <v>3829</v>
      </c>
      <c r="AB81" s="161" t="s">
        <v>4554</v>
      </c>
      <c r="AC81" s="88" t="s">
        <v>4555</v>
      </c>
      <c r="AD81" s="98"/>
      <c r="AE81" s="88" t="s">
        <v>3276</v>
      </c>
      <c r="AF81" s="209" t="s">
        <v>1819</v>
      </c>
      <c r="AG81" s="93" t="s">
        <v>1920</v>
      </c>
      <c r="AH81" s="98"/>
      <c r="AI81" s="93" t="s">
        <v>3543</v>
      </c>
      <c r="AJ81" s="93" t="s">
        <v>4556</v>
      </c>
      <c r="AK81" s="96"/>
      <c r="AL81" s="93" t="s">
        <v>376</v>
      </c>
      <c r="AM81" s="93" t="s">
        <v>4557</v>
      </c>
      <c r="AN81" s="93" t="s">
        <v>4558</v>
      </c>
      <c r="AO81" s="93" t="s">
        <v>4559</v>
      </c>
      <c r="AP81" s="93" t="s">
        <v>1491</v>
      </c>
      <c r="AQ81" s="93" t="s">
        <v>3825</v>
      </c>
      <c r="AR81" s="93" t="s">
        <v>3676</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3738</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3243</v>
      </c>
      <c r="BS81" s="93" t="s">
        <v>4573</v>
      </c>
      <c r="BT81" s="88" t="s">
        <v>4574</v>
      </c>
      <c r="BU81" s="93" t="s">
        <v>4575</v>
      </c>
      <c r="BV81" s="93" t="s">
        <v>332</v>
      </c>
      <c r="BW81" s="98"/>
      <c r="BX81" s="98"/>
      <c r="BY81" s="209" t="s">
        <v>3668</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3264</v>
      </c>
      <c r="CX81" s="93" t="s">
        <v>1553</v>
      </c>
      <c r="CY81" s="93" t="s">
        <v>4588</v>
      </c>
      <c r="CZ81" s="209" t="s">
        <v>4589</v>
      </c>
      <c r="DA81" s="93" t="s">
        <v>4590</v>
      </c>
      <c r="DB81" s="93" t="s">
        <v>4591</v>
      </c>
      <c r="DC81" s="93" t="s">
        <v>3016</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3176</v>
      </c>
      <c r="DY81" s="93" t="s">
        <v>2697</v>
      </c>
      <c r="DZ81" s="88" t="s">
        <v>4601</v>
      </c>
      <c r="EA81" s="88" t="s">
        <v>4152</v>
      </c>
      <c r="EB81" s="97" t="s">
        <v>3070</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3135</v>
      </c>
      <c r="AC82" s="116" t="s">
        <v>2849</v>
      </c>
      <c r="AD82" s="116" t="s">
        <v>4614</v>
      </c>
      <c r="AE82" s="116" t="s">
        <v>4615</v>
      </c>
      <c r="AF82" s="116" t="s">
        <v>1638</v>
      </c>
      <c r="AG82" s="197" t="s">
        <v>4616</v>
      </c>
      <c r="AH82" s="197" t="s">
        <v>4617</v>
      </c>
      <c r="AI82" s="197" t="s">
        <v>3648</v>
      </c>
      <c r="AJ82" s="197" t="s">
        <v>4618</v>
      </c>
      <c r="AK82" s="96"/>
      <c r="AL82" s="167" t="s">
        <v>739</v>
      </c>
      <c r="AM82" s="167" t="s">
        <v>4619</v>
      </c>
      <c r="AN82" s="167" t="s">
        <v>4620</v>
      </c>
      <c r="AO82" s="167" t="s">
        <v>4621</v>
      </c>
      <c r="AP82" s="167" t="s">
        <v>4622</v>
      </c>
      <c r="AQ82" s="167"/>
      <c r="AR82" s="167" t="s">
        <v>3653</v>
      </c>
      <c r="AS82" s="167" t="s">
        <v>3035</v>
      </c>
      <c r="AT82" s="121" t="s">
        <v>2847</v>
      </c>
      <c r="AU82" s="121" t="s">
        <v>925</v>
      </c>
      <c r="AV82" s="121" t="s">
        <v>656</v>
      </c>
      <c r="AW82" s="167" t="s">
        <v>4218</v>
      </c>
      <c r="AX82" s="167" t="s">
        <v>3280</v>
      </c>
      <c r="AY82" s="167" t="s">
        <v>4623</v>
      </c>
      <c r="AZ82" s="167"/>
      <c r="BA82" s="127" t="s">
        <v>288</v>
      </c>
      <c r="BB82" s="127" t="s">
        <v>4457</v>
      </c>
      <c r="BC82" s="127" t="s">
        <v>4624</v>
      </c>
      <c r="BD82" s="127" t="s">
        <v>3584</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3299</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3526</v>
      </c>
      <c r="CX82" s="205" t="s">
        <v>565</v>
      </c>
      <c r="CY82" s="205" t="s">
        <v>3458</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3107</v>
      </c>
      <c r="DO82" s="206" t="s">
        <v>4313</v>
      </c>
      <c r="DP82" s="145" t="s">
        <v>4654</v>
      </c>
      <c r="DQ82" s="145" t="s">
        <v>3569</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3077</v>
      </c>
      <c r="K83" s="297" t="s">
        <v>4662</v>
      </c>
      <c r="L83" s="297" t="s">
        <v>2873</v>
      </c>
      <c r="M83" s="88" t="s">
        <v>4663</v>
      </c>
      <c r="N83" s="297" t="s">
        <v>4664</v>
      </c>
      <c r="O83" s="297" t="s">
        <v>3917</v>
      </c>
      <c r="P83" s="297" t="s">
        <v>2977</v>
      </c>
      <c r="Q83" s="476"/>
      <c r="R83" s="476"/>
      <c r="S83" s="476"/>
      <c r="T83" s="476"/>
      <c r="U83" s="476"/>
      <c r="V83" s="476"/>
      <c r="W83" s="546"/>
      <c r="X83" s="297" t="s">
        <v>3078</v>
      </c>
      <c r="Y83" s="297" t="s">
        <v>3084</v>
      </c>
      <c r="Z83" s="297" t="s">
        <v>2249</v>
      </c>
      <c r="AA83" s="297" t="s">
        <v>1161</v>
      </c>
      <c r="AB83" s="297" t="s">
        <v>1860</v>
      </c>
      <c r="AC83" s="297" t="s">
        <v>4040</v>
      </c>
      <c r="AD83" s="476"/>
      <c r="AE83" s="297" t="s">
        <v>2445</v>
      </c>
      <c r="AF83" s="297" t="s">
        <v>3447</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3179</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3655</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3642</v>
      </c>
      <c r="AA84" s="197" t="s">
        <v>4692</v>
      </c>
      <c r="AB84" s="197" t="s">
        <v>3701</v>
      </c>
      <c r="AC84" s="197" t="s">
        <v>4693</v>
      </c>
      <c r="AD84" s="270"/>
      <c r="AE84" s="270"/>
      <c r="AF84" s="197" t="s">
        <v>3762</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3388</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3418</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3691</v>
      </c>
      <c r="BS85" s="93" t="s">
        <v>3353</v>
      </c>
      <c r="BT85" s="93" t="s">
        <v>4341</v>
      </c>
      <c r="BU85" s="93" t="s">
        <v>3019</v>
      </c>
      <c r="BV85" s="93" t="s">
        <v>3146</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3413</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3198</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3684</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3125</v>
      </c>
      <c r="AF87" s="98"/>
      <c r="AG87" s="98"/>
      <c r="AH87" s="93"/>
      <c r="AI87" s="93" t="s">
        <v>3119</v>
      </c>
      <c r="AJ87" s="98"/>
      <c r="AK87" s="96"/>
      <c r="AL87" s="98"/>
      <c r="AM87" s="93" t="s">
        <v>4350</v>
      </c>
      <c r="AN87" s="98"/>
      <c r="AO87" s="93" t="s">
        <v>4750</v>
      </c>
      <c r="AP87" s="98"/>
      <c r="AQ87" s="98"/>
      <c r="AR87" s="98"/>
      <c r="AS87" s="98"/>
      <c r="AT87" s="93" t="s">
        <v>2033</v>
      </c>
      <c r="AU87" s="93" t="s">
        <v>3430</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3696</v>
      </c>
      <c r="BN87" s="98"/>
      <c r="BO87" s="98"/>
      <c r="BP87" s="261"/>
      <c r="BQ87" s="93" t="s">
        <v>4754</v>
      </c>
      <c r="BR87" s="93" t="s">
        <v>3691</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3253</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3006</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3636</v>
      </c>
      <c r="AH88" s="569" t="s">
        <v>1370</v>
      </c>
      <c r="AI88" s="116" t="s">
        <v>2255</v>
      </c>
      <c r="AJ88" s="569" t="s">
        <v>4780</v>
      </c>
      <c r="AK88" s="570"/>
      <c r="AL88" s="571" t="s">
        <v>3494</v>
      </c>
      <c r="AM88" s="571" t="s">
        <v>1436</v>
      </c>
      <c r="AN88" s="571" t="s">
        <v>4781</v>
      </c>
      <c r="AO88" s="572" t="s">
        <v>3011</v>
      </c>
      <c r="AP88" s="572" t="s">
        <v>4782</v>
      </c>
      <c r="AQ88" s="572" t="s">
        <v>4783</v>
      </c>
      <c r="AR88" s="571" t="s">
        <v>4784</v>
      </c>
      <c r="AS88" s="572" t="s">
        <v>4785</v>
      </c>
      <c r="AT88" s="572" t="s">
        <v>3133</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3436</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3231</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3523</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3022</v>
      </c>
      <c r="AD89" s="93" t="s">
        <v>4585</v>
      </c>
      <c r="AE89" s="93" t="s">
        <v>1351</v>
      </c>
      <c r="AF89" s="93" t="s">
        <v>4405</v>
      </c>
      <c r="AG89" s="93" t="s">
        <v>1474</v>
      </c>
      <c r="AH89" s="93"/>
      <c r="AI89" s="88" t="s">
        <v>4824</v>
      </c>
      <c r="AJ89" s="93" t="s">
        <v>4825</v>
      </c>
      <c r="AK89" s="96"/>
      <c r="AL89" s="93" t="s">
        <v>3740</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3235</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3361</v>
      </c>
      <c r="CK89" s="98"/>
      <c r="CL89" s="93" t="s">
        <v>3187</v>
      </c>
      <c r="CM89" s="93" t="s">
        <v>3475</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3165</v>
      </c>
      <c r="DO89" s="93" t="s">
        <v>2376</v>
      </c>
      <c r="DP89" s="93" t="s">
        <v>1086</v>
      </c>
      <c r="DQ89" s="98"/>
      <c r="DR89" s="93" t="s">
        <v>4849</v>
      </c>
      <c r="DS89" s="93" t="s">
        <v>4850</v>
      </c>
      <c r="DT89" s="93" t="s">
        <v>4851</v>
      </c>
      <c r="DU89" s="93" t="s">
        <v>4852</v>
      </c>
      <c r="DV89" s="93" t="s">
        <v>2005</v>
      </c>
      <c r="DW89" s="93" t="s">
        <v>1445</v>
      </c>
      <c r="DX89" s="93" t="s">
        <v>3324</v>
      </c>
      <c r="DY89" s="93" t="s">
        <v>3713</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3606</v>
      </c>
      <c r="AF90" s="116" t="s">
        <v>1985</v>
      </c>
      <c r="AG90" s="270"/>
      <c r="AH90" s="270"/>
      <c r="AI90" s="197" t="s">
        <v>2108</v>
      </c>
      <c r="AJ90" s="197" t="s">
        <v>4864</v>
      </c>
      <c r="AK90" s="96"/>
      <c r="AL90" s="271"/>
      <c r="AM90" s="271"/>
      <c r="AN90" s="271"/>
      <c r="AO90" s="271"/>
      <c r="AP90" s="167" t="s">
        <v>235</v>
      </c>
      <c r="AQ90" s="167"/>
      <c r="AR90" s="271"/>
      <c r="AS90" s="271"/>
      <c r="AT90" s="167" t="s">
        <v>952</v>
      </c>
      <c r="AU90" s="306" t="s">
        <v>3180</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3483</v>
      </c>
      <c r="BT90" s="174" t="s">
        <v>2097</v>
      </c>
      <c r="BU90" s="174" t="s">
        <v>4867</v>
      </c>
      <c r="BV90" s="174" t="s">
        <v>2919</v>
      </c>
      <c r="BW90" s="276"/>
      <c r="BX90" s="276"/>
      <c r="BY90" s="276"/>
      <c r="BZ90" s="130" t="s">
        <v>4795</v>
      </c>
      <c r="CA90" s="130" t="s">
        <v>4868</v>
      </c>
      <c r="CB90" s="276"/>
      <c r="CC90" s="130" t="s">
        <v>3151</v>
      </c>
      <c r="CD90" s="174" t="s">
        <v>4869</v>
      </c>
      <c r="CE90" s="174"/>
      <c r="CF90" s="176" t="s">
        <v>4870</v>
      </c>
      <c r="CG90" s="135" t="s">
        <v>297</v>
      </c>
      <c r="CH90" s="176" t="s">
        <v>4871</v>
      </c>
      <c r="CI90" s="176" t="s">
        <v>4872</v>
      </c>
      <c r="CJ90" s="176"/>
      <c r="CK90" s="279"/>
      <c r="CL90" s="176" t="s">
        <v>4873</v>
      </c>
      <c r="CM90" s="135" t="s">
        <v>3100</v>
      </c>
      <c r="CN90" s="279"/>
      <c r="CO90" s="176"/>
      <c r="CP90" s="279"/>
      <c r="CQ90" s="279"/>
      <c r="CR90" s="176" t="s">
        <v>4874</v>
      </c>
      <c r="CS90" s="92"/>
      <c r="CT90" s="205" t="s">
        <v>4774</v>
      </c>
      <c r="CU90" s="280"/>
      <c r="CV90" s="372" t="s">
        <v>1680</v>
      </c>
      <c r="CW90" s="205" t="s">
        <v>4519</v>
      </c>
      <c r="CX90" s="205" t="s">
        <v>4875</v>
      </c>
      <c r="CY90" s="205" t="s">
        <v>4876</v>
      </c>
      <c r="CZ90" s="372" t="s">
        <v>4761</v>
      </c>
      <c r="DA90" s="205" t="s">
        <v>3198</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3006</v>
      </c>
      <c r="G91" s="82" t="s">
        <v>3316</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3501</v>
      </c>
      <c r="N92" s="112" t="s">
        <v>4910</v>
      </c>
      <c r="O92" s="112" t="s">
        <v>4321</v>
      </c>
      <c r="P92" s="112" t="s">
        <v>4911</v>
      </c>
      <c r="Q92" s="112" t="s">
        <v>4912</v>
      </c>
      <c r="R92" s="222"/>
      <c r="S92" s="112" t="s">
        <v>3087</v>
      </c>
      <c r="T92" s="112" t="s">
        <v>4913</v>
      </c>
      <c r="U92" s="222"/>
      <c r="V92" s="166" t="s">
        <v>4914</v>
      </c>
      <c r="W92" s="92"/>
      <c r="X92" s="116" t="s">
        <v>1827</v>
      </c>
      <c r="Y92" s="270"/>
      <c r="Z92" s="116" t="s">
        <v>1119</v>
      </c>
      <c r="AA92" s="196" t="s">
        <v>4915</v>
      </c>
      <c r="AB92" s="116" t="s">
        <v>1554</v>
      </c>
      <c r="AC92" s="197" t="s">
        <v>2802</v>
      </c>
      <c r="AD92" s="270"/>
      <c r="AE92" s="116" t="s">
        <v>3606</v>
      </c>
      <c r="AF92" s="116" t="s">
        <v>4916</v>
      </c>
      <c r="AG92" s="270"/>
      <c r="AH92" s="197" t="s">
        <v>2855</v>
      </c>
      <c r="AI92" s="197" t="s">
        <v>786</v>
      </c>
      <c r="AJ92" s="270"/>
      <c r="AK92" s="96"/>
      <c r="AL92" s="167" t="s">
        <v>4917</v>
      </c>
      <c r="AM92" s="167" t="s">
        <v>4918</v>
      </c>
      <c r="AN92" s="271"/>
      <c r="AO92" s="167" t="s">
        <v>4919</v>
      </c>
      <c r="AP92" s="271"/>
      <c r="AQ92" s="271"/>
      <c r="AR92" s="271"/>
      <c r="AS92" s="167" t="s">
        <v>3349</v>
      </c>
      <c r="AT92" s="121" t="s">
        <v>3537</v>
      </c>
      <c r="AU92" s="121" t="s">
        <v>3159</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3459</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3259</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3375</v>
      </c>
      <c r="U93" s="209"/>
      <c r="V93" s="98"/>
      <c r="W93" s="92"/>
      <c r="X93" s="97" t="s">
        <v>3577</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3517</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3517</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3103</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3300</v>
      </c>
      <c r="BY94" s="174" t="s">
        <v>4970</v>
      </c>
      <c r="BZ94" s="174" t="s">
        <v>4971</v>
      </c>
      <c r="CA94" s="276"/>
      <c r="CB94" s="276"/>
      <c r="CC94" s="276"/>
      <c r="CD94" s="276"/>
      <c r="CE94" s="277"/>
      <c r="CF94" s="135" t="s">
        <v>3399</v>
      </c>
      <c r="CG94" s="176" t="s">
        <v>1023</v>
      </c>
      <c r="CH94" s="279"/>
      <c r="CI94" s="135" t="s">
        <v>4972</v>
      </c>
      <c r="CJ94" s="310"/>
      <c r="CK94" s="176" t="s">
        <v>3716</v>
      </c>
      <c r="CL94" s="176" t="s">
        <v>1104</v>
      </c>
      <c r="CM94" s="279"/>
      <c r="CN94" s="135" t="s">
        <v>4973</v>
      </c>
      <c r="CO94" s="279"/>
      <c r="CP94" s="279"/>
      <c r="CQ94" s="279"/>
      <c r="CR94" s="279"/>
      <c r="CS94" s="92"/>
      <c r="CT94" s="205" t="s">
        <v>1779</v>
      </c>
      <c r="CU94" s="280"/>
      <c r="CV94" s="205" t="s">
        <v>2329</v>
      </c>
      <c r="CW94" s="280"/>
      <c r="CX94" s="280"/>
      <c r="CY94" s="205" t="s">
        <v>3068</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3722</v>
      </c>
      <c r="I95" s="297" t="s">
        <v>4977</v>
      </c>
      <c r="J95" s="297" t="s">
        <v>2196</v>
      </c>
      <c r="K95" s="88" t="s">
        <v>1893</v>
      </c>
      <c r="L95" s="88" t="s">
        <v>4011</v>
      </c>
      <c r="M95" s="88" t="s">
        <v>4978</v>
      </c>
      <c r="N95" s="297" t="s">
        <v>4979</v>
      </c>
      <c r="O95" s="297" t="s">
        <v>4921</v>
      </c>
      <c r="P95" s="297" t="s">
        <v>2977</v>
      </c>
      <c r="Q95" s="297" t="s">
        <v>4980</v>
      </c>
      <c r="R95" s="88" t="s">
        <v>3376</v>
      </c>
      <c r="S95" s="88" t="s">
        <v>4829</v>
      </c>
      <c r="T95" s="98"/>
      <c r="U95" s="88" t="s">
        <v>701</v>
      </c>
      <c r="V95" s="88" t="s">
        <v>4981</v>
      </c>
      <c r="W95" s="92"/>
      <c r="X95" s="297" t="s">
        <v>3037</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3278</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3044</v>
      </c>
      <c r="DX95" s="93" t="s">
        <v>2043</v>
      </c>
      <c r="DY95" s="98"/>
      <c r="DZ95" s="98"/>
      <c r="EA95" s="98"/>
      <c r="EB95" s="97" t="s">
        <v>2632</v>
      </c>
    </row>
    <row r="96">
      <c r="A96" s="449" t="s">
        <v>5017</v>
      </c>
      <c r="B96" s="501" t="s">
        <v>5018</v>
      </c>
      <c r="C96" s="502" t="s">
        <v>1483</v>
      </c>
      <c r="D96" s="503" t="s">
        <v>1483</v>
      </c>
      <c r="E96" s="504" t="s">
        <v>1483</v>
      </c>
      <c r="F96" s="505" t="s">
        <v>338</v>
      </c>
      <c r="G96" s="501" t="s">
        <v>3382</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3657</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3465</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3531</v>
      </c>
      <c r="BU97" s="93" t="s">
        <v>5033</v>
      </c>
      <c r="BV97" s="93" t="s">
        <v>3486</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3316</v>
      </c>
      <c r="H98" s="222"/>
      <c r="I98" s="112" t="s">
        <v>5042</v>
      </c>
      <c r="J98" s="112" t="s">
        <v>2265</v>
      </c>
      <c r="K98" s="112" t="s">
        <v>3551</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3028</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3319</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3697</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3055</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3619</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3129</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3589</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3319</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3493</v>
      </c>
      <c r="AC100" s="197" t="s">
        <v>5093</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3093</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3593</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3034</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3730</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3717</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3671</v>
      </c>
      <c r="CD101" s="93" t="s">
        <v>5136</v>
      </c>
      <c r="CE101" s="99"/>
      <c r="CF101" s="93" t="s">
        <v>1462</v>
      </c>
      <c r="CG101" s="93" t="s">
        <v>5137</v>
      </c>
      <c r="CH101" s="93" t="s">
        <v>3136</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3492</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3438</v>
      </c>
      <c r="I102" s="166" t="s">
        <v>4017</v>
      </c>
      <c r="J102" s="166" t="s">
        <v>5162</v>
      </c>
      <c r="K102" s="166" t="s">
        <v>3601</v>
      </c>
      <c r="L102" s="166" t="s">
        <v>5163</v>
      </c>
      <c r="M102" s="166" t="s">
        <v>5164</v>
      </c>
      <c r="N102" s="166" t="s">
        <v>5165</v>
      </c>
      <c r="O102" s="166" t="s">
        <v>5166</v>
      </c>
      <c r="P102" s="166" t="s">
        <v>2746</v>
      </c>
      <c r="Q102" s="222"/>
      <c r="R102" s="222"/>
      <c r="S102" s="222"/>
      <c r="T102" s="222"/>
      <c r="U102" s="222"/>
      <c r="V102" s="222"/>
      <c r="W102" s="92"/>
      <c r="X102" s="197" t="s">
        <v>3605</v>
      </c>
      <c r="Y102" s="197" t="s">
        <v>3561</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3632</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3241</v>
      </c>
      <c r="Z104" s="197" t="s">
        <v>5198</v>
      </c>
      <c r="AA104" s="197" t="s">
        <v>4915</v>
      </c>
      <c r="AB104" s="270"/>
      <c r="AC104" s="197" t="s">
        <v>4277</v>
      </c>
      <c r="AD104" s="270"/>
      <c r="AE104" s="197" t="s">
        <v>3276</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3632</v>
      </c>
      <c r="CW104" s="205" t="s">
        <v>2877</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3288</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3208</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3607</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3730</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3246</v>
      </c>
      <c r="BN106" s="172"/>
      <c r="BO106" s="172"/>
      <c r="BP106" s="273"/>
      <c r="BQ106" s="174"/>
      <c r="BR106" s="174" t="s">
        <v>2261</v>
      </c>
      <c r="BS106" s="174" t="s">
        <v>5247</v>
      </c>
      <c r="BT106" s="130" t="s">
        <v>1020</v>
      </c>
      <c r="BU106" s="174" t="s">
        <v>5248</v>
      </c>
      <c r="BV106" s="130" t="s">
        <v>1166</v>
      </c>
      <c r="BW106" s="174" t="s">
        <v>3467</v>
      </c>
      <c r="BX106" s="174" t="s">
        <v>5249</v>
      </c>
      <c r="BY106" s="276"/>
      <c r="BZ106" s="174" t="s">
        <v>2425</v>
      </c>
      <c r="CA106" s="174" t="s">
        <v>5008</v>
      </c>
      <c r="CB106" s="174" t="s">
        <v>3349</v>
      </c>
      <c r="CC106" s="174" t="s">
        <v>1742</v>
      </c>
      <c r="CD106" s="276"/>
      <c r="CE106" s="277"/>
      <c r="CF106" s="176" t="s">
        <v>5250</v>
      </c>
      <c r="CG106" s="176" t="s">
        <v>3307</v>
      </c>
      <c r="CH106" s="176" t="s">
        <v>3552</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3486</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3227</v>
      </c>
      <c r="H107" s="98"/>
      <c r="I107" s="93" t="s">
        <v>5262</v>
      </c>
      <c r="J107" s="88" t="s">
        <v>5263</v>
      </c>
      <c r="K107" s="93" t="s">
        <v>4531</v>
      </c>
      <c r="L107" s="297" t="s">
        <v>581</v>
      </c>
      <c r="M107" s="98"/>
      <c r="N107" s="93" t="s">
        <v>5264</v>
      </c>
      <c r="O107" s="93" t="s">
        <v>1071</v>
      </c>
      <c r="P107" s="93" t="s">
        <v>3642</v>
      </c>
      <c r="Q107" s="98"/>
      <c r="R107" s="98"/>
      <c r="S107" s="98"/>
      <c r="T107" s="98"/>
      <c r="U107" s="98"/>
      <c r="V107" s="98"/>
      <c r="W107" s="92"/>
      <c r="X107" s="93" t="s">
        <v>2691</v>
      </c>
      <c r="Y107" s="93" t="s">
        <v>1056</v>
      </c>
      <c r="Z107" s="93" t="s">
        <v>3762</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3475</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3097</v>
      </c>
      <c r="Y108" s="303" t="s">
        <v>3335</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3548</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3624</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4913</v>
      </c>
      <c r="BB110" s="173" t="s">
        <v>3291</v>
      </c>
      <c r="BC110" s="173" t="s">
        <v>3451</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5303</v>
      </c>
      <c r="CU110" s="205" t="s">
        <v>3014</v>
      </c>
      <c r="CV110" s="205" t="s">
        <v>5304</v>
      </c>
      <c r="CW110" s="205" t="s">
        <v>1194</v>
      </c>
      <c r="CX110" s="205" t="s">
        <v>5305</v>
      </c>
      <c r="CY110" s="205"/>
      <c r="CZ110" s="205" t="s">
        <v>5306</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3239</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3081</v>
      </c>
      <c r="AJ111" s="93" t="s">
        <v>5316</v>
      </c>
      <c r="AK111" s="96"/>
      <c r="AL111" s="93" t="s">
        <v>3705</v>
      </c>
      <c r="AM111" s="93" t="s">
        <v>1436</v>
      </c>
      <c r="AN111" s="98"/>
      <c r="AO111" s="88" t="s">
        <v>5317</v>
      </c>
      <c r="AP111" s="93" t="s">
        <v>942</v>
      </c>
      <c r="AQ111" s="93"/>
      <c r="AR111" s="93" t="s">
        <v>5318</v>
      </c>
      <c r="AS111" s="93" t="s">
        <v>5319</v>
      </c>
      <c r="AT111" s="88" t="s">
        <v>3313</v>
      </c>
      <c r="AU111" s="93" t="s">
        <v>1158</v>
      </c>
      <c r="AV111" s="93" t="s">
        <v>5320</v>
      </c>
      <c r="AW111" s="98"/>
      <c r="AX111" s="88" t="s">
        <v>1741</v>
      </c>
      <c r="AY111" s="93" t="s">
        <v>5321</v>
      </c>
      <c r="AZ111" s="93"/>
      <c r="BA111" s="98"/>
      <c r="BB111" s="93" t="s">
        <v>5322</v>
      </c>
      <c r="BC111" s="93" t="s">
        <v>3604</v>
      </c>
      <c r="BD111" s="93" t="s">
        <v>5323</v>
      </c>
      <c r="BE111" s="93" t="s">
        <v>2660</v>
      </c>
      <c r="BF111" s="93" t="s">
        <v>3517</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3513</v>
      </c>
      <c r="CH111" s="93" t="s">
        <v>495</v>
      </c>
      <c r="CI111" s="93" t="s">
        <v>5334</v>
      </c>
      <c r="CJ111" s="93"/>
      <c r="CK111" s="93" t="s">
        <v>5335</v>
      </c>
      <c r="CL111" s="297" t="s">
        <v>5336</v>
      </c>
      <c r="CM111" s="88" t="s">
        <v>3642</v>
      </c>
      <c r="CN111" s="98"/>
      <c r="CO111" s="93" t="s">
        <v>5337</v>
      </c>
      <c r="CP111" s="98"/>
      <c r="CQ111" s="98"/>
      <c r="CR111" s="93" t="s">
        <v>3573</v>
      </c>
      <c r="CS111" s="92"/>
      <c r="CT111" s="93" t="s">
        <v>2670</v>
      </c>
      <c r="CU111" s="93" t="s">
        <v>5254</v>
      </c>
      <c r="CV111" s="93" t="s">
        <v>3296</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3456</v>
      </c>
      <c r="DN111" s="93" t="s">
        <v>3764</v>
      </c>
      <c r="DO111" s="98"/>
      <c r="DP111" s="93" t="s">
        <v>3445</v>
      </c>
      <c r="DQ111" s="93" t="s">
        <v>5344</v>
      </c>
      <c r="DR111" s="93" t="s">
        <v>3840</v>
      </c>
      <c r="DS111" s="93" t="s">
        <v>3603</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3436</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3449</v>
      </c>
      <c r="BI112" s="173" t="s">
        <v>937</v>
      </c>
      <c r="BJ112" s="173"/>
      <c r="BK112" s="173" t="s">
        <v>5363</v>
      </c>
      <c r="BL112" s="172"/>
      <c r="BM112" s="173" t="s">
        <v>2005</v>
      </c>
      <c r="BN112" s="173" t="s">
        <v>2914</v>
      </c>
      <c r="BO112" s="172"/>
      <c r="BP112" s="273"/>
      <c r="BQ112" s="174"/>
      <c r="BR112" s="174" t="s">
        <v>3420</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3400</v>
      </c>
      <c r="CW112" s="205" t="s">
        <v>3453</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3291</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3047</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3712</v>
      </c>
      <c r="AU114" s="306" t="s">
        <v>2399</v>
      </c>
      <c r="AV114" s="121" t="s">
        <v>3344</v>
      </c>
      <c r="AW114" s="271"/>
      <c r="AX114" s="167" t="s">
        <v>5419</v>
      </c>
      <c r="AY114" s="271"/>
      <c r="AZ114" s="271"/>
      <c r="BA114" s="173" t="s">
        <v>4394</v>
      </c>
      <c r="BB114" s="173" t="s">
        <v>1237</v>
      </c>
      <c r="BC114" s="127" t="s">
        <v>4764</v>
      </c>
      <c r="BD114" s="173" t="s">
        <v>2985</v>
      </c>
      <c r="BE114" s="173" t="s">
        <v>4324</v>
      </c>
      <c r="BF114" s="173" t="s">
        <v>2627</v>
      </c>
      <c r="BG114" s="173" t="s">
        <v>5420</v>
      </c>
      <c r="BH114" s="173" t="s">
        <v>3579</v>
      </c>
      <c r="BI114" s="173" t="s">
        <v>5421</v>
      </c>
      <c r="BJ114" s="172"/>
      <c r="BK114" s="173" t="s">
        <v>3231</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3475</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3767</v>
      </c>
      <c r="DU114" s="145" t="s">
        <v>3216</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3051</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3751</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3605</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3284</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3213</v>
      </c>
      <c r="DM116" s="647" t="s">
        <v>1240</v>
      </c>
      <c r="DN116" s="647" t="s">
        <v>5514</v>
      </c>
      <c r="DO116" s="282"/>
      <c r="DP116" s="282"/>
      <c r="DQ116" s="282"/>
      <c r="DR116" s="282"/>
      <c r="DS116" s="282"/>
      <c r="DT116" s="282"/>
      <c r="DU116" s="282"/>
      <c r="DV116" s="282"/>
      <c r="DW116" s="282"/>
      <c r="DX116" s="648" t="s">
        <v>3569</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3463</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3563</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3022</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3158</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3102</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3019</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3090</v>
      </c>
      <c r="P120" s="166" t="s">
        <v>5594</v>
      </c>
      <c r="Q120" s="222"/>
      <c r="R120" s="222"/>
      <c r="S120" s="222"/>
      <c r="T120" s="222"/>
      <c r="U120" s="222"/>
      <c r="V120" s="222"/>
      <c r="W120" s="92"/>
      <c r="X120" s="197" t="s">
        <v>3480</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3114</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3377</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3338</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3623</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3391</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3168</v>
      </c>
      <c r="Y122" s="116" t="s">
        <v>2572</v>
      </c>
      <c r="Z122" s="370" t="s">
        <v>5648</v>
      </c>
      <c r="AA122" s="197" t="s">
        <v>5649</v>
      </c>
      <c r="AB122" s="116" t="s">
        <v>3927</v>
      </c>
      <c r="AC122" s="370" t="s">
        <v>3541</v>
      </c>
      <c r="AD122" s="270"/>
      <c r="AE122" s="370" t="s">
        <v>5650</v>
      </c>
      <c r="AF122" s="116" t="s">
        <v>4779</v>
      </c>
      <c r="AG122" s="270"/>
      <c r="AH122" s="270"/>
      <c r="AI122" s="270"/>
      <c r="AJ122" s="270"/>
      <c r="AK122" s="96"/>
      <c r="AL122" s="271"/>
      <c r="AM122" s="271"/>
      <c r="AN122" s="271"/>
      <c r="AO122" s="271"/>
      <c r="AP122" s="271"/>
      <c r="AQ122" s="271"/>
      <c r="AR122" s="271"/>
      <c r="AS122" s="271"/>
      <c r="AT122" s="121" t="s">
        <v>3129</v>
      </c>
      <c r="AU122" s="121" t="s">
        <v>4089</v>
      </c>
      <c r="AV122" s="271"/>
      <c r="AW122" s="271"/>
      <c r="AX122" s="271"/>
      <c r="AY122" s="271"/>
      <c r="AZ122" s="271"/>
      <c r="BA122" s="127" t="s">
        <v>5651</v>
      </c>
      <c r="BB122" s="329" t="s">
        <v>4365</v>
      </c>
      <c r="BC122" s="329" t="s">
        <v>5580</v>
      </c>
      <c r="BD122" s="127" t="s">
        <v>3236</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3409</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4463</v>
      </c>
      <c r="BB123" s="93" t="s">
        <v>598</v>
      </c>
      <c r="BC123" s="93" t="s">
        <v>3686</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3660</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3388</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3642</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3344</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3583</v>
      </c>
      <c r="M127" s="98"/>
      <c r="N127" s="93" t="s">
        <v>5382</v>
      </c>
      <c r="O127" s="93" t="s">
        <v>983</v>
      </c>
      <c r="P127" s="93" t="s">
        <v>3762</v>
      </c>
      <c r="Q127" s="98"/>
      <c r="R127" s="98"/>
      <c r="S127" s="98"/>
      <c r="T127" s="98"/>
      <c r="U127" s="93" t="s">
        <v>3338</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3166</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3593</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3242</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3006</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3140</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3382</v>
      </c>
      <c r="H131" s="93" t="s">
        <v>3811</v>
      </c>
      <c r="I131" s="93" t="s">
        <v>2210</v>
      </c>
      <c r="J131" s="93" t="s">
        <v>5768</v>
      </c>
      <c r="K131" s="93" t="s">
        <v>3601</v>
      </c>
      <c r="L131" s="209" t="s">
        <v>5769</v>
      </c>
      <c r="M131" s="98"/>
      <c r="N131" s="98"/>
      <c r="O131" s="209" t="s">
        <v>1339</v>
      </c>
      <c r="P131" s="98"/>
      <c r="Q131" s="98"/>
      <c r="R131" s="93"/>
      <c r="S131" s="93"/>
      <c r="T131" s="98"/>
      <c r="U131" s="98"/>
      <c r="V131" s="98"/>
      <c r="W131" s="92"/>
      <c r="X131" s="93" t="s">
        <v>3140</v>
      </c>
      <c r="Y131" s="98"/>
      <c r="Z131" s="93" t="s">
        <v>5770</v>
      </c>
      <c r="AA131" s="98"/>
      <c r="AB131" s="93" t="s">
        <v>3701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3762</v>
      </c>
      <c r="Q132" s="660"/>
      <c r="R132" s="660"/>
      <c r="S132" s="660" t="s">
        <v>4140</v>
      </c>
      <c r="T132" s="660"/>
      <c r="U132" s="660"/>
      <c r="V132" s="660"/>
      <c r="W132" s="530"/>
      <c r="X132" s="661"/>
      <c r="Y132" s="661"/>
      <c r="Z132" s="661" t="s">
        <v>231</v>
      </c>
      <c r="AA132" s="661"/>
      <c r="AB132" s="661" t="s">
        <v>3087</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3493</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3744</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3477</v>
      </c>
      <c r="CW132" s="671" t="s">
        <v>5790</v>
      </c>
      <c r="CX132" s="247" t="s">
        <v>5791</v>
      </c>
      <c r="CY132" s="245" t="s">
        <v>3101</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3584</v>
      </c>
      <c r="AM133" s="285" t="s">
        <v>5804</v>
      </c>
      <c r="AN133" s="93" t="s">
        <v>5805</v>
      </c>
      <c r="AO133" s="93" t="s">
        <v>862</v>
      </c>
      <c r="AP133" s="93" t="s">
        <v>5806</v>
      </c>
      <c r="AQ133" s="93" t="s">
        <v>5090</v>
      </c>
      <c r="AR133" s="93" t="s">
        <v>5807</v>
      </c>
      <c r="AS133" s="93" t="s">
        <v>5808</v>
      </c>
      <c r="AT133" s="285" t="s">
        <v>4449</v>
      </c>
      <c r="AU133" s="285" t="s">
        <v>3603</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3323</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3404</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3350</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3705</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3465</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3253</v>
      </c>
      <c r="DX135" s="93" t="s">
        <v>5863</v>
      </c>
      <c r="DY135" s="93" t="s">
        <v>3500</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3691</v>
      </c>
      <c r="M136" s="383" t="s">
        <v>5871</v>
      </c>
      <c r="N136" s="383" t="s">
        <v>5872</v>
      </c>
      <c r="O136" s="383" t="s">
        <v>1824</v>
      </c>
      <c r="P136" s="383" t="s">
        <v>251</v>
      </c>
      <c r="Q136" s="677"/>
      <c r="R136" s="677"/>
      <c r="S136" s="678">
        <v>37.85</v>
      </c>
      <c r="T136" s="677"/>
      <c r="U136" s="166" t="s">
        <v>1997</v>
      </c>
      <c r="V136" s="678" t="s">
        <v>5873</v>
      </c>
      <c r="W136" s="679"/>
      <c r="X136" s="680"/>
      <c r="Y136" s="680"/>
      <c r="Z136" s="117" t="s">
        <v>3049</v>
      </c>
      <c r="AA136" s="681"/>
      <c r="AB136" s="392" t="s">
        <v>3579</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3080</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3277</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3721</v>
      </c>
      <c r="J137" s="93" t="s">
        <v>590</v>
      </c>
      <c r="K137" s="93" t="s">
        <v>3206</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3360</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3113</v>
      </c>
      <c r="P140" s="166" t="s">
        <v>4249</v>
      </c>
      <c r="Q140" s="166" t="s">
        <v>5918</v>
      </c>
      <c r="R140" s="222"/>
      <c r="S140" s="166" t="s">
        <v>947</v>
      </c>
      <c r="T140" s="222"/>
      <c r="U140" s="166" t="s">
        <v>5919</v>
      </c>
      <c r="V140" s="166" t="s">
        <v>5920</v>
      </c>
      <c r="W140" s="92"/>
      <c r="X140" s="197" t="s">
        <v>5921</v>
      </c>
      <c r="Y140" s="197" t="s">
        <v>2098</v>
      </c>
      <c r="Z140" s="197" t="s">
        <v>3416</v>
      </c>
      <c r="AA140" s="197" t="s">
        <v>3691</v>
      </c>
      <c r="AB140" s="197" t="s">
        <v>3194</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3159</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3374</v>
      </c>
      <c r="DL140" s="206" t="s">
        <v>2537</v>
      </c>
      <c r="DM140" s="206" t="s">
        <v>4170</v>
      </c>
      <c r="DN140" s="206" t="s">
        <v>5963</v>
      </c>
      <c r="DO140" s="206" t="s">
        <v>316</v>
      </c>
      <c r="DP140" s="206" t="s">
        <v>5964</v>
      </c>
      <c r="DQ140" s="206" t="s">
        <v>3114</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3068</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3560</v>
      </c>
      <c r="CI142" s="136" t="s">
        <v>5993</v>
      </c>
      <c r="CJ142" s="136"/>
      <c r="CK142" s="136" t="s">
        <v>5994</v>
      </c>
      <c r="CL142" s="135" t="s">
        <v>3204</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3747</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713" t="s">
        <v>6038</v>
      </c>
      <c r="B147" s="82" t="s">
        <v>6039</v>
      </c>
      <c r="C147" s="83" t="s">
        <v>1483</v>
      </c>
      <c r="D147" s="84" t="s">
        <v>1483</v>
      </c>
      <c r="E147" s="85" t="s">
        <v>1483</v>
      </c>
      <c r="F147" s="86" t="s">
        <v>562</v>
      </c>
      <c r="G147" s="82" t="s">
        <v>6040</v>
      </c>
      <c r="H147" s="285"/>
      <c r="I147" s="285" t="s">
        <v>2784</v>
      </c>
      <c r="J147" s="285" t="s">
        <v>3196</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3507</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3284</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3453</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3280</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3328</v>
      </c>
      <c r="CX149" s="98"/>
      <c r="CY149" s="98"/>
      <c r="CZ149" s="98"/>
      <c r="DA149" s="93" t="s">
        <v>1068</v>
      </c>
      <c r="DB149" s="98"/>
      <c r="DC149" s="98"/>
      <c r="DD149" s="98"/>
      <c r="DE149" s="98"/>
      <c r="DF149" s="261"/>
      <c r="DG149" s="93" t="s">
        <v>6065</v>
      </c>
      <c r="DH149" s="98"/>
      <c r="DI149" s="98"/>
      <c r="DJ149" s="93"/>
      <c r="DK149" s="98"/>
      <c r="DL149" s="93" t="s">
        <v>3542</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3563</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3382</v>
      </c>
      <c r="H153" s="93" t="s">
        <v>3729</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3382</v>
      </c>
      <c r="H154" s="166" t="s">
        <v>1920</v>
      </c>
      <c r="I154" s="166" t="s">
        <v>2335</v>
      </c>
      <c r="J154" s="222"/>
      <c r="K154" s="166" t="s">
        <v>3206</v>
      </c>
      <c r="L154" s="222"/>
      <c r="M154" s="222"/>
      <c r="N154" s="222"/>
      <c r="O154" s="166" t="s">
        <v>6089</v>
      </c>
      <c r="P154" s="166" t="s">
        <v>2137</v>
      </c>
      <c r="Q154" s="222"/>
      <c r="R154" s="222"/>
      <c r="S154" s="222"/>
      <c r="T154" s="222"/>
      <c r="U154" s="222"/>
      <c r="V154" s="222"/>
      <c r="W154" s="92"/>
      <c r="X154" s="197" t="s">
        <v>3605</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3595</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3736</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3307</v>
      </c>
      <c r="BD158" s="201" t="s">
        <v>6129</v>
      </c>
      <c r="BE158" s="201"/>
      <c r="BF158" s="201"/>
      <c r="BG158" s="725"/>
      <c r="BH158" s="201" t="s">
        <v>3736</v>
      </c>
      <c r="BI158" s="725"/>
      <c r="BJ158" s="201" t="s">
        <v>6130</v>
      </c>
      <c r="BK158" s="201" t="s">
        <v>4304</v>
      </c>
      <c r="BL158" s="725"/>
      <c r="BM158" s="725"/>
      <c r="BN158" s="201"/>
      <c r="BO158" s="725"/>
      <c r="BP158" s="726"/>
      <c r="BQ158" s="400"/>
      <c r="BR158" s="400"/>
      <c r="BS158" s="400" t="s">
        <v>3179</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3546</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3206</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3579</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3695</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3138</v>
      </c>
      <c r="CI159" s="101"/>
      <c r="CJ159" s="285" t="s">
        <v>6154</v>
      </c>
      <c r="CK159" s="285" t="s">
        <v>6155</v>
      </c>
      <c r="CL159" s="285" t="s">
        <v>1370</v>
      </c>
      <c r="CM159" s="285" t="s">
        <v>2983</v>
      </c>
      <c r="CN159" s="260"/>
      <c r="CO159" s="98"/>
      <c r="CP159" s="98"/>
      <c r="CQ159" s="98"/>
      <c r="CR159" s="98"/>
      <c r="CS159" s="92"/>
      <c r="CT159" s="285" t="s">
        <v>2165</v>
      </c>
      <c r="CU159" s="285" t="s">
        <v>3205</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3569</v>
      </c>
      <c r="CM160" s="135" t="s">
        <v>6167</v>
      </c>
      <c r="CN160" s="711"/>
      <c r="CO160" s="279"/>
      <c r="CP160" s="279"/>
      <c r="CQ160" s="279"/>
      <c r="CR160" s="279"/>
      <c r="CS160" s="92"/>
      <c r="CT160" s="314"/>
      <c r="CU160" s="314"/>
      <c r="CV160" s="314" t="s">
        <v>5212</v>
      </c>
      <c r="CW160" s="314" t="s">
        <v>3559</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3755</v>
      </c>
      <c r="H164" s="222"/>
      <c r="I164" s="195" t="s">
        <v>6182</v>
      </c>
      <c r="J164" s="166" t="s">
        <v>6052</v>
      </c>
      <c r="K164" s="166" t="s">
        <v>2320</v>
      </c>
      <c r="L164" s="166" t="s">
        <v>6183</v>
      </c>
      <c r="M164" s="222"/>
      <c r="N164" s="222"/>
      <c r="O164" s="222"/>
      <c r="P164" s="166" t="s">
        <v>3237</v>
      </c>
      <c r="Q164" s="222"/>
      <c r="R164" s="222"/>
      <c r="S164" s="222"/>
      <c r="T164" s="222"/>
      <c r="U164" s="222"/>
      <c r="V164" s="222"/>
      <c r="W164" s="92"/>
      <c r="X164" s="741" t="s">
        <v>1913</v>
      </c>
      <c r="Y164" s="270"/>
      <c r="Z164" s="197" t="s">
        <v>3326</v>
      </c>
      <c r="AA164" s="115" t="str">
        <f>HYPERLINK("https://clips.twitch.tv/DeliciousHomelyChoughMingLee","53.66")</f>
        <v>53.66</v>
      </c>
      <c r="AB164" s="197" t="s">
        <v>4920</v>
      </c>
      <c r="AC164" s="197" t="s">
        <v>6184</v>
      </c>
      <c r="AD164" s="270"/>
      <c r="AE164" s="270"/>
      <c r="AF164" s="197" t="s">
        <v>3237</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3033</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3576</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3680</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3484</v>
      </c>
      <c r="BF166" s="172"/>
      <c r="BG166" s="172"/>
      <c r="BH166" s="172"/>
      <c r="BI166" s="172"/>
      <c r="BJ166" s="172"/>
      <c r="BK166" s="172"/>
      <c r="BL166" s="172"/>
      <c r="BM166" s="172"/>
      <c r="BN166" s="172"/>
      <c r="BO166" s="172"/>
      <c r="BP166" s="273"/>
      <c r="BQ166" s="276"/>
      <c r="BR166" s="276"/>
      <c r="BS166" s="130" t="s">
        <v>3579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6210</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3019</v>
      </c>
      <c r="I168" s="742" t="s">
        <v>6215</v>
      </c>
      <c r="J168" s="742" t="s">
        <v>6216</v>
      </c>
      <c r="K168" s="742" t="s">
        <v>783</v>
      </c>
      <c r="L168" s="742" t="s">
        <v>869</v>
      </c>
      <c r="M168" s="743"/>
      <c r="N168" s="742" t="s">
        <v>6217</v>
      </c>
      <c r="O168" s="742" t="s">
        <v>6218</v>
      </c>
      <c r="P168" s="742" t="s">
        <v>5450</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3492</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6223</v>
      </c>
      <c r="DA168" s="763" t="s">
        <v>6159</v>
      </c>
      <c r="DB168" s="762"/>
      <c r="DC168" s="762"/>
      <c r="DD168" s="762"/>
      <c r="DE168" s="762"/>
      <c r="DF168" s="764"/>
      <c r="DG168" s="765"/>
      <c r="DH168" s="765"/>
      <c r="DI168" s="765"/>
      <c r="DJ168" s="765"/>
      <c r="DK168" s="766" t="s">
        <v>3678</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5026</v>
      </c>
      <c r="H171" s="93" t="s">
        <v>2685</v>
      </c>
      <c r="I171" s="98"/>
      <c r="J171" s="93" t="s">
        <v>6233</v>
      </c>
      <c r="K171" s="88" t="s">
        <v>5020</v>
      </c>
      <c r="L171" s="161" t="s">
        <v>3509</v>
      </c>
      <c r="M171" s="98"/>
      <c r="N171" s="98"/>
      <c r="O171" s="98"/>
      <c r="P171" s="93" t="s">
        <v>6234</v>
      </c>
      <c r="Q171" s="98"/>
      <c r="R171" s="98"/>
      <c r="S171" s="98"/>
      <c r="T171" s="98"/>
      <c r="U171" s="98"/>
      <c r="V171" s="98"/>
      <c r="W171" s="92"/>
      <c r="X171" s="88" t="s">
        <v>6235</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4928</v>
      </c>
      <c r="BG171" s="93" t="s">
        <v>6238</v>
      </c>
      <c r="BH171" s="93" t="s">
        <v>5247</v>
      </c>
      <c r="BI171" s="98"/>
      <c r="BJ171" s="98"/>
      <c r="BK171" s="98"/>
      <c r="BL171" s="98"/>
      <c r="BM171" s="98"/>
      <c r="BN171" s="98"/>
      <c r="BO171" s="98"/>
      <c r="BP171" s="261"/>
      <c r="BQ171" s="98"/>
      <c r="BR171" s="98"/>
      <c r="BS171" s="98"/>
      <c r="BT171" s="93" t="s">
        <v>3513</v>
      </c>
      <c r="BU171" s="98"/>
      <c r="BV171" s="88" t="s">
        <v>5023</v>
      </c>
      <c r="BW171" s="98"/>
      <c r="BX171" s="98"/>
      <c r="BY171" s="98"/>
      <c r="BZ171" s="88" t="s">
        <v>4848</v>
      </c>
      <c r="CA171" s="98"/>
      <c r="CB171" s="98"/>
      <c r="CC171" s="98"/>
      <c r="CD171" s="98"/>
      <c r="CE171" s="261"/>
      <c r="CF171" s="88" t="s">
        <v>6239</v>
      </c>
      <c r="CG171" s="93" t="s">
        <v>6240</v>
      </c>
      <c r="CH171" s="98"/>
      <c r="CI171" s="98"/>
      <c r="CJ171" s="98"/>
      <c r="CK171" s="98"/>
      <c r="CL171" s="88" t="s">
        <v>5162</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5092</v>
      </c>
      <c r="K172" s="166" t="s">
        <v>2507</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6203</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4980</v>
      </c>
      <c r="CG172" s="176" t="s">
        <v>2613</v>
      </c>
      <c r="CH172" s="176" t="s">
        <v>2676</v>
      </c>
      <c r="CI172" s="176" t="s">
        <v>6260</v>
      </c>
      <c r="CJ172" s="176" t="s">
        <v>6261</v>
      </c>
      <c r="CK172" s="279"/>
      <c r="CL172" s="176" t="s">
        <v>3778</v>
      </c>
      <c r="CM172" s="176" t="s">
        <v>3297</v>
      </c>
      <c r="CN172" s="279"/>
      <c r="CO172" s="279"/>
      <c r="CP172" s="279"/>
      <c r="CQ172" s="279"/>
      <c r="CR172" s="279"/>
      <c r="CS172" s="92"/>
      <c r="CT172" s="205" t="s">
        <v>5843</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5179</v>
      </c>
      <c r="H173" s="93" t="s">
        <v>6266</v>
      </c>
      <c r="I173" s="93" t="s">
        <v>6267</v>
      </c>
      <c r="J173" s="93" t="s">
        <v>637</v>
      </c>
      <c r="K173" s="93" t="s">
        <v>3206</v>
      </c>
      <c r="L173" s="93" t="s">
        <v>2875</v>
      </c>
      <c r="M173" s="93" t="s">
        <v>6268</v>
      </c>
      <c r="N173" s="93" t="s">
        <v>6269</v>
      </c>
      <c r="O173" s="93" t="s">
        <v>979</v>
      </c>
      <c r="P173" s="93" t="s">
        <v>508</v>
      </c>
      <c r="Q173" s="93"/>
      <c r="R173" s="93"/>
      <c r="S173" s="93"/>
      <c r="T173" s="93"/>
      <c r="U173" s="93"/>
      <c r="V173" s="93"/>
      <c r="W173" s="92"/>
      <c r="X173" s="93" t="s">
        <v>6270</v>
      </c>
      <c r="Y173" s="93" t="s">
        <v>5270</v>
      </c>
      <c r="Z173" s="93" t="s">
        <v>6271</v>
      </c>
      <c r="AA173" s="93" t="s">
        <v>2713</v>
      </c>
      <c r="AB173" s="93" t="s">
        <v>5870</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5185</v>
      </c>
      <c r="BH173" s="93" t="s">
        <v>6101</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6060</v>
      </c>
      <c r="CW173" s="98"/>
      <c r="CX173" s="93" t="s">
        <v>6282</v>
      </c>
      <c r="CY173" s="98"/>
      <c r="CZ173" s="98"/>
      <c r="DA173" s="98"/>
      <c r="DB173" s="98"/>
      <c r="DC173" s="98"/>
      <c r="DD173" s="98"/>
      <c r="DE173" s="98"/>
      <c r="DF173" s="261"/>
      <c r="DG173" s="93" t="s">
        <v>3540</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5867</v>
      </c>
      <c r="H176" s="222"/>
      <c r="I176" s="166" t="s">
        <v>6295</v>
      </c>
      <c r="J176" s="166" t="s">
        <v>303</v>
      </c>
      <c r="K176" s="166" t="s">
        <v>875</v>
      </c>
      <c r="L176" s="166" t="s">
        <v>4018</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3558</v>
      </c>
      <c r="CH176" s="176" t="s">
        <v>784</v>
      </c>
      <c r="CI176" s="176" t="s">
        <v>6304</v>
      </c>
      <c r="CJ176" s="176"/>
      <c r="CK176" s="279"/>
      <c r="CL176" s="176" t="s">
        <v>3796</v>
      </c>
      <c r="CM176" s="176" t="s">
        <v>6185</v>
      </c>
      <c r="CN176" s="279"/>
      <c r="CO176" s="279"/>
      <c r="CP176" s="279"/>
      <c r="CQ176" s="279"/>
      <c r="CR176" s="279"/>
      <c r="CS176" s="92"/>
      <c r="CT176" s="205" t="s">
        <v>5094</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3648</v>
      </c>
      <c r="Y182" s="117" t="s">
        <v>6327</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6332</v>
      </c>
      <c r="C183" s="83" t="s">
        <v>1483</v>
      </c>
      <c r="D183" s="84" t="s">
        <v>1483</v>
      </c>
      <c r="E183" s="85" t="s">
        <v>1483</v>
      </c>
      <c r="F183" s="86" t="s">
        <v>1483</v>
      </c>
      <c r="G183" s="82" t="s">
        <v>6163</v>
      </c>
      <c r="H183" s="98"/>
      <c r="I183" s="93" t="s">
        <v>6333</v>
      </c>
      <c r="J183" s="93" t="s">
        <v>4349</v>
      </c>
      <c r="K183" s="93" t="s">
        <v>4407</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6336</v>
      </c>
      <c r="BC183" s="161" t="s">
        <v>5350</v>
      </c>
      <c r="BD183" s="98"/>
      <c r="BE183" s="98"/>
      <c r="BF183" s="98"/>
      <c r="BG183" s="98"/>
      <c r="BH183" s="98"/>
      <c r="BI183" s="98"/>
      <c r="BJ183" s="93" t="s">
        <v>2485</v>
      </c>
      <c r="BK183" s="98"/>
      <c r="BL183" s="98"/>
      <c r="BM183" s="98"/>
      <c r="BN183" s="98"/>
      <c r="BO183" s="98"/>
      <c r="BP183" s="261"/>
      <c r="BQ183" s="98"/>
      <c r="BR183" s="98"/>
      <c r="BS183" s="98"/>
      <c r="BT183" s="93" t="s">
        <v>6337</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6338</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6339</v>
      </c>
      <c r="DR183" s="93" t="s">
        <v>4763</v>
      </c>
      <c r="DS183" s="98"/>
      <c r="DT183" s="98"/>
      <c r="DU183" s="98"/>
      <c r="DV183" s="98"/>
      <c r="DW183" s="98"/>
      <c r="DX183" s="98"/>
      <c r="DY183" s="98"/>
      <c r="DZ183" s="98"/>
      <c r="EA183" s="98"/>
      <c r="EB183" s="285"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6343</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4831</v>
      </c>
      <c r="CM184" s="279"/>
      <c r="CN184" s="279"/>
      <c r="CO184" s="279"/>
      <c r="CP184" s="279"/>
      <c r="CQ184" s="279"/>
      <c r="CR184" s="279"/>
      <c r="CS184" s="92"/>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6353</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6354</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6355</v>
      </c>
      <c r="B187" s="82" t="s">
        <v>6356</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5"/>
    </row>
    <row r="188">
      <c r="A188" s="165" t="s">
        <v>6359</v>
      </c>
      <c r="B188" s="103" t="s">
        <v>6360</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4719</v>
      </c>
      <c r="Q188" s="222"/>
      <c r="R188" s="222"/>
      <c r="S188" s="222"/>
      <c r="T188" s="222"/>
      <c r="U188" s="222"/>
      <c r="V188" s="222"/>
      <c r="W188" s="92"/>
      <c r="X188" s="197" t="s">
        <v>340</v>
      </c>
      <c r="Y188" s="197" t="s">
        <v>2257</v>
      </c>
      <c r="Z188" s="197" t="s">
        <v>3370</v>
      </c>
      <c r="AA188" s="197" t="s">
        <v>6366</v>
      </c>
      <c r="AB188" s="197" t="s">
        <v>6367</v>
      </c>
      <c r="AC188" s="197" t="s">
        <v>3332</v>
      </c>
      <c r="AD188" s="270"/>
      <c r="AE188" s="197" t="s">
        <v>2002</v>
      </c>
      <c r="AF188" s="197" t="s">
        <v>1321</v>
      </c>
      <c r="AG188" s="270"/>
      <c r="AH188" s="270"/>
      <c r="AI188" s="270"/>
      <c r="AJ188" s="270"/>
      <c r="AK188" s="96"/>
      <c r="AL188" s="167" t="s">
        <v>5101</v>
      </c>
      <c r="AM188" s="167" t="s">
        <v>1338</v>
      </c>
      <c r="AN188" s="167" t="s">
        <v>6368</v>
      </c>
      <c r="AO188" s="167" t="s">
        <v>6369</v>
      </c>
      <c r="AP188" s="167" t="s">
        <v>6370</v>
      </c>
      <c r="AQ188" s="167"/>
      <c r="AR188" s="167" t="s">
        <v>4799</v>
      </c>
      <c r="AS188" s="167" t="s">
        <v>6371</v>
      </c>
      <c r="AT188" s="167" t="s">
        <v>3898</v>
      </c>
      <c r="AU188" s="167" t="s">
        <v>717</v>
      </c>
      <c r="AV188" s="271"/>
      <c r="AW188" s="271"/>
      <c r="AX188" s="271"/>
      <c r="AY188" s="271"/>
      <c r="AZ188" s="271"/>
      <c r="BA188" s="173" t="s">
        <v>648</v>
      </c>
      <c r="BB188" s="173" t="s">
        <v>6372</v>
      </c>
      <c r="BC188" s="173" t="s">
        <v>6373</v>
      </c>
      <c r="BD188" s="173" t="s">
        <v>6374</v>
      </c>
      <c r="BE188" s="173" t="s">
        <v>6375</v>
      </c>
      <c r="BF188" s="173" t="s">
        <v>6376</v>
      </c>
      <c r="BG188" s="173" t="s">
        <v>6377</v>
      </c>
      <c r="BH188" s="173" t="s">
        <v>6085</v>
      </c>
      <c r="BI188" s="173"/>
      <c r="BJ188" s="173"/>
      <c r="BK188" s="173" t="s">
        <v>886</v>
      </c>
      <c r="BL188" s="172"/>
      <c r="BM188" s="172"/>
      <c r="BN188" s="172"/>
      <c r="BO188" s="172"/>
      <c r="BP188" s="273"/>
      <c r="BQ188" s="174"/>
      <c r="BR188" s="174" t="s">
        <v>6378</v>
      </c>
      <c r="BS188" s="174" t="s">
        <v>6379</v>
      </c>
      <c r="BT188" s="174" t="s">
        <v>599</v>
      </c>
      <c r="BU188" s="174" t="s">
        <v>6380</v>
      </c>
      <c r="BV188" s="174" t="s">
        <v>6381</v>
      </c>
      <c r="BW188" s="174" t="s">
        <v>6382</v>
      </c>
      <c r="BX188" s="174" t="s">
        <v>6383</v>
      </c>
      <c r="BY188" s="276"/>
      <c r="BZ188" s="174" t="s">
        <v>6384</v>
      </c>
      <c r="CA188" s="276"/>
      <c r="CB188" s="276"/>
      <c r="CC188" s="276"/>
      <c r="CD188" s="276"/>
      <c r="CE188" s="277"/>
      <c r="CF188" s="176" t="s">
        <v>6385</v>
      </c>
      <c r="CG188" s="176" t="s">
        <v>6386</v>
      </c>
      <c r="CH188" s="176" t="s">
        <v>2864</v>
      </c>
      <c r="CI188" s="176" t="s">
        <v>6387</v>
      </c>
      <c r="CJ188" s="176" t="s">
        <v>4348</v>
      </c>
      <c r="CK188" s="176" t="s">
        <v>6388</v>
      </c>
      <c r="CL188" s="176" t="s">
        <v>938</v>
      </c>
      <c r="CM188" s="176" t="s">
        <v>1500</v>
      </c>
      <c r="CN188" s="279"/>
      <c r="CO188" s="279"/>
      <c r="CP188" s="279"/>
      <c r="CQ188" s="279"/>
      <c r="CR188" s="279"/>
      <c r="CS188" s="92"/>
      <c r="CT188" s="205" t="s">
        <v>6389</v>
      </c>
      <c r="CU188" s="205" t="s">
        <v>2131</v>
      </c>
      <c r="CV188" s="205" t="s">
        <v>1816</v>
      </c>
      <c r="CW188" s="205" t="s">
        <v>6390</v>
      </c>
      <c r="CX188" s="205" t="s">
        <v>6391</v>
      </c>
      <c r="CY188" s="205" t="s">
        <v>6392</v>
      </c>
      <c r="CZ188" s="205" t="s">
        <v>1581</v>
      </c>
      <c r="DA188" s="205" t="s">
        <v>6393</v>
      </c>
      <c r="DB188" s="280"/>
      <c r="DC188" s="280"/>
      <c r="DD188" s="280"/>
      <c r="DE188" s="280"/>
      <c r="DF188" s="281"/>
      <c r="DG188" s="282"/>
      <c r="DH188" s="282"/>
      <c r="DI188" s="282"/>
      <c r="DJ188" s="282"/>
      <c r="DK188" s="282"/>
      <c r="DL188" s="282"/>
      <c r="DM188" s="282"/>
      <c r="DN188" s="282"/>
      <c r="DO188" s="282"/>
      <c r="DP188" s="206" t="s">
        <v>6394</v>
      </c>
      <c r="DQ188" s="206"/>
      <c r="DR188" s="282"/>
      <c r="DS188" s="282"/>
      <c r="DT188" s="282"/>
      <c r="DU188" s="282"/>
      <c r="DV188" s="282"/>
      <c r="DW188" s="282"/>
      <c r="DX188" s="282"/>
      <c r="DY188" s="282"/>
      <c r="DZ188" s="282"/>
      <c r="EA188" s="282"/>
      <c r="EB188" s="316"/>
    </row>
    <row r="189">
      <c r="A189" s="773" t="s">
        <v>6395</v>
      </c>
      <c r="B189" s="82" t="s">
        <v>6396</v>
      </c>
      <c r="C189" s="83" t="s">
        <v>1483</v>
      </c>
      <c r="D189" s="84" t="s">
        <v>1483</v>
      </c>
      <c r="E189" s="85" t="s">
        <v>1483</v>
      </c>
      <c r="F189" s="86" t="s">
        <v>1483</v>
      </c>
      <c r="G189" s="82" t="s">
        <v>1033</v>
      </c>
      <c r="H189" s="98"/>
      <c r="I189" s="93" t="s">
        <v>6397</v>
      </c>
      <c r="J189" s="93" t="s">
        <v>6398</v>
      </c>
      <c r="K189" s="93" t="s">
        <v>2051</v>
      </c>
      <c r="L189" s="93" t="s">
        <v>6399</v>
      </c>
      <c r="M189" s="93" t="s">
        <v>6400</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6401</v>
      </c>
      <c r="CK189" s="98"/>
      <c r="CL189" s="98"/>
      <c r="CM189" s="98"/>
      <c r="CN189" s="98"/>
      <c r="CO189" s="98"/>
      <c r="CP189" s="98"/>
      <c r="CQ189" s="98"/>
      <c r="CR189" s="98"/>
      <c r="CS189" s="92"/>
      <c r="CT189" s="98"/>
      <c r="CU189" s="98"/>
      <c r="CV189" s="98"/>
      <c r="CW189" s="98"/>
      <c r="CX189" s="98"/>
      <c r="CY189" s="98"/>
      <c r="CZ189" s="98"/>
      <c r="DA189" s="93" t="s">
        <v>6402</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6403</v>
      </c>
      <c r="B190" s="103" t="s">
        <v>6404</v>
      </c>
      <c r="C190" s="104" t="s">
        <v>1483</v>
      </c>
      <c r="D190" s="105" t="s">
        <v>1483</v>
      </c>
      <c r="E190" s="106" t="s">
        <v>1483</v>
      </c>
      <c r="F190" s="107" t="s">
        <v>1483</v>
      </c>
      <c r="G190" s="103" t="s">
        <v>4095</v>
      </c>
      <c r="H190" s="166" t="s">
        <v>6405</v>
      </c>
      <c r="I190" s="166" t="s">
        <v>6406</v>
      </c>
      <c r="J190" s="166" t="s">
        <v>6407</v>
      </c>
      <c r="K190" s="166" t="s">
        <v>1694</v>
      </c>
      <c r="L190" s="166" t="s">
        <v>4113</v>
      </c>
      <c r="M190" s="166" t="s">
        <v>6408</v>
      </c>
      <c r="N190" s="166" t="s">
        <v>6409</v>
      </c>
      <c r="O190" s="166" t="s">
        <v>4520</v>
      </c>
      <c r="P190" s="166" t="s">
        <v>4762</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3508</v>
      </c>
      <c r="BB190" s="172"/>
      <c r="BC190" s="173" t="s">
        <v>2624</v>
      </c>
      <c r="BD190" s="172"/>
      <c r="BE190" s="172"/>
      <c r="BF190" s="172"/>
      <c r="BG190" s="172"/>
      <c r="BH190" s="173" t="s">
        <v>3977</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6012</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6418</v>
      </c>
      <c r="B192" s="103" t="s">
        <v>451</v>
      </c>
      <c r="C192" s="104" t="s">
        <v>1483</v>
      </c>
      <c r="D192" s="105" t="s">
        <v>1483</v>
      </c>
      <c r="E192" s="106" t="s">
        <v>1483</v>
      </c>
      <c r="F192" s="107" t="s">
        <v>1483</v>
      </c>
      <c r="G192" s="103" t="s">
        <v>220</v>
      </c>
      <c r="H192" s="166"/>
      <c r="I192" s="166" t="s">
        <v>6419</v>
      </c>
      <c r="J192" s="166" t="s">
        <v>3540</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6420</v>
      </c>
      <c r="BE192" s="172"/>
      <c r="BF192" s="172"/>
      <c r="BG192" s="172"/>
      <c r="BH192" s="173" t="s">
        <v>4548</v>
      </c>
      <c r="BI192" s="172"/>
      <c r="BJ192" s="172"/>
      <c r="BK192" s="172"/>
      <c r="BL192" s="172"/>
      <c r="BM192" s="172"/>
      <c r="BN192" s="172"/>
      <c r="BO192" s="172"/>
      <c r="BP192" s="273"/>
      <c r="BQ192" s="276"/>
      <c r="BR192" s="174" t="s">
        <v>4931</v>
      </c>
      <c r="BS192" s="174" t="s">
        <v>6421</v>
      </c>
      <c r="BT192" s="174" t="s">
        <v>5501</v>
      </c>
      <c r="BU192" s="276"/>
      <c r="BV192" s="276"/>
      <c r="BW192" s="276"/>
      <c r="BX192" s="276"/>
      <c r="BY192" s="276"/>
      <c r="BZ192" s="276"/>
      <c r="CA192" s="276"/>
      <c r="CB192" s="276"/>
      <c r="CC192" s="276"/>
      <c r="CD192" s="276"/>
      <c r="CE192" s="277"/>
      <c r="CF192" s="176" t="s">
        <v>6422</v>
      </c>
      <c r="CG192" s="176" t="s">
        <v>1805</v>
      </c>
      <c r="CH192" s="279"/>
      <c r="CI192" s="279"/>
      <c r="CJ192" s="279"/>
      <c r="CK192" s="279"/>
      <c r="CL192" s="279"/>
      <c r="CM192" s="279"/>
      <c r="CN192" s="279"/>
      <c r="CO192" s="279"/>
      <c r="CP192" s="279"/>
      <c r="CQ192" s="279"/>
      <c r="CR192" s="279"/>
      <c r="CS192" s="92"/>
      <c r="CT192" s="280"/>
      <c r="CU192" s="280"/>
      <c r="CV192" s="205" t="s">
        <v>6423</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6424</v>
      </c>
      <c r="DR192" s="282"/>
      <c r="DS192" s="282"/>
      <c r="DT192" s="282"/>
      <c r="DU192" s="282"/>
      <c r="DV192" s="282"/>
      <c r="DW192" s="282"/>
      <c r="DX192" s="282"/>
      <c r="DY192" s="282"/>
      <c r="DZ192" s="282"/>
      <c r="EA192" s="282"/>
      <c r="EB192" s="465"/>
    </row>
    <row r="193">
      <c r="A193" s="775" t="s">
        <v>6425</v>
      </c>
      <c r="B193" s="82" t="s">
        <v>1314</v>
      </c>
      <c r="C193" s="83" t="s">
        <v>1483</v>
      </c>
      <c r="D193" s="84" t="s">
        <v>1483</v>
      </c>
      <c r="E193" s="85" t="s">
        <v>1483</v>
      </c>
      <c r="F193" s="86" t="s">
        <v>1483</v>
      </c>
      <c r="G193" s="82" t="s">
        <v>450</v>
      </c>
      <c r="H193" s="98"/>
      <c r="I193" s="98"/>
      <c r="J193" s="98"/>
      <c r="K193" s="93" t="s">
        <v>3374</v>
      </c>
      <c r="L193" s="98"/>
      <c r="M193" s="98"/>
      <c r="N193" s="98"/>
      <c r="O193" s="98"/>
      <c r="P193" s="93" t="s">
        <v>6426</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6427</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6428</v>
      </c>
      <c r="B195" s="82" t="s">
        <v>6429</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6430</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6431</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6432</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6433</v>
      </c>
      <c r="B198" s="103" t="s">
        <v>4705</v>
      </c>
      <c r="C198" s="104" t="s">
        <v>1483</v>
      </c>
      <c r="D198" s="105" t="s">
        <v>1483</v>
      </c>
      <c r="E198" s="106" t="s">
        <v>1483</v>
      </c>
      <c r="F198" s="107" t="s">
        <v>219</v>
      </c>
      <c r="G198" s="103" t="s">
        <v>219</v>
      </c>
      <c r="H198" s="112" t="s">
        <v>6434</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6435</v>
      </c>
      <c r="AP198" s="271"/>
      <c r="AQ198" s="271"/>
      <c r="AR198" s="271"/>
      <c r="AS198" s="271"/>
      <c r="AT198" s="271"/>
      <c r="AU198" s="271"/>
      <c r="AV198" s="271"/>
      <c r="AW198" s="271"/>
      <c r="AX198" s="121" t="s">
        <v>536</v>
      </c>
      <c r="AY198" s="271"/>
      <c r="AZ198" s="271"/>
      <c r="BA198" s="127" t="s">
        <v>6436</v>
      </c>
      <c r="BB198" s="172"/>
      <c r="BC198" s="127" t="s">
        <v>4812</v>
      </c>
      <c r="BD198" s="172"/>
      <c r="BE198" s="172"/>
      <c r="BF198" s="172"/>
      <c r="BG198" s="172"/>
      <c r="BH198" s="172"/>
      <c r="BI198" s="172"/>
      <c r="BJ198" s="172"/>
      <c r="BK198" s="172"/>
      <c r="BL198" s="172"/>
      <c r="BM198" s="127" t="s">
        <v>6437</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6438</v>
      </c>
      <c r="DP198" s="282"/>
      <c r="DQ198" s="282"/>
      <c r="DR198" s="282"/>
      <c r="DS198" s="282"/>
      <c r="DT198" s="282"/>
      <c r="DU198" s="282"/>
      <c r="DV198" s="282"/>
      <c r="DW198" s="282"/>
      <c r="DX198" s="282"/>
      <c r="DY198" s="282"/>
      <c r="DZ198" s="282"/>
      <c r="EA198" s="282"/>
      <c r="EB198" s="142" t="s">
        <v>2000</v>
      </c>
    </row>
    <row r="199">
      <c r="A199" s="483" t="s">
        <v>6439</v>
      </c>
      <c r="B199" s="82" t="s">
        <v>4705</v>
      </c>
      <c r="C199" s="83" t="s">
        <v>1483</v>
      </c>
      <c r="D199" s="84" t="s">
        <v>1483</v>
      </c>
      <c r="E199" s="85" t="s">
        <v>1483</v>
      </c>
      <c r="F199" s="86" t="s">
        <v>1483</v>
      </c>
      <c r="G199" s="82" t="s">
        <v>4963</v>
      </c>
      <c r="H199" s="101" t="s">
        <v>6440</v>
      </c>
      <c r="I199" s="94" t="s">
        <v>6441</v>
      </c>
      <c r="J199" s="101" t="s">
        <v>6442</v>
      </c>
      <c r="K199" s="101" t="s">
        <v>994</v>
      </c>
      <c r="L199" s="101" t="s">
        <v>812</v>
      </c>
      <c r="M199" s="101" t="s">
        <v>6443</v>
      </c>
      <c r="N199" s="101" t="s">
        <v>6444</v>
      </c>
      <c r="O199" s="101" t="s">
        <v>2754</v>
      </c>
      <c r="P199" s="101" t="s">
        <v>2310</v>
      </c>
      <c r="Q199" s="98"/>
      <c r="R199" s="98"/>
      <c r="S199" s="98"/>
      <c r="T199" s="98"/>
      <c r="U199" s="98"/>
      <c r="V199" s="98"/>
      <c r="W199" s="92"/>
      <c r="X199" s="101" t="s">
        <v>6445</v>
      </c>
      <c r="Y199" s="101" t="s">
        <v>6446</v>
      </c>
      <c r="Z199" s="101" t="s">
        <v>1824</v>
      </c>
      <c r="AA199" s="297" t="s">
        <v>6447</v>
      </c>
      <c r="AB199" s="101" t="s">
        <v>6448</v>
      </c>
      <c r="AC199" s="101" t="s">
        <v>6449</v>
      </c>
      <c r="AD199" s="98"/>
      <c r="AE199" s="101"/>
      <c r="AF199" s="101" t="s">
        <v>6450</v>
      </c>
      <c r="AG199" s="98"/>
      <c r="AH199" s="98"/>
      <c r="AI199" s="101"/>
      <c r="AJ199" s="98"/>
      <c r="AK199" s="96"/>
      <c r="AL199" s="101"/>
      <c r="AM199" s="101"/>
      <c r="AN199" s="98"/>
      <c r="AO199" s="98"/>
      <c r="AP199" s="93"/>
      <c r="AQ199" s="93"/>
      <c r="AR199" s="98"/>
      <c r="AS199" s="98"/>
      <c r="AT199" s="101" t="s">
        <v>1093</v>
      </c>
      <c r="AU199" s="101" t="s">
        <v>6451</v>
      </c>
      <c r="AV199" s="101"/>
      <c r="AW199" s="98"/>
      <c r="AX199" s="98"/>
      <c r="AY199" s="98"/>
      <c r="AZ199" s="98"/>
      <c r="BA199" s="101"/>
      <c r="BB199" s="101" t="s">
        <v>2222</v>
      </c>
      <c r="BC199" s="101" t="s">
        <v>1871</v>
      </c>
      <c r="BD199" s="101" t="s">
        <v>6452</v>
      </c>
      <c r="BE199" s="101" t="s">
        <v>6453</v>
      </c>
      <c r="BF199" s="101" t="s">
        <v>6454</v>
      </c>
      <c r="BG199" s="93" t="s">
        <v>6455</v>
      </c>
      <c r="BH199" s="101" t="s">
        <v>6376</v>
      </c>
      <c r="BI199" s="98"/>
      <c r="BJ199" s="101"/>
      <c r="BK199" s="101"/>
      <c r="BL199" s="98"/>
      <c r="BM199" s="98"/>
      <c r="BN199" s="101"/>
      <c r="BO199" s="98"/>
      <c r="BP199" s="261"/>
      <c r="BQ199" s="101"/>
      <c r="BR199" s="101"/>
      <c r="BS199" s="101"/>
      <c r="BT199" s="101"/>
      <c r="BU199" s="101"/>
      <c r="BV199" s="101"/>
      <c r="BW199" s="98"/>
      <c r="BX199" s="101"/>
      <c r="BY199" s="101"/>
      <c r="BZ199" s="101"/>
      <c r="CA199" s="98"/>
      <c r="CB199" s="98"/>
      <c r="CC199" s="98"/>
      <c r="CD199" s="98"/>
      <c r="CE199" s="261"/>
      <c r="CF199" s="101" t="s">
        <v>5655</v>
      </c>
      <c r="CG199" s="101" t="s">
        <v>6456</v>
      </c>
      <c r="CH199" s="101"/>
      <c r="CI199" s="101"/>
      <c r="CJ199" s="101"/>
      <c r="CK199" s="101"/>
      <c r="CL199" s="101"/>
      <c r="CM199" s="101"/>
      <c r="CN199" s="260"/>
      <c r="CO199" s="98"/>
      <c r="CP199" s="98"/>
      <c r="CQ199" s="98"/>
      <c r="CR199" s="98"/>
      <c r="CS199" s="92"/>
      <c r="CT199" s="101" t="s">
        <v>6457</v>
      </c>
      <c r="CU199" s="101" t="s">
        <v>2343</v>
      </c>
      <c r="CV199" s="101" t="s">
        <v>1149</v>
      </c>
      <c r="CW199" s="101" t="s">
        <v>6458</v>
      </c>
      <c r="CX199" s="101" t="s">
        <v>6459</v>
      </c>
      <c r="CY199" s="101" t="s">
        <v>4664</v>
      </c>
      <c r="CZ199" s="101" t="s">
        <v>6460</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6461</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6462</v>
      </c>
      <c r="B201" s="82" t="s">
        <v>5194</v>
      </c>
      <c r="C201" s="83" t="s">
        <v>1483</v>
      </c>
      <c r="D201" s="84" t="s">
        <v>1483</v>
      </c>
      <c r="E201" s="85" t="s">
        <v>1483</v>
      </c>
      <c r="F201" s="86" t="s">
        <v>1483</v>
      </c>
      <c r="G201" s="82" t="s">
        <v>667</v>
      </c>
      <c r="H201" s="98"/>
      <c r="I201" s="93" t="s">
        <v>6463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6465</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6466</v>
      </c>
      <c r="B203" s="82" t="s">
        <v>1971</v>
      </c>
      <c r="C203" s="83" t="s">
        <v>1483</v>
      </c>
      <c r="D203" s="84" t="s">
        <v>1483</v>
      </c>
      <c r="E203" s="85" t="s">
        <v>1483</v>
      </c>
      <c r="F203" s="86" t="s">
        <v>1483</v>
      </c>
      <c r="G203" s="82" t="s">
        <v>667</v>
      </c>
      <c r="H203" s="98"/>
      <c r="I203" s="93"/>
      <c r="J203" s="98"/>
      <c r="K203" s="93" t="s">
        <v>5020</v>
      </c>
      <c r="L203" s="93" t="s">
        <v>6467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6468</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6469</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6470</v>
      </c>
      <c r="CG205" s="93" t="s">
        <v>4214</v>
      </c>
      <c r="CH205" s="93" t="s">
        <v>6471</v>
      </c>
      <c r="CI205" s="98"/>
      <c r="CJ205" s="98" t="s">
        <v>6472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6473</v>
      </c>
      <c r="DL205" s="93"/>
      <c r="DM205" s="98"/>
      <c r="DN205" s="98"/>
      <c r="DO205" s="98"/>
      <c r="DP205" s="98"/>
      <c r="DQ205" s="98"/>
      <c r="DR205" s="98"/>
      <c r="DS205" s="98"/>
      <c r="DT205" s="98"/>
      <c r="DU205" s="98"/>
      <c r="DV205" s="98"/>
      <c r="DW205" s="98"/>
      <c r="DX205" s="98"/>
      <c r="DY205" s="98"/>
      <c r="DZ205" s="98"/>
      <c r="EA205" s="98"/>
      <c r="EB205" s="395"/>
    </row>
    <row r="206">
      <c r="A206" s="165" t="s">
        <v>6474</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6475</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6476</v>
      </c>
      <c r="B208" s="103" t="s">
        <v>3791</v>
      </c>
      <c r="C208" s="104" t="s">
        <v>1483</v>
      </c>
      <c r="D208" s="105" t="s">
        <v>1483</v>
      </c>
      <c r="E208" s="106" t="s">
        <v>1483</v>
      </c>
      <c r="F208" s="107" t="s">
        <v>448</v>
      </c>
      <c r="G208" s="103" t="s">
        <v>448</v>
      </c>
      <c r="H208" s="112" t="s">
        <v>6477</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6478</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6479</v>
      </c>
      <c r="B209" s="82" t="s">
        <v>1250</v>
      </c>
      <c r="C209" s="83" t="s">
        <v>1483</v>
      </c>
      <c r="D209" s="84" t="s">
        <v>1483</v>
      </c>
      <c r="E209" s="85" t="s">
        <v>1483</v>
      </c>
      <c r="F209" s="86" t="s">
        <v>1483</v>
      </c>
      <c r="G209" s="82" t="s">
        <v>562</v>
      </c>
      <c r="H209" s="101"/>
      <c r="I209" s="94"/>
      <c r="J209" s="101"/>
      <c r="K209" s="776" t="s">
        <v>6480</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6481</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6482</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6483</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6484</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6485</v>
      </c>
      <c r="D1" s="789" t="s">
        <v>1626</v>
      </c>
      <c r="E1" s="790" t="s">
        <v>6486</v>
      </c>
      <c r="F1" s="789" t="s">
        <v>6487</v>
      </c>
      <c r="G1" s="791" t="s">
        <v>3173</v>
      </c>
      <c r="H1" s="789" t="s">
        <v>1107</v>
      </c>
      <c r="I1" s="789" t="s">
        <v>6488</v>
      </c>
      <c r="J1" s="789" t="s">
        <v>6489</v>
      </c>
      <c r="K1" s="789" t="s">
        <v>6490</v>
      </c>
      <c r="L1" s="790" t="s">
        <v>6491</v>
      </c>
      <c r="M1" s="789" t="s">
        <v>767</v>
      </c>
      <c r="N1" s="789" t="s">
        <v>6492</v>
      </c>
      <c r="O1" s="789" t="s">
        <v>1031</v>
      </c>
      <c r="P1" s="792" t="s">
        <v>6493</v>
      </c>
      <c r="Q1" s="789" t="s">
        <v>1969</v>
      </c>
      <c r="R1" s="789" t="s">
        <v>6494</v>
      </c>
      <c r="S1" s="789" t="s">
        <v>6495</v>
      </c>
      <c r="T1" s="790" t="s">
        <v>6496</v>
      </c>
      <c r="U1" s="789" t="s">
        <v>6497</v>
      </c>
      <c r="V1" s="789" t="s">
        <v>6498</v>
      </c>
      <c r="W1" s="789" t="s">
        <v>4093</v>
      </c>
      <c r="X1" s="789" t="s">
        <v>6499</v>
      </c>
      <c r="Y1" s="789" t="s">
        <v>6500</v>
      </c>
      <c r="Z1" s="789" t="s">
        <v>6501</v>
      </c>
      <c r="AA1" s="789" t="s">
        <v>4172</v>
      </c>
      <c r="AB1" s="789" t="s">
        <v>6502</v>
      </c>
      <c r="AC1" s="789" t="s">
        <v>6503</v>
      </c>
      <c r="AD1" s="789" t="s">
        <v>6504</v>
      </c>
      <c r="AE1" s="789" t="s">
        <v>1248</v>
      </c>
      <c r="AF1" s="789" t="s">
        <v>216</v>
      </c>
      <c r="AG1" s="789" t="s">
        <v>1802</v>
      </c>
      <c r="AH1" s="789" t="s">
        <v>2099</v>
      </c>
      <c r="AI1" s="789" t="s">
        <v>6505</v>
      </c>
      <c r="AJ1" s="789" t="s">
        <v>6506</v>
      </c>
      <c r="AK1" s="789" t="s">
        <v>2036</v>
      </c>
      <c r="AL1" s="789" t="s">
        <v>6507</v>
      </c>
      <c r="AM1" s="789" t="s">
        <v>6508</v>
      </c>
      <c r="AN1" s="789" t="s">
        <v>6096</v>
      </c>
      <c r="AO1" s="789" t="s">
        <v>6509</v>
      </c>
      <c r="AP1" s="789" t="s">
        <v>6510</v>
      </c>
      <c r="AQ1" s="789" t="s">
        <v>5794</v>
      </c>
      <c r="AR1" s="789" t="s">
        <v>3314</v>
      </c>
      <c r="AS1" s="789" t="s">
        <v>6511</v>
      </c>
      <c r="AT1" s="789" t="s">
        <v>4025</v>
      </c>
      <c r="AU1" s="789" t="s">
        <v>5488</v>
      </c>
      <c r="AV1" s="789" t="s">
        <v>6512</v>
      </c>
      <c r="AW1" s="793" t="s">
        <v>6513</v>
      </c>
      <c r="AX1" s="789" t="s">
        <v>6514</v>
      </c>
      <c r="AY1" s="789" t="s">
        <v>6515</v>
      </c>
      <c r="AZ1" s="790" t="s">
        <v>6516</v>
      </c>
      <c r="BA1" s="789" t="s">
        <v>6517</v>
      </c>
      <c r="BB1" s="789" t="s">
        <v>6518</v>
      </c>
      <c r="BC1" s="789" t="s">
        <v>1710</v>
      </c>
      <c r="BD1" s="793" t="s">
        <v>6482</v>
      </c>
      <c r="BE1" s="789" t="s">
        <v>955</v>
      </c>
      <c r="BF1" s="789"/>
      <c r="BG1" s="789"/>
      <c r="BH1" s="794"/>
      <c r="BI1" s="794"/>
      <c r="BJ1" s="794"/>
    </row>
    <row r="2" ht="15.75" customHeight="1">
      <c r="A2" s="795" t="s">
        <v>6519</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6520</v>
      </c>
      <c r="B4" s="805" t="s">
        <v>6521</v>
      </c>
      <c r="C4" s="806" t="s">
        <v>339</v>
      </c>
      <c r="D4" s="807" t="s">
        <v>871</v>
      </c>
      <c r="E4" s="808" t="s">
        <v>339</v>
      </c>
      <c r="F4" s="809" t="s">
        <v>1386</v>
      </c>
      <c r="G4" s="810"/>
      <c r="H4" s="811" t="s">
        <v>6522</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6523</v>
      </c>
      <c r="B5" s="805" t="s">
        <v>6524</v>
      </c>
      <c r="C5" s="806" t="s">
        <v>6525</v>
      </c>
      <c r="D5" s="815" t="s">
        <v>6526</v>
      </c>
      <c r="E5" s="815" t="s">
        <v>6527</v>
      </c>
      <c r="F5" s="809" t="s">
        <v>6528</v>
      </c>
      <c r="G5" s="816"/>
      <c r="H5" s="815"/>
      <c r="I5" s="815" t="s">
        <v>6529</v>
      </c>
      <c r="J5" s="815"/>
      <c r="K5" s="815" t="s">
        <v>4977</v>
      </c>
      <c r="L5" s="815"/>
      <c r="M5" s="815"/>
      <c r="N5" s="815" t="s">
        <v>6530</v>
      </c>
      <c r="O5" s="815" t="str">
        <f>HYPERLINK("https://youtu.be/y9FQ4EcrohI", "1:21.52")</f>
        <v>1:21.52</v>
      </c>
      <c r="P5" s="813" t="s">
        <v>6531</v>
      </c>
      <c r="Q5" s="815"/>
      <c r="R5" s="815" t="s">
        <v>6525</v>
      </c>
      <c r="S5" s="815" t="s">
        <v>2635</v>
      </c>
      <c r="T5" s="815"/>
      <c r="U5" s="815"/>
      <c r="V5" s="815"/>
      <c r="W5" s="815"/>
      <c r="X5" s="815"/>
      <c r="Y5" s="815"/>
      <c r="Z5" s="815"/>
      <c r="AA5" s="815" t="s">
        <v>6532</v>
      </c>
      <c r="AB5" s="815"/>
      <c r="AC5" s="815"/>
      <c r="AD5" s="815" t="s">
        <v>6533</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6534</v>
      </c>
      <c r="C6" s="806" t="s">
        <v>340</v>
      </c>
      <c r="D6" s="820" t="s">
        <v>1631</v>
      </c>
      <c r="E6" s="811" t="s">
        <v>340</v>
      </c>
      <c r="F6" s="809" t="s">
        <v>1387</v>
      </c>
      <c r="G6" s="821" t="s">
        <v>3175</v>
      </c>
      <c r="H6" s="811" t="s">
        <v>3183</v>
      </c>
      <c r="I6" s="811" t="str">
        <f>HYPERLINK("https://youtu.be/ZP_d48CVxG0","1:19.30")</f>
        <v>1:19.30</v>
      </c>
      <c r="J6" s="812"/>
      <c r="K6" s="812"/>
      <c r="L6" s="812" t="s">
        <v>862</v>
      </c>
      <c r="M6" s="812" t="s">
        <v>772</v>
      </c>
      <c r="N6" s="812" t="s">
        <v>4706</v>
      </c>
      <c r="O6" s="811" t="s">
        <v>1036</v>
      </c>
      <c r="P6" s="813" t="s">
        <v>6535</v>
      </c>
      <c r="Q6" s="812" t="s">
        <v>862</v>
      </c>
      <c r="R6" s="812"/>
      <c r="S6" s="812"/>
      <c r="T6" s="812"/>
      <c r="U6" s="812"/>
      <c r="V6" s="812"/>
      <c r="W6" s="812"/>
      <c r="X6" s="812"/>
      <c r="Y6" s="811" t="s">
        <v>6536</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6537</v>
      </c>
      <c r="B7" s="823" t="s">
        <v>6521</v>
      </c>
      <c r="C7" s="806" t="s">
        <v>6538</v>
      </c>
      <c r="D7" s="815" t="s">
        <v>3210</v>
      </c>
      <c r="E7" s="815" t="s">
        <v>6538</v>
      </c>
      <c r="F7" s="824"/>
      <c r="G7" s="825" t="s">
        <v>1202</v>
      </c>
      <c r="H7" s="815"/>
      <c r="I7" s="815" t="s">
        <v>1340</v>
      </c>
      <c r="J7" s="815"/>
      <c r="K7" s="815"/>
      <c r="L7" s="815" t="s">
        <v>1187</v>
      </c>
      <c r="M7" s="815" t="s">
        <v>1187</v>
      </c>
      <c r="N7" s="815" t="s">
        <v>6539</v>
      </c>
      <c r="O7" s="815"/>
      <c r="P7" s="813"/>
      <c r="Q7" s="815" t="s">
        <v>968</v>
      </c>
      <c r="R7" s="815" t="s">
        <v>3897</v>
      </c>
      <c r="S7" s="815" t="s">
        <v>6540</v>
      </c>
      <c r="T7" s="815" t="s">
        <v>6541</v>
      </c>
      <c r="U7" s="815"/>
      <c r="V7" s="815" t="s">
        <v>968</v>
      </c>
      <c r="W7" s="815"/>
      <c r="X7" s="815" t="s">
        <v>3660</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6542</v>
      </c>
      <c r="B8" s="823" t="s">
        <v>6524</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6543</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6534</v>
      </c>
      <c r="C9" s="806" t="s">
        <v>6544</v>
      </c>
      <c r="D9" s="812"/>
      <c r="E9" s="811" t="s">
        <v>1294</v>
      </c>
      <c r="F9" s="809" t="s">
        <v>2164</v>
      </c>
      <c r="G9" s="827" t="s">
        <v>1008</v>
      </c>
      <c r="H9" s="812"/>
      <c r="I9" s="812"/>
      <c r="J9" s="812"/>
      <c r="K9" s="812"/>
      <c r="L9" s="812"/>
      <c r="M9" s="812"/>
      <c r="N9" s="812"/>
      <c r="O9" s="811" t="s">
        <v>6544</v>
      </c>
      <c r="P9" s="813"/>
      <c r="Q9" s="812"/>
      <c r="R9" s="812"/>
      <c r="S9" s="812"/>
      <c r="T9" s="812"/>
      <c r="U9" s="812"/>
      <c r="V9" s="812"/>
      <c r="W9" s="812"/>
      <c r="X9" s="811" t="s">
        <v>6545</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6546</v>
      </c>
      <c r="B10" s="805" t="s">
        <v>6547</v>
      </c>
      <c r="C10" s="806" t="s">
        <v>2925</v>
      </c>
      <c r="D10" s="815" t="s">
        <v>1784</v>
      </c>
      <c r="E10" s="815" t="s">
        <v>2925</v>
      </c>
      <c r="F10" s="809" t="s">
        <v>6548</v>
      </c>
      <c r="G10" s="821" t="s">
        <v>6549</v>
      </c>
      <c r="H10" s="815"/>
      <c r="I10" s="815" t="s">
        <v>6550</v>
      </c>
      <c r="J10" s="815"/>
      <c r="K10" s="815" t="s">
        <v>4189</v>
      </c>
      <c r="L10" s="815"/>
      <c r="M10" s="815" t="s">
        <v>3176</v>
      </c>
      <c r="N10" s="815" t="s">
        <v>6551</v>
      </c>
      <c r="O10" s="815"/>
      <c r="P10" s="813" t="s">
        <v>3465</v>
      </c>
      <c r="Q10" s="815" t="s">
        <v>3176</v>
      </c>
      <c r="R10" s="815"/>
      <c r="S10" s="815" t="s">
        <v>4402</v>
      </c>
      <c r="T10" s="815"/>
      <c r="U10" s="815" t="s">
        <v>2817</v>
      </c>
      <c r="V10" s="815"/>
      <c r="W10" s="815"/>
      <c r="X10" s="815"/>
      <c r="Y10" s="815" t="s">
        <v>673</v>
      </c>
      <c r="Z10" s="815"/>
      <c r="AA10" s="815" t="s">
        <v>6552</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6553</v>
      </c>
      <c r="C11" s="806" t="s">
        <v>4330</v>
      </c>
      <c r="D11" s="820" t="s">
        <v>1632</v>
      </c>
      <c r="E11" s="811" t="s">
        <v>341</v>
      </c>
      <c r="F11" s="809" t="s">
        <v>1388</v>
      </c>
      <c r="G11" s="825" t="s">
        <v>3176</v>
      </c>
      <c r="H11" s="811" t="s">
        <v>4330</v>
      </c>
      <c r="I11" s="812" t="s">
        <v>6554</v>
      </c>
      <c r="J11" s="811" t="s">
        <v>749</v>
      </c>
      <c r="K11" s="812"/>
      <c r="L11" s="812" t="s">
        <v>2431</v>
      </c>
      <c r="M11" s="811" t="s">
        <v>2191</v>
      </c>
      <c r="N11" s="812" t="s">
        <v>6555</v>
      </c>
      <c r="O11" s="811" t="s">
        <v>6556</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6537</v>
      </c>
      <c r="B12" s="829" t="s">
        <v>6547</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3206</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6312</v>
      </c>
      <c r="AB12" s="815"/>
      <c r="AC12" s="815"/>
      <c r="AD12" s="815" t="s">
        <v>683</v>
      </c>
      <c r="AE12" s="815" t="s">
        <v>6557</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6553</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6542</v>
      </c>
      <c r="B14" s="831" t="s">
        <v>6558</v>
      </c>
      <c r="C14" s="806" t="s">
        <v>6559</v>
      </c>
      <c r="D14" s="815" t="s">
        <v>5532</v>
      </c>
      <c r="E14" s="815"/>
      <c r="F14" s="824"/>
      <c r="G14" s="821" t="s">
        <v>2230</v>
      </c>
      <c r="H14" s="815"/>
      <c r="I14" s="815"/>
      <c r="J14" s="815"/>
      <c r="K14" s="815"/>
      <c r="L14" s="815"/>
      <c r="M14" s="815" t="s">
        <v>6559</v>
      </c>
      <c r="N14" s="815"/>
      <c r="O14" s="815"/>
      <c r="P14" s="813"/>
      <c r="Q14" s="815"/>
      <c r="R14" s="815"/>
      <c r="S14" s="815" t="s">
        <v>6560</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6561</v>
      </c>
      <c r="C15" s="806" t="s">
        <v>6562</v>
      </c>
      <c r="D15" s="812" t="s">
        <v>6563</v>
      </c>
      <c r="E15" s="811" t="s">
        <v>1143</v>
      </c>
      <c r="F15" s="809" t="s">
        <v>2305</v>
      </c>
      <c r="G15" s="827" t="s">
        <v>6564</v>
      </c>
      <c r="H15" s="812" t="s">
        <v>6565</v>
      </c>
      <c r="I15" s="812"/>
      <c r="J15" s="811" t="s">
        <v>6566</v>
      </c>
      <c r="K15" s="812"/>
      <c r="L15" s="812" t="s">
        <v>6566</v>
      </c>
      <c r="M15" s="812"/>
      <c r="N15" s="812"/>
      <c r="O15" s="811" t="s">
        <v>1931</v>
      </c>
      <c r="P15" s="813" t="s">
        <v>6567</v>
      </c>
      <c r="Q15" s="812" t="s">
        <v>6568</v>
      </c>
      <c r="R15" s="812"/>
      <c r="S15" s="812"/>
      <c r="T15" s="812" t="s">
        <v>6559</v>
      </c>
      <c r="U15" s="812"/>
      <c r="V15" s="812" t="s">
        <v>6566</v>
      </c>
      <c r="W15" s="812"/>
      <c r="X15" s="811" t="s">
        <v>1931</v>
      </c>
      <c r="Y15" s="812"/>
      <c r="Z15" s="812"/>
      <c r="AA15" s="812"/>
      <c r="AB15" s="812"/>
      <c r="AC15" s="812"/>
      <c r="AD15" s="812"/>
      <c r="AE15" s="812"/>
      <c r="AF15" s="811" t="s">
        <v>6562</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6569</v>
      </c>
      <c r="B16" s="823" t="s">
        <v>6570</v>
      </c>
      <c r="C16" s="806" t="s">
        <v>2524</v>
      </c>
      <c r="D16" s="832" t="s">
        <v>1321</v>
      </c>
      <c r="E16" s="815" t="s">
        <v>2524</v>
      </c>
      <c r="F16" s="824"/>
      <c r="G16" s="810"/>
      <c r="H16" s="815"/>
      <c r="I16" s="815" t="str">
        <f>HYPERLINK("https://youtu.be/t-1yqXLdZMA","38.05")</f>
        <v>38.05</v>
      </c>
      <c r="J16" s="815" t="s">
        <v>6571</v>
      </c>
      <c r="K16" s="815" t="s">
        <v>2356</v>
      </c>
      <c r="L16" s="815" t="s">
        <v>966</v>
      </c>
      <c r="M16" s="815" t="s">
        <v>3118</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6572</v>
      </c>
      <c r="B17" s="823" t="s">
        <v>6570</v>
      </c>
      <c r="C17" s="833"/>
      <c r="D17" s="834" t="s">
        <v>6573</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6574</v>
      </c>
      <c r="B18" s="805" t="s">
        <v>6575</v>
      </c>
      <c r="C18" s="806" t="s">
        <v>1864</v>
      </c>
      <c r="D18" s="815" t="s">
        <v>4749</v>
      </c>
      <c r="E18" s="815" t="s">
        <v>1221</v>
      </c>
      <c r="F18" s="809" t="s">
        <v>4548</v>
      </c>
      <c r="G18" s="816"/>
      <c r="H18" s="815"/>
      <c r="I18" s="815" t="s">
        <v>4303</v>
      </c>
      <c r="J18" s="815"/>
      <c r="K18" s="815" t="s">
        <v>6576</v>
      </c>
      <c r="L18" s="815"/>
      <c r="M18" s="815" t="s">
        <v>6577</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6578</v>
      </c>
      <c r="C19" s="806" t="s">
        <v>2962</v>
      </c>
      <c r="D19" s="815"/>
      <c r="E19" s="815" t="s">
        <v>1012</v>
      </c>
      <c r="F19" s="824"/>
      <c r="G19" s="810"/>
      <c r="H19" s="815"/>
      <c r="I19" s="815"/>
      <c r="J19" s="815"/>
      <c r="K19" s="815" t="s">
        <v>6579</v>
      </c>
      <c r="L19" s="815"/>
      <c r="M19" s="815"/>
      <c r="N19" s="815"/>
      <c r="O19" s="815"/>
      <c r="P19" s="813"/>
      <c r="Q19" s="815" t="s">
        <v>6580</v>
      </c>
      <c r="R19" s="815" t="s">
        <v>6581</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6582</v>
      </c>
      <c r="C20" s="806" t="s">
        <v>6583</v>
      </c>
      <c r="D20" s="815" t="s">
        <v>1634</v>
      </c>
      <c r="E20" s="815" t="s">
        <v>6583</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3266</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6584</v>
      </c>
      <c r="B21" s="805" t="s">
        <v>6585</v>
      </c>
      <c r="C21" s="806" t="s">
        <v>6559</v>
      </c>
      <c r="D21" s="835"/>
      <c r="E21" s="835" t="s">
        <v>753</v>
      </c>
      <c r="F21" s="824" t="s">
        <v>4255</v>
      </c>
      <c r="G21" s="810"/>
      <c r="H21" s="835"/>
      <c r="I21" s="835"/>
      <c r="J21" s="835"/>
      <c r="K21" s="835"/>
      <c r="L21" s="835"/>
      <c r="M21" s="835"/>
      <c r="N21" s="835"/>
      <c r="O21" s="835"/>
      <c r="P21" s="836"/>
      <c r="Q21" s="835" t="s">
        <v>6586</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6"/>
      <c r="AQ21" s="835"/>
      <c r="AR21" s="835"/>
      <c r="AS21" s="835"/>
      <c r="AT21" s="835"/>
      <c r="AU21" s="835"/>
      <c r="AV21" s="835"/>
      <c r="AW21" s="814"/>
      <c r="AX21" s="835"/>
      <c r="AY21" s="835"/>
      <c r="AZ21" s="835"/>
      <c r="BA21" s="835"/>
      <c r="BB21" s="835"/>
      <c r="BC21" s="835"/>
      <c r="BD21" s="814"/>
      <c r="BE21" s="835"/>
      <c r="BF21" s="837"/>
      <c r="BG21" s="836"/>
      <c r="BH21" s="814"/>
      <c r="BI21" s="814"/>
      <c r="BJ21" s="814"/>
    </row>
    <row r="22" ht="15.75" customHeight="1">
      <c r="A22" s="818"/>
      <c r="B22" s="828" t="s">
        <v>6587</v>
      </c>
      <c r="C22" s="806" t="s">
        <v>6588</v>
      </c>
      <c r="D22" s="815"/>
      <c r="E22" s="815" t="s">
        <v>3929</v>
      </c>
      <c r="F22" s="824"/>
      <c r="G22" s="827" t="s">
        <v>552</v>
      </c>
      <c r="H22" s="815" t="s">
        <v>6589</v>
      </c>
      <c r="I22" s="815"/>
      <c r="J22" s="815"/>
      <c r="K22" s="815"/>
      <c r="L22" s="815" t="s">
        <v>816</v>
      </c>
      <c r="M22" s="815"/>
      <c r="N22" s="815"/>
      <c r="O22" s="815"/>
      <c r="P22" s="813"/>
      <c r="Q22" s="815" t="s">
        <v>3191</v>
      </c>
      <c r="R22" s="815"/>
      <c r="S22" s="815"/>
      <c r="T22" s="815"/>
      <c r="U22" s="815"/>
      <c r="V22" s="815"/>
      <c r="W22" s="815"/>
      <c r="X22" s="815" t="s">
        <v>6590</v>
      </c>
      <c r="Y22" s="815"/>
      <c r="Z22" s="815"/>
      <c r="AA22" s="815"/>
      <c r="AB22" s="815"/>
      <c r="AC22" s="815"/>
      <c r="AD22" s="815"/>
      <c r="AE22" s="815"/>
      <c r="AF22" s="815" t="s">
        <v>6588</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6591</v>
      </c>
      <c r="B23" s="805" t="s">
        <v>6592</v>
      </c>
      <c r="C23" s="806" t="s">
        <v>253</v>
      </c>
      <c r="D23" s="815"/>
      <c r="E23" s="815" t="s">
        <v>253</v>
      </c>
      <c r="F23" s="824"/>
      <c r="G23" s="810"/>
      <c r="H23" s="815"/>
      <c r="I23" s="815"/>
      <c r="J23" s="815"/>
      <c r="K23" s="815"/>
      <c r="L23" s="815"/>
      <c r="M23" s="815"/>
      <c r="N23" s="815" t="s">
        <v>6593</v>
      </c>
      <c r="O23" s="815"/>
      <c r="P23" s="813"/>
      <c r="Q23" s="815" t="s">
        <v>6594</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8"/>
      <c r="B24" s="828" t="s">
        <v>6595</v>
      </c>
      <c r="C24" s="806" t="s">
        <v>6596</v>
      </c>
      <c r="D24" s="815"/>
      <c r="E24" s="815" t="s">
        <v>1148</v>
      </c>
      <c r="F24" s="824"/>
      <c r="G24" s="825" t="s">
        <v>3502</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8"/>
      <c r="B25" s="828" t="s">
        <v>6597</v>
      </c>
      <c r="C25" s="806" t="s">
        <v>2928</v>
      </c>
      <c r="D25" s="811" t="s">
        <v>1636</v>
      </c>
      <c r="E25" s="815" t="s">
        <v>6598</v>
      </c>
      <c r="F25" s="824"/>
      <c r="G25" s="839" t="s">
        <v>3178</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8"/>
      <c r="B26" s="828" t="s">
        <v>6599</v>
      </c>
      <c r="C26" s="806" t="s">
        <v>6600</v>
      </c>
      <c r="D26" s="815"/>
      <c r="E26" s="815" t="s">
        <v>6600</v>
      </c>
      <c r="F26" s="809" t="s">
        <v>1392</v>
      </c>
      <c r="G26" s="816"/>
      <c r="H26" s="815"/>
      <c r="I26" s="815"/>
      <c r="J26" s="815" t="s">
        <v>6601</v>
      </c>
      <c r="K26" s="815" t="s">
        <v>6602</v>
      </c>
      <c r="L26" s="815"/>
      <c r="M26" s="815"/>
      <c r="N26" s="815"/>
      <c r="O26" s="815" t="s">
        <v>6603</v>
      </c>
      <c r="P26" s="813" t="s">
        <v>6604</v>
      </c>
      <c r="Q26" s="815" t="s">
        <v>6605</v>
      </c>
      <c r="R26" s="815"/>
      <c r="S26" s="815" t="s">
        <v>2639</v>
      </c>
      <c r="T26" s="815" t="s">
        <v>3283</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6537</v>
      </c>
      <c r="B27" s="823" t="s">
        <v>6606</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6607</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8"/>
      <c r="B28" s="828" t="s">
        <v>6608</v>
      </c>
      <c r="C28" s="806" t="s">
        <v>2885</v>
      </c>
      <c r="D28" s="815"/>
      <c r="E28" s="815" t="s">
        <v>2885</v>
      </c>
      <c r="F28" s="824"/>
      <c r="G28" s="816"/>
      <c r="H28" s="815"/>
      <c r="I28" s="815"/>
      <c r="J28" s="815"/>
      <c r="K28" s="815" t="s">
        <v>6609</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40"/>
      <c r="B29" s="828" t="s">
        <v>6610</v>
      </c>
      <c r="C29" s="806" t="s">
        <v>4321</v>
      </c>
      <c r="D29" s="815"/>
      <c r="E29" s="815" t="s">
        <v>1908</v>
      </c>
      <c r="F29" s="824"/>
      <c r="G29" s="839" t="s">
        <v>6609</v>
      </c>
      <c r="H29" s="815"/>
      <c r="I29" s="815" t="s">
        <v>4940</v>
      </c>
      <c r="J29" s="815" t="s">
        <v>802</v>
      </c>
      <c r="K29" s="815" t="s">
        <v>3503</v>
      </c>
      <c r="L29" s="815"/>
      <c r="M29" s="815" t="s">
        <v>1516</v>
      </c>
      <c r="N29" s="815" t="s">
        <v>6609</v>
      </c>
      <c r="O29" s="815"/>
      <c r="P29" s="813"/>
      <c r="Q29" s="815"/>
      <c r="R29" s="815"/>
      <c r="S29" s="815"/>
      <c r="T29" s="815"/>
      <c r="U29" s="815"/>
      <c r="V29" s="815"/>
      <c r="W29" s="815" t="s">
        <v>462</v>
      </c>
      <c r="X29" s="815"/>
      <c r="Y29" s="815"/>
      <c r="Z29" s="815"/>
      <c r="AA29" s="815" t="s">
        <v>6611</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40"/>
      <c r="B30" s="828" t="s">
        <v>6612</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40"/>
      <c r="B31" s="828" t="s">
        <v>6613</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40"/>
      <c r="B32" s="828" t="s">
        <v>6614</v>
      </c>
      <c r="C32" s="806" t="s">
        <v>2801</v>
      </c>
      <c r="D32" s="815"/>
      <c r="E32" s="815" t="s">
        <v>3151</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6615</v>
      </c>
      <c r="C33" s="806" t="s">
        <v>2929</v>
      </c>
      <c r="D33" s="815"/>
      <c r="E33" s="815" t="s">
        <v>3503</v>
      </c>
      <c r="F33" s="824"/>
      <c r="G33" s="810"/>
      <c r="H33" s="815"/>
      <c r="I33" s="815"/>
      <c r="J33" s="815" t="s">
        <v>2929</v>
      </c>
      <c r="K33" s="815" t="s">
        <v>3917</v>
      </c>
      <c r="L33" s="815"/>
      <c r="M33" s="815" t="s">
        <v>4951</v>
      </c>
      <c r="N33" s="815"/>
      <c r="O33" s="815"/>
      <c r="P33" s="813"/>
      <c r="Q33" s="815" t="s">
        <v>6616</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6617</v>
      </c>
      <c r="C34" s="806" t="s">
        <v>4235</v>
      </c>
      <c r="D34" s="815"/>
      <c r="E34" s="815" t="s">
        <v>3892</v>
      </c>
      <c r="F34" s="824"/>
      <c r="G34" s="816"/>
      <c r="H34" s="815"/>
      <c r="I34" s="815"/>
      <c r="J34" s="815" t="s">
        <v>4235</v>
      </c>
      <c r="K34" s="815" t="s">
        <v>6618</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40"/>
      <c r="B35" s="828" t="s">
        <v>6619</v>
      </c>
      <c r="C35" s="806" t="s">
        <v>2399</v>
      </c>
      <c r="D35" s="815" t="s">
        <v>1637</v>
      </c>
      <c r="E35" s="815" t="s">
        <v>2929</v>
      </c>
      <c r="F35" s="824"/>
      <c r="G35" s="839" t="s">
        <v>2867</v>
      </c>
      <c r="H35" s="815"/>
      <c r="I35" s="815" t="s">
        <v>6620</v>
      </c>
      <c r="J35" s="815" t="s">
        <v>2399</v>
      </c>
      <c r="K35" s="815" t="s">
        <v>2354</v>
      </c>
      <c r="L35" s="815"/>
      <c r="M35" s="815" t="s">
        <v>6618</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6621</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6542</v>
      </c>
      <c r="B37" s="823" t="s">
        <v>6622</v>
      </c>
      <c r="C37" s="806" t="s">
        <v>4395</v>
      </c>
      <c r="D37" s="815" t="s">
        <v>6623</v>
      </c>
      <c r="E37" s="815" t="s">
        <v>4395</v>
      </c>
      <c r="F37" s="809" t="s">
        <v>2998</v>
      </c>
      <c r="G37" s="839" t="s">
        <v>2612</v>
      </c>
      <c r="H37" s="815"/>
      <c r="I37" s="815"/>
      <c r="J37" s="815"/>
      <c r="K37" s="815" t="s">
        <v>358</v>
      </c>
      <c r="L37" s="815"/>
      <c r="M37" s="815"/>
      <c r="N37" s="815"/>
      <c r="O37" s="815"/>
      <c r="P37" s="813"/>
      <c r="Q37" s="815" t="s">
        <v>3159</v>
      </c>
      <c r="R37" s="815"/>
      <c r="S37" s="815"/>
      <c r="T37" s="815"/>
      <c r="U37" s="815"/>
      <c r="V37" s="815"/>
      <c r="W37" s="815" t="s">
        <v>6624</v>
      </c>
      <c r="X37" s="815" t="s">
        <v>1883</v>
      </c>
      <c r="Y37" s="815"/>
      <c r="Z37" s="815"/>
      <c r="AA37" s="815" t="s">
        <v>3622</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1"/>
      <c r="B38" s="819" t="s">
        <v>6625</v>
      </c>
      <c r="C38" s="806" t="s">
        <v>2629</v>
      </c>
      <c r="D38" s="815" t="s">
        <v>3337</v>
      </c>
      <c r="E38" s="815" t="s">
        <v>3673</v>
      </c>
      <c r="F38" s="809" t="s">
        <v>735</v>
      </c>
      <c r="G38" s="825" t="s">
        <v>4624</v>
      </c>
      <c r="H38" s="815" t="s">
        <v>6626</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6569</v>
      </c>
      <c r="B39" s="823" t="s">
        <v>6570</v>
      </c>
      <c r="C39" s="806" t="s">
        <v>3375</v>
      </c>
      <c r="D39" s="820" t="s">
        <v>668</v>
      </c>
      <c r="E39" s="815" t="s">
        <v>2941</v>
      </c>
      <c r="F39" s="824"/>
      <c r="G39" s="810"/>
      <c r="H39" s="815"/>
      <c r="I39" s="815" t="s">
        <v>1805</v>
      </c>
      <c r="J39" s="815"/>
      <c r="K39" s="815" t="s">
        <v>6627</v>
      </c>
      <c r="L39" s="815" t="s">
        <v>277</v>
      </c>
      <c r="M39" s="815" t="s">
        <v>815</v>
      </c>
      <c r="N39" s="815" t="str">
        <f>HYPERLINK("https://youtu.be/Z3lDpXDeu-A","48.50")</f>
        <v>48.50</v>
      </c>
      <c r="O39" s="815"/>
      <c r="P39" s="813"/>
      <c r="Q39" s="815"/>
      <c r="R39" s="815"/>
      <c r="S39" s="815" t="s">
        <v>3375</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1"/>
      <c r="B40" s="819" t="s">
        <v>6628</v>
      </c>
      <c r="C40" s="806" t="s">
        <v>2688</v>
      </c>
      <c r="D40" s="813"/>
      <c r="E40" s="813"/>
      <c r="F40" s="824"/>
      <c r="G40" s="816"/>
      <c r="H40" s="813"/>
      <c r="I40" s="842"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1"/>
      <c r="B41" s="819" t="s">
        <v>6629</v>
      </c>
      <c r="C41" s="806" t="s">
        <v>3352</v>
      </c>
      <c r="D41" s="813"/>
      <c r="E41" s="813"/>
      <c r="F41" s="824"/>
      <c r="G41" s="810"/>
      <c r="H41" s="813"/>
      <c r="I41" s="842" t="s">
        <v>3352</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1"/>
      <c r="B42" s="819" t="s">
        <v>6630</v>
      </c>
      <c r="C42" s="806" t="s">
        <v>5398</v>
      </c>
      <c r="D42" s="834" t="s">
        <v>6184</v>
      </c>
      <c r="E42" s="813"/>
      <c r="F42" s="824"/>
      <c r="G42" s="816"/>
      <c r="H42" s="813"/>
      <c r="I42" s="842" t="s">
        <v>5398</v>
      </c>
      <c r="J42" s="842"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6572</v>
      </c>
      <c r="B43" s="823" t="s">
        <v>6570</v>
      </c>
      <c r="C43" s="833"/>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1"/>
      <c r="B44" s="844" t="s">
        <v>6631</v>
      </c>
      <c r="C44" s="833"/>
      <c r="D44" s="834" t="s">
        <v>6632</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6633</v>
      </c>
      <c r="B45" s="805" t="s">
        <v>6634</v>
      </c>
      <c r="C45" s="806" t="s">
        <v>1046</v>
      </c>
      <c r="D45" s="815" t="s">
        <v>5281</v>
      </c>
      <c r="E45" s="815" t="s">
        <v>6635</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6636</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3580</v>
      </c>
      <c r="V46" s="812"/>
      <c r="W46" s="812"/>
      <c r="X46" s="812"/>
      <c r="Y46" s="811" t="s">
        <v>3412</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6637</v>
      </c>
      <c r="B47" s="805" t="s">
        <v>6638</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6521</v>
      </c>
      <c r="C48" s="806" t="s">
        <v>353</v>
      </c>
      <c r="D48" s="820" t="s">
        <v>6639</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6640</v>
      </c>
      <c r="B50" s="854" t="s">
        <v>6641</v>
      </c>
      <c r="C50" s="855" t="s">
        <v>2004</v>
      </c>
      <c r="D50" s="815"/>
      <c r="E50" s="815" t="s">
        <v>1550</v>
      </c>
      <c r="F50" s="809" t="s">
        <v>1962</v>
      </c>
      <c r="G50" s="810"/>
      <c r="H50" s="815"/>
      <c r="I50" s="815" t="s">
        <v>6183</v>
      </c>
      <c r="J50" s="815" t="s">
        <v>2004</v>
      </c>
      <c r="K50" s="815" t="s">
        <v>4697</v>
      </c>
      <c r="L50" s="815" t="s">
        <v>871</v>
      </c>
      <c r="M50" s="815" t="s">
        <v>782</v>
      </c>
      <c r="N50" s="815" t="s">
        <v>3008</v>
      </c>
      <c r="O50" s="815"/>
      <c r="P50" s="813" t="s">
        <v>3484</v>
      </c>
      <c r="Q50" s="815" t="s">
        <v>1184</v>
      </c>
      <c r="R50" s="815" t="s">
        <v>6642</v>
      </c>
      <c r="S50" s="815"/>
      <c r="T50" s="815"/>
      <c r="U50" s="815" t="s">
        <v>2749</v>
      </c>
      <c r="V50" s="815"/>
      <c r="W50" s="815"/>
      <c r="X50" s="815"/>
      <c r="Y50" s="815" t="s">
        <v>3572</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6643</v>
      </c>
      <c r="C51" s="855" t="s">
        <v>3318</v>
      </c>
      <c r="D51" s="815"/>
      <c r="E51" s="815" t="s">
        <v>3318</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6644</v>
      </c>
      <c r="C52" s="855">
        <v>52.89</v>
      </c>
      <c r="D52" s="861" t="s">
        <v>4711</v>
      </c>
      <c r="E52" s="862"/>
      <c r="F52" s="824"/>
      <c r="G52" s="810"/>
      <c r="H52" s="862"/>
      <c r="I52" s="862"/>
      <c r="J52" s="862"/>
      <c r="K52" s="862"/>
      <c r="L52" s="862"/>
      <c r="M52" s="862"/>
      <c r="N52" s="863" t="s">
        <v>6645</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6646</v>
      </c>
      <c r="C53" s="855" t="s">
        <v>238</v>
      </c>
      <c r="D53" s="815" t="s">
        <v>506</v>
      </c>
      <c r="E53" s="861" t="s">
        <v>354</v>
      </c>
      <c r="F53" s="809" t="s">
        <v>1398</v>
      </c>
      <c r="G53" s="864" t="s">
        <v>3179</v>
      </c>
      <c r="H53" s="809" t="s">
        <v>370</v>
      </c>
      <c r="I53" s="861"/>
      <c r="J53" s="861"/>
      <c r="K53" s="861"/>
      <c r="L53" s="861"/>
      <c r="M53" s="861"/>
      <c r="N53" s="861"/>
      <c r="O53" s="861" t="s">
        <v>6647</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6542</v>
      </c>
      <c r="B54" s="866" t="s">
        <v>6641</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6643</v>
      </c>
      <c r="C55" s="855" t="s">
        <v>479</v>
      </c>
      <c r="D55" s="861"/>
      <c r="E55" s="861" t="s">
        <v>6648</v>
      </c>
      <c r="F55" s="824"/>
      <c r="G55" s="860"/>
      <c r="H55" s="861" t="s">
        <v>479</v>
      </c>
      <c r="I55" s="861"/>
      <c r="J55" s="861"/>
      <c r="K55" s="861"/>
      <c r="L55" s="861"/>
      <c r="M55" s="861"/>
      <c r="N55" s="861"/>
      <c r="O55" s="861"/>
      <c r="P55" s="813" t="s">
        <v>6649</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6644</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6646</v>
      </c>
      <c r="C57" s="855" t="s">
        <v>423</v>
      </c>
      <c r="D57" s="861"/>
      <c r="E57" s="861" t="s">
        <v>3209</v>
      </c>
      <c r="F57" s="809" t="s">
        <v>6650</v>
      </c>
      <c r="G57" s="864" t="s">
        <v>3335</v>
      </c>
      <c r="H57" s="809" t="s">
        <v>641</v>
      </c>
      <c r="I57" s="861"/>
      <c r="J57" s="861"/>
      <c r="K57" s="861"/>
      <c r="L57" s="861"/>
      <c r="M57" s="861"/>
      <c r="N57" s="861"/>
      <c r="O57" s="809" t="s">
        <v>3975</v>
      </c>
      <c r="P57" s="813" t="s">
        <v>6651</v>
      </c>
      <c r="Q57" s="861" t="s">
        <v>6580</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6537</v>
      </c>
      <c r="B58" s="868" t="s">
        <v>6521</v>
      </c>
      <c r="C58" s="855" t="s">
        <v>4229</v>
      </c>
      <c r="D58" s="817"/>
      <c r="E58" s="817"/>
      <c r="F58" s="824"/>
      <c r="G58" s="839"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6523</v>
      </c>
      <c r="B59" s="854" t="s">
        <v>6521</v>
      </c>
      <c r="C59" s="855" t="s">
        <v>2107</v>
      </c>
      <c r="D59" s="845" t="s">
        <v>6652</v>
      </c>
      <c r="E59" s="845"/>
      <c r="F59" s="824"/>
      <c r="G59" s="871" t="s">
        <v>6653</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6537</v>
      </c>
      <c r="B60" s="866" t="s">
        <v>6654</v>
      </c>
      <c r="C60" s="855" t="s">
        <v>3748</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6655</v>
      </c>
      <c r="Z60" s="845"/>
      <c r="AA60" s="845"/>
      <c r="AB60" s="845"/>
      <c r="AC60" s="845"/>
      <c r="AD60" s="845"/>
      <c r="AE60" s="845"/>
      <c r="AF60" s="845"/>
      <c r="AG60" s="845"/>
      <c r="AH60" s="845"/>
      <c r="AI60" s="845"/>
      <c r="AJ60" s="845"/>
      <c r="AK60" s="845"/>
      <c r="AL60" s="845"/>
      <c r="AM60" s="845"/>
      <c r="AN60" s="845"/>
      <c r="AO60" s="845"/>
      <c r="AP60" s="808" t="s">
        <v>6656</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6657</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6658</v>
      </c>
      <c r="C62" s="855" t="s">
        <v>1307</v>
      </c>
      <c r="D62" s="813" t="s">
        <v>6580</v>
      </c>
      <c r="E62" s="813"/>
      <c r="F62" s="824"/>
      <c r="G62" s="864" t="s">
        <v>2458</v>
      </c>
      <c r="H62" s="842" t="s">
        <v>1307</v>
      </c>
      <c r="I62" s="813"/>
      <c r="J62" s="813"/>
      <c r="K62" s="813"/>
      <c r="L62" s="813"/>
      <c r="M62" s="813"/>
      <c r="N62" s="813"/>
      <c r="O62" s="813"/>
      <c r="P62" s="813"/>
      <c r="Q62" s="813"/>
      <c r="R62" s="811" t="s">
        <v>6659</v>
      </c>
      <c r="S62" s="813"/>
      <c r="T62" s="813"/>
      <c r="U62" s="813"/>
      <c r="V62" s="813"/>
      <c r="W62" s="813"/>
      <c r="X62" s="813"/>
      <c r="Y62" s="811" t="s">
        <v>6660</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6542</v>
      </c>
      <c r="B63" s="866" t="s">
        <v>6654</v>
      </c>
      <c r="C63" s="875" t="s">
        <v>1078</v>
      </c>
      <c r="D63" s="813" t="s">
        <v>4312</v>
      </c>
      <c r="E63" s="813"/>
      <c r="F63" s="824"/>
      <c r="G63" s="810"/>
      <c r="H63" s="813"/>
      <c r="I63" s="813"/>
      <c r="J63" s="842"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2" t="s">
        <v>5099</v>
      </c>
      <c r="AV63" s="813"/>
      <c r="AW63" s="817"/>
      <c r="AX63" s="813"/>
      <c r="AY63" s="813"/>
      <c r="AZ63" s="813"/>
      <c r="BA63" s="813"/>
      <c r="BB63" s="813"/>
      <c r="BC63" s="813"/>
      <c r="BD63" s="817"/>
      <c r="BE63" s="813"/>
      <c r="BF63" s="874"/>
      <c r="BG63" s="874"/>
      <c r="BH63" s="817"/>
      <c r="BI63" s="817"/>
      <c r="BJ63" s="817"/>
    </row>
    <row r="64" ht="15.75" customHeight="1">
      <c r="A64" s="872"/>
      <c r="B64" s="859" t="s">
        <v>6661</v>
      </c>
      <c r="C64" s="855" t="s">
        <v>2411</v>
      </c>
      <c r="D64" s="815" t="s">
        <v>2438</v>
      </c>
      <c r="E64" s="815" t="s">
        <v>3537</v>
      </c>
      <c r="F64" s="824"/>
      <c r="G64" s="864" t="s">
        <v>2137</v>
      </c>
      <c r="H64" s="815" t="s">
        <v>591</v>
      </c>
      <c r="I64" s="815"/>
      <c r="J64" s="815" t="s">
        <v>6662</v>
      </c>
      <c r="K64" s="815"/>
      <c r="L64" s="815"/>
      <c r="M64" s="815" t="s">
        <v>3537</v>
      </c>
      <c r="N64" s="815"/>
      <c r="O64" s="815"/>
      <c r="P64" s="813"/>
      <c r="Q64" s="815"/>
      <c r="R64" s="815"/>
      <c r="S64" s="815"/>
      <c r="T64" s="815" t="s">
        <v>2939</v>
      </c>
      <c r="U64" s="815"/>
      <c r="V64" s="815" t="s">
        <v>3258</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6663</v>
      </c>
      <c r="B65" s="854" t="s">
        <v>6664</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3205</v>
      </c>
      <c r="V65" s="876"/>
      <c r="W65" s="876" t="s">
        <v>3416</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6665</v>
      </c>
      <c r="C66" s="855" t="s">
        <v>4179</v>
      </c>
      <c r="D66" s="815" t="s">
        <v>544</v>
      </c>
      <c r="E66" s="815"/>
      <c r="F66" s="809" t="s">
        <v>2262</v>
      </c>
      <c r="G66" s="871" t="s">
        <v>3765</v>
      </c>
      <c r="H66" s="815" t="s">
        <v>4068</v>
      </c>
      <c r="I66" s="815" t="s">
        <v>412</v>
      </c>
      <c r="J66" s="815" t="s">
        <v>3765</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6666</v>
      </c>
      <c r="C67" s="855" t="s">
        <v>683</v>
      </c>
      <c r="D67" s="815" t="s">
        <v>1400</v>
      </c>
      <c r="E67" s="845" t="s">
        <v>872</v>
      </c>
      <c r="F67" s="809" t="s">
        <v>1400</v>
      </c>
      <c r="G67" s="821" t="s">
        <v>4916</v>
      </c>
      <c r="H67" s="845" t="s">
        <v>1261</v>
      </c>
      <c r="I67" s="845" t="s">
        <v>1499</v>
      </c>
      <c r="J67" s="845" t="s">
        <v>4407</v>
      </c>
      <c r="K67" s="845" t="s">
        <v>2979</v>
      </c>
      <c r="L67" s="845" t="s">
        <v>6352</v>
      </c>
      <c r="M67" s="845" t="s">
        <v>5840</v>
      </c>
      <c r="N67" s="845" t="s">
        <v>362</v>
      </c>
      <c r="O67" s="845" t="s">
        <v>6667</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6668</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6669</v>
      </c>
      <c r="B68" s="854" t="s">
        <v>6670</v>
      </c>
      <c r="C68" s="855" t="s">
        <v>2246</v>
      </c>
      <c r="D68" s="815"/>
      <c r="E68" s="815" t="s">
        <v>2246</v>
      </c>
      <c r="F68" s="809" t="s">
        <v>6423</v>
      </c>
      <c r="G68" s="860"/>
      <c r="H68" s="815"/>
      <c r="I68" s="815" t="s">
        <v>6671</v>
      </c>
      <c r="J68" s="815"/>
      <c r="K68" s="815" t="s">
        <v>6672</v>
      </c>
      <c r="L68" s="815"/>
      <c r="M68" s="815"/>
      <c r="N68" s="815" t="s">
        <v>6673</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6674</v>
      </c>
      <c r="C69" s="855" t="s">
        <v>357</v>
      </c>
      <c r="D69" s="815" t="s">
        <v>1549</v>
      </c>
      <c r="E69" s="815" t="s">
        <v>357</v>
      </c>
      <c r="F69" s="809" t="s">
        <v>1401</v>
      </c>
      <c r="G69" s="839" t="s">
        <v>1401</v>
      </c>
      <c r="H69" s="815" t="s">
        <v>1611</v>
      </c>
      <c r="I69" s="815" t="s">
        <v>1500</v>
      </c>
      <c r="J69" s="815" t="s">
        <v>5021</v>
      </c>
      <c r="K69" s="815" t="s">
        <v>6675</v>
      </c>
      <c r="L69" s="815" t="s">
        <v>873</v>
      </c>
      <c r="M69" s="815" t="s">
        <v>784</v>
      </c>
      <c r="N69" s="815" t="s">
        <v>1326</v>
      </c>
      <c r="O69" s="815" t="s">
        <v>2408</v>
      </c>
      <c r="P69" s="813" t="s">
        <v>3921</v>
      </c>
      <c r="Q69" s="815" t="s">
        <v>6676</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6537</v>
      </c>
      <c r="B70" s="866" t="s">
        <v>6677</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6678</v>
      </c>
      <c r="C71" s="855" t="s">
        <v>6035</v>
      </c>
      <c r="D71" s="815" t="s">
        <v>1643</v>
      </c>
      <c r="E71" s="815" t="s">
        <v>785</v>
      </c>
      <c r="F71" s="809" t="s">
        <v>1402</v>
      </c>
      <c r="G71" s="879" t="s">
        <v>3180</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3307</v>
      </c>
      <c r="Q71" s="815" t="s">
        <v>6679</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6680</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6542</v>
      </c>
      <c r="B72" s="866" t="s">
        <v>6670</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3749</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6681</v>
      </c>
      <c r="C73" s="855" t="s">
        <v>2824</v>
      </c>
      <c r="D73" s="815" t="s">
        <v>2625</v>
      </c>
      <c r="E73" s="815" t="s">
        <v>2522</v>
      </c>
      <c r="F73" s="809" t="s">
        <v>6682</v>
      </c>
      <c r="G73" s="839" t="s">
        <v>4192</v>
      </c>
      <c r="H73" s="815"/>
      <c r="I73" s="815"/>
      <c r="J73" s="815"/>
      <c r="K73" s="815"/>
      <c r="L73" s="815"/>
      <c r="M73" s="815" t="s">
        <v>6683</v>
      </c>
      <c r="N73" s="815"/>
      <c r="O73" s="815"/>
      <c r="P73" s="813" t="s">
        <v>6684</v>
      </c>
      <c r="Q73" s="815"/>
      <c r="R73" s="815"/>
      <c r="S73" s="815" t="s">
        <v>3959</v>
      </c>
      <c r="T73" s="815"/>
      <c r="U73" s="815"/>
      <c r="V73" s="815" t="s">
        <v>6684</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6685</v>
      </c>
      <c r="C74" s="855" t="s">
        <v>3031</v>
      </c>
      <c r="D74" s="861"/>
      <c r="E74" s="861"/>
      <c r="F74" s="824"/>
      <c r="G74" s="860"/>
      <c r="H74" s="876" t="s">
        <v>3031</v>
      </c>
      <c r="I74" s="861"/>
      <c r="J74" s="861"/>
      <c r="K74" s="861"/>
      <c r="L74" s="861"/>
      <c r="M74" s="861"/>
      <c r="N74" s="861"/>
      <c r="O74" s="861" t="s">
        <v>3031</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6569</v>
      </c>
      <c r="B75" s="866" t="s">
        <v>6570</v>
      </c>
      <c r="C75" s="855" t="s">
        <v>6686</v>
      </c>
      <c r="D75" s="834"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6572</v>
      </c>
      <c r="B76" s="866" t="s">
        <v>6570</v>
      </c>
      <c r="C76" s="855" t="s">
        <v>6687</v>
      </c>
      <c r="D76" s="834" t="s">
        <v>6687</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6584</v>
      </c>
      <c r="B77" s="854" t="s">
        <v>6688</v>
      </c>
      <c r="C77" s="855" t="s">
        <v>2304</v>
      </c>
      <c r="D77" s="815"/>
      <c r="E77" s="815" t="s">
        <v>2304</v>
      </c>
      <c r="F77" s="809" t="s">
        <v>6689</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6690</v>
      </c>
      <c r="C78" s="855" t="s">
        <v>2710</v>
      </c>
      <c r="D78" s="815" t="s">
        <v>3659</v>
      </c>
      <c r="E78" s="815" t="s">
        <v>2710</v>
      </c>
      <c r="F78" s="824"/>
      <c r="G78" s="810"/>
      <c r="H78" s="815"/>
      <c r="I78" s="815"/>
      <c r="J78" s="815"/>
      <c r="K78" s="815" t="s">
        <v>6691</v>
      </c>
      <c r="L78" s="815" t="s">
        <v>5221</v>
      </c>
      <c r="M78" s="815"/>
      <c r="N78" s="815" t="str">
        <f>HYPERLINK("https://youtu.be/HUwmtKe7cOY","56.54")</f>
        <v>56.54</v>
      </c>
      <c r="O78" s="815"/>
      <c r="P78" s="813" t="s">
        <v>3799</v>
      </c>
      <c r="Q78" s="815"/>
      <c r="R78" s="815"/>
      <c r="S78" s="815"/>
      <c r="T78" s="815"/>
      <c r="U78" s="815" t="s">
        <v>2362</v>
      </c>
      <c r="V78" s="815"/>
      <c r="W78" s="815"/>
      <c r="X78" s="815"/>
      <c r="Y78" s="815" t="s">
        <v>6692</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6693</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3140</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6694</v>
      </c>
      <c r="B80" s="854" t="s">
        <v>6695</v>
      </c>
      <c r="C80" s="855" t="s">
        <v>3568</v>
      </c>
      <c r="D80" s="815"/>
      <c r="E80" s="815" t="s">
        <v>6696</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3568</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6697</v>
      </c>
      <c r="C81" s="855" t="s">
        <v>1645</v>
      </c>
      <c r="D81" s="815" t="s">
        <v>1645</v>
      </c>
      <c r="E81" s="862"/>
      <c r="F81" s="824"/>
      <c r="G81" s="864" t="s">
        <v>3181</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6698</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6699</v>
      </c>
      <c r="C82" s="855" t="s">
        <v>6392</v>
      </c>
      <c r="D82" s="861"/>
      <c r="E82" s="861" t="s">
        <v>6700</v>
      </c>
      <c r="F82" s="809" t="s">
        <v>1405</v>
      </c>
      <c r="G82" s="810"/>
      <c r="H82" s="861" t="s">
        <v>1123</v>
      </c>
      <c r="I82" s="861" t="s">
        <v>2982</v>
      </c>
      <c r="J82" s="861"/>
      <c r="K82" s="861" t="s">
        <v>6701</v>
      </c>
      <c r="L82" s="861" t="s">
        <v>788</v>
      </c>
      <c r="M82" s="861" t="s">
        <v>788</v>
      </c>
      <c r="N82" s="861" t="s">
        <v>6392</v>
      </c>
      <c r="O82" s="861" t="s">
        <v>687</v>
      </c>
      <c r="P82" s="813" t="s">
        <v>6702</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6703</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6704</v>
      </c>
      <c r="B83" s="868" t="s">
        <v>6521</v>
      </c>
      <c r="C83" s="875" t="s">
        <v>6705</v>
      </c>
      <c r="D83" s="811" t="s">
        <v>6705</v>
      </c>
      <c r="E83" s="861"/>
      <c r="F83" s="824"/>
      <c r="G83" s="864" t="s">
        <v>6706</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6707</v>
      </c>
      <c r="B84" s="868" t="s">
        <v>6521</v>
      </c>
      <c r="C84" s="875" t="s">
        <v>6708</v>
      </c>
      <c r="D84" s="811" t="s">
        <v>6708</v>
      </c>
      <c r="E84" s="861"/>
      <c r="F84" s="824"/>
      <c r="G84" s="839" t="s">
        <v>6709</v>
      </c>
      <c r="H84" s="861"/>
      <c r="I84" s="861"/>
      <c r="J84" s="861"/>
      <c r="K84" s="861"/>
      <c r="L84" s="861"/>
      <c r="M84" s="861"/>
      <c r="N84" s="861"/>
      <c r="O84" s="861"/>
      <c r="P84" s="813"/>
      <c r="Q84" s="861"/>
      <c r="R84" s="861"/>
      <c r="S84" s="861"/>
      <c r="T84" s="861"/>
      <c r="U84" s="861"/>
      <c r="V84" s="861"/>
      <c r="W84" s="861"/>
      <c r="X84" s="861"/>
      <c r="Y84" s="811" t="s">
        <v>6710</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6633</v>
      </c>
      <c r="B85" s="854" t="s">
        <v>6634</v>
      </c>
      <c r="C85" s="855" t="s">
        <v>5353</v>
      </c>
      <c r="D85" s="815" t="s">
        <v>6711</v>
      </c>
      <c r="E85" s="815" t="s">
        <v>5353</v>
      </c>
      <c r="F85" s="824"/>
      <c r="G85" s="860"/>
      <c r="H85" s="815" t="s">
        <v>5353</v>
      </c>
      <c r="I85" s="815" t="s">
        <v>5186</v>
      </c>
      <c r="J85" s="815"/>
      <c r="K85" s="815" t="s">
        <v>4779</v>
      </c>
      <c r="L85" s="815"/>
      <c r="M85" s="815" t="s">
        <v>3374</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6712</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6713</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6714</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6715</v>
      </c>
      <c r="C88" s="855" t="s">
        <v>1124</v>
      </c>
      <c r="D88" s="815" t="s">
        <v>1646</v>
      </c>
      <c r="E88" s="811" t="s">
        <v>362</v>
      </c>
      <c r="F88" s="809" t="s">
        <v>1406</v>
      </c>
      <c r="G88" s="810"/>
      <c r="H88" s="811" t="s">
        <v>1124</v>
      </c>
      <c r="I88" s="812"/>
      <c r="J88" s="811" t="s">
        <v>6716</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6717</v>
      </c>
      <c r="C89" s="855" t="s">
        <v>2566</v>
      </c>
      <c r="D89" s="815" t="s">
        <v>2566</v>
      </c>
      <c r="E89" s="815"/>
      <c r="F89" s="824"/>
      <c r="G89" s="864" t="s">
        <v>2566</v>
      </c>
      <c r="H89" s="812" t="s">
        <v>6718</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6637</v>
      </c>
      <c r="B90" s="854" t="s">
        <v>6719</v>
      </c>
      <c r="C90" s="855" t="s">
        <v>363</v>
      </c>
      <c r="D90" s="820" t="s">
        <v>1647</v>
      </c>
      <c r="E90" s="815" t="s">
        <v>1747</v>
      </c>
      <c r="F90" s="809" t="s">
        <v>5037</v>
      </c>
      <c r="G90" s="810"/>
      <c r="H90" s="815"/>
      <c r="I90" s="815" t="str">
        <f>HYPERLINK("https://youtu.be/VjOXmvP4h2s","46.37")</f>
        <v>46.37</v>
      </c>
      <c r="J90" s="815" t="s">
        <v>363</v>
      </c>
      <c r="K90" s="815"/>
      <c r="L90" s="815"/>
      <c r="M90" s="815"/>
      <c r="N90" s="815" t="s">
        <v>3484</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6521</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6720</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6520</v>
      </c>
      <c r="B93" s="888"/>
      <c r="C93" s="889" t="s">
        <v>4299</v>
      </c>
      <c r="D93" s="820" t="s">
        <v>1650</v>
      </c>
      <c r="E93" s="890" t="s">
        <v>2474</v>
      </c>
      <c r="F93" s="809" t="s">
        <v>5933</v>
      </c>
      <c r="G93" s="810"/>
      <c r="H93" s="890"/>
      <c r="I93" s="890" t="str">
        <f>HYPERLINK("https://youtu.be/ycBfir2aflI","41.70")</f>
        <v>41.70</v>
      </c>
      <c r="J93" s="890" t="s">
        <v>6554</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6537</v>
      </c>
      <c r="B94" s="895"/>
      <c r="C94" s="889" t="s">
        <v>1694</v>
      </c>
      <c r="D94" s="820" t="s">
        <v>1651</v>
      </c>
      <c r="E94" s="896"/>
      <c r="F94" s="809" t="s">
        <v>6648</v>
      </c>
      <c r="G94" s="897"/>
      <c r="H94" s="896"/>
      <c r="I94" s="896" t="s">
        <v>3313</v>
      </c>
      <c r="J94" s="896" t="s">
        <v>4249</v>
      </c>
      <c r="K94" s="896" t="s">
        <v>1287</v>
      </c>
      <c r="L94" s="896" t="s">
        <v>881</v>
      </c>
      <c r="M94" s="896" t="s">
        <v>792</v>
      </c>
      <c r="N94" s="896" t="s">
        <v>3730</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6542</v>
      </c>
      <c r="B95" s="899"/>
      <c r="C95" s="889" t="s">
        <v>3403</v>
      </c>
      <c r="D95" s="900" t="s">
        <v>4665</v>
      </c>
      <c r="E95" s="896"/>
      <c r="F95" s="809" t="s">
        <v>5984</v>
      </c>
      <c r="G95" s="810"/>
      <c r="H95" s="896"/>
      <c r="I95" s="896"/>
      <c r="J95" s="896" t="s">
        <v>3403</v>
      </c>
      <c r="K95" s="896"/>
      <c r="L95" s="896" t="s">
        <v>3537</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6569</v>
      </c>
      <c r="B96" s="895" t="s">
        <v>6570</v>
      </c>
      <c r="C96" s="889" t="s">
        <v>888</v>
      </c>
      <c r="D96" s="820" t="s">
        <v>1658</v>
      </c>
      <c r="E96" s="896"/>
      <c r="F96" s="824"/>
      <c r="G96" s="897"/>
      <c r="H96" s="896" t="s">
        <v>5197</v>
      </c>
      <c r="I96" s="896" t="s">
        <v>3671</v>
      </c>
      <c r="J96" s="896"/>
      <c r="K96" s="896" t="s">
        <v>3087</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6572</v>
      </c>
      <c r="B97" s="895" t="s">
        <v>6570</v>
      </c>
      <c r="C97" s="889"/>
      <c r="D97" s="832" t="s">
        <v>6721</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6722</v>
      </c>
      <c r="B98" s="901" t="s">
        <v>6723</v>
      </c>
      <c r="C98" s="889" t="s">
        <v>1585</v>
      </c>
      <c r="D98" s="832" t="s">
        <v>6724</v>
      </c>
      <c r="E98" s="896"/>
      <c r="F98" s="809" t="s">
        <v>1413</v>
      </c>
      <c r="G98" s="810"/>
      <c r="H98" s="896"/>
      <c r="I98" s="896" t="s">
        <v>6725</v>
      </c>
      <c r="J98" s="896" t="s">
        <v>6726</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6727</v>
      </c>
      <c r="C99" s="889" t="s">
        <v>6728</v>
      </c>
      <c r="D99" s="820" t="s">
        <v>1652</v>
      </c>
      <c r="E99" s="896"/>
      <c r="F99" s="824"/>
      <c r="G99" s="897"/>
      <c r="H99" s="896"/>
      <c r="I99" s="896"/>
      <c r="J99" s="896" t="s">
        <v>6728</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6663</v>
      </c>
      <c r="B100" s="901" t="s">
        <v>6729</v>
      </c>
      <c r="C100" s="889" t="s">
        <v>5668</v>
      </c>
      <c r="D100" s="832" t="s">
        <v>6730</v>
      </c>
      <c r="E100" s="896"/>
      <c r="F100" s="809" t="s">
        <v>631</v>
      </c>
      <c r="G100" s="810"/>
      <c r="H100" s="896"/>
      <c r="I100" s="896"/>
      <c r="J100" s="896" t="s">
        <v>6731</v>
      </c>
      <c r="K100" s="896" t="s">
        <v>3651</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6732</v>
      </c>
      <c r="BB100" s="896"/>
      <c r="BC100" s="896"/>
      <c r="BD100" s="893"/>
      <c r="BE100" s="896"/>
      <c r="BF100" s="892"/>
      <c r="BG100" s="892"/>
      <c r="BH100" s="893"/>
      <c r="BI100" s="893"/>
      <c r="BJ100" s="893"/>
    </row>
    <row r="101" ht="15.75" customHeight="1">
      <c r="A101" s="887" t="s">
        <v>6669</v>
      </c>
      <c r="B101" s="901" t="s">
        <v>6733</v>
      </c>
      <c r="C101" s="889" t="s">
        <v>6734</v>
      </c>
      <c r="D101" s="832" t="s">
        <v>3727</v>
      </c>
      <c r="E101" s="896"/>
      <c r="F101" s="809" t="s">
        <v>4782</v>
      </c>
      <c r="G101" s="897"/>
      <c r="H101" s="896"/>
      <c r="I101" s="896" t="s">
        <v>6735</v>
      </c>
      <c r="J101" s="896" t="s">
        <v>6736</v>
      </c>
      <c r="K101" s="896" t="s">
        <v>3652</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6537</v>
      </c>
      <c r="B102" s="895" t="s">
        <v>6733</v>
      </c>
      <c r="C102" s="806" t="s">
        <v>6737</v>
      </c>
      <c r="D102" s="820" t="s">
        <v>6659</v>
      </c>
      <c r="E102" s="890" t="s">
        <v>371</v>
      </c>
      <c r="F102" s="809" t="s">
        <v>6738</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6737</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6542</v>
      </c>
      <c r="B103" s="905" t="s">
        <v>6723</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3335</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6739</v>
      </c>
      <c r="B104" s="906" t="s">
        <v>6521</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6694</v>
      </c>
      <c r="B105" s="901" t="s">
        <v>6570</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6740</v>
      </c>
      <c r="C106" s="889" t="s">
        <v>1386</v>
      </c>
      <c r="D106" s="820" t="s">
        <v>1655</v>
      </c>
      <c r="E106" s="896"/>
      <c r="F106" s="809" t="s">
        <v>1416</v>
      </c>
      <c r="G106" s="810"/>
      <c r="H106" s="896"/>
      <c r="I106" s="896" t="s">
        <v>6741</v>
      </c>
      <c r="J106" s="896" t="s">
        <v>1386</v>
      </c>
      <c r="K106" s="896" t="s">
        <v>3654</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6633</v>
      </c>
      <c r="B107" s="901" t="s">
        <v>6634</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3133</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6636</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6637</v>
      </c>
      <c r="B109" s="901" t="s">
        <v>6742</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6743</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3193</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6744</v>
      </c>
      <c r="C111" s="889" t="s">
        <v>6745</v>
      </c>
      <c r="D111" s="815" t="s">
        <v>1656</v>
      </c>
      <c r="E111" s="890" t="s">
        <v>6745</v>
      </c>
      <c r="F111" s="824"/>
      <c r="G111" s="821" t="s">
        <v>2065</v>
      </c>
      <c r="H111" s="890"/>
      <c r="I111" s="890" t="s">
        <v>259</v>
      </c>
      <c r="J111" s="890" t="s">
        <v>5059</v>
      </c>
      <c r="K111" s="890" t="s">
        <v>977</v>
      </c>
      <c r="L111" s="890"/>
      <c r="M111" s="890" t="s">
        <v>800</v>
      </c>
      <c r="N111" s="890"/>
      <c r="O111" s="890" t="s">
        <v>2341</v>
      </c>
      <c r="P111" s="891" t="s">
        <v>6017</v>
      </c>
      <c r="Q111" s="890" t="s">
        <v>6746</v>
      </c>
      <c r="R111" s="890" t="s">
        <v>3254</v>
      </c>
      <c r="S111" s="890"/>
      <c r="T111" s="890" t="s">
        <v>6747</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6748</v>
      </c>
      <c r="C112" s="889" t="s">
        <v>6749</v>
      </c>
      <c r="D112" s="896"/>
      <c r="E112" s="896"/>
      <c r="F112" s="824"/>
      <c r="G112" s="810"/>
      <c r="H112" s="896"/>
      <c r="I112" s="896"/>
      <c r="J112" s="896"/>
      <c r="K112" s="896"/>
      <c r="L112" s="896"/>
      <c r="M112" s="896"/>
      <c r="N112" s="896"/>
      <c r="O112" s="896"/>
      <c r="P112" s="898"/>
      <c r="Q112" s="896"/>
      <c r="R112" s="896"/>
      <c r="S112" s="896" t="s">
        <v>6750</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6751</v>
      </c>
      <c r="B113" s="906" t="s">
        <v>6521</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6723</v>
      </c>
      <c r="C114" s="889" t="s">
        <v>2886</v>
      </c>
      <c r="D114" s="820" t="s">
        <v>6752</v>
      </c>
      <c r="E114" s="896"/>
      <c r="F114" s="824"/>
      <c r="G114" s="810"/>
      <c r="H114" s="896"/>
      <c r="I114" s="896" t="s">
        <v>6753</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6754</v>
      </c>
      <c r="B116" s="917"/>
      <c r="C116" s="889" t="s">
        <v>4153</v>
      </c>
      <c r="D116" s="890" t="s">
        <v>6755</v>
      </c>
      <c r="E116" s="890" t="s">
        <v>6756</v>
      </c>
      <c r="F116" s="824"/>
      <c r="G116" s="821" t="s">
        <v>6757</v>
      </c>
      <c r="H116" s="890" t="s">
        <v>4153</v>
      </c>
      <c r="I116" s="890"/>
      <c r="J116" s="890"/>
      <c r="K116" s="890"/>
      <c r="L116" s="890" t="s">
        <v>6756</v>
      </c>
      <c r="M116" s="890"/>
      <c r="N116" s="890"/>
      <c r="O116" s="890"/>
      <c r="P116" s="891" t="s">
        <v>6758</v>
      </c>
      <c r="Q116" s="890"/>
      <c r="R116" s="890"/>
      <c r="S116" s="890" t="s">
        <v>6759</v>
      </c>
      <c r="T116" s="890"/>
      <c r="U116" s="890"/>
      <c r="V116" s="890" t="s">
        <v>6758</v>
      </c>
      <c r="W116" s="890"/>
      <c r="X116" s="890"/>
      <c r="Y116" s="890"/>
      <c r="Z116" s="890" t="s">
        <v>6757</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6520</v>
      </c>
      <c r="B117" s="919" t="s">
        <v>6760</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6761</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6762</v>
      </c>
      <c r="C119" s="889" t="s">
        <v>2268</v>
      </c>
      <c r="D119" s="815" t="s">
        <v>681</v>
      </c>
      <c r="E119" s="896"/>
      <c r="F119" s="809" t="s">
        <v>1315</v>
      </c>
      <c r="G119" s="821" t="s">
        <v>1231</v>
      </c>
      <c r="H119" s="896"/>
      <c r="I119" s="896"/>
      <c r="J119" s="896" t="s">
        <v>2751</v>
      </c>
      <c r="K119" s="896" t="s">
        <v>6763</v>
      </c>
      <c r="L119" s="896"/>
      <c r="M119" s="896"/>
      <c r="N119" s="896"/>
      <c r="O119" s="896"/>
      <c r="P119" s="898" t="s">
        <v>6764</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6765</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6537</v>
      </c>
      <c r="B121" s="924" t="s">
        <v>6521</v>
      </c>
      <c r="C121" s="889" t="s">
        <v>3471</v>
      </c>
      <c r="D121" s="892"/>
      <c r="E121" s="892"/>
      <c r="F121" s="824"/>
      <c r="G121" s="925" t="s">
        <v>1514</v>
      </c>
      <c r="H121" s="904" t="s">
        <v>3471</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6542</v>
      </c>
      <c r="B122" s="928" t="s">
        <v>6521</v>
      </c>
      <c r="C122" s="889" t="s">
        <v>6766</v>
      </c>
      <c r="D122" s="896"/>
      <c r="E122" s="896"/>
      <c r="F122" s="809" t="s">
        <v>6767</v>
      </c>
      <c r="G122" s="821" t="s">
        <v>2185</v>
      </c>
      <c r="H122" s="809" t="s">
        <v>6766</v>
      </c>
      <c r="I122" s="896"/>
      <c r="J122" s="896"/>
      <c r="K122" s="896"/>
      <c r="L122" s="896"/>
      <c r="M122" s="896"/>
      <c r="N122" s="896"/>
      <c r="O122" s="896"/>
      <c r="P122" s="898"/>
      <c r="Q122" s="896"/>
      <c r="R122" s="896"/>
      <c r="S122" s="896" t="s">
        <v>6766</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6523</v>
      </c>
      <c r="B123" s="917"/>
      <c r="C123" s="889" t="s">
        <v>805</v>
      </c>
      <c r="D123" s="815" t="s">
        <v>901</v>
      </c>
      <c r="E123" s="896"/>
      <c r="F123" s="809" t="s">
        <v>1422</v>
      </c>
      <c r="G123" s="929" t="s">
        <v>1918</v>
      </c>
      <c r="H123" s="896"/>
      <c r="I123" s="904" t="str">
        <f>HYPERLINK("https://youtu.be/6f5dBhAmU1g","42.10")</f>
        <v>42.10</v>
      </c>
      <c r="J123" s="896" t="s">
        <v>6768</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6537</v>
      </c>
      <c r="B124" s="928" t="s">
        <v>6521</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3657</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6542</v>
      </c>
      <c r="B125" s="928" t="s">
        <v>6521</v>
      </c>
      <c r="C125" s="889" t="s">
        <v>6769</v>
      </c>
      <c r="D125" s="890"/>
      <c r="E125" s="890" t="s">
        <v>6769</v>
      </c>
      <c r="F125" s="809" t="s">
        <v>6770</v>
      </c>
      <c r="G125" s="925" t="s">
        <v>1621</v>
      </c>
      <c r="H125" s="890"/>
      <c r="I125" s="890"/>
      <c r="J125" s="890"/>
      <c r="K125" s="890"/>
      <c r="L125" s="890" t="s">
        <v>3031</v>
      </c>
      <c r="M125" s="890" t="s">
        <v>6770</v>
      </c>
      <c r="N125" s="890"/>
      <c r="O125" s="890"/>
      <c r="P125" s="891" t="s">
        <v>6769</v>
      </c>
      <c r="Q125" s="890" t="s">
        <v>500</v>
      </c>
      <c r="R125" s="890"/>
      <c r="S125" s="890"/>
      <c r="T125" s="890"/>
      <c r="U125" s="890"/>
      <c r="V125" s="890"/>
      <c r="W125" s="890"/>
      <c r="X125" s="890" t="s">
        <v>6771</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6569</v>
      </c>
      <c r="B126" s="924" t="s">
        <v>6772</v>
      </c>
      <c r="C126" s="889" t="s">
        <v>6773</v>
      </c>
      <c r="D126" s="896" t="s">
        <v>5975</v>
      </c>
      <c r="E126" s="896"/>
      <c r="F126" s="824"/>
      <c r="G126" s="810"/>
      <c r="H126" s="896"/>
      <c r="I126" s="896"/>
      <c r="J126" s="896"/>
      <c r="K126" s="896" t="s">
        <v>6220</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6774</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6572</v>
      </c>
      <c r="B128" s="928" t="s">
        <v>6772</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6774</v>
      </c>
      <c r="C129" s="889"/>
      <c r="D129" s="930" t="s">
        <v>6775</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6663</v>
      </c>
      <c r="B130" s="919" t="s">
        <v>6776</v>
      </c>
      <c r="C130" s="889" t="s">
        <v>6777</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6778</v>
      </c>
      <c r="C131" s="889" t="s">
        <v>1974</v>
      </c>
      <c r="D131" s="896" t="s">
        <v>2655</v>
      </c>
      <c r="E131" s="896"/>
      <c r="F131" s="824"/>
      <c r="G131" s="920"/>
      <c r="H131" s="896"/>
      <c r="I131" s="896"/>
      <c r="J131" s="896"/>
      <c r="K131" s="896" t="s">
        <v>3658</v>
      </c>
      <c r="L131" s="896"/>
      <c r="M131" s="896"/>
      <c r="N131" s="896"/>
      <c r="O131" s="896"/>
      <c r="P131" s="898"/>
      <c r="Q131" s="896"/>
      <c r="R131" s="896" t="s">
        <v>3077</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6779</v>
      </c>
      <c r="C132" s="889" t="s">
        <v>3612</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3612</v>
      </c>
      <c r="AG132" s="896"/>
      <c r="AH132" s="896"/>
      <c r="AI132" s="896"/>
      <c r="AJ132" s="896"/>
      <c r="AK132" s="896"/>
      <c r="AL132" s="896"/>
      <c r="AM132" s="896"/>
      <c r="AN132" s="896"/>
      <c r="AO132" s="896"/>
      <c r="AP132" s="892"/>
      <c r="AQ132" s="896"/>
      <c r="AR132" s="896"/>
      <c r="AS132" s="896"/>
      <c r="AT132" s="896" t="s">
        <v>6338</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6780</v>
      </c>
      <c r="C133" s="889" t="s">
        <v>382</v>
      </c>
      <c r="D133" s="815" t="s">
        <v>806</v>
      </c>
      <c r="E133" s="809" t="s">
        <v>382</v>
      </c>
      <c r="F133" s="809" t="s">
        <v>1423</v>
      </c>
      <c r="G133" s="879" t="s">
        <v>3182</v>
      </c>
      <c r="H133" s="931" t="s">
        <v>6781</v>
      </c>
      <c r="I133" s="809" t="s">
        <v>5475</v>
      </c>
      <c r="J133" s="824"/>
      <c r="K133" s="824"/>
      <c r="L133" s="809" t="s">
        <v>893</v>
      </c>
      <c r="M133" s="809" t="s">
        <v>4958</v>
      </c>
      <c r="N133" s="824"/>
      <c r="O133" s="809" t="s">
        <v>6782</v>
      </c>
      <c r="P133" s="891" t="s">
        <v>5156</v>
      </c>
      <c r="Q133" s="824"/>
      <c r="R133" s="809" t="s">
        <v>1837</v>
      </c>
      <c r="S133" s="824"/>
      <c r="T133" s="824"/>
      <c r="U133" s="824"/>
      <c r="V133" s="824"/>
      <c r="W133" s="824"/>
      <c r="X133" s="824"/>
      <c r="Y133" s="809" t="s">
        <v>3430</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6783</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6574</v>
      </c>
      <c r="B134" s="919" t="s">
        <v>6784</v>
      </c>
      <c r="C134" s="889" t="s">
        <v>583</v>
      </c>
      <c r="D134" s="896" t="s">
        <v>4441</v>
      </c>
      <c r="E134" s="896"/>
      <c r="F134" s="824"/>
      <c r="G134" s="810"/>
      <c r="H134" s="896"/>
      <c r="I134" s="896"/>
      <c r="J134" s="809" t="s">
        <v>5652</v>
      </c>
      <c r="K134" s="896" t="s">
        <v>1821</v>
      </c>
      <c r="L134" s="896"/>
      <c r="M134" s="896"/>
      <c r="N134" s="896" t="str">
        <f>HYPERLINK("https://youtu.be/wzsts4r5VHY","56.24")</f>
        <v>56.24</v>
      </c>
      <c r="O134" s="809" t="s">
        <v>6785</v>
      </c>
      <c r="P134" s="898"/>
      <c r="Q134" s="896"/>
      <c r="R134" s="896"/>
      <c r="S134" s="896" t="s">
        <v>583</v>
      </c>
      <c r="T134" s="896"/>
      <c r="U134" s="896"/>
      <c r="V134" s="896"/>
      <c r="W134" s="896"/>
      <c r="X134" s="896"/>
      <c r="Y134" s="896"/>
      <c r="Z134" s="896"/>
      <c r="AA134" s="896"/>
      <c r="AB134" s="896"/>
      <c r="AC134" s="896"/>
      <c r="AD134" s="896" t="s">
        <v>6786</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6787</v>
      </c>
      <c r="C135" s="889" t="s">
        <v>4617</v>
      </c>
      <c r="D135" s="932"/>
      <c r="E135" s="932"/>
      <c r="F135" s="824"/>
      <c r="G135" s="920"/>
      <c r="H135" s="932"/>
      <c r="I135" s="932"/>
      <c r="J135" s="809" t="s">
        <v>6788</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6789</v>
      </c>
      <c r="C136" s="889" t="s">
        <v>6790</v>
      </c>
      <c r="D136" s="815" t="s">
        <v>824</v>
      </c>
      <c r="E136" s="890" t="s">
        <v>807</v>
      </c>
      <c r="F136" s="809" t="s">
        <v>884</v>
      </c>
      <c r="G136" s="839"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6584</v>
      </c>
      <c r="B137" s="919" t="s">
        <v>6791</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6792</v>
      </c>
      <c r="C138" s="889" t="s">
        <v>6793</v>
      </c>
      <c r="D138" s="815" t="s">
        <v>598</v>
      </c>
      <c r="E138" s="896"/>
      <c r="F138" s="809" t="s">
        <v>1425</v>
      </c>
      <c r="G138" s="810"/>
      <c r="H138" s="896"/>
      <c r="I138" s="896"/>
      <c r="J138" s="809" t="s">
        <v>1503</v>
      </c>
      <c r="K138" s="896"/>
      <c r="L138" s="896" t="s">
        <v>895</v>
      </c>
      <c r="M138" s="896"/>
      <c r="N138" s="896"/>
      <c r="O138" s="809" t="s">
        <v>3409</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6591</v>
      </c>
      <c r="B139" s="919" t="s">
        <v>6794</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6795</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6537</v>
      </c>
      <c r="B141" s="924" t="s">
        <v>6794</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6796</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6795</v>
      </c>
      <c r="C142" s="889" t="s">
        <v>1513</v>
      </c>
      <c r="D142" s="820" t="s">
        <v>1662</v>
      </c>
      <c r="E142" s="890" t="s">
        <v>5479</v>
      </c>
      <c r="F142" s="809" t="s">
        <v>3254</v>
      </c>
      <c r="G142" s="879" t="s">
        <v>1693</v>
      </c>
      <c r="H142" s="900" t="s">
        <v>1337</v>
      </c>
      <c r="I142" s="890" t="str">
        <f>HYPERLINK("https://youtu.be/NPrbRwZDn1I","27.54")</f>
        <v>27.54</v>
      </c>
      <c r="J142" s="890" t="s">
        <v>520</v>
      </c>
      <c r="K142" s="890" t="s">
        <v>6746</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6542</v>
      </c>
      <c r="B143" s="924" t="s">
        <v>6521</v>
      </c>
      <c r="C143" s="889" t="s">
        <v>6797</v>
      </c>
      <c r="D143" s="932"/>
      <c r="E143" s="932"/>
      <c r="F143" s="809" t="s">
        <v>2786</v>
      </c>
      <c r="G143" s="920"/>
      <c r="H143" s="932"/>
      <c r="I143" s="932"/>
      <c r="J143" s="932"/>
      <c r="K143" s="932"/>
      <c r="L143" s="932"/>
      <c r="M143" s="932"/>
      <c r="N143" s="932"/>
      <c r="O143" s="904" t="s">
        <v>6797</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6798</v>
      </c>
      <c r="B144" s="928" t="s">
        <v>6799</v>
      </c>
      <c r="C144" s="889" t="s">
        <v>6800</v>
      </c>
      <c r="D144" s="890" t="s">
        <v>6801</v>
      </c>
      <c r="E144" s="890" t="s">
        <v>6800</v>
      </c>
      <c r="F144" s="824"/>
      <c r="G144" s="810"/>
      <c r="H144" s="890"/>
      <c r="I144" s="890" t="s">
        <v>6802</v>
      </c>
      <c r="J144" s="890" t="s">
        <v>6803</v>
      </c>
      <c r="K144" s="890"/>
      <c r="L144" s="890" t="s">
        <v>898</v>
      </c>
      <c r="M144" s="890"/>
      <c r="N144" s="890" t="s">
        <v>6804</v>
      </c>
      <c r="O144" s="890"/>
      <c r="P144" s="891"/>
      <c r="Q144" s="890"/>
      <c r="R144" s="890"/>
      <c r="S144" s="890"/>
      <c r="T144" s="890" t="s">
        <v>6805</v>
      </c>
      <c r="U144" s="890" t="s">
        <v>5096</v>
      </c>
      <c r="V144" s="890"/>
      <c r="W144" s="890"/>
      <c r="X144" s="890"/>
      <c r="Y144" s="890"/>
      <c r="Z144" s="890"/>
      <c r="AA144" s="890"/>
      <c r="AB144" s="890"/>
      <c r="AC144" s="890"/>
      <c r="AD144" s="890"/>
      <c r="AE144" s="890"/>
      <c r="AF144" s="890"/>
      <c r="AG144" s="890"/>
      <c r="AH144" s="890"/>
      <c r="AI144" s="890" t="s">
        <v>6806</v>
      </c>
      <c r="AJ144" s="890"/>
      <c r="AK144" s="890"/>
      <c r="AL144" s="890"/>
      <c r="AM144" s="890"/>
      <c r="AN144" s="890"/>
      <c r="AO144" s="890"/>
      <c r="AP144" s="892"/>
      <c r="AQ144" s="890"/>
      <c r="AR144" s="890"/>
      <c r="AS144" s="890"/>
      <c r="AT144" s="890"/>
      <c r="AU144" s="890"/>
      <c r="AV144" s="890"/>
      <c r="AW144" s="918"/>
      <c r="AX144" s="890"/>
      <c r="AY144" s="890"/>
      <c r="AZ144" s="890" t="s">
        <v>6807</v>
      </c>
      <c r="BA144" s="890"/>
      <c r="BB144" s="890"/>
      <c r="BC144" s="890"/>
      <c r="BD144" s="918"/>
      <c r="BE144" s="890"/>
      <c r="BF144" s="892"/>
      <c r="BG144" s="892"/>
      <c r="BH144" s="918"/>
      <c r="BI144" s="918"/>
      <c r="BJ144" s="918"/>
    </row>
    <row r="145" ht="15.75" customHeight="1">
      <c r="A145" s="921"/>
      <c r="B145" s="922" t="s">
        <v>6808</v>
      </c>
      <c r="C145" s="889" t="s">
        <v>6809</v>
      </c>
      <c r="D145" s="896"/>
      <c r="E145" s="896"/>
      <c r="F145" s="824"/>
      <c r="G145" s="920"/>
      <c r="H145" s="896"/>
      <c r="I145" s="896"/>
      <c r="J145" s="896"/>
      <c r="K145" s="896" t="s">
        <v>6810</v>
      </c>
      <c r="L145" s="896"/>
      <c r="M145" s="896"/>
      <c r="N145" s="896"/>
      <c r="O145" s="896" t="s">
        <v>6809</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6811</v>
      </c>
      <c r="C146" s="889" t="s">
        <v>6812</v>
      </c>
      <c r="D146" s="861" t="s">
        <v>1664</v>
      </c>
      <c r="E146" s="809" t="s">
        <v>388</v>
      </c>
      <c r="F146" s="824"/>
      <c r="G146" s="879" t="s">
        <v>3183</v>
      </c>
      <c r="H146" s="824" t="s">
        <v>6813</v>
      </c>
      <c r="I146" s="809" t="s">
        <v>606</v>
      </c>
      <c r="J146" s="809" t="s">
        <v>3756</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6814</v>
      </c>
      <c r="C147" s="806" t="s">
        <v>3602</v>
      </c>
      <c r="D147" s="820" t="s">
        <v>1663</v>
      </c>
      <c r="E147" s="896"/>
      <c r="F147" s="809" t="s">
        <v>1427</v>
      </c>
      <c r="G147" s="920"/>
      <c r="H147" s="896"/>
      <c r="I147" s="896"/>
      <c r="J147" s="896"/>
      <c r="K147" s="896"/>
      <c r="L147" s="896"/>
      <c r="M147" s="896" t="s">
        <v>6815</v>
      </c>
      <c r="N147" s="896"/>
      <c r="O147" s="896" t="s">
        <v>1069</v>
      </c>
      <c r="P147" s="898"/>
      <c r="Q147" s="896"/>
      <c r="R147" s="896"/>
      <c r="S147" s="809" t="s">
        <v>3602</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6816</v>
      </c>
      <c r="B148" s="928" t="s">
        <v>6799</v>
      </c>
      <c r="C148" s="889" t="s">
        <v>807</v>
      </c>
      <c r="D148" s="933" t="s">
        <v>5093</v>
      </c>
      <c r="E148" s="933" t="s">
        <v>3666</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6808</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6811</v>
      </c>
      <c r="C150" s="806" t="s">
        <v>2683</v>
      </c>
      <c r="D150" s="933" t="s">
        <v>6817</v>
      </c>
      <c r="E150" s="933"/>
      <c r="F150" s="824"/>
      <c r="G150" s="839"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6814</v>
      </c>
      <c r="C151" s="806" t="s">
        <v>1500</v>
      </c>
      <c r="D151" s="933"/>
      <c r="E151" s="933"/>
      <c r="F151" s="809" t="s">
        <v>6818</v>
      </c>
      <c r="G151" s="920"/>
      <c r="H151" s="933" t="s">
        <v>6819</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6820</v>
      </c>
      <c r="B152" s="928" t="s">
        <v>6821</v>
      </c>
      <c r="C152" s="889" t="s">
        <v>6822</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6823</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6824</v>
      </c>
      <c r="B154" s="928" t="s">
        <v>6825</v>
      </c>
      <c r="C154" s="806" t="s">
        <v>6826</v>
      </c>
      <c r="D154" s="933"/>
      <c r="E154" s="933"/>
      <c r="F154" s="809" t="s">
        <v>6827</v>
      </c>
      <c r="G154" s="821" t="s">
        <v>6828</v>
      </c>
      <c r="H154" s="890" t="s">
        <v>6829</v>
      </c>
      <c r="I154" s="933" t="s">
        <v>6830</v>
      </c>
      <c r="J154" s="933"/>
      <c r="K154" s="933"/>
      <c r="L154" s="933"/>
      <c r="M154" s="890" t="s">
        <v>1455</v>
      </c>
      <c r="N154" s="933"/>
      <c r="O154" s="933"/>
      <c r="P154" s="891"/>
      <c r="Q154" s="933"/>
      <c r="R154" s="933"/>
      <c r="S154" s="809" t="s">
        <v>6826</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6831</v>
      </c>
      <c r="C155" s="889" t="s">
        <v>6832</v>
      </c>
      <c r="D155" s="933"/>
      <c r="E155" s="933"/>
      <c r="F155" s="824"/>
      <c r="G155" s="925" t="s">
        <v>6833</v>
      </c>
      <c r="H155" s="890" t="s">
        <v>6834</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6835</v>
      </c>
      <c r="C156" s="889" t="s">
        <v>6836</v>
      </c>
      <c r="D156" s="933"/>
      <c r="E156" s="933"/>
      <c r="F156" s="824"/>
      <c r="G156" s="821" t="s">
        <v>6837</v>
      </c>
      <c r="H156" s="890" t="s">
        <v>6836</v>
      </c>
      <c r="I156" s="933" t="s">
        <v>6838</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6839</v>
      </c>
      <c r="C157" s="889" t="s">
        <v>773</v>
      </c>
      <c r="D157" s="933"/>
      <c r="E157" s="933"/>
      <c r="F157" s="824"/>
      <c r="G157" s="925" t="s">
        <v>1815</v>
      </c>
      <c r="H157" s="890" t="s">
        <v>773</v>
      </c>
      <c r="I157" s="933"/>
      <c r="J157" s="933"/>
      <c r="K157" s="933"/>
      <c r="L157" s="933"/>
      <c r="M157" s="890" t="s">
        <v>3447</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6569</v>
      </c>
      <c r="B158" s="924" t="s">
        <v>6521</v>
      </c>
      <c r="C158" s="889" t="s">
        <v>1594</v>
      </c>
      <c r="D158" s="832" t="s">
        <v>1666</v>
      </c>
      <c r="E158" s="890" t="s">
        <v>6840</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6572</v>
      </c>
      <c r="B159" s="924" t="s">
        <v>6521</v>
      </c>
      <c r="C159" s="889"/>
      <c r="D159" s="834" t="s">
        <v>6841</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6633</v>
      </c>
      <c r="B160" s="934" t="s">
        <v>6842</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6843</v>
      </c>
      <c r="C161" s="889" t="s">
        <v>2478</v>
      </c>
      <c r="D161" s="815" t="s">
        <v>1665</v>
      </c>
      <c r="E161" s="890" t="s">
        <v>6844</v>
      </c>
      <c r="F161" s="824"/>
      <c r="G161" s="821" t="s">
        <v>6845</v>
      </c>
      <c r="H161" s="890" t="s">
        <v>6846</v>
      </c>
      <c r="I161" s="890"/>
      <c r="J161" s="890" t="s">
        <v>532</v>
      </c>
      <c r="K161" s="890" t="s">
        <v>3662</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6637</v>
      </c>
      <c r="B162" s="934" t="s">
        <v>6847</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6542</v>
      </c>
      <c r="B163" s="928" t="s">
        <v>6521</v>
      </c>
      <c r="C163" s="889" t="s">
        <v>6848</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6521</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6849</v>
      </c>
      <c r="B166" s="942" t="s">
        <v>6850</v>
      </c>
      <c r="C166" s="889" t="s">
        <v>6851</v>
      </c>
      <c r="D166" s="815" t="s">
        <v>6828</v>
      </c>
      <c r="E166" s="815" t="s">
        <v>6852</v>
      </c>
      <c r="F166" s="809" t="s">
        <v>6853</v>
      </c>
      <c r="G166" s="821" t="s">
        <v>6854</v>
      </c>
      <c r="H166" s="815" t="s">
        <v>6852</v>
      </c>
      <c r="I166" s="815"/>
      <c r="J166" s="815" t="s">
        <v>6855</v>
      </c>
      <c r="K166" s="815" t="s">
        <v>6856</v>
      </c>
      <c r="L166" s="815" t="s">
        <v>6854</v>
      </c>
      <c r="M166" s="815" t="s">
        <v>6854</v>
      </c>
      <c r="N166" s="815"/>
      <c r="O166" s="815"/>
      <c r="P166" s="813" t="s">
        <v>6852</v>
      </c>
      <c r="Q166" s="815"/>
      <c r="R166" s="815" t="s">
        <v>2326</v>
      </c>
      <c r="S166" s="815" t="s">
        <v>6857</v>
      </c>
      <c r="T166" s="815"/>
      <c r="U166" s="815"/>
      <c r="V166" s="815"/>
      <c r="W166" s="815"/>
      <c r="X166" s="815"/>
      <c r="Y166" s="815"/>
      <c r="Z166" s="815"/>
      <c r="AA166" s="815"/>
      <c r="AB166" s="815" t="s">
        <v>6829</v>
      </c>
      <c r="AC166" s="815" t="s">
        <v>6853</v>
      </c>
      <c r="AD166" s="815"/>
      <c r="AE166" s="815"/>
      <c r="AF166" s="815" t="s">
        <v>6851</v>
      </c>
      <c r="AG166" s="815"/>
      <c r="AH166" s="815"/>
      <c r="AI166" s="815"/>
      <c r="AJ166" s="815"/>
      <c r="AK166" s="815" t="s">
        <v>6856</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6858</v>
      </c>
      <c r="C167" s="889" t="s">
        <v>6859</v>
      </c>
      <c r="D167" s="815"/>
      <c r="E167" s="815" t="s">
        <v>6855</v>
      </c>
      <c r="F167" s="824"/>
      <c r="G167" s="946"/>
      <c r="H167" s="815" t="s">
        <v>6859</v>
      </c>
      <c r="I167" s="815"/>
      <c r="J167" s="815"/>
      <c r="K167" s="815"/>
      <c r="L167" s="815"/>
      <c r="M167" s="815"/>
      <c r="N167" s="815"/>
      <c r="O167" s="815"/>
      <c r="P167" s="813" t="s">
        <v>6860</v>
      </c>
      <c r="Q167" s="815"/>
      <c r="R167" s="815"/>
      <c r="S167" s="815"/>
      <c r="T167" s="815" t="s">
        <v>6855</v>
      </c>
      <c r="U167" s="815"/>
      <c r="V167" s="815"/>
      <c r="W167" s="815"/>
      <c r="X167" s="815"/>
      <c r="Y167" s="815"/>
      <c r="Z167" s="815" t="s">
        <v>6852</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6861</v>
      </c>
      <c r="B168" s="942" t="s">
        <v>6521</v>
      </c>
      <c r="C168" s="889" t="s">
        <v>2015</v>
      </c>
      <c r="D168" s="815" t="s">
        <v>5450</v>
      </c>
      <c r="E168" s="815" t="s">
        <v>6112</v>
      </c>
      <c r="F168" s="809" t="s">
        <v>6862</v>
      </c>
      <c r="G168" s="839" t="s">
        <v>6862</v>
      </c>
      <c r="H168" s="815" t="s">
        <v>3014</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6537</v>
      </c>
      <c r="B169" s="948" t="s">
        <v>6521</v>
      </c>
      <c r="C169" s="889" t="s">
        <v>6863</v>
      </c>
      <c r="D169" s="876"/>
      <c r="E169" s="876" t="s">
        <v>6864</v>
      </c>
      <c r="F169" s="824"/>
      <c r="G169" s="949" t="s">
        <v>6865</v>
      </c>
      <c r="H169" s="876" t="s">
        <v>6863</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6523</v>
      </c>
      <c r="B170" s="950" t="s">
        <v>6866</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6867</v>
      </c>
      <c r="C171" s="889" t="s">
        <v>6868</v>
      </c>
      <c r="D171" s="815" t="s">
        <v>6869</v>
      </c>
      <c r="E171" s="815" t="s">
        <v>6868</v>
      </c>
      <c r="F171" s="809" t="s">
        <v>1433</v>
      </c>
      <c r="G171" s="821" t="s">
        <v>3186</v>
      </c>
      <c r="H171" s="815" t="s">
        <v>6183</v>
      </c>
      <c r="I171" s="815"/>
      <c r="J171" s="815" t="s">
        <v>629</v>
      </c>
      <c r="K171" s="815" t="s">
        <v>359</v>
      </c>
      <c r="L171" s="815"/>
      <c r="M171" s="815"/>
      <c r="N171" s="815" t="s">
        <v>2593</v>
      </c>
      <c r="O171" s="815" t="s">
        <v>6870</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6537</v>
      </c>
      <c r="B172" s="952" t="s">
        <v>6871</v>
      </c>
      <c r="C172" s="889" t="s">
        <v>6872</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6873</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6874</v>
      </c>
      <c r="C173" s="889" t="s">
        <v>6875</v>
      </c>
      <c r="D173" s="815" t="s">
        <v>1669</v>
      </c>
      <c r="E173" s="815" t="s">
        <v>6875</v>
      </c>
      <c r="F173" s="809" t="s">
        <v>1434</v>
      </c>
      <c r="G173" s="879" t="s">
        <v>3187</v>
      </c>
      <c r="H173" s="815" t="s">
        <v>3098</v>
      </c>
      <c r="I173" s="815" t="s">
        <v>1530</v>
      </c>
      <c r="J173" s="815" t="s">
        <v>2151</v>
      </c>
      <c r="K173" s="815" t="s">
        <v>5394</v>
      </c>
      <c r="L173" s="815" t="s">
        <v>906</v>
      </c>
      <c r="M173" s="815" t="s">
        <v>2917</v>
      </c>
      <c r="N173" s="815" t="s">
        <v>1929</v>
      </c>
      <c r="O173" s="815" t="s">
        <v>4843</v>
      </c>
      <c r="P173" s="813" t="s">
        <v>1929</v>
      </c>
      <c r="Q173" s="815"/>
      <c r="R173" s="815"/>
      <c r="S173" s="815"/>
      <c r="T173" s="815"/>
      <c r="U173" s="815" t="s">
        <v>6876</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6877</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6878</v>
      </c>
      <c r="B175" s="952" t="s">
        <v>6664</v>
      </c>
      <c r="C175" s="889" t="s">
        <v>4037</v>
      </c>
      <c r="D175" s="951"/>
      <c r="E175" s="951"/>
      <c r="F175" s="824"/>
      <c r="G175" s="953" t="s">
        <v>3060</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3269</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6879</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6880</v>
      </c>
      <c r="B177" s="952" t="s">
        <v>6664</v>
      </c>
      <c r="C177" s="889" t="s">
        <v>6881</v>
      </c>
      <c r="D177" s="951"/>
      <c r="E177" s="951"/>
      <c r="F177" s="824"/>
      <c r="G177" s="949" t="s">
        <v>6882</v>
      </c>
      <c r="H177" s="951" t="s">
        <v>6881</v>
      </c>
      <c r="I177" s="951"/>
      <c r="J177" s="951" t="s">
        <v>6883</v>
      </c>
      <c r="K177" s="951"/>
      <c r="L177" s="951"/>
      <c r="M177" s="951"/>
      <c r="N177" s="951"/>
      <c r="O177" s="951"/>
      <c r="P177" s="830"/>
      <c r="Q177" s="951"/>
      <c r="R177" s="951"/>
      <c r="S177" s="951"/>
      <c r="T177" s="951"/>
      <c r="U177" s="951"/>
      <c r="V177" s="951"/>
      <c r="W177" s="951" t="s">
        <v>6865</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6879</v>
      </c>
      <c r="C178" s="889" t="s">
        <v>6884</v>
      </c>
      <c r="D178" s="812" t="s">
        <v>6885</v>
      </c>
      <c r="E178" s="811" t="s">
        <v>6884</v>
      </c>
      <c r="F178" s="824"/>
      <c r="G178" s="810"/>
      <c r="H178" s="812" t="s">
        <v>6884</v>
      </c>
      <c r="I178" s="812"/>
      <c r="J178" s="812"/>
      <c r="K178" s="812"/>
      <c r="L178" s="812"/>
      <c r="M178" s="812"/>
      <c r="N178" s="812"/>
      <c r="O178" s="812"/>
      <c r="P178" s="813"/>
      <c r="Q178" s="812"/>
      <c r="R178" s="812"/>
      <c r="S178" s="812"/>
      <c r="T178" s="812"/>
      <c r="U178" s="812"/>
      <c r="V178" s="812"/>
      <c r="W178" s="812"/>
      <c r="X178" s="811" t="s">
        <v>6884</v>
      </c>
      <c r="Y178" s="812"/>
      <c r="Z178" s="812"/>
      <c r="AA178" s="812"/>
      <c r="AB178" s="812"/>
      <c r="AC178" s="812"/>
      <c r="AD178" s="812"/>
      <c r="AE178" s="812"/>
      <c r="AF178" s="812"/>
      <c r="AG178" s="812" t="s">
        <v>6886</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6569</v>
      </c>
      <c r="B179" s="952" t="s">
        <v>6521</v>
      </c>
      <c r="C179" s="889" t="str">
        <f>HYPERLINK("https://www.youtube.com/watch?v=_HQgQjbTLjM","1:11.32")</f>
        <v>1:11.32</v>
      </c>
      <c r="D179" s="820" t="s">
        <v>1676</v>
      </c>
      <c r="E179" s="951"/>
      <c r="F179" s="809" t="s">
        <v>1441</v>
      </c>
      <c r="G179" s="946"/>
      <c r="H179" s="951"/>
      <c r="I179" s="951" t="s">
        <v>1546</v>
      </c>
      <c r="J179" s="951" t="s">
        <v>6887</v>
      </c>
      <c r="K179" s="951" t="s">
        <v>3670</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6572</v>
      </c>
      <c r="B180" s="952" t="s">
        <v>6521</v>
      </c>
      <c r="C180" s="889" t="s">
        <v>325</v>
      </c>
      <c r="D180" s="845" t="s">
        <v>6888</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6889</v>
      </c>
      <c r="B181" s="952" t="s">
        <v>6890</v>
      </c>
      <c r="C181" s="889" t="s">
        <v>6891</v>
      </c>
      <c r="D181" s="951"/>
      <c r="E181" s="951"/>
      <c r="F181" s="824"/>
      <c r="G181" s="946"/>
      <c r="H181" s="951"/>
      <c r="I181" s="951"/>
      <c r="J181" s="951" t="s">
        <v>6891</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6892</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6546</v>
      </c>
      <c r="B183" s="950" t="s">
        <v>6893</v>
      </c>
      <c r="C183" s="889" t="s">
        <v>2669</v>
      </c>
      <c r="D183" s="951"/>
      <c r="E183" s="951"/>
      <c r="F183" s="809" t="s">
        <v>6894</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6895</v>
      </c>
      <c r="C184" s="889" t="s">
        <v>853</v>
      </c>
      <c r="D184" s="951" t="s">
        <v>3525</v>
      </c>
      <c r="E184" s="951"/>
      <c r="F184" s="824"/>
      <c r="G184" s="839" t="s">
        <v>6896</v>
      </c>
      <c r="H184" s="951"/>
      <c r="I184" s="951" t="s">
        <v>6139</v>
      </c>
      <c r="J184" s="951"/>
      <c r="K184" s="951" t="s">
        <v>3247</v>
      </c>
      <c r="L184" s="951"/>
      <c r="M184" s="951"/>
      <c r="N184" s="951" t="s">
        <v>6897</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3297</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6898</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6426</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6537</v>
      </c>
      <c r="B186" s="952" t="s">
        <v>6899</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6900</v>
      </c>
      <c r="C187" s="889" t="s">
        <v>6837</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6901</v>
      </c>
      <c r="C188" s="889" t="s">
        <v>6902</v>
      </c>
      <c r="D188" s="951" t="s">
        <v>1621</v>
      </c>
      <c r="E188" s="951"/>
      <c r="F188" s="824"/>
      <c r="G188" s="839" t="s">
        <v>6903</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6904</v>
      </c>
      <c r="C189" s="889" t="s">
        <v>2326</v>
      </c>
      <c r="D189" s="845" t="s">
        <v>6905</v>
      </c>
      <c r="E189" s="951"/>
      <c r="F189" s="824"/>
      <c r="G189" s="949" t="s">
        <v>607</v>
      </c>
      <c r="H189" s="951" t="s">
        <v>3089</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6669</v>
      </c>
      <c r="B190" s="957" t="s">
        <v>6906</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6907</v>
      </c>
      <c r="C191" s="889" t="s">
        <v>5412</v>
      </c>
      <c r="D191" s="951" t="s">
        <v>3492</v>
      </c>
      <c r="E191" s="951"/>
      <c r="F191" s="809" t="s">
        <v>6464</v>
      </c>
      <c r="G191" s="949" t="s">
        <v>679</v>
      </c>
      <c r="H191" s="951"/>
      <c r="I191" s="951"/>
      <c r="J191" s="951"/>
      <c r="K191" s="951" t="s">
        <v>5675</v>
      </c>
      <c r="L191" s="951" t="s">
        <v>1755</v>
      </c>
      <c r="M191" s="951"/>
      <c r="N191" s="951" t="s">
        <v>4752</v>
      </c>
      <c r="O191" s="951"/>
      <c r="P191" s="830"/>
      <c r="Q191" s="951"/>
      <c r="R191" s="951"/>
      <c r="S191" s="951"/>
      <c r="T191" s="951" t="s">
        <v>3563</v>
      </c>
      <c r="U191" s="951" t="s">
        <v>6908</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6909</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6910</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6911</v>
      </c>
      <c r="C194" s="889" t="s">
        <v>908</v>
      </c>
      <c r="D194" s="815" t="s">
        <v>1670</v>
      </c>
      <c r="E194" s="845"/>
      <c r="F194" s="809" t="s">
        <v>1435</v>
      </c>
      <c r="G194" s="839" t="s">
        <v>3188</v>
      </c>
      <c r="H194" s="890" t="s">
        <v>6912</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6537</v>
      </c>
      <c r="B195" s="952" t="s">
        <v>6906</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6913</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6914</v>
      </c>
      <c r="BC195" s="845"/>
      <c r="BD195" s="943"/>
      <c r="BE195" s="845"/>
      <c r="BF195" s="856"/>
      <c r="BG195" s="856"/>
      <c r="BH195" s="943"/>
      <c r="BI195" s="943"/>
      <c r="BJ195" s="943"/>
    </row>
    <row r="196" ht="15.75" customHeight="1">
      <c r="A196" s="944"/>
      <c r="B196" s="945" t="s">
        <v>6907</v>
      </c>
      <c r="C196" s="889" t="s">
        <v>6915</v>
      </c>
      <c r="D196" s="845" t="s">
        <v>332</v>
      </c>
      <c r="E196" s="845" t="s">
        <v>3807</v>
      </c>
      <c r="F196" s="809" t="s">
        <v>6916</v>
      </c>
      <c r="G196" s="810"/>
      <c r="H196" s="845"/>
      <c r="I196" s="845" t="s">
        <v>6917</v>
      </c>
      <c r="J196" s="845"/>
      <c r="K196" s="845"/>
      <c r="L196" s="845" t="s">
        <v>3807</v>
      </c>
      <c r="M196" s="845"/>
      <c r="N196" s="845" t="s">
        <v>6918</v>
      </c>
      <c r="O196" s="845"/>
      <c r="P196" s="846" t="s">
        <v>3901</v>
      </c>
      <c r="Q196" s="845"/>
      <c r="R196" s="861" t="s">
        <v>6919</v>
      </c>
      <c r="S196" s="845"/>
      <c r="T196" s="845"/>
      <c r="U196" s="845" t="s">
        <v>3146</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6909</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6910</v>
      </c>
      <c r="C198" s="889" t="s">
        <v>2856</v>
      </c>
      <c r="D198" s="815" t="s">
        <v>558</v>
      </c>
      <c r="E198" s="815" t="s">
        <v>2856</v>
      </c>
      <c r="F198" s="824"/>
      <c r="G198" s="839" t="s">
        <v>6919</v>
      </c>
      <c r="H198" s="815"/>
      <c r="I198" s="815" t="s">
        <v>1531</v>
      </c>
      <c r="J198" s="815" t="s">
        <v>6920</v>
      </c>
      <c r="K198" s="815" t="s">
        <v>4355</v>
      </c>
      <c r="L198" s="815"/>
      <c r="M198" s="815" t="s">
        <v>6921</v>
      </c>
      <c r="N198" s="815" t="s">
        <v>4601</v>
      </c>
      <c r="O198" s="815" t="s">
        <v>4852</v>
      </c>
      <c r="P198" s="811" t="s">
        <v>6922</v>
      </c>
      <c r="Q198" s="815"/>
      <c r="R198" s="811" t="s">
        <v>5804</v>
      </c>
      <c r="S198" s="815"/>
      <c r="T198" s="815"/>
      <c r="U198" s="815"/>
      <c r="V198" s="815" t="s">
        <v>2621</v>
      </c>
      <c r="W198" s="815" t="s">
        <v>6923</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6911</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6542</v>
      </c>
      <c r="B200" s="952" t="s">
        <v>6521</v>
      </c>
      <c r="C200" s="889" t="s">
        <v>1026</v>
      </c>
      <c r="D200" s="812" t="s">
        <v>5908</v>
      </c>
      <c r="E200" s="811" t="s">
        <v>386</v>
      </c>
      <c r="F200" s="809" t="s">
        <v>6924</v>
      </c>
      <c r="G200" s="839" t="s">
        <v>6924</v>
      </c>
      <c r="H200" s="812" t="s">
        <v>2324</v>
      </c>
      <c r="I200" s="812"/>
      <c r="J200" s="812"/>
      <c r="K200" s="812"/>
      <c r="L200" s="812" t="s">
        <v>6925</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6926</v>
      </c>
      <c r="B201" s="952" t="s">
        <v>6521</v>
      </c>
      <c r="C201" s="889" t="s">
        <v>6927</v>
      </c>
      <c r="D201" s="812"/>
      <c r="E201" s="811" t="s">
        <v>6927</v>
      </c>
      <c r="F201" s="824"/>
      <c r="G201" s="949" t="s">
        <v>6928</v>
      </c>
      <c r="H201" s="812" t="s">
        <v>6929</v>
      </c>
      <c r="I201" s="812"/>
      <c r="J201" s="812" t="s">
        <v>6930</v>
      </c>
      <c r="K201" s="812"/>
      <c r="L201" s="812"/>
      <c r="M201" s="812"/>
      <c r="N201" s="812"/>
      <c r="O201" s="811" t="s">
        <v>6927</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6569</v>
      </c>
      <c r="B202" s="952" t="s">
        <v>6521</v>
      </c>
      <c r="C202" s="889" t="s">
        <v>376</v>
      </c>
      <c r="D202" s="815" t="s">
        <v>376</v>
      </c>
      <c r="E202" s="815" t="s">
        <v>312</v>
      </c>
      <c r="F202" s="824"/>
      <c r="G202" s="810"/>
      <c r="H202" s="815"/>
      <c r="I202" s="815"/>
      <c r="J202" s="815" t="s">
        <v>603</v>
      </c>
      <c r="K202" s="815" t="s">
        <v>3671</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6572</v>
      </c>
      <c r="B203" s="952" t="s">
        <v>6521</v>
      </c>
      <c r="C203" s="889"/>
      <c r="D203" s="811" t="s">
        <v>6931</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6739</v>
      </c>
      <c r="B204" s="950" t="s">
        <v>6932</v>
      </c>
      <c r="C204" s="889" t="s">
        <v>6933</v>
      </c>
      <c r="D204" s="815" t="s">
        <v>1672</v>
      </c>
      <c r="E204" s="815" t="s">
        <v>6933</v>
      </c>
      <c r="F204" s="809" t="s">
        <v>1437</v>
      </c>
      <c r="G204" s="953" t="s">
        <v>3189</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6542</v>
      </c>
      <c r="B205" s="952" t="s">
        <v>6521</v>
      </c>
      <c r="C205" s="889" t="s">
        <v>4557</v>
      </c>
      <c r="D205" s="815" t="s">
        <v>3398</v>
      </c>
      <c r="E205" s="815" t="s">
        <v>4557</v>
      </c>
      <c r="F205" s="809" t="s">
        <v>939</v>
      </c>
      <c r="G205" s="839" t="s">
        <v>1873</v>
      </c>
      <c r="H205" s="815" t="s">
        <v>1100</v>
      </c>
      <c r="I205" s="815"/>
      <c r="J205" s="815"/>
      <c r="K205" s="815"/>
      <c r="L205" s="815" t="s">
        <v>317</v>
      </c>
      <c r="M205" s="815"/>
      <c r="N205" s="815"/>
      <c r="O205" s="815"/>
      <c r="P205" s="813"/>
      <c r="Q205" s="815"/>
      <c r="R205" s="815"/>
      <c r="S205" s="815" t="s">
        <v>6934</v>
      </c>
      <c r="T205" s="815"/>
      <c r="U205" s="815"/>
      <c r="V205" s="815" t="s">
        <v>6935</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6591</v>
      </c>
      <c r="B206" s="950" t="s">
        <v>6936</v>
      </c>
      <c r="C206" s="889"/>
      <c r="D206" s="951"/>
      <c r="E206" s="951"/>
      <c r="F206" s="824"/>
      <c r="G206" s="949" t="s">
        <v>6652</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6937</v>
      </c>
      <c r="C207" s="889"/>
      <c r="D207" s="951"/>
      <c r="E207" s="951"/>
      <c r="F207" s="824"/>
      <c r="G207" s="810"/>
      <c r="H207" s="951" t="s">
        <v>6768</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6633</v>
      </c>
      <c r="B208" s="950" t="s">
        <v>6938</v>
      </c>
      <c r="C208" s="889" t="s">
        <v>2031</v>
      </c>
      <c r="D208" s="951" t="s">
        <v>4255</v>
      </c>
      <c r="E208" s="951"/>
      <c r="F208" s="809" t="s">
        <v>2995</v>
      </c>
      <c r="G208" s="949" t="s">
        <v>6939</v>
      </c>
      <c r="H208" s="951"/>
      <c r="I208" s="951"/>
      <c r="J208" s="951"/>
      <c r="K208" s="951" t="s">
        <v>1172</v>
      </c>
      <c r="L208" s="951"/>
      <c r="M208" s="951"/>
      <c r="N208" s="951" t="s">
        <v>6940</v>
      </c>
      <c r="O208" s="890" t="s">
        <v>6941</v>
      </c>
      <c r="P208" s="830" t="s">
        <v>6942</v>
      </c>
      <c r="Q208" s="951"/>
      <c r="R208" s="951" t="s">
        <v>1020</v>
      </c>
      <c r="S208" s="951" t="s">
        <v>6942</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6943</v>
      </c>
      <c r="C209" s="889" t="s">
        <v>401</v>
      </c>
      <c r="D209" s="815" t="s">
        <v>1596</v>
      </c>
      <c r="E209" s="951"/>
      <c r="F209" s="809" t="s">
        <v>1439</v>
      </c>
      <c r="G209" s="839" t="s">
        <v>3191</v>
      </c>
      <c r="H209" s="951"/>
      <c r="I209" s="951"/>
      <c r="J209" s="951"/>
      <c r="K209" s="951"/>
      <c r="L209" s="890" t="s">
        <v>913</v>
      </c>
      <c r="M209" s="890" t="s">
        <v>821</v>
      </c>
      <c r="N209" s="951"/>
      <c r="O209" s="890" t="s">
        <v>1935</v>
      </c>
      <c r="P209" s="830" t="s">
        <v>1535</v>
      </c>
      <c r="Q209" s="951"/>
      <c r="R209" s="951" t="s">
        <v>3595</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6637</v>
      </c>
      <c r="B210" s="950" t="s">
        <v>6944</v>
      </c>
      <c r="C210" s="889" t="s">
        <v>1536</v>
      </c>
      <c r="D210" s="834" t="s">
        <v>1675</v>
      </c>
      <c r="E210" s="951"/>
      <c r="F210" s="824"/>
      <c r="G210" s="946"/>
      <c r="H210" s="951"/>
      <c r="I210" s="951" t="s">
        <v>1536</v>
      </c>
      <c r="J210" s="951" t="s">
        <v>6945</v>
      </c>
      <c r="K210" s="951" t="s">
        <v>3669</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6946</v>
      </c>
      <c r="BD210" s="943"/>
      <c r="BE210" s="951"/>
      <c r="BF210" s="856"/>
      <c r="BG210" s="856"/>
      <c r="BH210" s="943"/>
      <c r="BI210" s="943"/>
      <c r="BJ210" s="943"/>
    </row>
    <row r="211" ht="15.75" customHeight="1">
      <c r="A211" s="941" t="s">
        <v>57</v>
      </c>
      <c r="B211" s="950" t="s">
        <v>6947</v>
      </c>
      <c r="C211" s="889" t="s">
        <v>1538</v>
      </c>
      <c r="D211" s="820" t="s">
        <v>6948</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6949</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6520</v>
      </c>
      <c r="B213" s="968" t="s">
        <v>6521</v>
      </c>
      <c r="C213" s="889" t="s">
        <v>1001</v>
      </c>
      <c r="D213" s="815" t="s">
        <v>1678</v>
      </c>
      <c r="E213" s="896"/>
      <c r="F213" s="809" t="s">
        <v>1444</v>
      </c>
      <c r="G213" s="839" t="s">
        <v>3192</v>
      </c>
      <c r="H213" s="890" t="s">
        <v>1149</v>
      </c>
      <c r="I213" s="896" t="s">
        <v>6950</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6722</v>
      </c>
      <c r="B214" s="968" t="s">
        <v>6951</v>
      </c>
      <c r="C214" s="889" t="s">
        <v>1693</v>
      </c>
      <c r="D214" s="815" t="s">
        <v>1679</v>
      </c>
      <c r="E214" s="890" t="s">
        <v>1693</v>
      </c>
      <c r="F214" s="809" t="s">
        <v>3460</v>
      </c>
      <c r="G214" s="970" t="s">
        <v>3193</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6546</v>
      </c>
      <c r="B215" s="968" t="s">
        <v>6521</v>
      </c>
      <c r="C215" s="889" t="str">
        <f>HYPERLINK("https://www.youtube.com/watch?v=aWzlUqH0LaM","41.87")</f>
        <v>41.87</v>
      </c>
      <c r="D215" s="900"/>
      <c r="E215" s="896"/>
      <c r="F215" s="809" t="s">
        <v>6952</v>
      </c>
      <c r="G215" s="810"/>
      <c r="H215" s="890" t="s">
        <v>312</v>
      </c>
      <c r="I215" s="890" t="s">
        <v>1717</v>
      </c>
      <c r="J215" s="896"/>
      <c r="K215" s="890" t="s">
        <v>6411</v>
      </c>
      <c r="L215" s="890" t="s">
        <v>4532</v>
      </c>
      <c r="M215" s="890" t="str">
        <f>HYPERLINK("https://www.youtube.com/watch?v=aWzlUqH0LaM","41.87")</f>
        <v>41.87</v>
      </c>
      <c r="N215" s="896" t="s">
        <v>2243</v>
      </c>
      <c r="O215" s="890" t="s">
        <v>1608</v>
      </c>
      <c r="P215" s="898" t="s">
        <v>3266</v>
      </c>
      <c r="Q215" s="896"/>
      <c r="R215" s="896"/>
      <c r="S215" s="896"/>
      <c r="T215" s="896"/>
      <c r="U215" s="896" t="s">
        <v>6953</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6669</v>
      </c>
      <c r="B216" s="968" t="s">
        <v>6954</v>
      </c>
      <c r="C216" s="889" t="str">
        <f>HYPERLINK("https://youtu.be/F-20O1FDNbI","1:45.11")</f>
        <v>1:45.11</v>
      </c>
      <c r="D216" s="896" t="s">
        <v>6955</v>
      </c>
      <c r="E216" s="896"/>
      <c r="F216" s="809" t="s">
        <v>6956</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6957</v>
      </c>
      <c r="C217" s="889" t="s">
        <v>522</v>
      </c>
      <c r="D217" s="815" t="s">
        <v>6958</v>
      </c>
      <c r="E217" s="896"/>
      <c r="F217" s="809" t="s">
        <v>1447</v>
      </c>
      <c r="G217" s="839" t="s">
        <v>3195</v>
      </c>
      <c r="H217" s="896" t="s">
        <v>6959</v>
      </c>
      <c r="I217" s="896"/>
      <c r="J217" s="890" t="s">
        <v>6960</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6961</v>
      </c>
      <c r="AC217" s="896" t="s">
        <v>6962</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6963</v>
      </c>
      <c r="C218" s="889" t="s">
        <v>6964</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6964</v>
      </c>
      <c r="AC218" s="896"/>
      <c r="AD218" s="896"/>
      <c r="AE218" s="896"/>
      <c r="AF218" s="896"/>
      <c r="AG218" s="896"/>
      <c r="AH218" s="896"/>
      <c r="AI218" s="896"/>
      <c r="AJ218" s="896"/>
      <c r="AK218" s="896"/>
      <c r="AL218" s="896"/>
      <c r="AM218" s="890" t="s">
        <v>3534</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6965</v>
      </c>
      <c r="C219" s="889" t="s">
        <v>2997</v>
      </c>
      <c r="D219" s="896"/>
      <c r="E219" s="896"/>
      <c r="F219" s="824"/>
      <c r="G219" s="810"/>
      <c r="H219" s="890" t="s">
        <v>6966</v>
      </c>
      <c r="I219" s="896"/>
      <c r="J219" s="896"/>
      <c r="K219" s="896"/>
      <c r="L219" s="896"/>
      <c r="M219" s="896"/>
      <c r="N219" s="896"/>
      <c r="O219" s="896"/>
      <c r="P219" s="898"/>
      <c r="Q219" s="896"/>
      <c r="R219" s="896"/>
      <c r="S219" s="896"/>
      <c r="T219" s="896"/>
      <c r="U219" s="896"/>
      <c r="V219" s="896"/>
      <c r="W219" s="896"/>
      <c r="X219" s="896"/>
      <c r="Y219" s="896"/>
      <c r="Z219" s="896"/>
      <c r="AA219" s="896"/>
      <c r="AB219" s="890" t="s">
        <v>6967</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6537</v>
      </c>
      <c r="B220" s="976" t="s">
        <v>6954</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6957</v>
      </c>
      <c r="C221" s="980" t="s">
        <v>6968</v>
      </c>
      <c r="D221" s="981" t="s">
        <v>6968</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6963</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6965</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6542</v>
      </c>
      <c r="B224" s="976" t="s">
        <v>6969</v>
      </c>
      <c r="C224" s="889" t="s">
        <v>6970</v>
      </c>
      <c r="D224" s="982">
        <v>13.23</v>
      </c>
      <c r="E224" s="977"/>
      <c r="F224" s="809" t="s">
        <v>6971</v>
      </c>
      <c r="G224" s="970" t="s">
        <v>6972</v>
      </c>
      <c r="H224" s="977"/>
      <c r="I224" s="977"/>
      <c r="J224" s="983" t="s">
        <v>4192</v>
      </c>
      <c r="K224" s="977"/>
      <c r="L224" s="977"/>
      <c r="M224" s="977"/>
      <c r="N224" s="977"/>
      <c r="O224" s="977"/>
      <c r="P224" s="978"/>
      <c r="Q224" s="977"/>
      <c r="R224" s="983" t="s">
        <v>6827</v>
      </c>
      <c r="S224" s="977"/>
      <c r="T224" s="977"/>
      <c r="U224" s="977"/>
      <c r="V224" s="983" t="s">
        <v>2662</v>
      </c>
      <c r="W224" s="977"/>
      <c r="X224" s="977"/>
      <c r="Y224" s="977"/>
      <c r="Z224" s="977"/>
      <c r="AA224" s="977"/>
      <c r="AB224" s="983" t="s">
        <v>6970</v>
      </c>
      <c r="AC224" s="977"/>
      <c r="AD224" s="977"/>
      <c r="AE224" s="977"/>
      <c r="AF224" s="977"/>
      <c r="AG224" s="977"/>
      <c r="AH224" s="977"/>
      <c r="AI224" s="977"/>
      <c r="AJ224" s="977"/>
      <c r="AK224" s="977" t="s">
        <v>6972</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6973</v>
      </c>
      <c r="C225" s="889" t="s">
        <v>500</v>
      </c>
      <c r="D225" s="890"/>
      <c r="E225" s="890" t="s">
        <v>832</v>
      </c>
      <c r="F225" s="809" t="s">
        <v>6974</v>
      </c>
      <c r="G225" s="810"/>
      <c r="H225" s="890" t="s">
        <v>500</v>
      </c>
      <c r="I225" s="890"/>
      <c r="J225" s="890"/>
      <c r="K225" s="890"/>
      <c r="L225" s="890" t="s">
        <v>6970</v>
      </c>
      <c r="M225" s="890"/>
      <c r="N225" s="890"/>
      <c r="O225" s="890"/>
      <c r="P225" s="891"/>
      <c r="Q225" s="890"/>
      <c r="R225" s="890"/>
      <c r="S225" s="890" t="s">
        <v>6975</v>
      </c>
      <c r="T225" s="890"/>
      <c r="U225" s="890"/>
      <c r="V225" s="890"/>
      <c r="W225" s="890"/>
      <c r="X225" s="890" t="s">
        <v>6827</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6739</v>
      </c>
      <c r="B226" s="968" t="s">
        <v>6521</v>
      </c>
      <c r="C226" s="889"/>
      <c r="D226" s="896"/>
      <c r="E226" s="896"/>
      <c r="F226" s="824"/>
      <c r="G226" s="970" t="s">
        <v>6976</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6977</v>
      </c>
      <c r="B227" s="985" t="s">
        <v>6521</v>
      </c>
      <c r="C227" s="806" t="s">
        <v>6978</v>
      </c>
      <c r="D227" s="809" t="s">
        <v>6979</v>
      </c>
      <c r="E227" s="896"/>
      <c r="F227" s="824"/>
      <c r="G227" s="839" t="s">
        <v>6980</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6591</v>
      </c>
      <c r="B228" s="968" t="s">
        <v>6981</v>
      </c>
      <c r="C228" s="889" t="s">
        <v>6982</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6983</v>
      </c>
      <c r="C229" s="889" t="s">
        <v>1769</v>
      </c>
      <c r="D229" s="815" t="s">
        <v>1943</v>
      </c>
      <c r="E229" s="896"/>
      <c r="F229" s="809" t="s">
        <v>1448</v>
      </c>
      <c r="G229" s="839" t="s">
        <v>834</v>
      </c>
      <c r="H229" s="896"/>
      <c r="I229" s="896" t="s">
        <v>4412</v>
      </c>
      <c r="J229" s="890" t="s">
        <v>6984</v>
      </c>
      <c r="K229" s="890" t="s">
        <v>3572</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6985</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6537</v>
      </c>
      <c r="B231" s="987" t="s">
        <v>6986</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6987</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6988</v>
      </c>
      <c r="C233" s="889" t="s">
        <v>3449</v>
      </c>
      <c r="D233" s="896" t="s">
        <v>1702</v>
      </c>
      <c r="E233" s="896"/>
      <c r="F233" s="809" t="s">
        <v>1773</v>
      </c>
      <c r="G233" s="839" t="s">
        <v>1684</v>
      </c>
      <c r="H233" s="896"/>
      <c r="I233" s="896" t="s">
        <v>2535</v>
      </c>
      <c r="J233" s="896"/>
      <c r="K233" s="890" t="s">
        <v>4133</v>
      </c>
      <c r="L233" s="896"/>
      <c r="M233" s="896"/>
      <c r="N233" s="896" t="s">
        <v>3356</v>
      </c>
      <c r="O233" s="896"/>
      <c r="P233" s="898" t="s">
        <v>6989</v>
      </c>
      <c r="Q233" s="896"/>
      <c r="R233" s="896" t="s">
        <v>3449</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3180</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6990</v>
      </c>
      <c r="C234" s="889" t="s">
        <v>6991</v>
      </c>
      <c r="D234" s="815" t="s">
        <v>1684</v>
      </c>
      <c r="E234" s="896"/>
      <c r="F234" s="824"/>
      <c r="G234" s="971"/>
      <c r="H234" s="890" t="s">
        <v>2612</v>
      </c>
      <c r="I234" s="896"/>
      <c r="J234" s="890" t="s">
        <v>1125</v>
      </c>
      <c r="K234" s="896"/>
      <c r="L234" s="890" t="s">
        <v>923</v>
      </c>
      <c r="M234" s="890" t="s">
        <v>242</v>
      </c>
      <c r="N234" s="896"/>
      <c r="O234" s="890" t="s">
        <v>2998</v>
      </c>
      <c r="P234" s="898"/>
      <c r="Q234" s="896" t="s">
        <v>6992</v>
      </c>
      <c r="R234" s="809" t="s">
        <v>2228</v>
      </c>
      <c r="S234" s="896"/>
      <c r="T234" s="896"/>
      <c r="U234" s="896"/>
      <c r="V234" s="896"/>
      <c r="W234" s="896"/>
      <c r="X234" s="896"/>
      <c r="Y234" s="896"/>
      <c r="Z234" s="896"/>
      <c r="AA234" s="896"/>
      <c r="AB234" s="896"/>
      <c r="AC234" s="896"/>
      <c r="AD234" s="896"/>
      <c r="AE234" s="896"/>
      <c r="AF234" s="896"/>
      <c r="AG234" s="896"/>
      <c r="AH234" s="809" t="s">
        <v>6991</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6542</v>
      </c>
      <c r="B235" s="987" t="s">
        <v>6993</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6994</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6995</v>
      </c>
      <c r="C236" s="889" t="s">
        <v>1478</v>
      </c>
      <c r="D236" s="890" t="s">
        <v>1436</v>
      </c>
      <c r="E236" s="890" t="s">
        <v>1478</v>
      </c>
      <c r="F236" s="809" t="s">
        <v>3370</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6996</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6997</v>
      </c>
      <c r="C237" s="889"/>
      <c r="D237" s="990" t="s">
        <v>4716</v>
      </c>
      <c r="E237" s="890"/>
      <c r="F237" s="824"/>
      <c r="G237" s="991" t="s">
        <v>6996</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6569</v>
      </c>
      <c r="B238" s="992" t="s">
        <v>6570</v>
      </c>
      <c r="C238" s="889" t="s">
        <v>6998</v>
      </c>
      <c r="D238" s="820" t="s">
        <v>1688</v>
      </c>
      <c r="E238" s="896"/>
      <c r="F238" s="824"/>
      <c r="G238" s="971"/>
      <c r="H238" s="896"/>
      <c r="I238" s="896" t="s">
        <v>2016</v>
      </c>
      <c r="J238" s="890" t="s">
        <v>1537</v>
      </c>
      <c r="K238" s="896" t="s">
        <v>6999</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6572</v>
      </c>
      <c r="B239" s="992" t="s">
        <v>6570</v>
      </c>
      <c r="C239" s="889"/>
      <c r="D239" s="993" t="s">
        <v>7000</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6633</v>
      </c>
      <c r="B240" s="968" t="s">
        <v>6938</v>
      </c>
      <c r="C240" s="889" t="s">
        <v>5526</v>
      </c>
      <c r="D240" s="890" t="s">
        <v>1382</v>
      </c>
      <c r="E240" s="890" t="s">
        <v>2653</v>
      </c>
      <c r="F240" s="824"/>
      <c r="G240" s="839"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3133</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6712</v>
      </c>
      <c r="C241" s="889" t="s">
        <v>3084</v>
      </c>
      <c r="D241" s="890"/>
      <c r="E241" s="890" t="s">
        <v>4327</v>
      </c>
      <c r="F241" s="824"/>
      <c r="G241" s="988" t="s">
        <v>7001</v>
      </c>
      <c r="H241" s="890" t="s">
        <v>3084</v>
      </c>
      <c r="I241" s="890" t="str">
        <f>HYPERLINK("https://youtu.be/yGR2akJEjQQ","19.18")</f>
        <v>19.18</v>
      </c>
      <c r="J241" s="890"/>
      <c r="K241" s="890"/>
      <c r="L241" s="890"/>
      <c r="M241" s="890"/>
      <c r="N241" s="890"/>
      <c r="O241" s="890"/>
      <c r="P241" s="891"/>
      <c r="Q241" s="890"/>
      <c r="R241" s="809" t="s">
        <v>5478</v>
      </c>
      <c r="S241" s="890"/>
      <c r="T241" s="890" t="s">
        <v>2539</v>
      </c>
      <c r="U241" s="890"/>
      <c r="V241" s="890" t="s">
        <v>3049</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7002</v>
      </c>
      <c r="C242" s="889" t="s">
        <v>3198</v>
      </c>
      <c r="D242" s="890"/>
      <c r="E242" s="890" t="s">
        <v>881</v>
      </c>
      <c r="F242" s="824"/>
      <c r="G242" s="810"/>
      <c r="H242" s="890" t="s">
        <v>3198</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7003</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7004</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7005</v>
      </c>
      <c r="B245" s="968" t="s">
        <v>6521</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7006</v>
      </c>
      <c r="C246" s="889" t="s">
        <v>3427</v>
      </c>
      <c r="D246" s="890"/>
      <c r="E246" s="890" t="s">
        <v>3427</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7007</v>
      </c>
      <c r="C247" s="889" t="s">
        <v>297</v>
      </c>
      <c r="D247" s="820" t="s">
        <v>1687</v>
      </c>
      <c r="E247" s="809" t="s">
        <v>414</v>
      </c>
      <c r="F247" s="809" t="s">
        <v>1451</v>
      </c>
      <c r="G247" s="971"/>
      <c r="H247" s="809" t="s">
        <v>830</v>
      </c>
      <c r="I247" s="824"/>
      <c r="J247" s="809" t="s">
        <v>358</v>
      </c>
      <c r="K247" s="824"/>
      <c r="L247" s="824" t="s">
        <v>3493</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6521</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7008</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6520</v>
      </c>
      <c r="B250" s="1001" t="s">
        <v>7009</v>
      </c>
      <c r="C250" s="889" t="s">
        <v>1836</v>
      </c>
      <c r="D250" s="896" t="s">
        <v>3977</v>
      </c>
      <c r="E250" s="896"/>
      <c r="F250" s="824"/>
      <c r="G250" s="810"/>
      <c r="H250" s="896"/>
      <c r="I250" s="896"/>
      <c r="J250" s="890" t="s">
        <v>3113</v>
      </c>
      <c r="K250" s="896"/>
      <c r="L250" s="896"/>
      <c r="M250" s="896"/>
      <c r="N250" s="896"/>
      <c r="O250" s="896"/>
      <c r="P250" s="898"/>
      <c r="Q250" s="896"/>
      <c r="R250" s="896"/>
      <c r="S250" s="896"/>
      <c r="T250" s="896"/>
      <c r="U250" s="896"/>
      <c r="V250" s="896"/>
      <c r="W250" s="896" t="s">
        <v>7010</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7011</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7012</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7013</v>
      </c>
      <c r="C252" s="889" t="s">
        <v>438</v>
      </c>
      <c r="D252" s="896" t="s">
        <v>4613</v>
      </c>
      <c r="E252" s="896"/>
      <c r="F252" s="824"/>
      <c r="G252" s="810"/>
      <c r="H252" s="896"/>
      <c r="I252" s="896" t="s">
        <v>7014</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7015</v>
      </c>
      <c r="C253" s="889" t="s">
        <v>3921</v>
      </c>
      <c r="D253" s="896"/>
      <c r="E253" s="896"/>
      <c r="F253" s="809" t="s">
        <v>6339</v>
      </c>
      <c r="G253" s="1006"/>
      <c r="H253" s="896"/>
      <c r="I253" s="890" t="s">
        <v>7016</v>
      </c>
      <c r="J253" s="896"/>
      <c r="K253" s="896"/>
      <c r="L253" s="896"/>
      <c r="M253" s="896"/>
      <c r="N253" s="896"/>
      <c r="O253" s="896"/>
      <c r="P253" s="898"/>
      <c r="Q253" s="896" t="s">
        <v>586</v>
      </c>
      <c r="R253" s="896"/>
      <c r="S253" s="896"/>
      <c r="T253" s="896"/>
      <c r="U253" s="896"/>
      <c r="V253" s="896"/>
      <c r="W253" s="896"/>
      <c r="X253" s="896"/>
      <c r="Y253" s="896"/>
      <c r="Z253" s="896"/>
      <c r="AA253" s="896"/>
      <c r="AB253" s="896" t="s">
        <v>3583</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7017</v>
      </c>
      <c r="C254" s="889" t="s">
        <v>2082</v>
      </c>
      <c r="D254" s="890"/>
      <c r="E254" s="890" t="s">
        <v>1608</v>
      </c>
      <c r="F254" s="824"/>
      <c r="G254" s="821" t="s">
        <v>895</v>
      </c>
      <c r="H254" s="890" t="s">
        <v>2082</v>
      </c>
      <c r="I254" s="890"/>
      <c r="J254" s="890" t="s">
        <v>2250</v>
      </c>
      <c r="K254" s="890"/>
      <c r="L254" s="891" t="s">
        <v>7018</v>
      </c>
      <c r="M254" s="890"/>
      <c r="N254" s="890"/>
      <c r="O254" s="890" t="s">
        <v>1364</v>
      </c>
      <c r="P254" s="891" t="s">
        <v>7019</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7020</v>
      </c>
      <c r="C255" s="889" t="s">
        <v>2250</v>
      </c>
      <c r="D255" s="890"/>
      <c r="E255" s="890" t="s">
        <v>2250</v>
      </c>
      <c r="F255" s="824"/>
      <c r="G255" s="1005" t="s">
        <v>7021</v>
      </c>
      <c r="H255" s="891" t="s">
        <v>3000</v>
      </c>
      <c r="I255" s="890"/>
      <c r="J255" s="890"/>
      <c r="K255" s="890"/>
      <c r="L255" s="890"/>
      <c r="M255" s="890"/>
      <c r="N255" s="890"/>
      <c r="O255" s="890"/>
      <c r="P255" s="891"/>
      <c r="Q255" s="809" t="s">
        <v>3266</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7022</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7023</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7024</v>
      </c>
      <c r="C257" s="889" t="s">
        <v>7025</v>
      </c>
      <c r="D257" s="890" t="s">
        <v>978</v>
      </c>
      <c r="E257" s="890" t="s">
        <v>7025</v>
      </c>
      <c r="F257" s="809" t="s">
        <v>7026</v>
      </c>
      <c r="G257" s="821" t="s">
        <v>3196</v>
      </c>
      <c r="H257" s="890"/>
      <c r="I257" s="890"/>
      <c r="J257" s="890"/>
      <c r="K257" s="890"/>
      <c r="L257" s="890"/>
      <c r="M257" s="890"/>
      <c r="N257" s="890"/>
      <c r="O257" s="890" t="s">
        <v>7027</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6523</v>
      </c>
      <c r="B258" s="1001" t="s">
        <v>6521</v>
      </c>
      <c r="C258" s="889"/>
      <c r="D258" s="896"/>
      <c r="E258" s="896"/>
      <c r="F258" s="824"/>
      <c r="G258" s="821" t="s">
        <v>7028</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6663</v>
      </c>
      <c r="B259" s="1001" t="s">
        <v>7029</v>
      </c>
      <c r="C259" s="889" t="s">
        <v>1702</v>
      </c>
      <c r="D259" s="896" t="s">
        <v>1837</v>
      </c>
      <c r="E259" s="896"/>
      <c r="F259" s="809" t="s">
        <v>4367</v>
      </c>
      <c r="G259" s="1006"/>
      <c r="H259" s="896"/>
      <c r="I259" s="890" t="str">
        <f>HYPERLINK("https://youtu.be/_GZXmZdCc5s","31.80")</f>
        <v>31.80</v>
      </c>
      <c r="J259" s="896"/>
      <c r="K259" s="890" t="s">
        <v>7030</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7031</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3413</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7032</v>
      </c>
      <c r="C261" s="889" t="s">
        <v>6679</v>
      </c>
      <c r="D261" s="896" t="s">
        <v>3493</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7033</v>
      </c>
      <c r="C262" s="889" t="s">
        <v>3657</v>
      </c>
      <c r="D262" s="890" t="s">
        <v>242</v>
      </c>
      <c r="E262" s="890" t="s">
        <v>3657</v>
      </c>
      <c r="F262" s="809" t="s">
        <v>1456</v>
      </c>
      <c r="G262" s="879" t="s">
        <v>925</v>
      </c>
      <c r="H262" s="890" t="s">
        <v>1610</v>
      </c>
      <c r="I262" s="890" t="s">
        <v>3253</v>
      </c>
      <c r="J262" s="890" t="s">
        <v>2228</v>
      </c>
      <c r="K262" s="890" t="s">
        <v>5497</v>
      </c>
      <c r="L262" s="890" t="s">
        <v>874</v>
      </c>
      <c r="M262" s="890" t="s">
        <v>278</v>
      </c>
      <c r="N262" s="890" t="s">
        <v>5782</v>
      </c>
      <c r="O262" s="890" t="s">
        <v>741</v>
      </c>
      <c r="P262" s="891" t="s">
        <v>435</v>
      </c>
      <c r="Q262" s="890" t="s">
        <v>4133</v>
      </c>
      <c r="R262" s="890"/>
      <c r="S262" s="890"/>
      <c r="T262" s="890"/>
      <c r="U262" s="890" t="s">
        <v>7034</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6574</v>
      </c>
      <c r="B263" s="1001" t="s">
        <v>7035</v>
      </c>
      <c r="C263" s="889" t="s">
        <v>7036</v>
      </c>
      <c r="D263" s="890" t="s">
        <v>6676</v>
      </c>
      <c r="E263" s="890" t="s">
        <v>4251</v>
      </c>
      <c r="F263" s="809" t="s">
        <v>7037</v>
      </c>
      <c r="G263" s="1007" t="s">
        <v>7038</v>
      </c>
      <c r="H263" s="890"/>
      <c r="I263" s="890" t="str">
        <f>HYPERLINK("https://youtu.be/fNmQmNF7N9I","46.93")</f>
        <v>46.93</v>
      </c>
      <c r="J263" s="890" t="s">
        <v>7036</v>
      </c>
      <c r="K263" s="890" t="s">
        <v>551</v>
      </c>
      <c r="L263" s="890" t="s">
        <v>7039</v>
      </c>
      <c r="M263" s="890" t="s">
        <v>1647</v>
      </c>
      <c r="N263" s="890"/>
      <c r="O263" s="890"/>
      <c r="P263" s="891"/>
      <c r="Q263" s="890"/>
      <c r="R263" s="890"/>
      <c r="S263" s="890" t="s">
        <v>3987</v>
      </c>
      <c r="T263" s="890" t="s">
        <v>7014</v>
      </c>
      <c r="U263" s="890" t="s">
        <v>7040</v>
      </c>
      <c r="V263" s="890" t="s">
        <v>4426</v>
      </c>
      <c r="W263" s="890" t="s">
        <v>7041</v>
      </c>
      <c r="X263" s="890"/>
      <c r="Y263" s="890"/>
      <c r="Z263" s="890"/>
      <c r="AA263" s="890" t="s">
        <v>7042</v>
      </c>
      <c r="AB263" s="890" t="s">
        <v>7043</v>
      </c>
      <c r="AC263" s="890"/>
      <c r="AD263" s="890"/>
      <c r="AE263" s="890"/>
      <c r="AF263" s="890"/>
      <c r="AG263" s="890"/>
      <c r="AH263" s="890"/>
      <c r="AI263" s="890"/>
      <c r="AJ263" s="890"/>
      <c r="AK263" s="890"/>
      <c r="AL263" s="890"/>
      <c r="AM263" s="890"/>
      <c r="AN263" s="890"/>
      <c r="AO263" s="890" t="s">
        <v>7044</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7045</v>
      </c>
      <c r="C264" s="889" t="s">
        <v>3973</v>
      </c>
      <c r="D264" s="890" t="s">
        <v>5213</v>
      </c>
      <c r="E264" s="890" t="s">
        <v>3494</v>
      </c>
      <c r="F264" s="809" t="s">
        <v>7046</v>
      </c>
      <c r="G264" s="839" t="s">
        <v>7047</v>
      </c>
      <c r="H264" s="890"/>
      <c r="I264" s="890" t="str">
        <f>HYPERLINK(" https://youtu.be/dsDcBzsPA5s","45.74")</f>
        <v>45.74</v>
      </c>
      <c r="J264" s="890" t="s">
        <v>3973</v>
      </c>
      <c r="K264" s="890" t="s">
        <v>7048</v>
      </c>
      <c r="L264" s="890" t="s">
        <v>4029</v>
      </c>
      <c r="M264" s="890" t="s">
        <v>1779</v>
      </c>
      <c r="N264" s="890" t="s">
        <v>2083</v>
      </c>
      <c r="O264" s="890" t="s">
        <v>3957</v>
      </c>
      <c r="P264" s="891" t="s">
        <v>3583</v>
      </c>
      <c r="Q264" s="890" t="s">
        <v>7049</v>
      </c>
      <c r="R264" s="890"/>
      <c r="S264" s="890" t="s">
        <v>7050</v>
      </c>
      <c r="T264" s="890" t="s">
        <v>286</v>
      </c>
      <c r="U264" s="890" t="s">
        <v>7023</v>
      </c>
      <c r="V264" s="890" t="s">
        <v>728</v>
      </c>
      <c r="W264" s="890" t="s">
        <v>7051</v>
      </c>
      <c r="X264" s="890"/>
      <c r="Y264" s="890"/>
      <c r="Z264" s="890"/>
      <c r="AA264" s="890"/>
      <c r="AB264" s="890" t="s">
        <v>6734</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7052</v>
      </c>
      <c r="C265" s="889" t="s">
        <v>1094</v>
      </c>
      <c r="D265" s="890" t="s">
        <v>4698</v>
      </c>
      <c r="E265" s="890" t="s">
        <v>419</v>
      </c>
      <c r="F265" s="809" t="s">
        <v>1457</v>
      </c>
      <c r="G265" s="1007" t="s">
        <v>2169</v>
      </c>
      <c r="H265" s="890" t="s">
        <v>2147</v>
      </c>
      <c r="I265" s="890" t="str">
        <f>HYPERLINK("https://youtu.be/9O9oqhlyCxY","45.20")</f>
        <v>45.20</v>
      </c>
      <c r="J265" s="890" t="s">
        <v>7053</v>
      </c>
      <c r="K265" s="809" t="s">
        <v>3679</v>
      </c>
      <c r="L265" s="890" t="s">
        <v>325</v>
      </c>
      <c r="M265" s="890" t="s">
        <v>1366</v>
      </c>
      <c r="N265" s="890" t="s">
        <v>7016</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6739</v>
      </c>
      <c r="B266" s="1009" t="s">
        <v>7054</v>
      </c>
      <c r="C266" s="889" t="s">
        <v>1013</v>
      </c>
      <c r="D266" s="820" t="s">
        <v>1692</v>
      </c>
      <c r="E266" s="1010" t="s">
        <v>420</v>
      </c>
      <c r="F266" s="809" t="s">
        <v>1458</v>
      </c>
      <c r="G266" s="879" t="s">
        <v>3197</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6537</v>
      </c>
      <c r="B267" s="1013" t="s">
        <v>7054</v>
      </c>
      <c r="C267" s="889" t="s">
        <v>7055</v>
      </c>
      <c r="D267" s="1010" t="s">
        <v>1693</v>
      </c>
      <c r="E267" s="1010" t="s">
        <v>421</v>
      </c>
      <c r="F267" s="824"/>
      <c r="G267" s="1007" t="s">
        <v>919</v>
      </c>
      <c r="H267" s="1010" t="s">
        <v>7055</v>
      </c>
      <c r="I267" s="1010"/>
      <c r="J267" s="1010"/>
      <c r="K267" s="1010"/>
      <c r="L267" s="1010" t="s">
        <v>930</v>
      </c>
      <c r="M267" s="1010" t="s">
        <v>744</v>
      </c>
      <c r="N267" s="1010"/>
      <c r="O267" s="1010" t="s">
        <v>1096</v>
      </c>
      <c r="P267" s="1011"/>
      <c r="Q267" s="1010"/>
      <c r="R267" s="1010"/>
      <c r="S267" s="1010"/>
      <c r="T267" s="1010" t="s">
        <v>3109</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6542</v>
      </c>
      <c r="B268" s="1015" t="s">
        <v>6521</v>
      </c>
      <c r="C268" s="889" t="s">
        <v>5746</v>
      </c>
      <c r="D268" s="890" t="s">
        <v>5760</v>
      </c>
      <c r="E268" s="890" t="s">
        <v>2879</v>
      </c>
      <c r="F268" s="809" t="s">
        <v>5721</v>
      </c>
      <c r="G268" s="821" t="s">
        <v>7056</v>
      </c>
      <c r="H268" s="890" t="s">
        <v>5746</v>
      </c>
      <c r="I268" s="890"/>
      <c r="J268" s="890" t="s">
        <v>5282</v>
      </c>
      <c r="K268" s="890"/>
      <c r="L268" s="890" t="s">
        <v>7057</v>
      </c>
      <c r="M268" s="890"/>
      <c r="N268" s="890"/>
      <c r="O268" s="890" t="s">
        <v>5746</v>
      </c>
      <c r="P268" s="891"/>
      <c r="Q268" s="890"/>
      <c r="R268" s="809" t="s">
        <v>7058</v>
      </c>
      <c r="S268" s="890"/>
      <c r="T268" s="890" t="s">
        <v>5746</v>
      </c>
      <c r="U268" s="890"/>
      <c r="V268" s="890" t="s">
        <v>4209</v>
      </c>
      <c r="W268" s="890" t="s">
        <v>6139</v>
      </c>
      <c r="X268" s="890" t="s">
        <v>7059</v>
      </c>
      <c r="Y268" s="890"/>
      <c r="Z268" s="890" t="s">
        <v>6107</v>
      </c>
      <c r="AA268" s="890"/>
      <c r="AB268" s="890"/>
      <c r="AC268" s="890"/>
      <c r="AD268" s="890"/>
      <c r="AE268" s="890" t="s">
        <v>3514</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6572</v>
      </c>
      <c r="B269" s="1015" t="s">
        <v>6521</v>
      </c>
      <c r="C269" s="889"/>
      <c r="D269" s="891" t="s">
        <v>7060</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6694</v>
      </c>
      <c r="B270" s="1017" t="s">
        <v>7061</v>
      </c>
      <c r="C270" s="889" t="s">
        <v>7062</v>
      </c>
      <c r="D270" s="815" t="s">
        <v>1551</v>
      </c>
      <c r="E270" s="890" t="s">
        <v>4513</v>
      </c>
      <c r="F270" s="809" t="s">
        <v>1460</v>
      </c>
      <c r="G270" s="879" t="s">
        <v>1976</v>
      </c>
      <c r="H270" s="890" t="s">
        <v>7062</v>
      </c>
      <c r="I270" s="890" t="s">
        <v>1551</v>
      </c>
      <c r="J270" s="890" t="s">
        <v>3815</v>
      </c>
      <c r="K270" s="890"/>
      <c r="L270" s="890" t="s">
        <v>931</v>
      </c>
      <c r="M270" s="890"/>
      <c r="N270" s="890"/>
      <c r="O270" s="890" t="s">
        <v>7063</v>
      </c>
      <c r="P270" s="891"/>
      <c r="Q270" s="890" t="s">
        <v>2229</v>
      </c>
      <c r="R270" s="890"/>
      <c r="S270" s="890"/>
      <c r="T270" s="890" t="s">
        <v>537</v>
      </c>
      <c r="U270" s="890"/>
      <c r="V270" s="890" t="s">
        <v>7064</v>
      </c>
      <c r="W270" s="890"/>
      <c r="X270" s="890"/>
      <c r="Y270" s="890"/>
      <c r="Z270" s="890"/>
      <c r="AA270" s="890"/>
      <c r="AB270" s="890"/>
      <c r="AC270" s="890"/>
      <c r="AD270" s="890"/>
      <c r="AE270" s="890"/>
      <c r="AF270" s="890" t="s">
        <v>7065</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6704</v>
      </c>
      <c r="B271" s="1015" t="s">
        <v>7061</v>
      </c>
      <c r="C271" s="889"/>
      <c r="D271" s="890" t="s">
        <v>7066</v>
      </c>
      <c r="E271" s="890"/>
      <c r="F271" s="824"/>
      <c r="G271" s="821" t="s">
        <v>7067</v>
      </c>
      <c r="H271" s="891" t="s">
        <v>7068</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6633</v>
      </c>
      <c r="B272" s="1001" t="s">
        <v>7069</v>
      </c>
      <c r="C272" s="889" t="s">
        <v>4309</v>
      </c>
      <c r="D272" s="824"/>
      <c r="E272" s="809" t="s">
        <v>4383</v>
      </c>
      <c r="F272" s="809" t="s">
        <v>3371</v>
      </c>
      <c r="G272" s="1006"/>
      <c r="H272" s="809" t="s">
        <v>4309</v>
      </c>
      <c r="I272" s="824"/>
      <c r="J272" s="824"/>
      <c r="K272" s="824"/>
      <c r="L272" s="824"/>
      <c r="M272" s="824"/>
      <c r="N272" s="824" t="s">
        <v>4481</v>
      </c>
      <c r="O272" s="824"/>
      <c r="P272" s="891" t="s">
        <v>7070</v>
      </c>
      <c r="Q272" s="824"/>
      <c r="R272" s="824"/>
      <c r="S272" s="824"/>
      <c r="T272" s="824"/>
      <c r="U272" s="824"/>
      <c r="V272" s="824"/>
      <c r="W272" s="824"/>
      <c r="X272" s="824"/>
      <c r="Y272" s="809" t="s">
        <v>7001</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7071</v>
      </c>
      <c r="C273" s="889" t="s">
        <v>4536</v>
      </c>
      <c r="D273" s="890" t="s">
        <v>1694</v>
      </c>
      <c r="E273" s="890" t="s">
        <v>2847</v>
      </c>
      <c r="F273" s="824"/>
      <c r="G273" s="821" t="s">
        <v>3198</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7072</v>
      </c>
      <c r="C274" s="889" t="s">
        <v>641</v>
      </c>
      <c r="D274" s="890"/>
      <c r="E274" s="890" t="s">
        <v>374</v>
      </c>
      <c r="F274" s="809" t="s">
        <v>3803</v>
      </c>
      <c r="G274" s="1007" t="s">
        <v>3198</v>
      </c>
      <c r="H274" s="891" t="s">
        <v>6271</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6637</v>
      </c>
      <c r="B275" s="1001" t="s">
        <v>6521</v>
      </c>
      <c r="C275" s="889" t="s">
        <v>7073</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6751</v>
      </c>
      <c r="B276" s="1001" t="s">
        <v>6723</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6727</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6521</v>
      </c>
      <c r="C278" s="889" t="s">
        <v>7074</v>
      </c>
      <c r="D278" s="896" t="s">
        <v>7075</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7076</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7077</v>
      </c>
      <c r="C280" s="889" t="s">
        <v>7078</v>
      </c>
      <c r="D280" s="890" t="s">
        <v>7079</v>
      </c>
      <c r="E280" s="890" t="s">
        <v>7078</v>
      </c>
      <c r="F280" s="809" t="s">
        <v>4866</v>
      </c>
      <c r="G280" s="810"/>
      <c r="H280" s="890"/>
      <c r="I280" s="890"/>
      <c r="J280" s="890"/>
      <c r="K280" s="891" t="s">
        <v>7080</v>
      </c>
      <c r="L280" s="890"/>
      <c r="M280" s="890"/>
      <c r="N280" s="890"/>
      <c r="O280" s="890"/>
      <c r="P280" s="891" t="s">
        <v>7081</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7082</v>
      </c>
      <c r="C281" s="889" t="s">
        <v>434</v>
      </c>
      <c r="D281" s="815" t="s">
        <v>1701</v>
      </c>
      <c r="E281" s="809" t="s">
        <v>434</v>
      </c>
      <c r="F281" s="809" t="s">
        <v>1472</v>
      </c>
      <c r="G281" s="864" t="s">
        <v>2989</v>
      </c>
      <c r="H281" s="809" t="s">
        <v>7083</v>
      </c>
      <c r="I281" s="809" t="str">
        <f>HYPERLINK("https://youtu.be/ZpzmhXUsVhA","1:19.38")</f>
        <v>1:19.38</v>
      </c>
      <c r="J281" s="824"/>
      <c r="K281" s="809" t="s">
        <v>3684</v>
      </c>
      <c r="L281" s="824" t="s">
        <v>942</v>
      </c>
      <c r="M281" s="824" t="s">
        <v>5994</v>
      </c>
      <c r="N281" s="824" t="s">
        <v>7084</v>
      </c>
      <c r="O281" s="809" t="s">
        <v>7085</v>
      </c>
      <c r="P281" s="891" t="s">
        <v>7086</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7087</v>
      </c>
      <c r="B282" s="1032" t="s">
        <v>7077</v>
      </c>
      <c r="C282" s="889" t="s">
        <v>5553</v>
      </c>
      <c r="D282" s="890" t="s">
        <v>1064</v>
      </c>
      <c r="E282" s="890" t="s">
        <v>3284</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7082</v>
      </c>
      <c r="C283" s="889" t="s">
        <v>2269</v>
      </c>
      <c r="D283" s="1033" t="s">
        <v>7088</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7089</v>
      </c>
      <c r="B284" s="1034" t="s">
        <v>7090</v>
      </c>
      <c r="C284" s="889" t="s">
        <v>4334</v>
      </c>
      <c r="D284" s="990" t="s">
        <v>1877</v>
      </c>
      <c r="E284" s="890" t="s">
        <v>4334</v>
      </c>
      <c r="F284" s="824"/>
      <c r="G284" s="810"/>
      <c r="H284" s="890"/>
      <c r="I284" s="890"/>
      <c r="J284" s="890"/>
      <c r="K284" s="890" t="s">
        <v>2423</v>
      </c>
      <c r="L284" s="890"/>
      <c r="M284" s="890"/>
      <c r="N284" s="890"/>
      <c r="O284" s="890"/>
      <c r="P284" s="891" t="s">
        <v>7091</v>
      </c>
      <c r="Q284" s="890"/>
      <c r="R284" s="890"/>
      <c r="S284" s="890" t="s">
        <v>7092</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7093</v>
      </c>
      <c r="C285" s="889" t="s">
        <v>7034</v>
      </c>
      <c r="D285" s="815" t="s">
        <v>1702</v>
      </c>
      <c r="E285" s="809" t="s">
        <v>435</v>
      </c>
      <c r="F285" s="809" t="s">
        <v>1473</v>
      </c>
      <c r="G285" s="879" t="s">
        <v>757</v>
      </c>
      <c r="H285" s="809" t="s">
        <v>2178</v>
      </c>
      <c r="I285" s="824"/>
      <c r="J285" s="824"/>
      <c r="K285" s="824"/>
      <c r="L285" s="809" t="s">
        <v>943</v>
      </c>
      <c r="M285" s="824" t="s">
        <v>849</v>
      </c>
      <c r="N285" s="824"/>
      <c r="O285" s="809" t="s">
        <v>7034</v>
      </c>
      <c r="P285" s="891" t="s">
        <v>1514</v>
      </c>
      <c r="Q285" s="824"/>
      <c r="R285" s="824"/>
      <c r="S285" s="824"/>
      <c r="T285" s="824" t="s">
        <v>1684</v>
      </c>
      <c r="U285" s="824"/>
      <c r="V285" s="824"/>
      <c r="W285" s="824"/>
      <c r="X285" s="824"/>
      <c r="Y285" s="824"/>
      <c r="Z285" s="809" t="s">
        <v>3449</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7094</v>
      </c>
      <c r="B286" s="1035" t="s">
        <v>7095</v>
      </c>
      <c r="C286" s="889" t="s">
        <v>6173</v>
      </c>
      <c r="D286" s="890"/>
      <c r="E286" s="890" t="s">
        <v>6173</v>
      </c>
      <c r="F286" s="824"/>
      <c r="G286" s="810"/>
      <c r="H286" s="890"/>
      <c r="I286" s="890" t="s">
        <v>6970</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7096</v>
      </c>
      <c r="C287" s="889" t="s">
        <v>6902</v>
      </c>
      <c r="D287" s="890"/>
      <c r="E287" s="890" t="s">
        <v>1377</v>
      </c>
      <c r="F287" s="824"/>
      <c r="G287" s="860"/>
      <c r="H287" s="890"/>
      <c r="I287" s="890" t="s">
        <v>6902</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7097</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7098</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7099</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7100</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6537</v>
      </c>
      <c r="B292" s="1034" t="s">
        <v>6570</v>
      </c>
      <c r="C292" s="889" t="s">
        <v>3208</v>
      </c>
      <c r="D292" s="890"/>
      <c r="E292" s="890" t="s">
        <v>3839</v>
      </c>
      <c r="F292" s="824"/>
      <c r="G292" s="810"/>
      <c r="H292" s="890" t="s">
        <v>3208</v>
      </c>
      <c r="I292" s="890" t="s">
        <v>7101</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7102</v>
      </c>
      <c r="B293" s="1038"/>
      <c r="C293" s="806" t="s">
        <v>7103</v>
      </c>
      <c r="D293" s="896"/>
      <c r="E293" s="896"/>
      <c r="F293" s="824"/>
      <c r="G293" s="860"/>
      <c r="H293" s="809" t="s">
        <v>7103</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7104</v>
      </c>
      <c r="B294" s="1034" t="s">
        <v>7105</v>
      </c>
      <c r="C294" s="889" t="s">
        <v>3646</v>
      </c>
      <c r="D294" s="815" t="s">
        <v>3646</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7106</v>
      </c>
      <c r="C295" s="889" t="s">
        <v>4068</v>
      </c>
      <c r="D295" s="1039"/>
      <c r="E295" s="1039" t="s">
        <v>4276</v>
      </c>
      <c r="F295" s="824"/>
      <c r="G295" s="860"/>
      <c r="H295" s="1039"/>
      <c r="I295" s="809" t="s">
        <v>4068</v>
      </c>
      <c r="J295" s="1039"/>
      <c r="K295" s="1039"/>
      <c r="L295" s="1039"/>
      <c r="M295" s="1039" t="s">
        <v>6580</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7107</v>
      </c>
      <c r="B296" s="1027" t="s">
        <v>7108</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7109</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7110</v>
      </c>
      <c r="B298" s="1027" t="s">
        <v>7111</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7112</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7113</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7114</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7114</v>
      </c>
      <c r="C302" s="889" t="s">
        <v>7115</v>
      </c>
      <c r="D302" s="896"/>
      <c r="E302" s="896"/>
      <c r="F302" s="824"/>
      <c r="G302" s="810"/>
      <c r="H302" s="896"/>
      <c r="I302" s="809" t="s">
        <v>7115</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7116</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7117</v>
      </c>
      <c r="B304" s="1035" t="s">
        <v>6524</v>
      </c>
      <c r="C304" s="889" t="s">
        <v>548</v>
      </c>
      <c r="D304" s="900" t="s">
        <v>3493</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7118</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7119</v>
      </c>
      <c r="C306" s="889" t="s">
        <v>3044</v>
      </c>
      <c r="D306" s="809" t="s">
        <v>414</v>
      </c>
      <c r="E306" s="809" t="s">
        <v>5350</v>
      </c>
      <c r="F306" s="824"/>
      <c r="G306" s="839" t="s">
        <v>2998</v>
      </c>
      <c r="H306" s="824" t="s">
        <v>2143</v>
      </c>
      <c r="I306" s="824"/>
      <c r="J306" s="824"/>
      <c r="K306" s="824"/>
      <c r="L306" s="824"/>
      <c r="M306" s="824"/>
      <c r="N306" s="824"/>
      <c r="O306" s="824"/>
      <c r="P306" s="891"/>
      <c r="Q306" s="824"/>
      <c r="R306" s="809" t="s">
        <v>5350</v>
      </c>
      <c r="S306" s="824"/>
      <c r="T306" s="809" t="s">
        <v>3044</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7120</v>
      </c>
      <c r="B307" s="1035" t="s">
        <v>6634</v>
      </c>
      <c r="C307" s="889" t="s">
        <v>7121</v>
      </c>
      <c r="D307" s="824"/>
      <c r="E307" s="809" t="s">
        <v>7121</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6636</v>
      </c>
      <c r="C308" s="889" t="s">
        <v>6343</v>
      </c>
      <c r="D308" s="824" t="s">
        <v>5156</v>
      </c>
      <c r="E308" s="809" t="s">
        <v>4582</v>
      </c>
      <c r="F308" s="824"/>
      <c r="G308" s="821" t="s">
        <v>7122</v>
      </c>
      <c r="H308" s="809" t="s">
        <v>6343</v>
      </c>
      <c r="I308" s="824"/>
      <c r="J308" s="824"/>
      <c r="K308" s="824"/>
      <c r="L308" s="824"/>
      <c r="M308" s="824"/>
      <c r="N308" s="824"/>
      <c r="O308" s="824"/>
      <c r="P308" s="891"/>
      <c r="Q308" s="824"/>
      <c r="R308" s="809" t="s">
        <v>6782</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6782</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7123</v>
      </c>
      <c r="B309" s="1035" t="s">
        <v>6521</v>
      </c>
      <c r="C309" s="889" t="s">
        <v>2508</v>
      </c>
      <c r="D309" s="837"/>
      <c r="E309" s="1042" t="s">
        <v>1864</v>
      </c>
      <c r="F309" s="824"/>
      <c r="G309" s="871" t="s">
        <v>3083</v>
      </c>
      <c r="H309" s="1042" t="s">
        <v>2508</v>
      </c>
      <c r="I309" s="837"/>
      <c r="J309" s="1042" t="s">
        <v>1864</v>
      </c>
      <c r="K309" s="837"/>
      <c r="L309" s="1042" t="s">
        <v>7124</v>
      </c>
      <c r="M309" s="1042" t="s">
        <v>4947</v>
      </c>
      <c r="N309" s="837"/>
      <c r="O309" s="837"/>
      <c r="P309" s="836"/>
      <c r="Q309" s="837"/>
      <c r="R309" s="837"/>
      <c r="S309" s="837"/>
      <c r="T309" s="837"/>
      <c r="U309" s="837"/>
      <c r="V309" s="1042" t="s">
        <v>2936</v>
      </c>
      <c r="W309" s="837"/>
      <c r="X309" s="1042" t="s">
        <v>1503</v>
      </c>
      <c r="Y309" s="837"/>
      <c r="Z309" s="837"/>
      <c r="AA309" s="837"/>
      <c r="AB309" s="837"/>
      <c r="AC309" s="837"/>
      <c r="AD309" s="837"/>
      <c r="AE309" s="837"/>
      <c r="AF309" s="837"/>
      <c r="AG309" s="837"/>
      <c r="AH309" s="837"/>
      <c r="AI309" s="837"/>
      <c r="AJ309" s="837"/>
      <c r="AK309" s="837"/>
      <c r="AL309" s="837"/>
      <c r="AM309" s="837"/>
      <c r="AN309" s="837"/>
      <c r="AO309" s="837"/>
      <c r="AP309" s="836"/>
      <c r="AQ309" s="837"/>
      <c r="AR309" s="837"/>
      <c r="AS309" s="837"/>
      <c r="AT309" s="837"/>
      <c r="AU309" s="837"/>
      <c r="AV309" s="837"/>
      <c r="AW309" s="1028"/>
      <c r="AX309" s="837"/>
      <c r="AY309" s="837"/>
      <c r="AZ309" s="837"/>
      <c r="BA309" s="837"/>
      <c r="BB309" s="837"/>
      <c r="BC309" s="837"/>
      <c r="BD309" s="1028"/>
      <c r="BE309" s="837"/>
      <c r="BF309" s="836"/>
      <c r="BG309" s="836"/>
      <c r="BH309" s="1028"/>
      <c r="BI309" s="1028"/>
      <c r="BJ309" s="1028"/>
    </row>
    <row r="310" ht="15.75" customHeight="1">
      <c r="A310" s="1026" t="s">
        <v>7125</v>
      </c>
      <c r="B310" s="1035" t="s">
        <v>7126</v>
      </c>
      <c r="C310" s="889" t="s">
        <v>7127</v>
      </c>
      <c r="D310" s="824"/>
      <c r="E310" s="809" t="s">
        <v>7127</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7128</v>
      </c>
      <c r="C311" s="889" t="s">
        <v>7129</v>
      </c>
      <c r="D311" s="824"/>
      <c r="E311" s="809" t="s">
        <v>7130</v>
      </c>
      <c r="F311" s="824"/>
      <c r="G311" s="871" t="s">
        <v>7131</v>
      </c>
      <c r="H311" s="824" t="s">
        <v>1491</v>
      </c>
      <c r="I311" s="824"/>
      <c r="J311" s="824"/>
      <c r="K311" s="824"/>
      <c r="L311" s="824"/>
      <c r="M311" s="824"/>
      <c r="N311" s="824"/>
      <c r="O311" s="824"/>
      <c r="P311" s="891"/>
      <c r="Q311" s="824"/>
      <c r="R311" s="824"/>
      <c r="S311" s="824"/>
      <c r="T311" s="824"/>
      <c r="U311" s="824"/>
      <c r="V311" s="824"/>
      <c r="W311" s="824"/>
      <c r="X311" s="809" t="s">
        <v>7129</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7132</v>
      </c>
      <c r="B312" s="1035" t="s">
        <v>7133</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7134</v>
      </c>
      <c r="C313" s="889" t="s">
        <v>3676</v>
      </c>
      <c r="D313" s="824"/>
      <c r="E313" s="809" t="s">
        <v>3676</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7135</v>
      </c>
      <c r="C314" s="889" t="s">
        <v>7136</v>
      </c>
      <c r="D314" s="824"/>
      <c r="E314" s="809" t="s">
        <v>7136</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7137</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7138</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7139</v>
      </c>
      <c r="C317" s="889" t="s">
        <v>7140</v>
      </c>
      <c r="D317" s="824"/>
      <c r="E317" s="809" t="s">
        <v>4046</v>
      </c>
      <c r="F317" s="824"/>
      <c r="G317" s="871" t="s">
        <v>1153</v>
      </c>
      <c r="H317" s="809" t="s">
        <v>7140</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7141</v>
      </c>
      <c r="C318" s="889" t="s">
        <v>7142</v>
      </c>
      <c r="D318" s="896" t="s">
        <v>7143</v>
      </c>
      <c r="E318" s="896"/>
      <c r="F318" s="824"/>
      <c r="G318" s="1044" t="str">
        <f>HYPERLINK("https://youtu.be/wR4-nYMM6Xk","10.74")</f>
        <v>10.74</v>
      </c>
      <c r="H318" s="809" t="s">
        <v>7144</v>
      </c>
      <c r="I318" s="896"/>
      <c r="J318" s="896"/>
      <c r="K318" s="896"/>
      <c r="L318" s="896"/>
      <c r="M318" s="896"/>
      <c r="N318" s="896"/>
      <c r="O318" s="896"/>
      <c r="P318" s="898"/>
      <c r="Q318" s="896"/>
      <c r="R318" s="809" t="s">
        <v>7145</v>
      </c>
      <c r="S318" s="896"/>
      <c r="T318" s="809" t="s">
        <v>7146</v>
      </c>
      <c r="U318" s="896"/>
      <c r="V318" s="896"/>
      <c r="W318" s="896"/>
      <c r="X318" s="809" t="s">
        <v>7142</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7147</v>
      </c>
      <c r="B319" s="1035" t="s">
        <v>6521</v>
      </c>
      <c r="C319" s="889" t="s">
        <v>545</v>
      </c>
      <c r="D319" s="900" t="s">
        <v>5550</v>
      </c>
      <c r="E319" s="896"/>
      <c r="F319" s="824"/>
      <c r="G319" s="871" t="s">
        <v>7148</v>
      </c>
      <c r="H319" s="809" t="s">
        <v>545</v>
      </c>
      <c r="I319" s="896"/>
      <c r="J319" s="809" t="s">
        <v>4084</v>
      </c>
      <c r="K319" s="896"/>
      <c r="L319" s="896"/>
      <c r="M319" s="896"/>
      <c r="N319" s="896"/>
      <c r="O319" s="896"/>
      <c r="P319" s="898"/>
      <c r="Q319" s="896"/>
      <c r="R319" s="896" t="s">
        <v>7149</v>
      </c>
      <c r="S319" s="896"/>
      <c r="T319" s="896"/>
      <c r="U319" s="896"/>
      <c r="V319" s="896" t="s">
        <v>6426</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7150</v>
      </c>
      <c r="B320" s="1035" t="s">
        <v>7151</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7152</v>
      </c>
      <c r="C321" s="806" t="s">
        <v>7153</v>
      </c>
      <c r="D321" s="824" t="s">
        <v>1058</v>
      </c>
      <c r="E321" s="809" t="s">
        <v>7154</v>
      </c>
      <c r="F321" s="824"/>
      <c r="G321" s="864" t="s">
        <v>7155</v>
      </c>
      <c r="H321" s="824"/>
      <c r="I321" s="824"/>
      <c r="J321" s="809" t="s">
        <v>7156</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7157</v>
      </c>
      <c r="C322" s="806" t="s">
        <v>7158</v>
      </c>
      <c r="D322" s="824"/>
      <c r="E322" s="824"/>
      <c r="F322" s="824"/>
      <c r="G322" s="1045"/>
      <c r="H322" s="824" t="s">
        <v>7159</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7158</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7160</v>
      </c>
      <c r="B323" s="1027" t="s">
        <v>7161</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7162</v>
      </c>
      <c r="C324" s="889" t="s">
        <v>4716</v>
      </c>
      <c r="D324" s="824"/>
      <c r="E324" s="809" t="s">
        <v>6159</v>
      </c>
      <c r="F324" s="824"/>
      <c r="G324" s="839"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7163</v>
      </c>
      <c r="B325" s="1035" t="s">
        <v>6521</v>
      </c>
      <c r="C325" s="889" t="s">
        <v>7164</v>
      </c>
      <c r="D325" s="932"/>
      <c r="E325" s="932"/>
      <c r="F325" s="824"/>
      <c r="G325" s="860"/>
      <c r="H325" s="809" t="s">
        <v>7164</v>
      </c>
      <c r="I325" s="932"/>
      <c r="J325" s="932"/>
      <c r="K325" s="932"/>
      <c r="L325" s="932"/>
      <c r="M325" s="809" t="s">
        <v>7165</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7166</v>
      </c>
      <c r="B326" s="1035" t="s">
        <v>7167</v>
      </c>
      <c r="C326" s="889" t="s">
        <v>3362</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3362</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7168</v>
      </c>
      <c r="C327" s="889" t="s">
        <v>785</v>
      </c>
      <c r="D327" s="891"/>
      <c r="E327" s="891"/>
      <c r="F327" s="824"/>
      <c r="G327" s="864" t="s">
        <v>7169</v>
      </c>
      <c r="H327" s="809" t="s">
        <v>785</v>
      </c>
      <c r="I327" s="891"/>
      <c r="J327" s="891"/>
      <c r="K327" s="891"/>
      <c r="L327" s="891"/>
      <c r="M327" s="891"/>
      <c r="N327" s="891"/>
      <c r="O327" s="809" t="s">
        <v>470</v>
      </c>
      <c r="P327" s="891"/>
      <c r="Q327" s="891"/>
      <c r="R327" s="891"/>
      <c r="S327" s="891"/>
      <c r="T327" s="891"/>
      <c r="U327" s="891"/>
      <c r="V327" s="891"/>
      <c r="W327" s="891" t="s">
        <v>1023</v>
      </c>
      <c r="X327" s="1047" t="s">
        <v>7170</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7171</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X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AW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AW232"/>
    <hyperlink r:id="rId1043" ref="C233"/>
    <hyperlink r:id="rId1044" ref="F233"/>
    <hyperlink r:id="rId1045" ref="G233"/>
    <hyperlink r:id="rId1046" ref="K233"/>
    <hyperlink r:id="rId1047" ref="R233"/>
    <hyperlink r:id="rId1048" ref="AE233"/>
    <hyperlink r:id="rId1049" ref="AF233"/>
    <hyperlink r:id="rId1050" ref="AK233"/>
    <hyperlink r:id="rId1051" ref="C234"/>
    <hyperlink r:id="rId1052" ref="D234"/>
    <hyperlink r:id="rId1053" ref="H234"/>
    <hyperlink r:id="rId1054" ref="J234"/>
    <hyperlink r:id="rId1055" ref="L234"/>
    <hyperlink r:id="rId1056" ref="M234"/>
    <hyperlink r:id="rId1057" ref="O234"/>
    <hyperlink r:id="rId1058" ref="R234"/>
    <hyperlink r:id="rId1059" ref="AH234"/>
    <hyperlink r:id="rId1060" ref="C235"/>
    <hyperlink r:id="rId1061" ref="E235"/>
    <hyperlink r:id="rId1062" ref="W235"/>
    <hyperlink r:id="rId1063" ref="C236"/>
    <hyperlink r:id="rId1064" ref="E236"/>
    <hyperlink r:id="rId1065" ref="F236"/>
    <hyperlink r:id="rId1066" ref="H236"/>
    <hyperlink r:id="rId1067" ref="J236"/>
    <hyperlink r:id="rId1068" ref="K236"/>
    <hyperlink r:id="rId1069" ref="R236"/>
    <hyperlink r:id="rId1070" ref="S236"/>
    <hyperlink r:id="rId1071" ref="V236"/>
    <hyperlink r:id="rId1072" ref="AF236"/>
    <hyperlink r:id="rId1073" ref="G237"/>
    <hyperlink r:id="rId1074" ref="C238"/>
    <hyperlink r:id="rId1075" ref="D238"/>
    <hyperlink r:id="rId1076" ref="J238"/>
    <hyperlink r:id="rId1077" ref="C240"/>
    <hyperlink r:id="rId1078" ref="D240"/>
    <hyperlink r:id="rId1079" ref="E240"/>
    <hyperlink r:id="rId1080" ref="G240"/>
    <hyperlink r:id="rId1081" ref="K240"/>
    <hyperlink r:id="rId1082" ref="O240"/>
    <hyperlink r:id="rId1083" ref="R240"/>
    <hyperlink r:id="rId1084" ref="AL240"/>
    <hyperlink r:id="rId1085" ref="C241"/>
    <hyperlink r:id="rId1086" ref="E241"/>
    <hyperlink r:id="rId1087" ref="G241"/>
    <hyperlink r:id="rId1088" ref="H241"/>
    <hyperlink r:id="rId1089" ref="R241"/>
    <hyperlink r:id="rId1090" ref="T241"/>
    <hyperlink r:id="rId1091" ref="C242"/>
    <hyperlink r:id="rId1092" ref="E242"/>
    <hyperlink r:id="rId1093" ref="H242"/>
    <hyperlink r:id="rId1094" ref="T242"/>
    <hyperlink r:id="rId1095" ref="C243"/>
    <hyperlink r:id="rId1096" ref="D243"/>
    <hyperlink r:id="rId1097" ref="E243"/>
    <hyperlink r:id="rId1098" ref="F243"/>
    <hyperlink r:id="rId1099" ref="G243"/>
    <hyperlink r:id="rId1100" ref="H243"/>
    <hyperlink r:id="rId1101" ref="I243"/>
    <hyperlink r:id="rId1102" ref="K243"/>
    <hyperlink r:id="rId1103" ref="L243"/>
    <hyperlink r:id="rId1104" ref="O243"/>
    <hyperlink r:id="rId1105" ref="C244"/>
    <hyperlink r:id="rId1106" ref="G244"/>
    <hyperlink r:id="rId1107" ref="H244"/>
    <hyperlink r:id="rId1108" ref="C245"/>
    <hyperlink r:id="rId1109" ref="D245"/>
    <hyperlink r:id="rId1110" ref="F245"/>
    <hyperlink r:id="rId1111" ref="L245"/>
    <hyperlink r:id="rId1112" ref="M245"/>
    <hyperlink r:id="rId1113" ref="C246"/>
    <hyperlink r:id="rId1114" ref="E246"/>
    <hyperlink r:id="rId1115" ref="C247"/>
    <hyperlink r:id="rId1116" ref="D247"/>
    <hyperlink r:id="rId1117" ref="E247"/>
    <hyperlink r:id="rId1118" ref="F247"/>
    <hyperlink r:id="rId1119" ref="H247"/>
    <hyperlink r:id="rId1120" ref="J247"/>
    <hyperlink r:id="rId1121" ref="M247"/>
    <hyperlink r:id="rId1122" ref="O247"/>
    <hyperlink r:id="rId1123" ref="C248"/>
    <hyperlink r:id="rId1124" ref="D248"/>
    <hyperlink r:id="rId1125" ref="F248"/>
    <hyperlink r:id="rId1126" ref="L248"/>
    <hyperlink r:id="rId1127" ref="T248"/>
    <hyperlink r:id="rId1128" ref="C250"/>
    <hyperlink r:id="rId1129" ref="J250"/>
    <hyperlink r:id="rId1130" ref="C251"/>
    <hyperlink r:id="rId1131" ref="G251"/>
    <hyperlink r:id="rId1132" ref="R251"/>
    <hyperlink r:id="rId1133" ref="T251"/>
    <hyperlink r:id="rId1134" ref="C252"/>
    <hyperlink r:id="rId1135" ref="J252"/>
    <hyperlink r:id="rId1136" ref="C253"/>
    <hyperlink r:id="rId1137" ref="F253"/>
    <hyperlink r:id="rId1138" ref="I253"/>
    <hyperlink r:id="rId1139" ref="C254"/>
    <hyperlink r:id="rId1140" ref="E254"/>
    <hyperlink r:id="rId1141" ref="G254"/>
    <hyperlink r:id="rId1142" ref="H254"/>
    <hyperlink r:id="rId1143" ref="J254"/>
    <hyperlink r:id="rId1144" ref="O254"/>
    <hyperlink r:id="rId1145" ref="X254"/>
    <hyperlink r:id="rId1146" ref="C255"/>
    <hyperlink r:id="rId1147" ref="E255"/>
    <hyperlink r:id="rId1148" ref="G255"/>
    <hyperlink r:id="rId1149" ref="Q255"/>
    <hyperlink r:id="rId1150" ref="C256"/>
    <hyperlink r:id="rId1151" ref="E256"/>
    <hyperlink r:id="rId1152" ref="G256"/>
    <hyperlink r:id="rId1153" ref="O256"/>
    <hyperlink r:id="rId1154" ref="C257"/>
    <hyperlink r:id="rId1155" ref="D257"/>
    <hyperlink r:id="rId1156" ref="E257"/>
    <hyperlink r:id="rId1157" ref="F257"/>
    <hyperlink r:id="rId1158" ref="G257"/>
    <hyperlink r:id="rId1159" ref="O257"/>
    <hyperlink r:id="rId1160" ref="Y257"/>
    <hyperlink r:id="rId1161" ref="G258"/>
    <hyperlink r:id="rId1162" ref="C259"/>
    <hyperlink r:id="rId1163" ref="F259"/>
    <hyperlink r:id="rId1164" ref="K259"/>
    <hyperlink r:id="rId1165" ref="M259"/>
    <hyperlink r:id="rId1166" ref="R259"/>
    <hyperlink r:id="rId1167" ref="C260"/>
    <hyperlink r:id="rId1168" ref="K260"/>
    <hyperlink r:id="rId1169" ref="T260"/>
    <hyperlink r:id="rId1170" ref="C261"/>
    <hyperlink r:id="rId1171" ref="K261"/>
    <hyperlink r:id="rId1172" ref="C262"/>
    <hyperlink r:id="rId1173" ref="D262"/>
    <hyperlink r:id="rId1174" ref="E262"/>
    <hyperlink r:id="rId1175" ref="F262"/>
    <hyperlink r:id="rId1176" ref="G262"/>
    <hyperlink r:id="rId1177" ref="H262"/>
    <hyperlink r:id="rId1178" ref="J262"/>
    <hyperlink r:id="rId1179" ref="K262"/>
    <hyperlink r:id="rId1180" ref="M262"/>
    <hyperlink r:id="rId1181" ref="O262"/>
    <hyperlink r:id="rId1182" ref="C263"/>
    <hyperlink r:id="rId1183" ref="E263"/>
    <hyperlink r:id="rId1184" ref="F263"/>
    <hyperlink r:id="rId1185" ref="G263"/>
    <hyperlink r:id="rId1186" ref="J263"/>
    <hyperlink r:id="rId1187" ref="K263"/>
    <hyperlink r:id="rId1188" ref="AO263"/>
    <hyperlink r:id="rId1189" ref="C264"/>
    <hyperlink r:id="rId1190" ref="E264"/>
    <hyperlink r:id="rId1191" ref="F264"/>
    <hyperlink r:id="rId1192" ref="G264"/>
    <hyperlink r:id="rId1193" ref="J264"/>
    <hyperlink r:id="rId1194" ref="K264"/>
    <hyperlink r:id="rId1195" ref="O264"/>
    <hyperlink r:id="rId1196" ref="AO264"/>
    <hyperlink r:id="rId1197" ref="C265"/>
    <hyperlink r:id="rId1198" ref="D265"/>
    <hyperlink r:id="rId1199" ref="E265"/>
    <hyperlink r:id="rId1200" ref="F265"/>
    <hyperlink r:id="rId1201" ref="G265"/>
    <hyperlink r:id="rId1202" ref="J265"/>
    <hyperlink r:id="rId1203" ref="K265"/>
    <hyperlink r:id="rId1204" ref="O265"/>
    <hyperlink r:id="rId1205" ref="V265"/>
    <hyperlink r:id="rId1206" ref="AA265"/>
    <hyperlink r:id="rId1207" ref="C266"/>
    <hyperlink r:id="rId1208" ref="D266"/>
    <hyperlink r:id="rId1209" ref="E266"/>
    <hyperlink r:id="rId1210" ref="F266"/>
    <hyperlink r:id="rId1211" ref="G266"/>
    <hyperlink r:id="rId1212" ref="H266"/>
    <hyperlink r:id="rId1213" ref="O266"/>
    <hyperlink r:id="rId1214" ref="C267"/>
    <hyperlink r:id="rId1215" ref="D267"/>
    <hyperlink r:id="rId1216" ref="E267"/>
    <hyperlink r:id="rId1217" ref="G267"/>
    <hyperlink r:id="rId1218" ref="H267"/>
    <hyperlink r:id="rId1219" ref="L267"/>
    <hyperlink r:id="rId1220" ref="M267"/>
    <hyperlink r:id="rId1221" ref="O267"/>
    <hyperlink r:id="rId1222" ref="C268"/>
    <hyperlink r:id="rId1223" ref="E268"/>
    <hyperlink r:id="rId1224" ref="F268"/>
    <hyperlink r:id="rId1225" ref="G268"/>
    <hyperlink r:id="rId1226" ref="J268"/>
    <hyperlink r:id="rId1227" ref="O268"/>
    <hyperlink r:id="rId1228" ref="R268"/>
    <hyperlink r:id="rId1229" ref="T268"/>
    <hyperlink r:id="rId1230" ref="V268"/>
    <hyperlink r:id="rId1231" ref="X268"/>
    <hyperlink r:id="rId1232" ref="AE268"/>
    <hyperlink r:id="rId1233" ref="C270"/>
    <hyperlink r:id="rId1234" ref="D270"/>
    <hyperlink r:id="rId1235" ref="E270"/>
    <hyperlink r:id="rId1236" ref="F270"/>
    <hyperlink r:id="rId1237" ref="G270"/>
    <hyperlink r:id="rId1238" ref="H270"/>
    <hyperlink r:id="rId1239" ref="I270"/>
    <hyperlink r:id="rId1240" ref="J270"/>
    <hyperlink r:id="rId1241" ref="O270"/>
    <hyperlink r:id="rId1242" ref="T270"/>
    <hyperlink r:id="rId1243" ref="V270"/>
    <hyperlink r:id="rId1244" ref="AF270"/>
    <hyperlink r:id="rId1245" ref="G271"/>
    <hyperlink r:id="rId1246" ref="C272"/>
    <hyperlink r:id="rId1247" ref="E272"/>
    <hyperlink r:id="rId1248" ref="F272"/>
    <hyperlink r:id="rId1249" ref="H272"/>
    <hyperlink r:id="rId1250" ref="Y272"/>
    <hyperlink r:id="rId1251" ref="C273"/>
    <hyperlink r:id="rId1252" ref="D273"/>
    <hyperlink r:id="rId1253" ref="E273"/>
    <hyperlink r:id="rId1254" ref="G273"/>
    <hyperlink r:id="rId1255" ref="R273"/>
    <hyperlink r:id="rId1256" ref="T273"/>
    <hyperlink r:id="rId1257" ref="AA273"/>
    <hyperlink r:id="rId1258" ref="C274"/>
    <hyperlink r:id="rId1259" ref="E274"/>
    <hyperlink r:id="rId1260" ref="F274"/>
    <hyperlink r:id="rId1261" ref="G274"/>
    <hyperlink r:id="rId1262" ref="J274"/>
    <hyperlink r:id="rId1263" ref="M274"/>
    <hyperlink r:id="rId1264" ref="O274"/>
    <hyperlink r:id="rId1265" ref="T274"/>
    <hyperlink r:id="rId1266" ref="V274"/>
    <hyperlink r:id="rId1267" ref="C275"/>
    <hyperlink r:id="rId1268" ref="D275"/>
    <hyperlink r:id="rId1269" ref="F275"/>
    <hyperlink r:id="rId1270" ref="C276"/>
    <hyperlink r:id="rId1271" ref="F276"/>
    <hyperlink r:id="rId1272" ref="I276"/>
    <hyperlink r:id="rId1273" ref="C277"/>
    <hyperlink r:id="rId1274" ref="F277"/>
    <hyperlink r:id="rId1275" ref="S277"/>
    <hyperlink r:id="rId1276" ref="C278"/>
    <hyperlink r:id="rId1277" ref="D278"/>
    <hyperlink r:id="rId1278" ref="F278"/>
    <hyperlink r:id="rId1279" ref="L278"/>
    <hyperlink r:id="rId1280" ref="C280"/>
    <hyperlink r:id="rId1281" ref="E280"/>
    <hyperlink r:id="rId1282" ref="F280"/>
    <hyperlink r:id="rId1283" ref="C281"/>
    <hyperlink r:id="rId1284" ref="D281"/>
    <hyperlink r:id="rId1285" ref="E281"/>
    <hyperlink r:id="rId1286" ref="F281"/>
    <hyperlink r:id="rId1287" ref="G281"/>
    <hyperlink r:id="rId1288" ref="H281"/>
    <hyperlink r:id="rId1289" ref="K281"/>
    <hyperlink r:id="rId1290" ref="O281"/>
    <hyperlink r:id="rId1291" ref="C282"/>
    <hyperlink r:id="rId1292" ref="E282"/>
    <hyperlink r:id="rId1293" ref="C283"/>
    <hyperlink r:id="rId1294" ref="E283"/>
    <hyperlink r:id="rId1295" ref="F283"/>
    <hyperlink r:id="rId1296" ref="G283"/>
    <hyperlink r:id="rId1297" ref="O283"/>
    <hyperlink r:id="rId1298" ref="C284"/>
    <hyperlink r:id="rId1299" ref="E284"/>
    <hyperlink r:id="rId1300" ref="K284"/>
    <hyperlink r:id="rId1301" ref="C285"/>
    <hyperlink r:id="rId1302" ref="D285"/>
    <hyperlink r:id="rId1303" ref="E285"/>
    <hyperlink r:id="rId1304" ref="F285"/>
    <hyperlink r:id="rId1305" ref="G285"/>
    <hyperlink r:id="rId1306" ref="H285"/>
    <hyperlink r:id="rId1307" ref="L285"/>
    <hyperlink r:id="rId1308" ref="O285"/>
    <hyperlink r:id="rId1309" ref="Z285"/>
    <hyperlink r:id="rId1310" ref="C286"/>
    <hyperlink r:id="rId1311" ref="E286"/>
    <hyperlink r:id="rId1312" ref="I286"/>
    <hyperlink r:id="rId1313" ref="C287"/>
    <hyperlink r:id="rId1314" ref="E287"/>
    <hyperlink r:id="rId1315" ref="I287"/>
    <hyperlink r:id="rId1316" ref="C290"/>
    <hyperlink r:id="rId1317" ref="I290"/>
    <hyperlink r:id="rId1318" ref="AF290"/>
    <hyperlink r:id="rId1319" ref="C292"/>
    <hyperlink r:id="rId1320" ref="E292"/>
    <hyperlink r:id="rId1321" ref="H292"/>
    <hyperlink r:id="rId1322" ref="AV292"/>
    <hyperlink r:id="rId1323" ref="C293"/>
    <hyperlink r:id="rId1324" ref="H293"/>
    <hyperlink r:id="rId1325" ref="C294"/>
    <hyperlink r:id="rId1326" ref="D294"/>
    <hyperlink r:id="rId1327" ref="I294"/>
    <hyperlink r:id="rId1328" ref="C295"/>
    <hyperlink r:id="rId1329" ref="I295"/>
    <hyperlink r:id="rId1330" ref="C302"/>
    <hyperlink r:id="rId1331" ref="I302"/>
    <hyperlink r:id="rId1332" ref="C304"/>
    <hyperlink r:id="rId1333" ref="C305"/>
    <hyperlink r:id="rId1334" ref="E305"/>
    <hyperlink r:id="rId1335" ref="C306"/>
    <hyperlink r:id="rId1336" ref="D306"/>
    <hyperlink r:id="rId1337" ref="E306"/>
    <hyperlink r:id="rId1338" ref="G306"/>
    <hyperlink r:id="rId1339" ref="R306"/>
    <hyperlink r:id="rId1340" ref="T306"/>
    <hyperlink r:id="rId1341" ref="X306"/>
    <hyperlink r:id="rId1342" ref="AO306"/>
    <hyperlink r:id="rId1343" ref="C307"/>
    <hyperlink r:id="rId1344" ref="E307"/>
    <hyperlink r:id="rId1345" ref="C308"/>
    <hyperlink r:id="rId1346" ref="E308"/>
    <hyperlink r:id="rId1347" ref="G308"/>
    <hyperlink r:id="rId1348" ref="H308"/>
    <hyperlink r:id="rId1349" ref="R308"/>
    <hyperlink r:id="rId1350" ref="V308"/>
    <hyperlink r:id="rId1351" ref="X308"/>
    <hyperlink r:id="rId1352" ref="AO308"/>
    <hyperlink r:id="rId1353" ref="C309"/>
    <hyperlink r:id="rId1354" ref="E309"/>
    <hyperlink r:id="rId1355" ref="G309"/>
    <hyperlink r:id="rId1356" ref="H309"/>
    <hyperlink r:id="rId1357" ref="J309"/>
    <hyperlink r:id="rId1358" ref="L309"/>
    <hyperlink r:id="rId1359" ref="M309"/>
    <hyperlink r:id="rId1360" ref="V309"/>
    <hyperlink r:id="rId1361" ref="X309"/>
    <hyperlink r:id="rId1362" ref="C310"/>
    <hyperlink r:id="rId1363" ref="E310"/>
    <hyperlink r:id="rId1364" ref="C311"/>
    <hyperlink r:id="rId1365" ref="E311"/>
    <hyperlink r:id="rId1366" ref="G311"/>
    <hyperlink r:id="rId1367" ref="X311"/>
    <hyperlink r:id="rId1368" ref="C312"/>
    <hyperlink r:id="rId1369" ref="E312"/>
    <hyperlink r:id="rId1370" ref="C313"/>
    <hyperlink r:id="rId1371" ref="E313"/>
    <hyperlink r:id="rId1372" ref="C314"/>
    <hyperlink r:id="rId1373" ref="E314"/>
    <hyperlink r:id="rId1374" ref="C315"/>
    <hyperlink r:id="rId1375" ref="E315"/>
    <hyperlink r:id="rId1376" ref="C316"/>
    <hyperlink r:id="rId1377" ref="E316"/>
    <hyperlink r:id="rId1378" ref="C317"/>
    <hyperlink r:id="rId1379" ref="E317"/>
    <hyperlink r:id="rId1380" ref="G317"/>
    <hyperlink r:id="rId1381" ref="H317"/>
    <hyperlink r:id="rId1382" ref="C318"/>
    <hyperlink r:id="rId1383" ref="H318"/>
    <hyperlink r:id="rId1384" ref="R318"/>
    <hyperlink r:id="rId1385" ref="T318"/>
    <hyperlink r:id="rId1386" ref="X318"/>
    <hyperlink r:id="rId1387" ref="C319"/>
    <hyperlink r:id="rId1388" ref="G319"/>
    <hyperlink r:id="rId1389" ref="H319"/>
    <hyperlink r:id="rId1390" ref="J319"/>
    <hyperlink r:id="rId1391" ref="AC319"/>
    <hyperlink r:id="rId1392" ref="AI319"/>
    <hyperlink r:id="rId1393" ref="C320"/>
    <hyperlink r:id="rId1394" ref="E320"/>
    <hyperlink r:id="rId1395" ref="C321"/>
    <hyperlink r:id="rId1396" ref="E321"/>
    <hyperlink r:id="rId1397" ref="G321"/>
    <hyperlink r:id="rId1398" ref="J321"/>
    <hyperlink r:id="rId1399" ref="C322"/>
    <hyperlink r:id="rId1400" ref="AP322"/>
    <hyperlink r:id="rId1401" ref="C323"/>
    <hyperlink r:id="rId1402" ref="G323"/>
    <hyperlink r:id="rId1403" ref="H323"/>
    <hyperlink r:id="rId1404" ref="J323"/>
    <hyperlink r:id="rId1405" ref="X323"/>
    <hyperlink r:id="rId1406" ref="C324"/>
    <hyperlink r:id="rId1407" ref="E324"/>
    <hyperlink r:id="rId1408" ref="G324"/>
    <hyperlink r:id="rId1409" ref="R324"/>
    <hyperlink r:id="rId1410" ref="X324"/>
    <hyperlink r:id="rId1411" ref="C325"/>
    <hyperlink r:id="rId1412" ref="H325"/>
    <hyperlink r:id="rId1413" ref="M325"/>
    <hyperlink r:id="rId1414" ref="C326"/>
    <hyperlink r:id="rId1415" ref="AC326"/>
    <hyperlink r:id="rId1416" ref="C327"/>
    <hyperlink r:id="rId1417" ref="G327"/>
    <hyperlink r:id="rId1418" ref="H327"/>
    <hyperlink r:id="rId1419" ref="O327"/>
    <hyperlink r:id="rId1420" ref="X327"/>
    <hyperlink r:id="rId1421" ref="C328"/>
    <hyperlink r:id="rId1422" ref="E328"/>
  </hyperlinks>
  <drawing r:id="rId1423"/>
  <legacyDrawing r:id="rId1424"/>
  <tableParts count="9">
    <tablePart r:id="rId1434"/>
    <tablePart r:id="rId1435"/>
    <tablePart r:id="rId1436"/>
    <tablePart r:id="rId1437"/>
    <tablePart r:id="rId1438"/>
    <tablePart r:id="rId1439"/>
    <tablePart r:id="rId1440"/>
    <tablePart r:id="rId1441"/>
    <tablePart r:id="rId14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7173</v>
      </c>
      <c r="H2" s="1054" t="s">
        <v>47</v>
      </c>
      <c r="I2" s="1054" t="s">
        <v>48</v>
      </c>
      <c r="J2" s="1054" t="s">
        <v>7174</v>
      </c>
      <c r="K2" s="1054" t="s">
        <v>54</v>
      </c>
      <c r="N2" s="1054" t="s">
        <v>7175</v>
      </c>
      <c r="P2" s="1055"/>
      <c r="Q2" s="1056" t="s">
        <v>47</v>
      </c>
      <c r="R2" s="1056" t="s">
        <v>7176</v>
      </c>
      <c r="S2" s="1056" t="s">
        <v>52</v>
      </c>
      <c r="T2" s="1056" t="s">
        <v>53</v>
      </c>
      <c r="U2" s="1056" t="s">
        <v>54</v>
      </c>
      <c r="V2" s="1056" t="s">
        <v>7177</v>
      </c>
      <c r="W2" s="1055"/>
      <c r="X2" s="1057" t="s">
        <v>47</v>
      </c>
      <c r="Y2" s="1057" t="s">
        <v>48</v>
      </c>
      <c r="Z2" s="1057" t="s">
        <v>49</v>
      </c>
      <c r="AA2" s="1057" t="s">
        <v>50</v>
      </c>
      <c r="AC2" s="1057" t="s">
        <v>52</v>
      </c>
      <c r="AD2" s="1057" t="s">
        <v>53</v>
      </c>
      <c r="AE2" s="1057" t="s">
        <v>54</v>
      </c>
      <c r="AF2" s="1057" t="s">
        <v>6751</v>
      </c>
      <c r="AG2" s="1057" t="s">
        <v>7175</v>
      </c>
      <c r="AI2" s="1055"/>
      <c r="AJ2" s="1058" t="s">
        <v>47</v>
      </c>
      <c r="AK2" s="1058" t="s">
        <v>48</v>
      </c>
      <c r="AM2" s="1058" t="s">
        <v>49</v>
      </c>
      <c r="AP2" s="1058" t="s">
        <v>51</v>
      </c>
      <c r="AR2" s="1058" t="s">
        <v>52</v>
      </c>
      <c r="AV2" s="1058" t="s">
        <v>52</v>
      </c>
      <c r="AW2" s="1058" t="s">
        <v>53</v>
      </c>
      <c r="AX2" s="1058" t="s">
        <v>7177</v>
      </c>
      <c r="AZ2" s="1059"/>
      <c r="BA2" s="1060" t="s">
        <v>47</v>
      </c>
      <c r="BB2" s="1060" t="s">
        <v>52</v>
      </c>
      <c r="BC2" s="1060" t="s">
        <v>53</v>
      </c>
      <c r="BD2" s="1060" t="s">
        <v>54</v>
      </c>
      <c r="BE2" s="1060" t="s">
        <v>7175</v>
      </c>
      <c r="BF2" s="1059"/>
      <c r="BG2" s="1061" t="s">
        <v>47</v>
      </c>
      <c r="BH2" s="1061" t="s">
        <v>48</v>
      </c>
      <c r="BI2" s="1061" t="s">
        <v>50</v>
      </c>
      <c r="BK2" s="1061" t="s">
        <v>52</v>
      </c>
      <c r="BL2" s="1061" t="s">
        <v>7175</v>
      </c>
      <c r="BN2" s="1055"/>
      <c r="BO2" s="1062" t="s">
        <v>49</v>
      </c>
      <c r="BP2" s="1062" t="s">
        <v>50</v>
      </c>
      <c r="BQ2" s="1062" t="s">
        <v>51</v>
      </c>
      <c r="BR2" s="1062" t="s">
        <v>52</v>
      </c>
      <c r="BT2" s="1062" t="s">
        <v>53</v>
      </c>
      <c r="BU2" s="1062" t="s">
        <v>54</v>
      </c>
      <c r="BW2" s="1062" t="s">
        <v>7177</v>
      </c>
      <c r="BX2" s="1059"/>
      <c r="BY2" s="1063" t="s">
        <v>7178</v>
      </c>
      <c r="BZ2" s="1064" t="s">
        <v>75</v>
      </c>
      <c r="CA2" s="1063" t="s">
        <v>80</v>
      </c>
      <c r="CD2" s="1063" t="s">
        <v>77</v>
      </c>
      <c r="CE2" s="1063" t="s">
        <v>7179</v>
      </c>
      <c r="CF2" s="1063" t="s">
        <v>7180</v>
      </c>
      <c r="CG2" s="1065" t="s">
        <v>68</v>
      </c>
      <c r="CH2" s="1063" t="s">
        <v>76</v>
      </c>
      <c r="CI2" s="1063" t="s">
        <v>66</v>
      </c>
      <c r="CJ2" s="1064" t="s">
        <v>78</v>
      </c>
    </row>
    <row r="3" ht="23.25" customHeight="1">
      <c r="J3" s="1066" t="s">
        <v>7181</v>
      </c>
      <c r="K3" s="1066" t="s">
        <v>7182</v>
      </c>
      <c r="L3" s="1067" t="s">
        <v>7183</v>
      </c>
      <c r="M3" s="1067" t="s">
        <v>7184</v>
      </c>
      <c r="N3" s="1067" t="s">
        <v>7185</v>
      </c>
      <c r="O3" s="1066" t="s">
        <v>7186</v>
      </c>
      <c r="P3" s="1055"/>
      <c r="W3" s="1055"/>
      <c r="AA3" s="1068" t="s">
        <v>7187</v>
      </c>
      <c r="AB3" s="1069" t="s">
        <v>91</v>
      </c>
      <c r="AF3" s="1069" t="s">
        <v>7188</v>
      </c>
      <c r="AG3" s="1068" t="s">
        <v>52</v>
      </c>
      <c r="AH3" s="1070" t="s">
        <v>49</v>
      </c>
      <c r="AI3" s="1055"/>
      <c r="AK3" s="1071" t="s">
        <v>7189</v>
      </c>
      <c r="AL3" s="1071" t="s">
        <v>7190</v>
      </c>
      <c r="AM3" s="1072" t="s">
        <v>7185</v>
      </c>
      <c r="AN3" s="1072" t="s">
        <v>7191</v>
      </c>
      <c r="AO3" s="1072" t="s">
        <v>7192</v>
      </c>
      <c r="AP3" s="1072" t="s">
        <v>7185</v>
      </c>
      <c r="AQ3" s="1073" t="s">
        <v>7193</v>
      </c>
      <c r="AR3" s="1072" t="s">
        <v>7194</v>
      </c>
      <c r="AS3" s="1072" t="s">
        <v>7195</v>
      </c>
      <c r="AT3" s="1072" t="s">
        <v>7196</v>
      </c>
      <c r="AU3" s="1072" t="s">
        <v>7197</v>
      </c>
      <c r="AX3" s="1072" t="s">
        <v>7198</v>
      </c>
      <c r="AY3" s="1072" t="s">
        <v>7199</v>
      </c>
      <c r="AZ3" s="1059"/>
      <c r="BF3" s="1074"/>
      <c r="BI3" s="1061" t="s">
        <v>7200</v>
      </c>
      <c r="BJ3" s="1061" t="s">
        <v>7201</v>
      </c>
      <c r="BL3" s="1075" t="s">
        <v>88</v>
      </c>
      <c r="BM3" s="1075" t="s">
        <v>7202</v>
      </c>
      <c r="BN3" s="1055"/>
      <c r="BR3" s="1076" t="s">
        <v>7192</v>
      </c>
      <c r="BS3" s="1076" t="s">
        <v>7203</v>
      </c>
      <c r="BU3" s="1076" t="s">
        <v>7185</v>
      </c>
      <c r="BV3" s="1076" t="s">
        <v>7192</v>
      </c>
      <c r="BX3" s="1059"/>
      <c r="CA3" s="1077" t="s">
        <v>7204</v>
      </c>
      <c r="CB3" s="1077" t="s">
        <v>7205</v>
      </c>
      <c r="CC3" s="1077" t="s">
        <v>7206</v>
      </c>
      <c r="CJ3" s="1077" t="s">
        <v>7207</v>
      </c>
      <c r="CK3" s="1077" t="s">
        <v>7208</v>
      </c>
    </row>
    <row r="4">
      <c r="A4" s="1078" t="s">
        <v>6501</v>
      </c>
      <c r="B4" s="1079" t="s">
        <v>7209</v>
      </c>
      <c r="C4" s="1080" t="s">
        <v>336</v>
      </c>
      <c r="D4" s="1081" t="s">
        <v>449</v>
      </c>
      <c r="E4" s="1082" t="s">
        <v>336</v>
      </c>
      <c r="F4" s="1083" t="s">
        <v>3382</v>
      </c>
      <c r="G4" s="1079" t="s">
        <v>5161</v>
      </c>
      <c r="H4" s="1084"/>
      <c r="I4" s="1085" t="s">
        <v>1387</v>
      </c>
      <c r="J4" s="1085"/>
      <c r="K4" s="1086" t="s">
        <v>7210</v>
      </c>
      <c r="L4" s="1085" t="s">
        <v>7211</v>
      </c>
      <c r="M4" s="1084"/>
      <c r="N4" s="1084"/>
      <c r="O4" s="1087" t="s">
        <v>7212</v>
      </c>
      <c r="P4" s="1088"/>
      <c r="Q4" s="1089" t="s">
        <v>7213</v>
      </c>
      <c r="R4" s="1090"/>
      <c r="S4" s="1090"/>
      <c r="T4" s="1091" t="s">
        <v>6713</v>
      </c>
      <c r="U4" s="1092"/>
      <c r="V4" s="1093" t="s">
        <v>7214</v>
      </c>
      <c r="W4" s="1088"/>
      <c r="X4" s="1094" t="s">
        <v>376</v>
      </c>
      <c r="Y4" s="1094" t="s">
        <v>7215</v>
      </c>
      <c r="Z4" s="1095" t="s">
        <v>4550</v>
      </c>
      <c r="AA4" s="1096" t="s">
        <v>2345</v>
      </c>
      <c r="AB4" s="1096" t="s">
        <v>824</v>
      </c>
      <c r="AC4" s="1097" t="s">
        <v>2908</v>
      </c>
      <c r="AD4" s="1097" t="s">
        <v>1267</v>
      </c>
      <c r="AE4" s="1096" t="s">
        <v>5693</v>
      </c>
      <c r="AF4" s="1098"/>
      <c r="AG4" s="1097" t="s">
        <v>7216</v>
      </c>
      <c r="AH4" s="1099"/>
      <c r="AI4" s="1088"/>
      <c r="AJ4" s="1100"/>
      <c r="AK4" s="1100" t="s">
        <v>4117</v>
      </c>
      <c r="AL4" s="1101"/>
      <c r="AM4" s="1100" t="s">
        <v>2163</v>
      </c>
      <c r="AN4" s="1100"/>
      <c r="AO4" s="1102" t="s">
        <v>2508</v>
      </c>
      <c r="AP4" s="1101"/>
      <c r="AQ4" s="1103" t="s">
        <v>7217</v>
      </c>
      <c r="AR4" s="1100" t="s">
        <v>6155</v>
      </c>
      <c r="AS4" s="1100" t="s">
        <v>7218</v>
      </c>
      <c r="AT4" s="1101"/>
      <c r="AU4" s="1101"/>
      <c r="AV4" s="1101"/>
      <c r="AW4" s="1104" t="s">
        <v>6103</v>
      </c>
      <c r="AX4" s="1105" t="s">
        <v>3832</v>
      </c>
      <c r="AY4" s="1100" t="s">
        <v>7219</v>
      </c>
      <c r="AZ4" s="1088"/>
      <c r="BA4" s="1106"/>
      <c r="BB4" s="1107" t="s">
        <v>7220</v>
      </c>
      <c r="BC4" s="1108" t="s">
        <v>7221</v>
      </c>
      <c r="BD4" s="1106"/>
      <c r="BE4" s="1109" t="s">
        <v>7222</v>
      </c>
      <c r="BF4" s="1088"/>
      <c r="BG4" s="1110" t="s">
        <v>7223</v>
      </c>
      <c r="BH4" s="1111" t="s">
        <v>3430</v>
      </c>
      <c r="BI4" s="1111"/>
      <c r="BJ4" s="1111"/>
      <c r="BK4" s="1112" t="s">
        <v>2060</v>
      </c>
      <c r="BL4" s="1113"/>
      <c r="BM4" s="1111" t="s">
        <v>7224</v>
      </c>
      <c r="BN4" s="1088"/>
      <c r="BO4" s="1114" t="s">
        <v>7225</v>
      </c>
      <c r="BP4" s="1115"/>
      <c r="BQ4" s="1115"/>
      <c r="BR4" s="1116" t="s">
        <v>7226</v>
      </c>
      <c r="BS4" s="1115"/>
      <c r="BT4" s="1117" t="s">
        <v>1693</v>
      </c>
      <c r="BU4" s="1115"/>
      <c r="BV4" s="1118" t="s">
        <v>3904</v>
      </c>
      <c r="BW4" s="1117" t="s">
        <v>6049</v>
      </c>
      <c r="BX4" s="1088"/>
      <c r="BY4" s="1119" t="s">
        <v>2778</v>
      </c>
      <c r="BZ4" s="1120" t="s">
        <v>4302</v>
      </c>
      <c r="CA4" s="1121"/>
      <c r="CB4" s="1121"/>
      <c r="CC4" s="1121"/>
      <c r="CD4" s="1120" t="s">
        <v>1366</v>
      </c>
      <c r="CE4" s="1122" t="s">
        <v>4773</v>
      </c>
      <c r="CF4" s="1120" t="s">
        <v>7227</v>
      </c>
      <c r="CG4" s="1121"/>
      <c r="CH4" s="1121"/>
      <c r="CI4" s="1121"/>
      <c r="CJ4" s="1121"/>
      <c r="CK4" s="1121"/>
    </row>
    <row r="5">
      <c r="A5" s="1078" t="s">
        <v>7228</v>
      </c>
      <c r="B5" s="1079" t="s">
        <v>7229</v>
      </c>
      <c r="C5" s="1080" t="s">
        <v>220</v>
      </c>
      <c r="D5" s="1081" t="s">
        <v>1251</v>
      </c>
      <c r="E5" s="1082" t="s">
        <v>562</v>
      </c>
      <c r="F5" s="1083" t="s">
        <v>5161</v>
      </c>
      <c r="G5" s="1079" t="s">
        <v>2188</v>
      </c>
      <c r="H5" s="1086" t="s">
        <v>3008</v>
      </c>
      <c r="I5" s="1084"/>
      <c r="J5" s="1123" t="s">
        <v>2040</v>
      </c>
      <c r="K5" s="1124" t="s">
        <v>7230</v>
      </c>
      <c r="L5" s="1123" t="s">
        <v>7231</v>
      </c>
      <c r="M5" s="1125" t="s">
        <v>3349</v>
      </c>
      <c r="N5" s="1084"/>
      <c r="O5" s="1126" t="s">
        <v>7232</v>
      </c>
      <c r="P5" s="1127"/>
      <c r="Q5" s="1128" t="s">
        <v>7233</v>
      </c>
      <c r="R5" s="1093" t="s">
        <v>1726</v>
      </c>
      <c r="S5" s="1089" t="s">
        <v>5119</v>
      </c>
      <c r="T5" s="1089" t="s">
        <v>5680</v>
      </c>
      <c r="U5" s="1089"/>
      <c r="V5" s="1097" t="s">
        <v>7234</v>
      </c>
      <c r="W5" s="1127"/>
      <c r="X5" s="1093" t="s">
        <v>2501</v>
      </c>
      <c r="Y5" s="1097" t="s">
        <v>7235</v>
      </c>
      <c r="Z5" s="1097" t="s">
        <v>7236</v>
      </c>
      <c r="AA5" s="1095" t="s">
        <v>5065</v>
      </c>
      <c r="AB5" s="1095" t="s">
        <v>7237</v>
      </c>
      <c r="AC5" s="1094" t="s">
        <v>2787</v>
      </c>
      <c r="AD5" s="1129" t="s">
        <v>4327</v>
      </c>
      <c r="AE5" s="1129" t="s">
        <v>2618</v>
      </c>
      <c r="AF5" s="1098"/>
      <c r="AG5" s="1095" t="s">
        <v>7238</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7239</v>
      </c>
      <c r="BB5" s="1108" t="s">
        <v>7240</v>
      </c>
      <c r="BC5" s="1133" t="s">
        <v>295</v>
      </c>
      <c r="BD5" s="1107" t="s">
        <v>4332</v>
      </c>
      <c r="BE5" s="1134" t="s">
        <v>7241</v>
      </c>
      <c r="BF5" s="1088"/>
      <c r="BG5" s="1110" t="s">
        <v>7242</v>
      </c>
      <c r="BH5" s="1110" t="s">
        <v>718</v>
      </c>
      <c r="BI5" s="1135" t="s">
        <v>7243</v>
      </c>
      <c r="BJ5" s="1135" t="s">
        <v>7244</v>
      </c>
      <c r="BK5" s="1136" t="s">
        <v>7245</v>
      </c>
      <c r="BL5" s="1113"/>
      <c r="BM5" s="1137" t="s">
        <v>7246</v>
      </c>
      <c r="BN5" s="1130"/>
      <c r="BO5" s="1117" t="s">
        <v>1370</v>
      </c>
      <c r="BP5" s="1138"/>
      <c r="BQ5" s="1115"/>
      <c r="BR5" s="1116" t="s">
        <v>2783</v>
      </c>
      <c r="BS5" s="1115"/>
      <c r="BT5" s="1117" t="s">
        <v>5454</v>
      </c>
      <c r="BU5" s="1118" t="s">
        <v>2892</v>
      </c>
      <c r="BV5" s="1116"/>
      <c r="BW5" s="1117" t="s">
        <v>7247</v>
      </c>
      <c r="BX5" s="1127"/>
      <c r="BY5" s="1139" t="s">
        <v>3392</v>
      </c>
      <c r="BZ5" s="1140" t="s">
        <v>7248</v>
      </c>
      <c r="CA5" s="1141" t="s">
        <v>7249</v>
      </c>
      <c r="CB5" s="1142"/>
      <c r="CC5" s="1143"/>
      <c r="CD5" s="1141" t="s">
        <v>7250</v>
      </c>
      <c r="CE5" s="1144" t="s">
        <v>7251</v>
      </c>
      <c r="CF5" s="1141" t="s">
        <v>1667</v>
      </c>
      <c r="CG5" s="1145" t="s">
        <v>5155</v>
      </c>
      <c r="CH5" s="1119" t="s">
        <v>7252</v>
      </c>
      <c r="CI5" s="1121"/>
      <c r="CJ5" s="1141" t="s">
        <v>2263</v>
      </c>
      <c r="CK5" s="1141" t="s">
        <v>3915</v>
      </c>
    </row>
    <row r="6">
      <c r="A6" s="1146" t="s">
        <v>446</v>
      </c>
      <c r="B6" s="1079" t="s">
        <v>7253</v>
      </c>
      <c r="C6" s="1080" t="s">
        <v>448</v>
      </c>
      <c r="D6" s="1081" t="s">
        <v>338</v>
      </c>
      <c r="E6" s="1082" t="s">
        <v>1251</v>
      </c>
      <c r="F6" s="1083" t="s">
        <v>4095</v>
      </c>
      <c r="G6" s="1079" t="s">
        <v>1571</v>
      </c>
      <c r="H6" s="1147" t="s">
        <v>1683</v>
      </c>
      <c r="I6" s="1123" t="s">
        <v>2990</v>
      </c>
      <c r="J6" s="1087" t="s">
        <v>7254</v>
      </c>
      <c r="K6" s="1148" t="s">
        <v>5861</v>
      </c>
      <c r="L6" s="1147" t="s">
        <v>5530</v>
      </c>
      <c r="M6" s="1084"/>
      <c r="N6" s="1084"/>
      <c r="O6" s="1086" t="s">
        <v>7255</v>
      </c>
      <c r="P6" s="1127"/>
      <c r="Q6" s="1149" t="s">
        <v>7256</v>
      </c>
      <c r="R6" s="1149" t="s">
        <v>2779</v>
      </c>
      <c r="S6" s="1090"/>
      <c r="T6" s="1128" t="s">
        <v>231</v>
      </c>
      <c r="U6" s="1150"/>
      <c r="V6" s="1091" t="s">
        <v>7257</v>
      </c>
      <c r="W6" s="1127"/>
      <c r="X6" s="1129" t="s">
        <v>3774</v>
      </c>
      <c r="Y6" s="1129" t="s">
        <v>7258</v>
      </c>
      <c r="Z6" s="1129" t="s">
        <v>2650</v>
      </c>
      <c r="AA6" s="1151" t="s">
        <v>7259</v>
      </c>
      <c r="AB6" s="1094" t="s">
        <v>1403</v>
      </c>
      <c r="AC6" s="1151" t="s">
        <v>1450</v>
      </c>
      <c r="AD6" s="1097" t="s">
        <v>1267</v>
      </c>
      <c r="AE6" s="1097" t="s">
        <v>6611</v>
      </c>
      <c r="AF6" s="1152"/>
      <c r="AG6" s="1153" t="s">
        <v>7260</v>
      </c>
      <c r="AH6" s="1099"/>
      <c r="AI6" s="1130"/>
      <c r="AJ6" s="1100"/>
      <c r="AK6" s="1100" t="s">
        <v>7261</v>
      </c>
      <c r="AL6" s="1101"/>
      <c r="AM6" s="1132" t="s">
        <v>3778</v>
      </c>
      <c r="AN6" s="1131" t="s">
        <v>3569</v>
      </c>
      <c r="AO6" s="1100" t="s">
        <v>7262</v>
      </c>
      <c r="AP6" s="1132" t="s">
        <v>2557</v>
      </c>
      <c r="AQ6" s="1154" t="s">
        <v>7263</v>
      </c>
      <c r="AR6" s="1100" t="s">
        <v>7264</v>
      </c>
      <c r="AS6" s="1101"/>
      <c r="AT6" s="1102" t="s">
        <v>4923</v>
      </c>
      <c r="AU6" s="1101"/>
      <c r="AV6" s="1101"/>
      <c r="AW6" s="1105" t="s">
        <v>5067</v>
      </c>
      <c r="AX6" s="1131" t="s">
        <v>1432</v>
      </c>
      <c r="AY6" s="1101"/>
      <c r="AZ6" s="1088"/>
      <c r="BA6" s="1155"/>
      <c r="BB6" s="1109" t="s">
        <v>7265</v>
      </c>
      <c r="BC6" s="1109" t="s">
        <v>6667</v>
      </c>
      <c r="BD6" s="1155"/>
      <c r="BE6" s="1156" t="s">
        <v>7266</v>
      </c>
      <c r="BF6" s="1088"/>
      <c r="BG6" s="1157" t="s">
        <v>3358</v>
      </c>
      <c r="BH6" s="1110" t="s">
        <v>1434</v>
      </c>
      <c r="BI6" s="1158" t="s">
        <v>5898</v>
      </c>
      <c r="BJ6" s="1159"/>
      <c r="BK6" s="1110" t="s">
        <v>7267</v>
      </c>
      <c r="BL6" s="1113"/>
      <c r="BM6" s="1111" t="s">
        <v>7268</v>
      </c>
      <c r="BN6" s="1127"/>
      <c r="BO6" s="1160" t="s">
        <v>4203</v>
      </c>
      <c r="BP6" s="1116"/>
      <c r="BQ6" s="1161" t="s">
        <v>1847</v>
      </c>
      <c r="BR6" s="1116" t="s">
        <v>7269</v>
      </c>
      <c r="BS6" s="1115"/>
      <c r="BT6" s="1161" t="s">
        <v>2140</v>
      </c>
      <c r="BU6" s="1115"/>
      <c r="BV6" s="1116" t="s">
        <v>7270</v>
      </c>
      <c r="BW6" s="1116" t="s">
        <v>2216</v>
      </c>
      <c r="BX6" s="1127"/>
      <c r="BY6" s="1145" t="s">
        <v>303</v>
      </c>
      <c r="BZ6" s="1120" t="s">
        <v>3564</v>
      </c>
      <c r="CA6" s="1142"/>
      <c r="CB6" s="1142"/>
      <c r="CC6" s="1142"/>
      <c r="CD6" s="1121"/>
      <c r="CE6" s="1121"/>
      <c r="CF6" s="1121"/>
      <c r="CG6" s="1121"/>
      <c r="CH6" s="1121"/>
      <c r="CI6" s="1121"/>
      <c r="CJ6" s="1142"/>
      <c r="CK6" s="1142"/>
    </row>
    <row r="7">
      <c r="A7" s="1162" t="s">
        <v>1626</v>
      </c>
      <c r="B7" s="1079" t="s">
        <v>7271</v>
      </c>
      <c r="C7" s="1080" t="s">
        <v>336</v>
      </c>
      <c r="D7" s="1081" t="s">
        <v>338</v>
      </c>
      <c r="E7" s="1082" t="s">
        <v>449</v>
      </c>
      <c r="F7" s="1083" t="s">
        <v>2863</v>
      </c>
      <c r="G7" s="1079" t="s">
        <v>5796</v>
      </c>
      <c r="H7" s="1147" t="s">
        <v>1424</v>
      </c>
      <c r="I7" s="1125" t="s">
        <v>7272</v>
      </c>
      <c r="J7" s="1084"/>
      <c r="K7" s="1085" t="s">
        <v>7273</v>
      </c>
      <c r="L7" s="1125" t="s">
        <v>7274</v>
      </c>
      <c r="M7" s="1084"/>
      <c r="N7" s="1086" t="s">
        <v>7275</v>
      </c>
      <c r="O7" s="1084"/>
      <c r="P7" s="1127"/>
      <c r="Q7" s="1089" t="s">
        <v>4257</v>
      </c>
      <c r="R7" s="1128" t="s">
        <v>3159</v>
      </c>
      <c r="S7" s="1150" t="s">
        <v>5844</v>
      </c>
      <c r="T7" s="1163" t="s">
        <v>5387</v>
      </c>
      <c r="U7" s="1163" t="s">
        <v>7276</v>
      </c>
      <c r="V7" s="1149" t="s">
        <v>7277</v>
      </c>
      <c r="W7" s="1127"/>
      <c r="X7" s="1151" t="s">
        <v>873</v>
      </c>
      <c r="Y7" s="1151" t="s">
        <v>7278</v>
      </c>
      <c r="Z7" s="1129" t="s">
        <v>6730</v>
      </c>
      <c r="AA7" s="1164" t="s">
        <v>4960</v>
      </c>
      <c r="AB7" s="1094" t="s">
        <v>4985</v>
      </c>
      <c r="AC7" s="1094" t="s">
        <v>5165</v>
      </c>
      <c r="AD7" s="1151" t="s">
        <v>4990</v>
      </c>
      <c r="AE7" s="1094" t="s">
        <v>6579</v>
      </c>
      <c r="AF7" s="1094"/>
      <c r="AG7" s="1165"/>
      <c r="AH7" s="1166" t="s">
        <v>7279</v>
      </c>
      <c r="AI7" s="1127"/>
      <c r="AJ7" s="1100"/>
      <c r="AK7" s="1100" t="s">
        <v>7280</v>
      </c>
      <c r="AL7" s="1100" t="s">
        <v>5573</v>
      </c>
      <c r="AM7" s="1100" t="s">
        <v>577</v>
      </c>
      <c r="AN7" s="1105" t="s">
        <v>7281</v>
      </c>
      <c r="AO7" s="1101"/>
      <c r="AP7" s="1105" t="s">
        <v>7282</v>
      </c>
      <c r="AQ7" s="1167" t="s">
        <v>5114</v>
      </c>
      <c r="AR7" s="1100" t="s">
        <v>7283</v>
      </c>
      <c r="AS7" s="1131" t="s">
        <v>7284</v>
      </c>
      <c r="AT7" s="1132"/>
      <c r="AU7" s="1100" t="s">
        <v>7285</v>
      </c>
      <c r="AV7" s="1101"/>
      <c r="AW7" s="1100" t="s">
        <v>486</v>
      </c>
      <c r="AX7" s="1105" t="s">
        <v>7286</v>
      </c>
      <c r="AY7" s="1131" t="s">
        <v>2017</v>
      </c>
      <c r="AZ7" s="1088"/>
      <c r="BA7" s="1134" t="s">
        <v>7287</v>
      </c>
      <c r="BB7" s="1108" t="s">
        <v>7288</v>
      </c>
      <c r="BC7" s="1168" t="s">
        <v>3580</v>
      </c>
      <c r="BD7" s="1155"/>
      <c r="BE7" s="1156" t="s">
        <v>7289</v>
      </c>
      <c r="BF7" s="1088"/>
      <c r="BG7" s="1157" t="s">
        <v>3358</v>
      </c>
      <c r="BH7" s="1110" t="s">
        <v>7290</v>
      </c>
      <c r="BI7" s="1111" t="s">
        <v>801</v>
      </c>
      <c r="BJ7" s="1169"/>
      <c r="BK7" s="1110" t="s">
        <v>7291</v>
      </c>
      <c r="BL7" s="1112" t="s">
        <v>7292</v>
      </c>
      <c r="BM7" s="1170" t="s">
        <v>7293</v>
      </c>
      <c r="BN7" s="1127"/>
      <c r="BO7" s="1116" t="s">
        <v>7294</v>
      </c>
      <c r="BP7" s="1138"/>
      <c r="BQ7" s="1116" t="s">
        <v>6941</v>
      </c>
      <c r="BR7" s="1171" t="s">
        <v>7295</v>
      </c>
      <c r="BS7" s="1118" t="s">
        <v>7296</v>
      </c>
      <c r="BT7" s="1116" t="s">
        <v>6747</v>
      </c>
      <c r="BU7" s="1171" t="s">
        <v>7287</v>
      </c>
      <c r="BV7" s="1117" t="s">
        <v>7297</v>
      </c>
      <c r="BW7" s="1161" t="s">
        <v>7298</v>
      </c>
      <c r="BX7" s="1127"/>
      <c r="BY7" s="1120" t="s">
        <v>7299</v>
      </c>
      <c r="BZ7" s="1120" t="s">
        <v>2704</v>
      </c>
      <c r="CA7" s="1142"/>
      <c r="CB7" s="1172" t="s">
        <v>2525</v>
      </c>
      <c r="CC7" s="1172"/>
      <c r="CD7" s="1120" t="s">
        <v>2881</v>
      </c>
      <c r="CE7" s="1173" t="s">
        <v>7300</v>
      </c>
      <c r="CF7" s="1173" t="s">
        <v>7301</v>
      </c>
      <c r="CG7" s="1139" t="s">
        <v>7302</v>
      </c>
      <c r="CH7" s="1141" t="s">
        <v>7303</v>
      </c>
      <c r="CI7" s="1141" t="s">
        <v>3654</v>
      </c>
      <c r="CJ7" s="1139" t="s">
        <v>5074</v>
      </c>
      <c r="CK7" s="1142"/>
    </row>
    <row r="8">
      <c r="A8" s="1174" t="s">
        <v>7304</v>
      </c>
      <c r="B8" s="1175" t="s">
        <v>7305</v>
      </c>
      <c r="C8" s="1080" t="s">
        <v>336</v>
      </c>
      <c r="D8" s="1081" t="s">
        <v>1251</v>
      </c>
      <c r="E8" s="1082" t="s">
        <v>1250</v>
      </c>
      <c r="F8" s="1083" t="s">
        <v>7306</v>
      </c>
      <c r="G8" s="1079" t="s">
        <v>2922</v>
      </c>
      <c r="H8" s="1176" t="s">
        <v>7010</v>
      </c>
      <c r="I8" s="1147" t="s">
        <v>7307</v>
      </c>
      <c r="J8" s="1176" t="s">
        <v>3731</v>
      </c>
      <c r="K8" s="1147" t="s">
        <v>7308</v>
      </c>
      <c r="L8" s="1177" t="s">
        <v>2040</v>
      </c>
      <c r="M8" s="1123" t="s">
        <v>7309</v>
      </c>
      <c r="N8" s="1147" t="s">
        <v>7310</v>
      </c>
      <c r="O8" s="1147" t="s">
        <v>7311</v>
      </c>
      <c r="P8" s="1127"/>
      <c r="Q8" s="1093" t="s">
        <v>7312</v>
      </c>
      <c r="R8" s="1093" t="s">
        <v>2178</v>
      </c>
      <c r="S8" s="1091" t="s">
        <v>752</v>
      </c>
      <c r="T8" s="1093" t="s">
        <v>5216</v>
      </c>
      <c r="U8" s="1149" t="s">
        <v>7313</v>
      </c>
      <c r="V8" s="1091" t="s">
        <v>7314</v>
      </c>
      <c r="W8" s="1127"/>
      <c r="X8" s="1096" t="s">
        <v>963</v>
      </c>
      <c r="Y8" s="1095" t="s">
        <v>7315</v>
      </c>
      <c r="Z8" s="1129" t="s">
        <v>7316</v>
      </c>
      <c r="AA8" s="1129" t="s">
        <v>7317</v>
      </c>
      <c r="AB8" s="1164" t="s">
        <v>4412</v>
      </c>
      <c r="AC8" s="1129" t="s">
        <v>5730</v>
      </c>
      <c r="AD8" s="1129" t="s">
        <v>2475</v>
      </c>
      <c r="AE8" s="1129" t="s">
        <v>7318</v>
      </c>
      <c r="AF8" s="1098"/>
      <c r="AG8" s="1153" t="s">
        <v>7319</v>
      </c>
      <c r="AH8" s="1178" t="s">
        <v>7320</v>
      </c>
      <c r="AI8" s="1127"/>
      <c r="AJ8" s="1179"/>
      <c r="AK8" s="1131" t="s">
        <v>862</v>
      </c>
      <c r="AL8" s="1154" t="s">
        <v>7321</v>
      </c>
      <c r="AM8" s="1105" t="s">
        <v>2278</v>
      </c>
      <c r="AN8" s="1100" t="s">
        <v>4730</v>
      </c>
      <c r="AO8" s="1100" t="s">
        <v>7322</v>
      </c>
      <c r="AP8" s="1105" t="s">
        <v>7323</v>
      </c>
      <c r="AQ8" s="1100" t="s">
        <v>7324</v>
      </c>
      <c r="AR8" s="1131" t="s">
        <v>7325</v>
      </c>
      <c r="AS8" s="1105" t="s">
        <v>7326</v>
      </c>
      <c r="AT8" s="1154" t="s">
        <v>7327</v>
      </c>
      <c r="AU8" s="1102" t="s">
        <v>7328</v>
      </c>
      <c r="AV8" s="1154" t="s">
        <v>7329</v>
      </c>
      <c r="AW8" s="1105" t="s">
        <v>2930</v>
      </c>
      <c r="AX8" s="1154" t="s">
        <v>2327</v>
      </c>
      <c r="AY8" s="1154" t="s">
        <v>7330</v>
      </c>
      <c r="AZ8" s="1088"/>
      <c r="BA8" s="1109" t="s">
        <v>7331</v>
      </c>
      <c r="BB8" s="1156" t="s">
        <v>7332</v>
      </c>
      <c r="BC8" s="1180" t="s">
        <v>3786</v>
      </c>
      <c r="BD8" s="1181"/>
      <c r="BE8" s="1108" t="s">
        <v>7333</v>
      </c>
      <c r="BF8" s="1088"/>
      <c r="BG8" s="1135" t="s">
        <v>7334</v>
      </c>
      <c r="BH8" s="1182" t="s">
        <v>3581</v>
      </c>
      <c r="BI8" s="1110" t="s">
        <v>630</v>
      </c>
      <c r="BJ8" s="1111" t="s">
        <v>7335</v>
      </c>
      <c r="BK8" s="1110" t="s">
        <v>7336</v>
      </c>
      <c r="BL8" s="1110" t="s">
        <v>7337</v>
      </c>
      <c r="BM8" s="1110" t="s">
        <v>7338</v>
      </c>
      <c r="BN8" s="1127"/>
      <c r="BO8" s="1117" t="s">
        <v>2557</v>
      </c>
      <c r="BP8" s="1118" t="s">
        <v>5747</v>
      </c>
      <c r="BQ8" s="1117" t="s">
        <v>6139</v>
      </c>
      <c r="BR8" s="1117" t="s">
        <v>4079</v>
      </c>
      <c r="BS8" s="1117" t="s">
        <v>848</v>
      </c>
      <c r="BT8" s="1117" t="s">
        <v>1338</v>
      </c>
      <c r="BU8" s="1161" t="s">
        <v>4079</v>
      </c>
      <c r="BV8" s="1160" t="s">
        <v>7339</v>
      </c>
      <c r="BW8" s="1117" t="s">
        <v>7340</v>
      </c>
      <c r="BX8" s="1127"/>
      <c r="BY8" s="1145" t="s">
        <v>7341</v>
      </c>
      <c r="BZ8" s="1139" t="s">
        <v>5247</v>
      </c>
      <c r="CA8" s="1173" t="s">
        <v>2433</v>
      </c>
      <c r="CB8" s="1139" t="s">
        <v>3518</v>
      </c>
      <c r="CC8" s="1139"/>
      <c r="CD8" s="1183"/>
      <c r="CE8" s="1145" t="s">
        <v>2787</v>
      </c>
      <c r="CF8" s="1145" t="s">
        <v>6966</v>
      </c>
      <c r="CG8" s="1145" t="s">
        <v>7342</v>
      </c>
      <c r="CH8" s="1145" t="s">
        <v>2293</v>
      </c>
      <c r="CI8" s="1173" t="s">
        <v>7343</v>
      </c>
      <c r="CJ8" s="1173" t="s">
        <v>3427</v>
      </c>
      <c r="CK8" s="1139"/>
    </row>
    <row r="9">
      <c r="A9" s="1146" t="s">
        <v>1481</v>
      </c>
      <c r="B9" s="1079" t="s">
        <v>7344</v>
      </c>
      <c r="C9" s="1080" t="s">
        <v>448</v>
      </c>
      <c r="D9" s="1081" t="s">
        <v>667</v>
      </c>
      <c r="E9" s="1082" t="s">
        <v>449</v>
      </c>
      <c r="F9" s="1083" t="s">
        <v>218</v>
      </c>
      <c r="G9" s="1079" t="s">
        <v>1804</v>
      </c>
      <c r="H9" s="1084"/>
      <c r="I9" s="1147" t="s">
        <v>7345</v>
      </c>
      <c r="J9" s="1148"/>
      <c r="K9" s="1123" t="s">
        <v>7346</v>
      </c>
      <c r="L9" s="1176" t="s">
        <v>3003</v>
      </c>
      <c r="M9" s="1084"/>
      <c r="N9" s="1084"/>
      <c r="O9" s="1125" t="s">
        <v>7347</v>
      </c>
      <c r="P9" s="1127"/>
      <c r="Q9" s="1093" t="s">
        <v>6806</v>
      </c>
      <c r="R9" s="1090"/>
      <c r="S9" s="1090"/>
      <c r="T9" s="1184" t="s">
        <v>5803</v>
      </c>
      <c r="U9" s="1089"/>
      <c r="V9" s="1163" t="s">
        <v>7348</v>
      </c>
      <c r="W9" s="1127"/>
      <c r="X9" s="1129" t="s">
        <v>609</v>
      </c>
      <c r="Y9" s="1185" t="s">
        <v>6725</v>
      </c>
      <c r="Z9" s="1151" t="s">
        <v>3224</v>
      </c>
      <c r="AA9" s="1151" t="s">
        <v>5564</v>
      </c>
      <c r="AB9" s="1129" t="s">
        <v>2437</v>
      </c>
      <c r="AC9" s="1151" t="s">
        <v>7349</v>
      </c>
      <c r="AD9" s="1186" t="s">
        <v>2539</v>
      </c>
      <c r="AE9" s="1129" t="s">
        <v>677</v>
      </c>
      <c r="AF9" s="1152"/>
      <c r="AG9" s="1096" t="s">
        <v>7350</v>
      </c>
      <c r="AH9" s="1187" t="s">
        <v>7351</v>
      </c>
      <c r="AI9" s="1130"/>
      <c r="AJ9" s="1101"/>
      <c r="AK9" s="1132" t="s">
        <v>7352</v>
      </c>
      <c r="AL9" s="1131" t="s">
        <v>5923</v>
      </c>
      <c r="AM9" s="1105" t="s">
        <v>679</v>
      </c>
      <c r="AN9" s="1188"/>
      <c r="AO9" s="1105" t="s">
        <v>5769</v>
      </c>
      <c r="AP9" s="1132" t="s">
        <v>7353</v>
      </c>
      <c r="AQ9" s="1189" t="s">
        <v>5816</v>
      </c>
      <c r="AR9" s="1101"/>
      <c r="AS9" s="1101"/>
      <c r="AT9" s="1132"/>
      <c r="AU9" s="1101"/>
      <c r="AV9" s="1132" t="s">
        <v>7354</v>
      </c>
      <c r="AW9" s="1132" t="s">
        <v>932</v>
      </c>
      <c r="AX9" s="1167" t="s">
        <v>7355</v>
      </c>
      <c r="AY9" s="1167" t="s">
        <v>7356</v>
      </c>
      <c r="AZ9" s="1088"/>
      <c r="BA9" s="1190"/>
      <c r="BB9" s="1191" t="s">
        <v>7357</v>
      </c>
      <c r="BC9" s="1108" t="s">
        <v>5411</v>
      </c>
      <c r="BD9" s="1155"/>
      <c r="BE9" s="1108" t="s">
        <v>7358</v>
      </c>
      <c r="BF9" s="1088"/>
      <c r="BG9" s="1110" t="s">
        <v>7359</v>
      </c>
      <c r="BH9" s="1192" t="s">
        <v>4802</v>
      </c>
      <c r="BI9" s="1113"/>
      <c r="BJ9" s="1169"/>
      <c r="BK9" s="1113"/>
      <c r="BL9" s="1113"/>
      <c r="BM9" s="1193" t="s">
        <v>7360</v>
      </c>
      <c r="BN9" s="1130"/>
      <c r="BO9" s="1117" t="s">
        <v>7361</v>
      </c>
      <c r="BP9" s="1138"/>
      <c r="BQ9" s="1115"/>
      <c r="BR9" s="1118" t="s">
        <v>7362</v>
      </c>
      <c r="BS9" s="1115"/>
      <c r="BT9" s="1138" t="s">
        <v>297</v>
      </c>
      <c r="BU9" s="1115"/>
      <c r="BV9" s="1138" t="s">
        <v>7363</v>
      </c>
      <c r="BW9" s="1117" t="s">
        <v>7364</v>
      </c>
      <c r="BX9" s="1130"/>
      <c r="BY9" s="1194"/>
      <c r="BZ9" s="1173" t="s">
        <v>749</v>
      </c>
      <c r="CA9" s="1142"/>
      <c r="CB9" s="1142"/>
      <c r="CC9" s="1142"/>
      <c r="CD9" s="1139" t="s">
        <v>4484</v>
      </c>
      <c r="CE9" s="1121"/>
      <c r="CF9" s="1139" t="s">
        <v>7365</v>
      </c>
      <c r="CG9" s="1172" t="s">
        <v>2693</v>
      </c>
      <c r="CH9" s="1121"/>
      <c r="CI9" s="1121"/>
      <c r="CJ9" s="1142"/>
      <c r="CK9" s="1142"/>
    </row>
    <row r="10">
      <c r="A10" s="1195" t="s">
        <v>955</v>
      </c>
      <c r="B10" s="1079" t="s">
        <v>7344</v>
      </c>
      <c r="C10" s="1080" t="s">
        <v>337</v>
      </c>
      <c r="D10" s="1081" t="s">
        <v>449</v>
      </c>
      <c r="E10" s="1082" t="s">
        <v>667</v>
      </c>
      <c r="F10" s="1083" t="s">
        <v>6163</v>
      </c>
      <c r="G10" s="1079" t="s">
        <v>3006</v>
      </c>
      <c r="H10" s="1084"/>
      <c r="I10" s="1176" t="s">
        <v>7366</v>
      </c>
      <c r="J10" s="1085" t="s">
        <v>7367</v>
      </c>
      <c r="K10" s="1085"/>
      <c r="L10" s="1086" t="s">
        <v>7368</v>
      </c>
      <c r="M10" s="1084"/>
      <c r="N10" s="1123" t="s">
        <v>7369</v>
      </c>
      <c r="O10" s="1084"/>
      <c r="P10" s="1127"/>
      <c r="Q10" s="1196" t="s">
        <v>7370</v>
      </c>
      <c r="R10" s="1196" t="s">
        <v>2204</v>
      </c>
      <c r="S10" s="1090"/>
      <c r="T10" s="1090"/>
      <c r="U10" s="1128" t="s">
        <v>7371</v>
      </c>
      <c r="V10" s="1091" t="s">
        <v>7372</v>
      </c>
      <c r="W10" s="1127"/>
      <c r="X10" s="1095" t="s">
        <v>7373</v>
      </c>
      <c r="Y10" s="1094"/>
      <c r="Z10" s="1094" t="s">
        <v>7374</v>
      </c>
      <c r="AA10" s="1197" t="s">
        <v>7375</v>
      </c>
      <c r="AB10" s="1094"/>
      <c r="AC10" s="1094" t="s">
        <v>7376</v>
      </c>
      <c r="AD10" s="1097" t="s">
        <v>1267</v>
      </c>
      <c r="AE10" s="1165"/>
      <c r="AF10" s="1165"/>
      <c r="AG10" s="1094" t="s">
        <v>7377</v>
      </c>
      <c r="AH10" s="1099"/>
      <c r="AI10" s="1127"/>
      <c r="AJ10" s="1101"/>
      <c r="AK10" s="1101"/>
      <c r="AL10" s="1101"/>
      <c r="AM10" s="1102" t="s">
        <v>6183</v>
      </c>
      <c r="AN10" s="1101"/>
      <c r="AO10" s="1131" t="s">
        <v>2074</v>
      </c>
      <c r="AP10" s="1154" t="s">
        <v>7378</v>
      </c>
      <c r="AQ10" s="1102" t="s">
        <v>7379</v>
      </c>
      <c r="AR10" s="1101"/>
      <c r="AS10" s="1101"/>
      <c r="AT10" s="1132"/>
      <c r="AU10" s="1101"/>
      <c r="AV10" s="1101"/>
      <c r="AW10" s="1102" t="s">
        <v>3417</v>
      </c>
      <c r="AX10" s="1101"/>
      <c r="AY10" s="1101"/>
      <c r="AZ10" s="1088"/>
      <c r="BA10" s="1190"/>
      <c r="BB10" s="1190"/>
      <c r="BC10" s="1107" t="s">
        <v>6557</v>
      </c>
      <c r="BD10" s="1155"/>
      <c r="BE10" s="1156" t="s">
        <v>7380</v>
      </c>
      <c r="BF10" s="1088"/>
      <c r="BG10" s="1136" t="s">
        <v>7381</v>
      </c>
      <c r="BH10" s="1136" t="s">
        <v>7101</v>
      </c>
      <c r="BI10" s="1112" t="s">
        <v>329</v>
      </c>
      <c r="BJ10" s="1169"/>
      <c r="BK10" s="1113"/>
      <c r="BL10" s="1113"/>
      <c r="BM10" s="1111" t="s">
        <v>7382</v>
      </c>
      <c r="BN10" s="1127"/>
      <c r="BO10" s="1118" t="s">
        <v>7383</v>
      </c>
      <c r="BP10" s="1138"/>
      <c r="BQ10" s="1116" t="s">
        <v>7384</v>
      </c>
      <c r="BR10" s="1115"/>
      <c r="BS10" s="1115"/>
      <c r="BT10" s="1160" t="s">
        <v>1002</v>
      </c>
      <c r="BU10" s="1115"/>
      <c r="BV10" s="1116" t="s">
        <v>4102</v>
      </c>
      <c r="BW10" s="1116" t="s">
        <v>7385</v>
      </c>
      <c r="BX10" s="1127"/>
      <c r="BY10" s="1120" t="s">
        <v>936</v>
      </c>
      <c r="BZ10" s="1141" t="s">
        <v>3437</v>
      </c>
      <c r="CA10" s="1142"/>
      <c r="CB10" s="1142"/>
      <c r="CC10" s="1142"/>
      <c r="CD10" s="1121"/>
      <c r="CE10" s="1121"/>
      <c r="CF10" s="1121"/>
      <c r="CG10" s="1121"/>
      <c r="CH10" s="1121"/>
      <c r="CI10" s="1121"/>
      <c r="CJ10" s="1142"/>
      <c r="CK10" s="1142"/>
    </row>
    <row r="11">
      <c r="A11" s="1146" t="s">
        <v>334</v>
      </c>
      <c r="B11" s="1079" t="s">
        <v>7386</v>
      </c>
      <c r="C11" s="1080" t="s">
        <v>336</v>
      </c>
      <c r="D11" s="1081" t="s">
        <v>1251</v>
      </c>
      <c r="E11" s="1082" t="s">
        <v>450</v>
      </c>
      <c r="F11" s="1083" t="s">
        <v>3967</v>
      </c>
      <c r="G11" s="1079" t="s">
        <v>1571</v>
      </c>
      <c r="H11" s="1198" t="s">
        <v>2855</v>
      </c>
      <c r="I11" s="1086" t="s">
        <v>7387</v>
      </c>
      <c r="J11" s="1086" t="s">
        <v>7388</v>
      </c>
      <c r="K11" s="1176" t="s">
        <v>737</v>
      </c>
      <c r="L11" s="1199" t="s">
        <v>7389</v>
      </c>
      <c r="M11" s="1084"/>
      <c r="N11" s="1084"/>
      <c r="O11" s="1125" t="s">
        <v>7390</v>
      </c>
      <c r="P11" s="1127"/>
      <c r="Q11" s="1093" t="s">
        <v>7391</v>
      </c>
      <c r="R11" s="1090"/>
      <c r="S11" s="1090"/>
      <c r="T11" s="1149" t="s">
        <v>5353</v>
      </c>
      <c r="U11" s="1089"/>
      <c r="V11" s="1163" t="s">
        <v>7392</v>
      </c>
      <c r="W11" s="1127"/>
      <c r="X11" s="1165"/>
      <c r="Y11" s="1151" t="s">
        <v>7393</v>
      </c>
      <c r="Z11" s="1185" t="s">
        <v>7389</v>
      </c>
      <c r="AA11" s="1185" t="s">
        <v>7394</v>
      </c>
      <c r="AB11" s="1097" t="s">
        <v>3492</v>
      </c>
      <c r="AC11" s="1151" t="s">
        <v>2823</v>
      </c>
      <c r="AD11" s="1129" t="s">
        <v>2517</v>
      </c>
      <c r="AE11" s="1095" t="s">
        <v>1301</v>
      </c>
      <c r="AF11" s="1152"/>
      <c r="AG11" s="1185" t="s">
        <v>7395</v>
      </c>
      <c r="AH11" s="1099"/>
      <c r="AI11" s="1127"/>
      <c r="AJ11" s="1200"/>
      <c r="AK11" s="1105" t="s">
        <v>7396</v>
      </c>
      <c r="AL11" s="1101"/>
      <c r="AM11" s="1201"/>
      <c r="AN11" s="1201" t="s">
        <v>6131</v>
      </c>
      <c r="AO11" s="1202" t="s">
        <v>4863</v>
      </c>
      <c r="AP11" s="1203" t="s">
        <v>7397</v>
      </c>
      <c r="AQ11" s="1203" t="s">
        <v>7398</v>
      </c>
      <c r="AR11" s="1204"/>
      <c r="AS11" s="1102" t="s">
        <v>7218</v>
      </c>
      <c r="AT11" s="1205"/>
      <c r="AU11" s="1188"/>
      <c r="AV11" s="1102" t="s">
        <v>7399</v>
      </c>
      <c r="AW11" s="1131" t="s">
        <v>7400</v>
      </c>
      <c r="AX11" s="1167" t="s">
        <v>7401</v>
      </c>
      <c r="AY11" s="1167" t="s">
        <v>7402</v>
      </c>
      <c r="AZ11" s="1088"/>
      <c r="BA11" s="1106"/>
      <c r="BB11" s="1134" t="s">
        <v>7403</v>
      </c>
      <c r="BC11" s="1108" t="s">
        <v>3828</v>
      </c>
      <c r="BD11" s="1155"/>
      <c r="BE11" s="1191" t="s">
        <v>7404</v>
      </c>
      <c r="BF11" s="1088"/>
      <c r="BG11" s="1112" t="s">
        <v>7405</v>
      </c>
      <c r="BH11" s="1157" t="s">
        <v>5484</v>
      </c>
      <c r="BI11" s="1111"/>
      <c r="BJ11" s="1206"/>
      <c r="BK11" s="1206" t="s">
        <v>7406</v>
      </c>
      <c r="BL11" s="1113"/>
      <c r="BM11" s="1206" t="s">
        <v>7407</v>
      </c>
      <c r="BN11" s="1127"/>
      <c r="BO11" s="1161" t="s">
        <v>7408</v>
      </c>
      <c r="BP11" s="1138"/>
      <c r="BQ11" s="1160" t="s">
        <v>719</v>
      </c>
      <c r="BR11" s="1171" t="s">
        <v>7409</v>
      </c>
      <c r="BS11" s="1115"/>
      <c r="BT11" s="1117" t="s">
        <v>4783</v>
      </c>
      <c r="BU11" s="1115"/>
      <c r="BV11" s="1138" t="s">
        <v>7410</v>
      </c>
      <c r="BW11" s="1207" t="s">
        <v>7411</v>
      </c>
      <c r="BX11" s="1130"/>
      <c r="BY11" s="1172" t="s">
        <v>4534</v>
      </c>
      <c r="BZ11" s="1121"/>
      <c r="CA11" s="1208"/>
      <c r="CB11" s="1141" t="s">
        <v>2946</v>
      </c>
      <c r="CC11" s="1209"/>
      <c r="CD11" s="1172" t="s">
        <v>1221</v>
      </c>
      <c r="CE11" s="1121"/>
      <c r="CF11" s="1172" t="s">
        <v>7412</v>
      </c>
      <c r="CG11" s="1121"/>
      <c r="CH11" s="1139" t="s">
        <v>4870</v>
      </c>
      <c r="CI11" s="1121"/>
      <c r="CJ11" s="1142"/>
      <c r="CK11" s="1142"/>
    </row>
    <row r="12">
      <c r="A12" s="1078" t="s">
        <v>2494</v>
      </c>
      <c r="B12" s="1079" t="s">
        <v>7413</v>
      </c>
      <c r="C12" s="1080" t="s">
        <v>448</v>
      </c>
      <c r="D12" s="1081" t="s">
        <v>336</v>
      </c>
      <c r="E12" s="1082" t="s">
        <v>449</v>
      </c>
      <c r="F12" s="1083" t="s">
        <v>2188</v>
      </c>
      <c r="G12" s="1079" t="s">
        <v>2188</v>
      </c>
      <c r="H12" s="1147" t="s">
        <v>1258</v>
      </c>
      <c r="I12" s="1147" t="s">
        <v>7414</v>
      </c>
      <c r="J12" s="1176" t="s">
        <v>3731</v>
      </c>
      <c r="K12" s="1147" t="s">
        <v>2042</v>
      </c>
      <c r="L12" s="1084"/>
      <c r="M12" s="1084"/>
      <c r="N12" s="1084"/>
      <c r="O12" s="1176" t="s">
        <v>7415</v>
      </c>
      <c r="P12" s="1127"/>
      <c r="Q12" s="1093" t="s">
        <v>7416</v>
      </c>
      <c r="R12" s="1090"/>
      <c r="S12" s="1149" t="s">
        <v>7417</v>
      </c>
      <c r="T12" s="1093" t="s">
        <v>5296</v>
      </c>
      <c r="U12" s="1093" t="s">
        <v>7418</v>
      </c>
      <c r="V12" s="1093" t="s">
        <v>7419</v>
      </c>
      <c r="W12" s="1127"/>
      <c r="X12" s="1129" t="s">
        <v>2743</v>
      </c>
      <c r="Y12" s="1096" t="s">
        <v>7420</v>
      </c>
      <c r="Z12" s="1129" t="s">
        <v>7421</v>
      </c>
      <c r="AA12" s="1129" t="s">
        <v>7317</v>
      </c>
      <c r="AB12" s="1129" t="s">
        <v>6266</v>
      </c>
      <c r="AC12" s="1129" t="s">
        <v>7422</v>
      </c>
      <c r="AD12" s="1129" t="s">
        <v>1106</v>
      </c>
      <c r="AE12" s="1129" t="s">
        <v>7423</v>
      </c>
      <c r="AF12" s="1152"/>
      <c r="AG12" s="1129" t="s">
        <v>7424</v>
      </c>
      <c r="AH12" s="1099"/>
      <c r="AI12" s="1127"/>
      <c r="AJ12" s="1200"/>
      <c r="AK12" s="1154" t="s">
        <v>2104</v>
      </c>
      <c r="AL12" s="1101"/>
      <c r="AM12" s="1105" t="s">
        <v>4354</v>
      </c>
      <c r="AN12" s="1101"/>
      <c r="AO12" s="1101"/>
      <c r="AP12" s="1105" t="s">
        <v>3582</v>
      </c>
      <c r="AQ12" s="1101"/>
      <c r="AR12" s="1102" t="s">
        <v>7425</v>
      </c>
      <c r="AS12" s="1105" t="s">
        <v>7426</v>
      </c>
      <c r="AT12" s="1132"/>
      <c r="AU12" s="1131" t="s">
        <v>7427</v>
      </c>
      <c r="AV12" s="1101"/>
      <c r="AW12" s="1105" t="s">
        <v>5447</v>
      </c>
      <c r="AX12" s="1105" t="s">
        <v>4833</v>
      </c>
      <c r="AY12" s="1105" t="s">
        <v>7428</v>
      </c>
      <c r="AZ12" s="1088"/>
      <c r="BA12" s="1108" t="s">
        <v>7429</v>
      </c>
      <c r="BB12" s="1108" t="s">
        <v>7430</v>
      </c>
      <c r="BC12" s="1108" t="s">
        <v>5343</v>
      </c>
      <c r="BD12" s="1155"/>
      <c r="BE12" s="1108" t="s">
        <v>7431</v>
      </c>
      <c r="BF12" s="1088"/>
      <c r="BG12" s="1110" t="s">
        <v>7432</v>
      </c>
      <c r="BH12" s="1110" t="s">
        <v>3304</v>
      </c>
      <c r="BI12" s="1110" t="s">
        <v>2263</v>
      </c>
      <c r="BJ12" s="1210" t="s">
        <v>7433</v>
      </c>
      <c r="BK12" s="1110" t="s">
        <v>3183</v>
      </c>
      <c r="BL12" s="1113"/>
      <c r="BM12" s="1110" t="s">
        <v>7434</v>
      </c>
      <c r="BN12" s="1127"/>
      <c r="BO12" s="1115"/>
      <c r="BP12" s="1138"/>
      <c r="BQ12" s="1117" t="s">
        <v>2725</v>
      </c>
      <c r="BR12" s="1117" t="s">
        <v>7435</v>
      </c>
      <c r="BS12" s="1115"/>
      <c r="BT12" s="1117" t="s">
        <v>1865</v>
      </c>
      <c r="BU12" s="1115"/>
      <c r="BV12" s="1117" t="s">
        <v>7436</v>
      </c>
      <c r="BW12" s="1117" t="s">
        <v>6053</v>
      </c>
      <c r="BX12" s="1127"/>
      <c r="BY12" s="1145" t="s">
        <v>7262</v>
      </c>
      <c r="BZ12" s="1145" t="s">
        <v>2747</v>
      </c>
      <c r="CA12" s="1211" t="s">
        <v>7437</v>
      </c>
      <c r="CB12" s="1142"/>
      <c r="CC12" s="1142"/>
      <c r="CD12" s="1139" t="s">
        <v>4484</v>
      </c>
      <c r="CE12" s="1145" t="s">
        <v>7438</v>
      </c>
      <c r="CF12" s="1145" t="s">
        <v>3445</v>
      </c>
      <c r="CG12" s="1173" t="s">
        <v>7439</v>
      </c>
      <c r="CH12" s="1121"/>
      <c r="CI12" s="1139" t="s">
        <v>4827</v>
      </c>
      <c r="CJ12" s="1142"/>
      <c r="CK12" s="1142"/>
    </row>
    <row r="13">
      <c r="A13" s="1078" t="s">
        <v>2036</v>
      </c>
      <c r="B13" s="1079" t="s">
        <v>7440</v>
      </c>
      <c r="C13" s="1080" t="s">
        <v>1483</v>
      </c>
      <c r="D13" s="1081" t="s">
        <v>336</v>
      </c>
      <c r="E13" s="1082" t="s">
        <v>667</v>
      </c>
      <c r="F13" s="1083" t="s">
        <v>220</v>
      </c>
      <c r="G13" s="1079" t="s">
        <v>7441</v>
      </c>
      <c r="H13" s="1084"/>
      <c r="I13" s="1085" t="s">
        <v>7442</v>
      </c>
      <c r="J13" s="1085"/>
      <c r="K13" s="1147" t="s">
        <v>1775</v>
      </c>
      <c r="L13" s="1085"/>
      <c r="M13" s="1085"/>
      <c r="N13" s="1084"/>
      <c r="O13" s="1147" t="s">
        <v>7443</v>
      </c>
      <c r="P13" s="1127"/>
      <c r="Q13" s="1090"/>
      <c r="R13" s="1092"/>
      <c r="S13" s="1093" t="s">
        <v>7444</v>
      </c>
      <c r="T13" s="1090"/>
      <c r="U13" s="1090"/>
      <c r="V13" s="1093" t="s">
        <v>7445</v>
      </c>
      <c r="W13" s="1127"/>
      <c r="X13" s="1097" t="s">
        <v>1341</v>
      </c>
      <c r="Y13" s="1165"/>
      <c r="Z13" s="1094" t="s">
        <v>7446</v>
      </c>
      <c r="AA13" s="1129" t="s">
        <v>7447</v>
      </c>
      <c r="AB13" s="1094" t="s">
        <v>3729</v>
      </c>
      <c r="AC13" s="1129" t="s">
        <v>2060</v>
      </c>
      <c r="AD13" s="1094" t="s">
        <v>4234</v>
      </c>
      <c r="AE13" s="1094" t="s">
        <v>7448</v>
      </c>
      <c r="AF13" s="1094"/>
      <c r="AG13" s="1129" t="s">
        <v>7449</v>
      </c>
      <c r="AH13" s="1099"/>
      <c r="AI13" s="1127"/>
      <c r="AJ13" s="1101"/>
      <c r="AK13" s="1101"/>
      <c r="AL13" s="1101"/>
      <c r="AM13" s="1154" t="s">
        <v>1485</v>
      </c>
      <c r="AN13" s="1101"/>
      <c r="AO13" s="1101"/>
      <c r="AP13" s="1100" t="s">
        <v>7450</v>
      </c>
      <c r="AQ13" s="1101"/>
      <c r="AR13" s="1101"/>
      <c r="AS13" s="1101"/>
      <c r="AT13" s="1132"/>
      <c r="AU13" s="1101"/>
      <c r="AV13" s="1101"/>
      <c r="AW13" s="1101"/>
      <c r="AX13" s="1105" t="s">
        <v>7451</v>
      </c>
      <c r="AY13" s="1100" t="s">
        <v>7452</v>
      </c>
      <c r="AZ13" s="1088"/>
      <c r="BA13" s="1156"/>
      <c r="BB13" s="1156"/>
      <c r="BC13" s="1108" t="s">
        <v>3374</v>
      </c>
      <c r="BD13" s="1106"/>
      <c r="BE13" s="1156" t="s">
        <v>7453</v>
      </c>
      <c r="BF13" s="1088"/>
      <c r="BG13" s="1111" t="s">
        <v>6029</v>
      </c>
      <c r="BH13" s="1112" t="s">
        <v>7122</v>
      </c>
      <c r="BI13" s="1113"/>
      <c r="BJ13" s="1169"/>
      <c r="BK13" s="1157" t="s">
        <v>7454</v>
      </c>
      <c r="BL13" s="1113"/>
      <c r="BM13" s="1110" t="s">
        <v>7455</v>
      </c>
      <c r="BN13" s="1127"/>
      <c r="BO13" s="1116" t="s">
        <v>7456</v>
      </c>
      <c r="BP13" s="1171"/>
      <c r="BQ13" s="1116"/>
      <c r="BR13" s="1160" t="s">
        <v>7457</v>
      </c>
      <c r="BS13" s="1116"/>
      <c r="BT13" s="1117" t="s">
        <v>1371</v>
      </c>
      <c r="BU13" s="1115"/>
      <c r="BV13" s="1161" t="s">
        <v>7458</v>
      </c>
      <c r="BW13" s="1117" t="s">
        <v>7459</v>
      </c>
      <c r="BX13" s="1127"/>
      <c r="BY13" s="1173" t="s">
        <v>474</v>
      </c>
      <c r="BZ13" s="1121"/>
      <c r="CA13" s="1142"/>
      <c r="CB13" s="1142"/>
      <c r="CC13" s="1142"/>
      <c r="CD13" s="1121"/>
      <c r="CE13" s="1121"/>
      <c r="CF13" s="1120" t="s">
        <v>4718</v>
      </c>
      <c r="CG13" s="1121"/>
      <c r="CH13" s="1121"/>
      <c r="CI13" s="1121"/>
      <c r="CJ13" s="1142"/>
      <c r="CK13" s="1142"/>
    </row>
    <row r="14">
      <c r="A14" s="1078" t="s">
        <v>6489</v>
      </c>
      <c r="B14" s="1079" t="s">
        <v>6123</v>
      </c>
      <c r="C14" s="1080" t="s">
        <v>1483</v>
      </c>
      <c r="D14" s="1081" t="s">
        <v>448</v>
      </c>
      <c r="E14" s="1082" t="s">
        <v>448</v>
      </c>
      <c r="F14" s="1083" t="s">
        <v>5643</v>
      </c>
      <c r="G14" s="1079" t="s">
        <v>1804</v>
      </c>
      <c r="H14" s="1147" t="s">
        <v>2207</v>
      </c>
      <c r="I14" s="1147" t="s">
        <v>7460</v>
      </c>
      <c r="J14" s="1084"/>
      <c r="K14" s="1084"/>
      <c r="L14" s="1147" t="s">
        <v>3260</v>
      </c>
      <c r="M14" s="1084"/>
      <c r="N14" s="1147" t="s">
        <v>7461</v>
      </c>
      <c r="O14" s="1084"/>
      <c r="P14" s="1127"/>
      <c r="Q14" s="1093" t="s">
        <v>245</v>
      </c>
      <c r="R14" s="1090"/>
      <c r="S14" s="1093" t="s">
        <v>7352</v>
      </c>
      <c r="T14" s="1093" t="s">
        <v>3746</v>
      </c>
      <c r="U14" s="1090"/>
      <c r="V14" s="1093" t="s">
        <v>7462</v>
      </c>
      <c r="W14" s="1127"/>
      <c r="X14" s="1129" t="s">
        <v>273</v>
      </c>
      <c r="Y14" s="1129" t="s">
        <v>7463</v>
      </c>
      <c r="Z14" s="1129" t="s">
        <v>2457</v>
      </c>
      <c r="AA14" s="1164" t="s">
        <v>7464</v>
      </c>
      <c r="AB14" s="1129" t="s">
        <v>7465</v>
      </c>
      <c r="AC14" s="1129" t="s">
        <v>1748</v>
      </c>
      <c r="AD14" s="1129" t="s">
        <v>5569</v>
      </c>
      <c r="AE14" s="1129" t="s">
        <v>7466</v>
      </c>
      <c r="AF14" s="1098"/>
      <c r="AG14" s="1094" t="s">
        <v>7467</v>
      </c>
      <c r="AH14" s="1099"/>
      <c r="AI14" s="1127"/>
      <c r="AJ14" s="1179"/>
      <c r="AK14" s="1105" t="s">
        <v>7468</v>
      </c>
      <c r="AL14" s="1105" t="s">
        <v>7469</v>
      </c>
      <c r="AM14" s="1105" t="s">
        <v>1263</v>
      </c>
      <c r="AN14" s="1100"/>
      <c r="AO14" s="1101"/>
      <c r="AP14" s="1105" t="s">
        <v>4113</v>
      </c>
      <c r="AQ14" s="1101"/>
      <c r="AR14" s="1105" t="s">
        <v>7470</v>
      </c>
      <c r="AS14" s="1154" t="s">
        <v>7471</v>
      </c>
      <c r="AT14" s="1131" t="s">
        <v>7472</v>
      </c>
      <c r="AU14" s="1154" t="s">
        <v>7473</v>
      </c>
      <c r="AV14" s="1101"/>
      <c r="AW14" s="1105" t="s">
        <v>374</v>
      </c>
      <c r="AX14" s="1105" t="s">
        <v>7474</v>
      </c>
      <c r="AY14" s="1105" t="s">
        <v>7475</v>
      </c>
      <c r="AZ14" s="1088"/>
      <c r="BA14" s="1190"/>
      <c r="BB14" s="1108" t="s">
        <v>7476</v>
      </c>
      <c r="BC14" s="1108" t="s">
        <v>7477</v>
      </c>
      <c r="BD14" s="1106"/>
      <c r="BE14" s="1108" t="s">
        <v>7478</v>
      </c>
      <c r="BF14" s="1088"/>
      <c r="BG14" s="1111" t="s">
        <v>4127</v>
      </c>
      <c r="BH14" s="1111" t="s">
        <v>4717</v>
      </c>
      <c r="BI14" s="1157" t="s">
        <v>1662</v>
      </c>
      <c r="BJ14" s="1169"/>
      <c r="BK14" s="1111" t="s">
        <v>4451</v>
      </c>
      <c r="BL14" s="1113"/>
      <c r="BM14" s="1111" t="s">
        <v>7479</v>
      </c>
      <c r="BN14" s="1127"/>
      <c r="BO14" s="1117" t="s">
        <v>3488</v>
      </c>
      <c r="BP14" s="1138"/>
      <c r="BQ14" s="1115"/>
      <c r="BR14" s="1115"/>
      <c r="BS14" s="1115"/>
      <c r="BT14" s="1117" t="s">
        <v>977</v>
      </c>
      <c r="BU14" s="1115"/>
      <c r="BV14" s="1116" t="s">
        <v>7480</v>
      </c>
      <c r="BW14" s="1116" t="s">
        <v>7481</v>
      </c>
      <c r="BX14" s="1127"/>
      <c r="BY14" s="1145" t="s">
        <v>1691</v>
      </c>
      <c r="BZ14" s="1120"/>
      <c r="CA14" s="1142"/>
      <c r="CB14" s="1142"/>
      <c r="CC14" s="1142"/>
      <c r="CD14" s="1121"/>
      <c r="CE14" s="1120" t="s">
        <v>7482</v>
      </c>
      <c r="CF14" s="1121"/>
      <c r="CG14" s="1121"/>
      <c r="CH14" s="1121"/>
      <c r="CI14" s="1121"/>
      <c r="CJ14" s="1142"/>
      <c r="CK14" s="1142"/>
    </row>
    <row r="15">
      <c r="A15" s="1212" t="s">
        <v>1802</v>
      </c>
      <c r="B15" s="1079" t="s">
        <v>7483</v>
      </c>
      <c r="C15" s="1080" t="s">
        <v>1483</v>
      </c>
      <c r="D15" s="1081" t="s">
        <v>448</v>
      </c>
      <c r="E15" s="1082" t="s">
        <v>562</v>
      </c>
      <c r="F15" s="1083" t="s">
        <v>1033</v>
      </c>
      <c r="G15" s="1079" t="s">
        <v>2314</v>
      </c>
      <c r="H15" s="1147" t="s">
        <v>2442</v>
      </c>
      <c r="I15" s="1213" t="s">
        <v>7484</v>
      </c>
      <c r="J15" s="1085" t="s">
        <v>1430</v>
      </c>
      <c r="K15" s="1085" t="s">
        <v>7485</v>
      </c>
      <c r="L15" s="1085" t="s">
        <v>2232</v>
      </c>
      <c r="M15" s="1084"/>
      <c r="N15" s="1085" t="s">
        <v>7486</v>
      </c>
      <c r="O15" s="1085" t="s">
        <v>7487</v>
      </c>
      <c r="P15" s="1127"/>
      <c r="Q15" s="1089" t="s">
        <v>7488</v>
      </c>
      <c r="R15" s="1089" t="s">
        <v>2493</v>
      </c>
      <c r="S15" s="1089" t="s">
        <v>7489</v>
      </c>
      <c r="T15" s="1089" t="s">
        <v>5712</v>
      </c>
      <c r="U15" s="1089" t="s">
        <v>7490</v>
      </c>
      <c r="V15" s="1089" t="s">
        <v>7491</v>
      </c>
      <c r="W15" s="1127"/>
      <c r="X15" s="1094" t="s">
        <v>3973</v>
      </c>
      <c r="Y15" s="1094" t="s">
        <v>7492</v>
      </c>
      <c r="Z15" s="1151" t="s">
        <v>7493</v>
      </c>
      <c r="AA15" s="1214" t="s">
        <v>7494</v>
      </c>
      <c r="AB15" s="1094" t="s">
        <v>7495</v>
      </c>
      <c r="AC15" s="1094" t="s">
        <v>7496</v>
      </c>
      <c r="AD15" s="1164" t="s">
        <v>1781</v>
      </c>
      <c r="AE15" s="1129" t="s">
        <v>5493</v>
      </c>
      <c r="AF15" s="1094" t="s">
        <v>7497</v>
      </c>
      <c r="AG15" s="1094" t="s">
        <v>7498</v>
      </c>
      <c r="AH15" s="1215" t="s">
        <v>7499</v>
      </c>
      <c r="AI15" s="1127"/>
      <c r="AJ15" s="1179"/>
      <c r="AK15" s="1105" t="s">
        <v>7500</v>
      </c>
      <c r="AL15" s="1100"/>
      <c r="AM15" s="1100" t="s">
        <v>3482</v>
      </c>
      <c r="AN15" s="1105" t="s">
        <v>1720</v>
      </c>
      <c r="AO15" s="1100" t="s">
        <v>2340</v>
      </c>
      <c r="AP15" s="1103" t="s">
        <v>7501</v>
      </c>
      <c r="AQ15" s="1100" t="s">
        <v>7502</v>
      </c>
      <c r="AR15" s="1154" t="s">
        <v>7503</v>
      </c>
      <c r="AS15" s="1100" t="s">
        <v>7504</v>
      </c>
      <c r="AT15" s="1167"/>
      <c r="AU15" s="1100"/>
      <c r="AV15" s="1100"/>
      <c r="AW15" s="1103" t="s">
        <v>307</v>
      </c>
      <c r="AX15" s="1167" t="s">
        <v>7505</v>
      </c>
      <c r="AY15" s="1100" t="s">
        <v>7506</v>
      </c>
      <c r="AZ15" s="1088"/>
      <c r="BA15" s="1156" t="s">
        <v>7507</v>
      </c>
      <c r="BB15" s="1156" t="s">
        <v>7508</v>
      </c>
      <c r="BC15" s="1156" t="s">
        <v>4311</v>
      </c>
      <c r="BD15" s="1156"/>
      <c r="BE15" s="1216" t="s">
        <v>7509</v>
      </c>
      <c r="BF15" s="1088"/>
      <c r="BG15" s="1111" t="s">
        <v>7510</v>
      </c>
      <c r="BH15" s="1111" t="s">
        <v>4955</v>
      </c>
      <c r="BI15" s="1110" t="s">
        <v>2178</v>
      </c>
      <c r="BJ15" s="1136" t="s">
        <v>7511</v>
      </c>
      <c r="BK15" s="1170" t="s">
        <v>7512</v>
      </c>
      <c r="BL15" s="1111"/>
      <c r="BM15" s="1111" t="s">
        <v>7513</v>
      </c>
      <c r="BN15" s="1127"/>
      <c r="BO15" s="1117" t="s">
        <v>7514</v>
      </c>
      <c r="BP15" s="1171"/>
      <c r="BQ15" s="1217" t="s">
        <v>4808</v>
      </c>
      <c r="BR15" s="1116" t="s">
        <v>7515</v>
      </c>
      <c r="BS15" s="1116"/>
      <c r="BT15" s="1218" t="s">
        <v>7516</v>
      </c>
      <c r="BU15" s="1171" t="s">
        <v>5049</v>
      </c>
      <c r="BV15" s="1116" t="s">
        <v>7517</v>
      </c>
      <c r="BW15" s="1116" t="s">
        <v>7518</v>
      </c>
      <c r="BX15" s="1127"/>
      <c r="BY15" s="1120" t="s">
        <v>2611</v>
      </c>
      <c r="BZ15" s="1120" t="s">
        <v>2173</v>
      </c>
      <c r="CA15" s="1142"/>
      <c r="CB15" s="1142"/>
      <c r="CC15" s="1142"/>
      <c r="CD15" s="1120"/>
      <c r="CE15" s="1120" t="s">
        <v>7519</v>
      </c>
      <c r="CF15" s="1120" t="s">
        <v>7520</v>
      </c>
      <c r="CG15" s="1120"/>
      <c r="CH15" s="1173" t="s">
        <v>7521</v>
      </c>
      <c r="CI15" s="1121"/>
      <c r="CJ15" s="1142"/>
      <c r="CK15" s="1142"/>
    </row>
    <row r="16">
      <c r="A16" s="1078" t="s">
        <v>7522</v>
      </c>
      <c r="B16" s="1079" t="s">
        <v>6181</v>
      </c>
      <c r="C16" s="1080" t="s">
        <v>1483</v>
      </c>
      <c r="D16" s="1081" t="s">
        <v>1483</v>
      </c>
      <c r="E16" s="1082" t="s">
        <v>1483</v>
      </c>
      <c r="F16" s="1083" t="s">
        <v>1483</v>
      </c>
      <c r="G16" s="1079" t="s">
        <v>3227</v>
      </c>
      <c r="H16" s="1084"/>
      <c r="I16" s="1125" t="s">
        <v>3432</v>
      </c>
      <c r="J16" s="1085"/>
      <c r="K16" s="1084"/>
      <c r="L16" s="1084"/>
      <c r="M16" s="1084"/>
      <c r="N16" s="1084"/>
      <c r="O16" s="1085" t="s">
        <v>7523</v>
      </c>
      <c r="P16" s="1127"/>
      <c r="Q16" s="1163" t="s">
        <v>1557</v>
      </c>
      <c r="R16" s="1090"/>
      <c r="S16" s="1090"/>
      <c r="T16" s="1163" t="s">
        <v>1164</v>
      </c>
      <c r="U16" s="1089"/>
      <c r="V16" s="1089" t="s">
        <v>7524</v>
      </c>
      <c r="W16" s="1127"/>
      <c r="X16" s="1185" t="s">
        <v>7525</v>
      </c>
      <c r="Y16" s="1094" t="s">
        <v>7526</v>
      </c>
      <c r="Z16" s="1185" t="s">
        <v>7389</v>
      </c>
      <c r="AA16" s="1151" t="s">
        <v>6525</v>
      </c>
      <c r="AB16" s="1151" t="s">
        <v>1727</v>
      </c>
      <c r="AC16" s="1151" t="s">
        <v>3654</v>
      </c>
      <c r="AD16" s="1185" t="s">
        <v>941</v>
      </c>
      <c r="AE16" s="1151" t="s">
        <v>4729</v>
      </c>
      <c r="AF16" s="1094"/>
      <c r="AG16" s="1151" t="s">
        <v>7527</v>
      </c>
      <c r="AH16" s="1099"/>
      <c r="AI16" s="1127"/>
      <c r="AJ16" s="1101"/>
      <c r="AK16" s="1132" t="s">
        <v>5676</v>
      </c>
      <c r="AL16" s="1167" t="s">
        <v>7528</v>
      </c>
      <c r="AM16" s="1132" t="s">
        <v>7529</v>
      </c>
      <c r="AN16" s="1101"/>
      <c r="AO16" s="1167" t="s">
        <v>946</v>
      </c>
      <c r="AP16" s="1132" t="s">
        <v>1640</v>
      </c>
      <c r="AQ16" s="1167" t="s">
        <v>7530</v>
      </c>
      <c r="AR16" s="1167" t="s">
        <v>7531</v>
      </c>
      <c r="AS16" s="1101"/>
      <c r="AT16" s="1132"/>
      <c r="AU16" s="1101"/>
      <c r="AV16" s="1101"/>
      <c r="AW16" s="1132" t="s">
        <v>1304</v>
      </c>
      <c r="AX16" s="1167" t="s">
        <v>7532</v>
      </c>
      <c r="AY16" s="1167" t="s">
        <v>7533</v>
      </c>
      <c r="AZ16" s="1088"/>
      <c r="BA16" s="1156"/>
      <c r="BB16" s="1216" t="s">
        <v>7534</v>
      </c>
      <c r="BC16" s="1190"/>
      <c r="BD16" s="1190"/>
      <c r="BE16" s="1216" t="s">
        <v>7535</v>
      </c>
      <c r="BF16" s="1088"/>
      <c r="BG16" s="1206" t="s">
        <v>7536</v>
      </c>
      <c r="BH16" s="1206" t="s">
        <v>2214</v>
      </c>
      <c r="BI16" s="1113"/>
      <c r="BJ16" s="1169"/>
      <c r="BK16" s="1113"/>
      <c r="BL16" s="1113"/>
      <c r="BM16" s="1111" t="s">
        <v>7537</v>
      </c>
      <c r="BN16" s="1127"/>
      <c r="BO16" s="1171" t="s">
        <v>2044</v>
      </c>
      <c r="BP16" s="1138"/>
      <c r="BQ16" s="1115"/>
      <c r="BR16" s="1171" t="s">
        <v>7538</v>
      </c>
      <c r="BS16" s="1115"/>
      <c r="BT16" s="1171" t="s">
        <v>3104</v>
      </c>
      <c r="BU16" s="1115"/>
      <c r="BV16" s="1171" t="s">
        <v>7539</v>
      </c>
      <c r="BW16" s="1171" t="s">
        <v>7540</v>
      </c>
      <c r="BX16" s="1127"/>
      <c r="BY16" s="1172" t="s">
        <v>3626</v>
      </c>
      <c r="BZ16" s="1121"/>
      <c r="CA16" s="1142"/>
      <c r="CB16" s="1142"/>
      <c r="CC16" s="1142"/>
      <c r="CD16" s="1121"/>
      <c r="CE16" s="1121"/>
      <c r="CF16" s="1121"/>
      <c r="CG16" s="1121"/>
      <c r="CH16" s="1121"/>
      <c r="CI16" s="1121"/>
      <c r="CJ16" s="1142"/>
      <c r="CK16" s="1142"/>
    </row>
    <row r="17">
      <c r="A17" s="1078" t="s">
        <v>7541</v>
      </c>
      <c r="B17" s="1079" t="s">
        <v>7542</v>
      </c>
      <c r="C17" s="1080" t="s">
        <v>1483</v>
      </c>
      <c r="D17" s="1081" t="s">
        <v>1483</v>
      </c>
      <c r="E17" s="1082" t="s">
        <v>1483</v>
      </c>
      <c r="F17" s="1083" t="s">
        <v>338</v>
      </c>
      <c r="G17" s="1079" t="s">
        <v>1971</v>
      </c>
      <c r="H17" s="1084"/>
      <c r="I17" s="1084"/>
      <c r="J17" s="1085" t="s">
        <v>7543</v>
      </c>
      <c r="K17" s="1085" t="s">
        <v>7544</v>
      </c>
      <c r="L17" s="1147" t="s">
        <v>7545</v>
      </c>
      <c r="M17" s="1084"/>
      <c r="N17" s="1125" t="s">
        <v>7546</v>
      </c>
      <c r="O17" s="1085" t="s">
        <v>7547</v>
      </c>
      <c r="P17" s="1127"/>
      <c r="Q17" s="1163" t="s">
        <v>751</v>
      </c>
      <c r="R17" s="1090"/>
      <c r="S17" s="1090"/>
      <c r="T17" s="1090"/>
      <c r="U17" s="1089"/>
      <c r="V17" s="1093" t="s">
        <v>7467</v>
      </c>
      <c r="W17" s="1127"/>
      <c r="X17" s="1165"/>
      <c r="Y17" s="1129" t="s">
        <v>7548</v>
      </c>
      <c r="Z17" s="1151" t="s">
        <v>2523</v>
      </c>
      <c r="AA17" s="1219"/>
      <c r="AB17" s="1165"/>
      <c r="AC17" s="1151" t="s">
        <v>848</v>
      </c>
      <c r="AD17" s="1151" t="s">
        <v>5746</v>
      </c>
      <c r="AE17" s="1151" t="s">
        <v>6818</v>
      </c>
      <c r="AF17" s="1094"/>
      <c r="AG17" s="1151" t="s">
        <v>7549</v>
      </c>
      <c r="AH17" s="1099"/>
      <c r="AI17" s="1127"/>
      <c r="AJ17" s="1100"/>
      <c r="AK17" s="1167" t="s">
        <v>1542</v>
      </c>
      <c r="AL17" s="1101"/>
      <c r="AM17" s="1101"/>
      <c r="AN17" s="1101"/>
      <c r="AO17" s="1101"/>
      <c r="AP17" s="1167" t="s">
        <v>7550</v>
      </c>
      <c r="AQ17" s="1101"/>
      <c r="AR17" s="1101"/>
      <c r="AS17" s="1101"/>
      <c r="AT17" s="1132"/>
      <c r="AU17" s="1101"/>
      <c r="AV17" s="1101"/>
      <c r="AW17" s="1105" t="s">
        <v>6073</v>
      </c>
      <c r="AX17" s="1100" t="s">
        <v>7551</v>
      </c>
      <c r="AY17" s="1100" t="s">
        <v>6215</v>
      </c>
      <c r="AZ17" s="1088"/>
      <c r="BA17" s="1156" t="s">
        <v>7552</v>
      </c>
      <c r="BB17" s="1216" t="s">
        <v>7553</v>
      </c>
      <c r="BC17" s="1108" t="s">
        <v>526</v>
      </c>
      <c r="BD17" s="1106"/>
      <c r="BE17" s="1216" t="s">
        <v>7554</v>
      </c>
      <c r="BF17" s="1088"/>
      <c r="BG17" s="1111" t="s">
        <v>2955</v>
      </c>
      <c r="BH17" s="1206" t="s">
        <v>7555</v>
      </c>
      <c r="BI17" s="1111"/>
      <c r="BJ17" s="1206"/>
      <c r="BK17" s="1113"/>
      <c r="BL17" s="1113"/>
      <c r="BM17" s="1110" t="s">
        <v>7556</v>
      </c>
      <c r="BN17" s="1127"/>
      <c r="BO17" s="1171" t="s">
        <v>3178</v>
      </c>
      <c r="BP17" s="1138"/>
      <c r="BQ17" s="1115"/>
      <c r="BR17" s="1116" t="s">
        <v>7557</v>
      </c>
      <c r="BS17" s="1115"/>
      <c r="BT17" s="1171" t="s">
        <v>2410</v>
      </c>
      <c r="BU17" s="1115"/>
      <c r="BV17" s="1116" t="s">
        <v>252</v>
      </c>
      <c r="BW17" s="1116" t="s">
        <v>1649</v>
      </c>
      <c r="BX17" s="1127"/>
      <c r="BY17" s="1120" t="s">
        <v>4303</v>
      </c>
      <c r="BZ17" s="1145" t="s">
        <v>5965</v>
      </c>
      <c r="CA17" s="1142"/>
      <c r="CB17" s="1142"/>
      <c r="CC17" s="1142"/>
      <c r="CD17" s="1121"/>
      <c r="CE17" s="1120" t="s">
        <v>5842</v>
      </c>
      <c r="CF17" s="1172" t="s">
        <v>7558</v>
      </c>
      <c r="CG17" s="1121"/>
      <c r="CH17" s="1121"/>
      <c r="CI17" s="1120" t="s">
        <v>7559</v>
      </c>
      <c r="CJ17" s="1142"/>
      <c r="CK17" s="1142"/>
    </row>
    <row r="18">
      <c r="A18" s="1078" t="s">
        <v>1969</v>
      </c>
      <c r="B18" s="1079" t="s">
        <v>7560</v>
      </c>
      <c r="C18" s="1080" t="s">
        <v>1483</v>
      </c>
      <c r="D18" s="1081" t="s">
        <v>1483</v>
      </c>
      <c r="E18" s="1082" t="s">
        <v>1483</v>
      </c>
      <c r="F18" s="1083" t="s">
        <v>1483</v>
      </c>
      <c r="G18" s="1079" t="s">
        <v>1971</v>
      </c>
      <c r="H18" s="1084"/>
      <c r="I18" s="1085" t="s">
        <v>2720</v>
      </c>
      <c r="J18" s="1085" t="s">
        <v>3721</v>
      </c>
      <c r="K18" s="1085" t="s">
        <v>7561</v>
      </c>
      <c r="L18" s="1125" t="s">
        <v>7562</v>
      </c>
      <c r="M18" s="1084"/>
      <c r="N18" s="1125" t="s">
        <v>7563</v>
      </c>
      <c r="O18" s="1085" t="s">
        <v>7564</v>
      </c>
      <c r="P18" s="1127"/>
      <c r="Q18" s="1163" t="s">
        <v>3342</v>
      </c>
      <c r="R18" s="1090"/>
      <c r="S18" s="1090"/>
      <c r="T18" s="1163" t="s">
        <v>5068</v>
      </c>
      <c r="U18" s="1089"/>
      <c r="V18" s="1163" t="s">
        <v>7565</v>
      </c>
      <c r="W18" s="1127"/>
      <c r="X18" s="1151" t="s">
        <v>4161</v>
      </c>
      <c r="Y18" s="1151" t="s">
        <v>7566</v>
      </c>
      <c r="Z18" s="1151" t="s">
        <v>7567</v>
      </c>
      <c r="AA18" s="1151" t="s">
        <v>3050</v>
      </c>
      <c r="AB18" s="1151" t="s">
        <v>4767</v>
      </c>
      <c r="AC18" s="1094" t="s">
        <v>7568</v>
      </c>
      <c r="AD18" s="1151" t="s">
        <v>4716</v>
      </c>
      <c r="AE18" s="1151" t="s">
        <v>4934</v>
      </c>
      <c r="AF18" s="1094"/>
      <c r="AG18" s="1094" t="s">
        <v>7569</v>
      </c>
      <c r="AH18" s="1220" t="s">
        <v>7570</v>
      </c>
      <c r="AI18" s="1127"/>
      <c r="AJ18" s="1101"/>
      <c r="AK18" s="1101"/>
      <c r="AL18" s="1101"/>
      <c r="AM18" s="1100" t="s">
        <v>3399</v>
      </c>
      <c r="AN18" s="1101"/>
      <c r="AO18" s="1167" t="s">
        <v>4423</v>
      </c>
      <c r="AP18" s="1100" t="s">
        <v>3278</v>
      </c>
      <c r="AQ18" s="1167" t="s">
        <v>7571</v>
      </c>
      <c r="AR18" s="1101"/>
      <c r="AS18" s="1101"/>
      <c r="AT18" s="1132"/>
      <c r="AU18" s="1101"/>
      <c r="AV18" s="1101"/>
      <c r="AW18" s="1167" t="s">
        <v>1056</v>
      </c>
      <c r="AX18" s="1167" t="s">
        <v>4923</v>
      </c>
      <c r="AY18" s="1101"/>
      <c r="AZ18" s="1088"/>
      <c r="BA18" s="1190"/>
      <c r="BB18" s="1190"/>
      <c r="BC18" s="1216" t="s">
        <v>6711</v>
      </c>
      <c r="BD18" s="1156"/>
      <c r="BE18" s="1156" t="s">
        <v>7572</v>
      </c>
      <c r="BF18" s="1088"/>
      <c r="BG18" s="1206" t="s">
        <v>1255</v>
      </c>
      <c r="BH18" s="1206" t="s">
        <v>2214</v>
      </c>
      <c r="BI18" s="1113"/>
      <c r="BJ18" s="1169"/>
      <c r="BK18" s="1111" t="s">
        <v>7573</v>
      </c>
      <c r="BL18" s="1113"/>
      <c r="BM18" s="1206" t="s">
        <v>7574</v>
      </c>
      <c r="BN18" s="1127"/>
      <c r="BO18" s="1171" t="s">
        <v>7575</v>
      </c>
      <c r="BP18" s="1138"/>
      <c r="BQ18" s="1115"/>
      <c r="BR18" s="1115"/>
      <c r="BS18" s="1115"/>
      <c r="BT18" s="1171" t="s">
        <v>3337</v>
      </c>
      <c r="BU18" s="1115"/>
      <c r="BV18" s="1115"/>
      <c r="BW18" s="1138" t="s">
        <v>7576</v>
      </c>
      <c r="BX18" s="1127"/>
      <c r="BY18" s="1120" t="s">
        <v>3015</v>
      </c>
      <c r="BZ18" s="1121"/>
      <c r="CA18" s="1142"/>
      <c r="CB18" s="1142"/>
      <c r="CC18" s="1142"/>
      <c r="CD18" s="1121"/>
      <c r="CE18" s="1121"/>
      <c r="CF18" s="1121"/>
      <c r="CG18" s="1121"/>
      <c r="CH18" s="1121"/>
      <c r="CI18" s="1121"/>
      <c r="CJ18" s="1142"/>
      <c r="CK18" s="1142"/>
    </row>
    <row r="19">
      <c r="A19" s="1078" t="s">
        <v>6498</v>
      </c>
      <c r="B19" s="1079" t="s">
        <v>7577</v>
      </c>
      <c r="C19" s="1080" t="s">
        <v>1483</v>
      </c>
      <c r="D19" s="1081" t="s">
        <v>562</v>
      </c>
      <c r="E19" s="1082" t="s">
        <v>1483</v>
      </c>
      <c r="F19" s="1083" t="s">
        <v>562</v>
      </c>
      <c r="G19" s="1079" t="s">
        <v>7441</v>
      </c>
      <c r="H19" s="1084"/>
      <c r="I19" s="1084"/>
      <c r="J19" s="1085" t="s">
        <v>7578</v>
      </c>
      <c r="K19" s="1085" t="s">
        <v>7579</v>
      </c>
      <c r="L19" s="1084"/>
      <c r="M19" s="1084"/>
      <c r="N19" s="1084"/>
      <c r="O19" s="1125" t="s">
        <v>7580</v>
      </c>
      <c r="P19" s="1127"/>
      <c r="Q19" s="1089" t="s">
        <v>7581</v>
      </c>
      <c r="R19" s="1090"/>
      <c r="S19" s="1089" t="s">
        <v>5844</v>
      </c>
      <c r="T19" s="1089" t="s">
        <v>5199</v>
      </c>
      <c r="U19" s="1089" t="s">
        <v>7582</v>
      </c>
      <c r="V19" s="1163" t="s">
        <v>7583</v>
      </c>
      <c r="W19" s="1127"/>
      <c r="X19" s="1165"/>
      <c r="Y19" s="1165"/>
      <c r="Z19" s="1094" t="s">
        <v>7584</v>
      </c>
      <c r="AA19" s="1219"/>
      <c r="AB19" s="1094" t="s">
        <v>2355</v>
      </c>
      <c r="AC19" s="1151" t="s">
        <v>7585</v>
      </c>
      <c r="AD19" s="1165"/>
      <c r="AE19" s="1165"/>
      <c r="AF19" s="1165"/>
      <c r="AG19" s="1151" t="s">
        <v>7586</v>
      </c>
      <c r="AH19" s="1099"/>
      <c r="AI19" s="1127"/>
      <c r="AJ19" s="1101"/>
      <c r="AK19" s="1101"/>
      <c r="AL19" s="1101"/>
      <c r="AM19" s="1100" t="s">
        <v>1444</v>
      </c>
      <c r="AN19" s="1100"/>
      <c r="AO19" s="1101"/>
      <c r="AP19" s="1101"/>
      <c r="AQ19" s="1101"/>
      <c r="AR19" s="1101"/>
      <c r="AS19" s="1101"/>
      <c r="AT19" s="1132"/>
      <c r="AU19" s="1101"/>
      <c r="AV19" s="1101"/>
      <c r="AW19" s="1100" t="s">
        <v>3972</v>
      </c>
      <c r="AX19" s="1167" t="s">
        <v>7587</v>
      </c>
      <c r="AY19" s="1101"/>
      <c r="AZ19" s="1088"/>
      <c r="BA19" s="1190"/>
      <c r="BB19" s="1156" t="s">
        <v>7588</v>
      </c>
      <c r="BC19" s="1156" t="s">
        <v>3743</v>
      </c>
      <c r="BD19" s="1156"/>
      <c r="BE19" s="1216" t="s">
        <v>7589</v>
      </c>
      <c r="BF19" s="1088"/>
      <c r="BG19" s="1111" t="s">
        <v>737</v>
      </c>
      <c r="BH19" s="1206" t="s">
        <v>4454</v>
      </c>
      <c r="BI19" s="1111" t="s">
        <v>1837</v>
      </c>
      <c r="BJ19" s="1111" t="s">
        <v>7590</v>
      </c>
      <c r="BK19" s="1111" t="s">
        <v>7591</v>
      </c>
      <c r="BL19" s="1113"/>
      <c r="BM19" s="1111" t="s">
        <v>7592</v>
      </c>
      <c r="BN19" s="1127"/>
      <c r="BO19" s="1116" t="s">
        <v>4800</v>
      </c>
      <c r="BP19" s="1138"/>
      <c r="BQ19" s="1115"/>
      <c r="BR19" s="1161" t="s">
        <v>7593</v>
      </c>
      <c r="BS19" s="1115"/>
      <c r="BT19" s="1116" t="s">
        <v>2455</v>
      </c>
      <c r="BU19" s="1115"/>
      <c r="BV19" s="1116" t="s">
        <v>7594</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7595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3270</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7596</v>
      </c>
      <c r="BJ20" s="1169"/>
      <c r="BK20" s="1113"/>
      <c r="BL20" s="1113"/>
      <c r="BM20" s="1113"/>
      <c r="BN20" s="1127"/>
      <c r="BO20" s="1116"/>
      <c r="BP20" s="1138"/>
      <c r="BQ20" s="1118" t="s">
        <v>5069</v>
      </c>
      <c r="BR20" s="1115"/>
      <c r="BS20" s="1115"/>
      <c r="BT20" s="1118" t="s">
        <v>5496</v>
      </c>
      <c r="BU20" s="1115"/>
      <c r="BV20" s="1171" t="s">
        <v>7597</v>
      </c>
      <c r="BW20" s="1160" t="s">
        <v>7598</v>
      </c>
      <c r="BX20" s="1127"/>
      <c r="BY20" s="1141" t="s">
        <v>3516</v>
      </c>
      <c r="BZ20" s="1120"/>
      <c r="CA20" s="1142"/>
      <c r="CB20" s="1142"/>
      <c r="CC20" s="1142"/>
      <c r="CD20" s="1121"/>
      <c r="CE20" s="1121"/>
      <c r="CF20" s="1121"/>
      <c r="CG20" s="1141" t="s">
        <v>7599</v>
      </c>
      <c r="CH20" s="1121"/>
      <c r="CI20" s="1121"/>
      <c r="CJ20" s="1142"/>
      <c r="CK20" s="1142"/>
    </row>
    <row r="21">
      <c r="A21" s="1078" t="s">
        <v>3005</v>
      </c>
      <c r="B21" s="1079" t="s">
        <v>7600</v>
      </c>
      <c r="C21" s="1080" t="s">
        <v>562</v>
      </c>
      <c r="D21" s="1081" t="s">
        <v>1483</v>
      </c>
      <c r="E21" s="1082" t="s">
        <v>1483</v>
      </c>
      <c r="F21" s="1083" t="s">
        <v>562</v>
      </c>
      <c r="G21" s="1079" t="s">
        <v>5194</v>
      </c>
      <c r="H21" s="1084"/>
      <c r="I21" s="1084"/>
      <c r="J21" s="1085" t="s">
        <v>313</v>
      </c>
      <c r="K21" s="1085" t="s">
        <v>7601</v>
      </c>
      <c r="L21" s="1085"/>
      <c r="M21" s="1084"/>
      <c r="N21" s="1084"/>
      <c r="O21" s="1085" t="s">
        <v>7602</v>
      </c>
      <c r="P21" s="1127"/>
      <c r="Q21" s="1089" t="s">
        <v>4900</v>
      </c>
      <c r="R21" s="1089" t="s">
        <v>3884</v>
      </c>
      <c r="S21" s="1089" t="s">
        <v>715</v>
      </c>
      <c r="T21" s="1089" t="s">
        <v>251</v>
      </c>
      <c r="U21" s="1090"/>
      <c r="V21" s="1089" t="s">
        <v>7603</v>
      </c>
      <c r="W21" s="1127"/>
      <c r="X21" s="1094" t="s">
        <v>6336</v>
      </c>
      <c r="Y21" s="1165"/>
      <c r="Z21" s="1094" t="s">
        <v>4969</v>
      </c>
      <c r="AA21" s="1094" t="s">
        <v>7604</v>
      </c>
      <c r="AB21" s="1094" t="s">
        <v>3023</v>
      </c>
      <c r="AC21" s="1094" t="s">
        <v>1748</v>
      </c>
      <c r="AD21" s="1094" t="s">
        <v>6559</v>
      </c>
      <c r="AE21" s="1094" t="s">
        <v>2941</v>
      </c>
      <c r="AF21" s="1094"/>
      <c r="AG21" s="1094" t="s">
        <v>7605</v>
      </c>
      <c r="AH21" s="1222" t="s">
        <v>3026</v>
      </c>
      <c r="AI21" s="1127"/>
      <c r="AJ21" s="1101"/>
      <c r="AK21" s="1101"/>
      <c r="AL21" s="1102" t="s">
        <v>7606</v>
      </c>
      <c r="AM21" s="1100" t="s">
        <v>1906</v>
      </c>
      <c r="AN21" s="1100"/>
      <c r="AO21" s="1101"/>
      <c r="AP21" s="1101"/>
      <c r="AQ21" s="1101"/>
      <c r="AR21" s="1100" t="s">
        <v>7607</v>
      </c>
      <c r="AS21" s="1100"/>
      <c r="AT21" s="1132"/>
      <c r="AU21" s="1100" t="s">
        <v>7608</v>
      </c>
      <c r="AV21" s="1167" t="s">
        <v>7609</v>
      </c>
      <c r="AW21" s="1100" t="s">
        <v>799</v>
      </c>
      <c r="AX21" s="1167" t="s">
        <v>7610</v>
      </c>
      <c r="AY21" s="1100" t="s">
        <v>7611</v>
      </c>
      <c r="AZ21" s="1088"/>
      <c r="BA21" s="1156" t="s">
        <v>7612</v>
      </c>
      <c r="BB21" s="1156" t="s">
        <v>7613</v>
      </c>
      <c r="BC21" s="1190"/>
      <c r="BD21" s="1190"/>
      <c r="BE21" s="1156" t="s">
        <v>7614</v>
      </c>
      <c r="BF21" s="1088"/>
      <c r="BG21" s="1111" t="s">
        <v>6029</v>
      </c>
      <c r="BH21" s="1113"/>
      <c r="BI21" s="1111" t="s">
        <v>488</v>
      </c>
      <c r="BJ21" s="1111" t="s">
        <v>7615</v>
      </c>
      <c r="BK21" s="1111" t="s">
        <v>7616</v>
      </c>
      <c r="BL21" s="1111" t="s">
        <v>7617</v>
      </c>
      <c r="BM21" s="1170" t="s">
        <v>7618</v>
      </c>
      <c r="BN21" s="1127"/>
      <c r="BO21" s="1116" t="s">
        <v>7619</v>
      </c>
      <c r="BP21" s="1116" t="s">
        <v>4277</v>
      </c>
      <c r="BQ21" s="1115"/>
      <c r="BR21" s="1116" t="s">
        <v>7620</v>
      </c>
      <c r="BS21" s="1115"/>
      <c r="BT21" s="1116" t="s">
        <v>3044</v>
      </c>
      <c r="BU21" s="1116" t="s">
        <v>5185</v>
      </c>
      <c r="BV21" s="1116" t="s">
        <v>7621</v>
      </c>
      <c r="BW21" s="1116" t="s">
        <v>7622</v>
      </c>
      <c r="BX21" s="1127"/>
      <c r="BY21" s="1223" t="s">
        <v>3583</v>
      </c>
      <c r="BZ21" s="1120" t="s">
        <v>983</v>
      </c>
      <c r="CA21" s="1142"/>
      <c r="CB21" s="1142"/>
      <c r="CC21" s="1142"/>
      <c r="CD21" s="1121"/>
      <c r="CE21" s="1120" t="s">
        <v>7623</v>
      </c>
      <c r="CF21" s="1120" t="s">
        <v>7624</v>
      </c>
      <c r="CG21" s="1121"/>
      <c r="CH21" s="1121"/>
      <c r="CI21" s="1121"/>
      <c r="CJ21" s="1142"/>
      <c r="CK21" s="1142"/>
    </row>
    <row r="22">
      <c r="A22" s="1078" t="s">
        <v>7625</v>
      </c>
      <c r="B22" s="1079" t="s">
        <v>7626</v>
      </c>
      <c r="C22" s="1080" t="s">
        <v>1483</v>
      </c>
      <c r="D22" s="1081" t="s">
        <v>1483</v>
      </c>
      <c r="E22" s="1082" t="s">
        <v>1483</v>
      </c>
      <c r="F22" s="1083" t="s">
        <v>449</v>
      </c>
      <c r="G22" s="1079" t="s">
        <v>5826</v>
      </c>
      <c r="H22" s="1084"/>
      <c r="I22" s="1084"/>
      <c r="J22" s="1084"/>
      <c r="K22" s="1084"/>
      <c r="L22" s="1199" t="s">
        <v>7627</v>
      </c>
      <c r="M22" s="1084"/>
      <c r="N22" s="1125" t="s">
        <v>7628</v>
      </c>
      <c r="O22" s="1084"/>
      <c r="P22" s="1127"/>
      <c r="Q22" s="1090"/>
      <c r="R22" s="1090"/>
      <c r="S22" s="1090"/>
      <c r="T22" s="1090"/>
      <c r="U22" s="1089"/>
      <c r="V22" s="1163" t="s">
        <v>7629</v>
      </c>
      <c r="W22" s="1127"/>
      <c r="X22" s="1165"/>
      <c r="Y22" s="1165"/>
      <c r="Z22" s="1185" t="s">
        <v>7630</v>
      </c>
      <c r="AA22" s="1165"/>
      <c r="AB22" s="1165"/>
      <c r="AC22" s="1165"/>
      <c r="AD22" s="1165"/>
      <c r="AE22" s="1224" t="str">
        <f>HYPERLINK("https://youtu.be/0lXotWIeH0g","49.54")</f>
        <v>49.54</v>
      </c>
      <c r="AF22" s="1219"/>
      <c r="AG22" s="1151" t="s">
        <v>7631</v>
      </c>
      <c r="AH22" s="1178" t="s">
        <v>7632</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7633</v>
      </c>
      <c r="AZ22" s="1088"/>
      <c r="BA22" s="1190"/>
      <c r="BB22" s="1190"/>
      <c r="BC22" s="1191" t="s">
        <v>4232</v>
      </c>
      <c r="BD22" s="1190"/>
      <c r="BE22" s="1216" t="s">
        <v>7634</v>
      </c>
      <c r="BF22" s="1088"/>
      <c r="BG22" s="1113"/>
      <c r="BH22" s="1113"/>
      <c r="BI22" s="1113"/>
      <c r="BJ22" s="1169"/>
      <c r="BK22" s="1113"/>
      <c r="BL22" s="1226" t="str">
        <f>HYPERLINK("https://youtu.be/ZWHJWoriERw","3:48.70")</f>
        <v>3:48.70</v>
      </c>
      <c r="BM22" s="1110" t="s">
        <v>7635</v>
      </c>
      <c r="BN22" s="1127"/>
      <c r="BO22" s="1138" t="s">
        <v>229</v>
      </c>
      <c r="BP22" s="1138"/>
      <c r="BQ22" s="1115"/>
      <c r="BR22" s="1115"/>
      <c r="BS22" s="1115"/>
      <c r="BT22" s="1117" t="str">
        <f>HYPERLINK("https://youtu.be/-5bLlrzaDDc","27.91")</f>
        <v>27.91</v>
      </c>
      <c r="BU22" s="1138" t="s">
        <v>7636</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7637</v>
      </c>
      <c r="C23" s="1080" t="s">
        <v>1483</v>
      </c>
      <c r="D23" s="1081" t="s">
        <v>1483</v>
      </c>
      <c r="E23" s="1082" t="s">
        <v>1483</v>
      </c>
      <c r="F23" s="1083" t="s">
        <v>338</v>
      </c>
      <c r="G23" s="1079" t="s">
        <v>3967</v>
      </c>
      <c r="H23" s="1147" t="s">
        <v>2667</v>
      </c>
      <c r="I23" s="1147" t="s">
        <v>7638</v>
      </c>
      <c r="J23" s="1229"/>
      <c r="K23" s="1147" t="s">
        <v>3283</v>
      </c>
      <c r="L23" s="1085"/>
      <c r="M23" s="1084"/>
      <c r="N23" s="1084"/>
      <c r="O23" s="1125" t="s">
        <v>7639</v>
      </c>
      <c r="P23" s="1127"/>
      <c r="Q23" s="1163" t="s">
        <v>7640</v>
      </c>
      <c r="R23" s="1090"/>
      <c r="S23" s="1090"/>
      <c r="T23" s="1163" t="s">
        <v>5216</v>
      </c>
      <c r="U23" s="1089"/>
      <c r="V23" s="1163" t="s">
        <v>7641</v>
      </c>
      <c r="W23" s="1127"/>
      <c r="X23" s="1151" t="s">
        <v>2226</v>
      </c>
      <c r="Y23" s="1165"/>
      <c r="Z23" s="1151" t="s">
        <v>1998</v>
      </c>
      <c r="AA23" s="1219"/>
      <c r="AB23" s="1151" t="s">
        <v>5328</v>
      </c>
      <c r="AC23" s="1165"/>
      <c r="AD23" s="1165"/>
      <c r="AE23" s="1151" t="s">
        <v>4519</v>
      </c>
      <c r="AF23" s="1094"/>
      <c r="AG23" s="1151" t="s">
        <v>7642</v>
      </c>
      <c r="AH23" s="1099"/>
      <c r="AI23" s="1127"/>
      <c r="AJ23" s="1101"/>
      <c r="AK23" s="1101"/>
      <c r="AL23" s="1101"/>
      <c r="AM23" s="1101"/>
      <c r="AN23" s="1101"/>
      <c r="AO23" s="1167" t="s">
        <v>5146</v>
      </c>
      <c r="AP23" s="1101"/>
      <c r="AQ23" s="1105" t="s">
        <v>3333</v>
      </c>
      <c r="AR23" s="1101"/>
      <c r="AS23" s="1101"/>
      <c r="AT23" s="1132"/>
      <c r="AU23" s="1101"/>
      <c r="AV23" s="1101"/>
      <c r="AW23" s="1105" t="s">
        <v>746</v>
      </c>
      <c r="AX23" s="1101"/>
      <c r="AY23" s="1101"/>
      <c r="AZ23" s="1088"/>
      <c r="BA23" s="1190"/>
      <c r="BB23" s="1190"/>
      <c r="BC23" s="1190"/>
      <c r="BD23" s="1190"/>
      <c r="BE23" s="1216" t="s">
        <v>7643</v>
      </c>
      <c r="BF23" s="1088"/>
      <c r="BG23" s="1206" t="s">
        <v>2682</v>
      </c>
      <c r="BH23" s="1113"/>
      <c r="BI23" s="1113"/>
      <c r="BJ23" s="1169"/>
      <c r="BK23" s="1113"/>
      <c r="BL23" s="1113"/>
      <c r="BM23" s="1206" t="s">
        <v>7644</v>
      </c>
      <c r="BN23" s="1127"/>
      <c r="BO23" s="1171" t="s">
        <v>632</v>
      </c>
      <c r="BP23" s="1138"/>
      <c r="BQ23" s="1115"/>
      <c r="BR23" s="1115"/>
      <c r="BS23" s="1115"/>
      <c r="BT23" s="1115"/>
      <c r="BU23" s="1115"/>
      <c r="BV23" s="1171" t="s">
        <v>7645</v>
      </c>
      <c r="BW23" s="1115"/>
      <c r="BX23" s="1127"/>
      <c r="BY23" s="1145" t="s">
        <v>7646</v>
      </c>
      <c r="BZ23" s="1121"/>
      <c r="CA23" s="1142"/>
      <c r="CB23" s="1142"/>
      <c r="CC23" s="1142"/>
      <c r="CD23" s="1121"/>
      <c r="CE23" s="1145" t="s">
        <v>7647</v>
      </c>
      <c r="CF23" s="1120" t="s">
        <v>7648</v>
      </c>
      <c r="CG23" s="1121"/>
      <c r="CH23" s="1121"/>
      <c r="CI23" s="1121"/>
      <c r="CJ23" s="1142"/>
      <c r="CK23" s="1142"/>
    </row>
    <row r="24">
      <c r="A24" s="1230" t="s">
        <v>3497</v>
      </c>
      <c r="B24" s="1079" t="s">
        <v>7649</v>
      </c>
      <c r="C24" s="1080" t="s">
        <v>1483</v>
      </c>
      <c r="D24" s="1081" t="s">
        <v>562</v>
      </c>
      <c r="E24" s="1082" t="s">
        <v>1483</v>
      </c>
      <c r="F24" s="1083" t="s">
        <v>667</v>
      </c>
      <c r="G24" s="1079" t="s">
        <v>1109</v>
      </c>
      <c r="H24" s="1084"/>
      <c r="I24" s="1084"/>
      <c r="J24" s="1084"/>
      <c r="K24" s="1084"/>
      <c r="L24" s="1084"/>
      <c r="M24" s="1084"/>
      <c r="N24" s="1085" t="s">
        <v>7650</v>
      </c>
      <c r="O24" s="1084"/>
      <c r="P24" s="1127"/>
      <c r="Q24" s="1090"/>
      <c r="R24" s="1090"/>
      <c r="S24" s="1090"/>
      <c r="T24" s="1090"/>
      <c r="U24" s="1089" t="s">
        <v>2997</v>
      </c>
      <c r="V24" s="1089" t="s">
        <v>7651</v>
      </c>
      <c r="W24" s="1127"/>
      <c r="X24" s="1094" t="s">
        <v>391</v>
      </c>
      <c r="Y24" s="1094" t="s">
        <v>7652</v>
      </c>
      <c r="Z24" s="1094" t="s">
        <v>7653</v>
      </c>
      <c r="AA24" s="1231" t="s">
        <v>2851</v>
      </c>
      <c r="AB24" s="1094" t="s">
        <v>678</v>
      </c>
      <c r="AC24" s="1094" t="s">
        <v>1973</v>
      </c>
      <c r="AD24" s="1094" t="s">
        <v>7149</v>
      </c>
      <c r="AE24" s="1094" t="s">
        <v>2718</v>
      </c>
      <c r="AF24" s="1094"/>
      <c r="AG24" s="1094" t="s">
        <v>7654</v>
      </c>
      <c r="AH24" s="1232" t="s">
        <v>7655</v>
      </c>
      <c r="AI24" s="1127"/>
      <c r="AJ24" s="1100"/>
      <c r="AK24" s="1100" t="s">
        <v>5709</v>
      </c>
      <c r="AL24" s="1101"/>
      <c r="AM24" s="1100" t="s">
        <v>2645</v>
      </c>
      <c r="AN24" s="1101"/>
      <c r="AO24" s="1101"/>
      <c r="AP24" s="1100" t="s">
        <v>2073</v>
      </c>
      <c r="AQ24" s="1101"/>
      <c r="AR24" s="1100" t="s">
        <v>7656</v>
      </c>
      <c r="AS24" s="1100" t="s">
        <v>3620</v>
      </c>
      <c r="AT24" s="1132"/>
      <c r="AU24" s="1101"/>
      <c r="AV24" s="1167" t="s">
        <v>7657</v>
      </c>
      <c r="AW24" s="1100" t="s">
        <v>836</v>
      </c>
      <c r="AX24" s="1100" t="s">
        <v>7658</v>
      </c>
      <c r="AY24" s="1100" t="s">
        <v>7659</v>
      </c>
      <c r="AZ24" s="1088"/>
      <c r="BA24" s="1190"/>
      <c r="BB24" s="1108" t="s">
        <v>7660</v>
      </c>
      <c r="BC24" s="1156" t="s">
        <v>6271</v>
      </c>
      <c r="BD24" s="1156"/>
      <c r="BE24" s="1133" t="s">
        <v>7661</v>
      </c>
      <c r="BF24" s="1088"/>
      <c r="BG24" s="1113"/>
      <c r="BH24" s="1113"/>
      <c r="BI24" s="1113"/>
      <c r="BJ24" s="1169"/>
      <c r="BK24" s="1113"/>
      <c r="BL24" s="1158" t="s">
        <v>7662</v>
      </c>
      <c r="BM24" s="1111" t="s">
        <v>7663</v>
      </c>
      <c r="BN24" s="1127"/>
      <c r="BO24" s="1115"/>
      <c r="BP24" s="1138"/>
      <c r="BQ24" s="1115"/>
      <c r="BR24" s="1115"/>
      <c r="BS24" s="1161" t="s">
        <v>7078</v>
      </c>
      <c r="BT24" s="1115"/>
      <c r="BU24" s="1115"/>
      <c r="BV24" s="1115"/>
      <c r="BW24" s="1116" t="s">
        <v>7664</v>
      </c>
      <c r="BX24" s="1127"/>
      <c r="BY24" s="1121"/>
      <c r="BZ24" s="1121"/>
      <c r="CA24" s="1142"/>
      <c r="CB24" s="1142"/>
      <c r="CC24" s="1142"/>
      <c r="CD24" s="1121"/>
      <c r="CE24" s="1121"/>
      <c r="CF24" s="1121"/>
      <c r="CG24" s="1121"/>
      <c r="CH24" s="1121"/>
      <c r="CI24" s="1121"/>
      <c r="CJ24" s="1142"/>
      <c r="CK24" s="1142"/>
    </row>
    <row r="25">
      <c r="A25" s="1078" t="s">
        <v>6502</v>
      </c>
      <c r="B25" s="1079" t="s">
        <v>7665</v>
      </c>
      <c r="C25" s="1080" t="s">
        <v>1483</v>
      </c>
      <c r="D25" s="1081" t="s">
        <v>1483</v>
      </c>
      <c r="E25" s="1082" t="s">
        <v>562</v>
      </c>
      <c r="F25" s="1083" t="s">
        <v>448</v>
      </c>
      <c r="G25" s="1079" t="s">
        <v>3967</v>
      </c>
      <c r="H25" s="1084"/>
      <c r="I25" s="1084"/>
      <c r="J25" s="1084"/>
      <c r="K25" s="1084"/>
      <c r="L25" s="1085" t="s">
        <v>772</v>
      </c>
      <c r="M25" s="1084"/>
      <c r="N25" s="1085" t="s">
        <v>7666</v>
      </c>
      <c r="O25" s="1085"/>
      <c r="P25" s="1127"/>
      <c r="Q25" s="1090"/>
      <c r="R25" s="1090"/>
      <c r="S25" s="1090"/>
      <c r="T25" s="1090"/>
      <c r="U25" s="1090"/>
      <c r="V25" s="1163" t="s">
        <v>7667</v>
      </c>
      <c r="W25" s="1127"/>
      <c r="X25" s="1094" t="s">
        <v>7668</v>
      </c>
      <c r="Y25" s="1151" t="s">
        <v>7669</v>
      </c>
      <c r="Z25" s="1165"/>
      <c r="AA25" s="1233" t="s">
        <v>7670</v>
      </c>
      <c r="AB25" s="1165"/>
      <c r="AC25" s="1096" t="s">
        <v>5044</v>
      </c>
      <c r="AD25" s="1094" t="s">
        <v>1468</v>
      </c>
      <c r="AE25" s="1094" t="s">
        <v>7671</v>
      </c>
      <c r="AF25" s="1094"/>
      <c r="AG25" s="1151" t="s">
        <v>7672</v>
      </c>
      <c r="AH25" s="1099"/>
      <c r="AI25" s="1127"/>
      <c r="AJ25" s="1101"/>
      <c r="AK25" s="1101"/>
      <c r="AL25" s="1101"/>
      <c r="AM25" s="1100" t="s">
        <v>4985</v>
      </c>
      <c r="AN25" s="1101"/>
      <c r="AO25" s="1101"/>
      <c r="AP25" s="1101"/>
      <c r="AQ25" s="1101"/>
      <c r="AR25" s="1101"/>
      <c r="AS25" s="1101"/>
      <c r="AT25" s="1132"/>
      <c r="AU25" s="1101"/>
      <c r="AV25" s="1101"/>
      <c r="AW25" s="1101"/>
      <c r="AX25" s="1101"/>
      <c r="AY25" s="1167" t="s">
        <v>7673</v>
      </c>
      <c r="AZ25" s="1088"/>
      <c r="BA25" s="1190"/>
      <c r="BB25" s="1190"/>
      <c r="BC25" s="1190"/>
      <c r="BD25" s="1190"/>
      <c r="BE25" s="1156" t="s">
        <v>7674</v>
      </c>
      <c r="BF25" s="1088"/>
      <c r="BG25" s="1113"/>
      <c r="BH25" s="1113"/>
      <c r="BI25" s="1113"/>
      <c r="BJ25" s="1169"/>
      <c r="BK25" s="1113"/>
      <c r="BL25" s="1111" t="s">
        <v>7675</v>
      </c>
      <c r="BM25" s="1113"/>
      <c r="BN25" s="1127"/>
      <c r="BO25" s="1116" t="s">
        <v>4891</v>
      </c>
      <c r="BP25" s="1138"/>
      <c r="BQ25" s="1115"/>
      <c r="BR25" s="1116" t="s">
        <v>7676</v>
      </c>
      <c r="BS25" s="1117" t="s">
        <v>7447</v>
      </c>
      <c r="BT25" s="1116" t="s">
        <v>1451</v>
      </c>
      <c r="BU25" s="1115"/>
      <c r="BV25" s="1171" t="s">
        <v>7677</v>
      </c>
      <c r="BW25" s="1116" t="s">
        <v>7678</v>
      </c>
      <c r="BX25" s="1127"/>
      <c r="BY25" s="1121"/>
      <c r="BZ25" s="1121"/>
      <c r="CA25" s="1142"/>
      <c r="CB25" s="1142"/>
      <c r="CC25" s="1142"/>
      <c r="CD25" s="1121"/>
      <c r="CE25" s="1120" t="s">
        <v>3675</v>
      </c>
      <c r="CF25" s="1172" t="s">
        <v>7679</v>
      </c>
      <c r="CG25" s="1121"/>
      <c r="CH25" s="1121"/>
      <c r="CI25" s="1121"/>
      <c r="CJ25" s="1142"/>
      <c r="CK25" s="1142"/>
    </row>
    <row r="26">
      <c r="A26" s="1228" t="s">
        <v>6516</v>
      </c>
      <c r="B26" s="1079" t="s">
        <v>7680</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7681</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7682</v>
      </c>
      <c r="BF26" s="1088"/>
      <c r="BG26" s="1113"/>
      <c r="BH26" s="1113"/>
      <c r="BI26" s="1113"/>
      <c r="BJ26" s="1169"/>
      <c r="BK26" s="1113"/>
      <c r="BL26" s="1113"/>
      <c r="BM26" s="1136" t="s">
        <v>7683</v>
      </c>
      <c r="BN26" s="1130"/>
      <c r="BO26" s="1227" t="str">
        <f>HYPERLINK("https://youtu.be/oOY4TocVyJU","1:05.01")</f>
        <v>1:05.01</v>
      </c>
      <c r="BP26" s="1138"/>
      <c r="BQ26" s="1115"/>
      <c r="BR26" s="1116"/>
      <c r="BS26" s="1116"/>
      <c r="BT26" s="1115"/>
      <c r="BU26" s="1115"/>
      <c r="BV26" s="1115"/>
      <c r="BW26" s="1118" t="s">
        <v>7684</v>
      </c>
      <c r="BX26" s="1130"/>
      <c r="BY26" s="1121"/>
      <c r="BZ26" s="1121"/>
      <c r="CA26" s="1237"/>
      <c r="CB26" s="1237"/>
      <c r="CC26" s="1237"/>
      <c r="CD26" s="1121"/>
      <c r="CE26" s="1121"/>
      <c r="CF26" s="1121"/>
      <c r="CG26" s="1121"/>
      <c r="CH26" s="1121"/>
      <c r="CI26" s="1121"/>
      <c r="CJ26" s="1142"/>
      <c r="CK26" s="1142"/>
    </row>
    <row r="27">
      <c r="A27" s="1078" t="s">
        <v>7685</v>
      </c>
      <c r="B27" s="1079" t="s">
        <v>7686</v>
      </c>
      <c r="C27" s="1080" t="s">
        <v>562</v>
      </c>
      <c r="D27" s="1081" t="s">
        <v>1483</v>
      </c>
      <c r="E27" s="1082" t="s">
        <v>562</v>
      </c>
      <c r="F27" s="1083" t="s">
        <v>336</v>
      </c>
      <c r="G27" s="1079" t="s">
        <v>2863</v>
      </c>
      <c r="H27" s="1085" t="s">
        <v>3953</v>
      </c>
      <c r="I27" s="1085"/>
      <c r="J27" s="1085"/>
      <c r="K27" s="1084"/>
      <c r="L27" s="1085" t="s">
        <v>7687</v>
      </c>
      <c r="M27" s="1084"/>
      <c r="N27" s="1085" t="s">
        <v>7688</v>
      </c>
      <c r="O27" s="1084"/>
      <c r="P27" s="1127"/>
      <c r="Q27" s="1089" t="s">
        <v>7689</v>
      </c>
      <c r="R27" s="1090"/>
      <c r="S27" s="1090"/>
      <c r="T27" s="1090"/>
      <c r="U27" s="1163" t="s">
        <v>7690</v>
      </c>
      <c r="V27" s="1089" t="s">
        <v>7691</v>
      </c>
      <c r="W27" s="1127"/>
      <c r="X27" s="1094"/>
      <c r="Y27" s="1094"/>
      <c r="Z27" s="1094" t="s">
        <v>6536</v>
      </c>
      <c r="AA27" s="1231" t="s">
        <v>4718</v>
      </c>
      <c r="AB27" s="1094" t="s">
        <v>1235</v>
      </c>
      <c r="AC27" s="1165"/>
      <c r="AD27" s="1165"/>
      <c r="AE27" s="1094" t="s">
        <v>7692</v>
      </c>
      <c r="AF27" s="1094"/>
      <c r="AG27" s="1152" t="s">
        <v>7693</v>
      </c>
      <c r="AH27" s="1215" t="s">
        <v>7694</v>
      </c>
      <c r="AI27" s="1127"/>
      <c r="AJ27" s="1179"/>
      <c r="AK27" s="1102" t="s">
        <v>7695</v>
      </c>
      <c r="AL27" s="1101"/>
      <c r="AM27" s="1101"/>
      <c r="AN27" s="1101"/>
      <c r="AO27" s="1101"/>
      <c r="AP27" s="1101"/>
      <c r="AQ27" s="1101"/>
      <c r="AR27" s="1167" t="s">
        <v>7696</v>
      </c>
      <c r="AS27" s="1100" t="s">
        <v>7697</v>
      </c>
      <c r="AT27" s="1132"/>
      <c r="AU27" s="1101"/>
      <c r="AV27" s="1167" t="s">
        <v>7698</v>
      </c>
      <c r="AW27" s="1100" t="s">
        <v>2715</v>
      </c>
      <c r="AX27" s="1101"/>
      <c r="AY27" s="1100" t="s">
        <v>7699</v>
      </c>
      <c r="AZ27" s="1088"/>
      <c r="BA27" s="1190"/>
      <c r="BB27" s="1190"/>
      <c r="BC27" s="1190"/>
      <c r="BD27" s="1190"/>
      <c r="BE27" s="1156" t="s">
        <v>7700</v>
      </c>
      <c r="BF27" s="1088"/>
      <c r="BG27" s="1113"/>
      <c r="BH27" s="1113"/>
      <c r="BI27" s="1113"/>
      <c r="BJ27" s="1111"/>
      <c r="BK27" s="1113"/>
      <c r="BL27" s="1157" t="s">
        <v>7701</v>
      </c>
      <c r="BM27" s="1110" t="s">
        <v>7702</v>
      </c>
      <c r="BN27" s="1127"/>
      <c r="BO27" s="1116" t="s">
        <v>4100</v>
      </c>
      <c r="BP27" s="1138"/>
      <c r="BQ27" s="1115"/>
      <c r="BR27" s="1116" t="s">
        <v>7703</v>
      </c>
      <c r="BS27" s="1115"/>
      <c r="BT27" s="1171" t="s">
        <v>945</v>
      </c>
      <c r="BU27" s="1115"/>
      <c r="BV27" s="1116" t="s">
        <v>7704</v>
      </c>
      <c r="BW27" s="1116" t="s">
        <v>7705</v>
      </c>
      <c r="BX27" s="1127"/>
      <c r="BY27" s="1121"/>
      <c r="BZ27" s="1121"/>
      <c r="CA27" s="1142"/>
      <c r="CB27" s="1142"/>
      <c r="CC27" s="1142"/>
      <c r="CD27" s="1121"/>
      <c r="CE27" s="1145" t="s">
        <v>7706</v>
      </c>
      <c r="CF27" s="1121"/>
      <c r="CG27" s="1121"/>
      <c r="CH27" s="1121"/>
      <c r="CI27" s="1121"/>
      <c r="CJ27" s="1142"/>
      <c r="CK27" s="1142"/>
    </row>
    <row r="28">
      <c r="A28" s="1078" t="s">
        <v>4172</v>
      </c>
      <c r="B28" s="1079" t="s">
        <v>6326</v>
      </c>
      <c r="C28" s="1080" t="s">
        <v>1483</v>
      </c>
      <c r="D28" s="1081" t="s">
        <v>1483</v>
      </c>
      <c r="E28" s="1082" t="s">
        <v>667</v>
      </c>
      <c r="F28" s="1083" t="s">
        <v>1251</v>
      </c>
      <c r="G28" s="1079" t="s">
        <v>4963</v>
      </c>
      <c r="H28" s="1198" t="s">
        <v>1416</v>
      </c>
      <c r="I28" s="1084"/>
      <c r="J28" s="1084"/>
      <c r="K28" s="1084"/>
      <c r="L28" s="1085" t="s">
        <v>1557</v>
      </c>
      <c r="M28" s="1084"/>
      <c r="N28" s="1147" t="s">
        <v>7707</v>
      </c>
      <c r="O28" s="1084"/>
      <c r="P28" s="1127"/>
      <c r="Q28" s="1238" t="s">
        <v>7708</v>
      </c>
      <c r="R28" s="1090"/>
      <c r="S28" s="1089" t="s">
        <v>5917</v>
      </c>
      <c r="T28" s="1093" t="s">
        <v>641</v>
      </c>
      <c r="U28" s="1239" t="s">
        <v>7709</v>
      </c>
      <c r="V28" s="1089" t="s">
        <v>7710</v>
      </c>
      <c r="W28" s="1127"/>
      <c r="X28" s="1165"/>
      <c r="Y28" s="1094" t="s">
        <v>4183</v>
      </c>
      <c r="Z28" s="1094" t="s">
        <v>5325</v>
      </c>
      <c r="AA28" s="1240" t="s">
        <v>1844</v>
      </c>
      <c r="AB28" s="1094" t="s">
        <v>6253</v>
      </c>
      <c r="AC28" s="1094" t="s">
        <v>3534</v>
      </c>
      <c r="AD28" s="1094" t="s">
        <v>3093</v>
      </c>
      <c r="AE28" s="1129" t="s">
        <v>243</v>
      </c>
      <c r="AF28" s="1152"/>
      <c r="AG28" s="1165"/>
      <c r="AH28" s="1241" t="s">
        <v>4185</v>
      </c>
      <c r="AI28" s="1127"/>
      <c r="AJ28" s="1100"/>
      <c r="AK28" s="1100" t="s">
        <v>7711</v>
      </c>
      <c r="AL28" s="1100" t="s">
        <v>7712</v>
      </c>
      <c r="AM28" s="1100" t="s">
        <v>1721</v>
      </c>
      <c r="AN28" s="1100"/>
      <c r="AO28" s="1101"/>
      <c r="AP28" s="1105" t="s">
        <v>6887</v>
      </c>
      <c r="AQ28" s="1101"/>
      <c r="AR28" s="1100" t="s">
        <v>7713</v>
      </c>
      <c r="AS28" s="1100" t="s">
        <v>7714</v>
      </c>
      <c r="AT28" s="1132"/>
      <c r="AU28" s="1100" t="s">
        <v>7715</v>
      </c>
      <c r="AV28" s="1101"/>
      <c r="AW28" s="1105" t="s">
        <v>2806</v>
      </c>
      <c r="AX28" s="1100" t="s">
        <v>7716</v>
      </c>
      <c r="AY28" s="1100" t="s">
        <v>7717</v>
      </c>
      <c r="AZ28" s="1088"/>
      <c r="BA28" s="1190"/>
      <c r="BB28" s="1190"/>
      <c r="BC28" s="1156" t="s">
        <v>2298</v>
      </c>
      <c r="BD28" s="1156"/>
      <c r="BE28" s="1156" t="s">
        <v>7718</v>
      </c>
      <c r="BF28" s="1088"/>
      <c r="BG28" s="1113"/>
      <c r="BH28" s="1111" t="s">
        <v>7719</v>
      </c>
      <c r="BI28" s="1113"/>
      <c r="BJ28" s="1169"/>
      <c r="BK28" s="1113"/>
      <c r="BL28" s="1111" t="s">
        <v>7720</v>
      </c>
      <c r="BM28" s="1113"/>
      <c r="BN28" s="1127"/>
      <c r="BO28" s="1171" t="s">
        <v>7721</v>
      </c>
      <c r="BP28" s="1138"/>
      <c r="BQ28" s="1115"/>
      <c r="BR28" s="1115"/>
      <c r="BS28" s="1160" t="s">
        <v>7647</v>
      </c>
      <c r="BT28" s="1171" t="s">
        <v>322</v>
      </c>
      <c r="BU28" s="1160" t="s">
        <v>7722</v>
      </c>
      <c r="BV28" s="1115"/>
      <c r="BW28" s="1116" t="s">
        <v>3910</v>
      </c>
      <c r="BX28" s="1127"/>
      <c r="BY28" s="1121"/>
      <c r="BZ28" s="1121"/>
      <c r="CA28" s="1142"/>
      <c r="CB28" s="1142"/>
      <c r="CC28" s="1142"/>
      <c r="CD28" s="1121"/>
      <c r="CE28" s="1120" t="s">
        <v>7648</v>
      </c>
      <c r="CF28" s="1120" t="s">
        <v>7723</v>
      </c>
      <c r="CG28" s="1121"/>
      <c r="CH28" s="1121"/>
      <c r="CI28" s="1121"/>
      <c r="CJ28" s="1142"/>
      <c r="CK28" s="1142"/>
    </row>
    <row r="29">
      <c r="A29" s="1242" t="s">
        <v>6495</v>
      </c>
      <c r="B29" s="1079" t="s">
        <v>7724</v>
      </c>
      <c r="C29" s="1080" t="s">
        <v>1483</v>
      </c>
      <c r="D29" s="1081" t="s">
        <v>1483</v>
      </c>
      <c r="E29" s="1082" t="s">
        <v>1483</v>
      </c>
      <c r="F29" s="1083" t="s">
        <v>449</v>
      </c>
      <c r="G29" s="1079" t="s">
        <v>1109</v>
      </c>
      <c r="H29" s="1198" t="s">
        <v>4347</v>
      </c>
      <c r="I29" s="1085" t="s">
        <v>7725</v>
      </c>
      <c r="J29" s="1085"/>
      <c r="K29" s="1085"/>
      <c r="L29" s="1125" t="s">
        <v>7726</v>
      </c>
      <c r="M29" s="1084"/>
      <c r="N29" s="1147" t="s">
        <v>7727</v>
      </c>
      <c r="O29" s="1084"/>
      <c r="P29" s="1127"/>
      <c r="Q29" s="1090"/>
      <c r="R29" s="1090"/>
      <c r="S29" s="1090"/>
      <c r="T29" s="1090"/>
      <c r="U29" s="1089" t="s">
        <v>424</v>
      </c>
      <c r="V29" s="1093" t="s">
        <v>7728</v>
      </c>
      <c r="W29" s="1127"/>
      <c r="X29" s="1151" t="s">
        <v>4887</v>
      </c>
      <c r="Y29" s="1094" t="s">
        <v>7729</v>
      </c>
      <c r="Z29" s="1151" t="s">
        <v>5979</v>
      </c>
      <c r="AA29" s="1214" t="s">
        <v>4718</v>
      </c>
      <c r="AB29" s="1151" t="s">
        <v>2599</v>
      </c>
      <c r="AC29" s="1129" t="s">
        <v>7730</v>
      </c>
      <c r="AD29" s="1165"/>
      <c r="AE29" s="1129" t="str">
        <f>HYPERLINK("https://twitter.com/Qbe_Root/status/1242884733232648192","56.04")</f>
        <v>56.04</v>
      </c>
      <c r="AF29" s="1152"/>
      <c r="AG29" s="1129" t="s">
        <v>7731</v>
      </c>
      <c r="AH29" s="1099"/>
      <c r="AI29" s="1127"/>
      <c r="AJ29" s="1100"/>
      <c r="AK29" s="1100" t="s">
        <v>7732</v>
      </c>
      <c r="AL29" s="1100" t="s">
        <v>7733</v>
      </c>
      <c r="AM29" s="1100" t="s">
        <v>7734</v>
      </c>
      <c r="AN29" s="1100"/>
      <c r="AO29" s="1101"/>
      <c r="AP29" s="114" t="s">
        <v>7735</v>
      </c>
      <c r="AQ29" s="1101"/>
      <c r="AR29" s="1101"/>
      <c r="AS29" s="1101"/>
      <c r="AT29" s="1132"/>
      <c r="AU29" s="1101"/>
      <c r="AV29" s="1101"/>
      <c r="AW29" s="1100" t="s">
        <v>1694</v>
      </c>
      <c r="AX29" s="1100" t="s">
        <v>7736</v>
      </c>
      <c r="AY29" s="1101"/>
      <c r="AZ29" s="1088"/>
      <c r="BA29" s="1190"/>
      <c r="BB29" s="1190"/>
      <c r="BC29" s="1190"/>
      <c r="BD29" s="1190"/>
      <c r="BE29" s="1216" t="s">
        <v>7737</v>
      </c>
      <c r="BF29" s="1088"/>
      <c r="BG29" s="1111" t="s">
        <v>1537</v>
      </c>
      <c r="BH29" s="1113"/>
      <c r="BI29" s="1113"/>
      <c r="BJ29" s="1169"/>
      <c r="BK29" s="1111" t="s">
        <v>7738</v>
      </c>
      <c r="BL29" s="1113"/>
      <c r="BM29" s="1111" t="s">
        <v>7739</v>
      </c>
      <c r="BN29" s="1127"/>
      <c r="BO29" s="1116" t="s">
        <v>7740</v>
      </c>
      <c r="BP29" s="1138"/>
      <c r="BQ29" s="1115"/>
      <c r="BR29" s="1115"/>
      <c r="BS29" s="1115"/>
      <c r="BT29" s="1171" t="s">
        <v>1544</v>
      </c>
      <c r="BU29" s="1115"/>
      <c r="BV29" s="1243" t="str">
        <f>HYPERLINK("https://twitter.com/Qbe_Root/status/1400138849058275330", "1:53.21")</f>
        <v>1:53.21</v>
      </c>
      <c r="BW29" s="1116" t="s">
        <v>7741</v>
      </c>
      <c r="BX29" s="1127"/>
      <c r="BY29" s="1121"/>
      <c r="BZ29" s="1121"/>
      <c r="CA29" s="1142"/>
      <c r="CB29" s="1142"/>
      <c r="CC29" s="1142"/>
      <c r="CD29" s="1172" t="s">
        <v>5014</v>
      </c>
      <c r="CE29" s="1121"/>
      <c r="CF29" s="1121"/>
      <c r="CG29" s="1121"/>
      <c r="CH29" s="1121"/>
      <c r="CI29" s="1121"/>
      <c r="CJ29" s="1142"/>
      <c r="CK29" s="1142"/>
    </row>
    <row r="30">
      <c r="A30" s="1078" t="s">
        <v>4093</v>
      </c>
      <c r="B30" s="1079" t="s">
        <v>7742</v>
      </c>
      <c r="C30" s="1080" t="s">
        <v>1483</v>
      </c>
      <c r="D30" s="1081" t="s">
        <v>1483</v>
      </c>
      <c r="E30" s="1082" t="s">
        <v>1483</v>
      </c>
      <c r="F30" s="1083" t="s">
        <v>448</v>
      </c>
      <c r="G30" s="1079" t="s">
        <v>3006</v>
      </c>
      <c r="H30" s="1085" t="s">
        <v>2392</v>
      </c>
      <c r="I30" s="1084"/>
      <c r="J30" s="1084"/>
      <c r="K30" s="1084"/>
      <c r="L30" s="1085" t="s">
        <v>6445</v>
      </c>
      <c r="M30" s="1084"/>
      <c r="N30" s="1085" t="s">
        <v>7743</v>
      </c>
      <c r="O30" s="1084"/>
      <c r="P30" s="1127"/>
      <c r="Q30" s="1089" t="s">
        <v>7744</v>
      </c>
      <c r="R30" s="1090"/>
      <c r="S30" s="1090"/>
      <c r="T30" s="1090"/>
      <c r="U30" s="1163" t="s">
        <v>7363</v>
      </c>
      <c r="V30" s="1089" t="s">
        <v>7745</v>
      </c>
      <c r="W30" s="1127"/>
      <c r="X30" s="1165"/>
      <c r="Y30" s="1165"/>
      <c r="Z30" s="1094" t="s">
        <v>7746</v>
      </c>
      <c r="AA30" s="1219"/>
      <c r="AB30" s="1094" t="s">
        <v>4870</v>
      </c>
      <c r="AC30" s="1094" t="s">
        <v>311</v>
      </c>
      <c r="AD30" s="1165"/>
      <c r="AE30" s="1094" t="s">
        <v>3778</v>
      </c>
      <c r="AF30" s="1094"/>
      <c r="AG30" s="1129" t="s">
        <v>7747</v>
      </c>
      <c r="AH30" s="1222" t="s">
        <v>7748</v>
      </c>
      <c r="AI30" s="1127"/>
      <c r="AJ30" s="1100"/>
      <c r="AK30" s="1100" t="s">
        <v>7749</v>
      </c>
      <c r="AL30" s="1100" t="s">
        <v>7750</v>
      </c>
      <c r="AM30" s="1100" t="s">
        <v>4293</v>
      </c>
      <c r="AN30" s="1100"/>
      <c r="AO30" s="1101"/>
      <c r="AP30" s="1101"/>
      <c r="AQ30" s="1101"/>
      <c r="AR30" s="1100" t="s">
        <v>7751</v>
      </c>
      <c r="AS30" s="1100" t="s">
        <v>7752</v>
      </c>
      <c r="AT30" s="1167"/>
      <c r="AU30" s="1100" t="s">
        <v>7753</v>
      </c>
      <c r="AV30" s="1100"/>
      <c r="AW30" s="1100" t="s">
        <v>799</v>
      </c>
      <c r="AX30" s="1101"/>
      <c r="AY30" s="1100" t="s">
        <v>7754</v>
      </c>
      <c r="AZ30" s="1088"/>
      <c r="BA30" s="1156"/>
      <c r="BB30" s="1156" t="s">
        <v>7755</v>
      </c>
      <c r="BC30" s="1216" t="s">
        <v>4536</v>
      </c>
      <c r="BD30" s="1156"/>
      <c r="BE30" s="1216" t="s">
        <v>7756</v>
      </c>
      <c r="BF30" s="1088"/>
      <c r="BG30" s="1111" t="s">
        <v>7757</v>
      </c>
      <c r="BH30" s="1113"/>
      <c r="BI30" s="1113"/>
      <c r="BJ30" s="1169"/>
      <c r="BK30" s="1113"/>
      <c r="BL30" s="1111" t="s">
        <v>7758</v>
      </c>
      <c r="BM30" s="1111" t="s">
        <v>7759</v>
      </c>
      <c r="BN30" s="1127"/>
      <c r="BO30" s="1116" t="s">
        <v>3404</v>
      </c>
      <c r="BP30" s="1138"/>
      <c r="BQ30" s="1115"/>
      <c r="BR30" s="1116" t="s">
        <v>7760</v>
      </c>
      <c r="BS30" s="1171" t="s">
        <v>7761</v>
      </c>
      <c r="BT30" s="1115"/>
      <c r="BU30" s="1115"/>
      <c r="BV30" s="1116" t="s">
        <v>5341</v>
      </c>
      <c r="BW30" s="1116" t="s">
        <v>2686</v>
      </c>
      <c r="BX30" s="1127"/>
      <c r="BY30" s="1121"/>
      <c r="BZ30" s="1121"/>
      <c r="CA30" s="1142"/>
      <c r="CB30" s="1142"/>
      <c r="CC30" s="1142"/>
      <c r="CD30" s="1121"/>
      <c r="CE30" s="1121"/>
      <c r="CF30" s="1120" t="s">
        <v>7762</v>
      </c>
      <c r="CG30" s="1121"/>
      <c r="CH30" s="1121"/>
      <c r="CI30" s="1145" t="s">
        <v>7763</v>
      </c>
      <c r="CJ30" s="1142"/>
      <c r="CK30" s="1142"/>
    </row>
    <row r="31">
      <c r="A31" s="1078" t="s">
        <v>2861</v>
      </c>
      <c r="B31" s="1079" t="s">
        <v>7764</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7765</v>
      </c>
      <c r="V31" s="1089" t="s">
        <v>7766</v>
      </c>
      <c r="W31" s="1127"/>
      <c r="X31" s="1165"/>
      <c r="Y31" s="1165"/>
      <c r="Z31" s="1165"/>
      <c r="AA31" s="1219"/>
      <c r="AB31" s="1094"/>
      <c r="AC31" s="1095" t="s">
        <v>7767</v>
      </c>
      <c r="AD31" s="1094" t="s">
        <v>7768</v>
      </c>
      <c r="AE31" s="1094" t="s">
        <v>4634</v>
      </c>
      <c r="AF31" s="1094"/>
      <c r="AG31" s="1165"/>
      <c r="AH31" s="1099"/>
      <c r="AI31" s="1127"/>
      <c r="AJ31" s="1101"/>
      <c r="AK31" s="1101"/>
      <c r="AL31" s="1101"/>
      <c r="AM31" s="1101"/>
      <c r="AN31" s="1101"/>
      <c r="AO31" s="1101"/>
      <c r="AP31" s="1131" t="s">
        <v>7769</v>
      </c>
      <c r="AQ31" s="1101"/>
      <c r="AR31" s="1101"/>
      <c r="AS31" s="1101"/>
      <c r="AT31" s="1132"/>
      <c r="AU31" s="1101"/>
      <c r="AV31" s="1101"/>
      <c r="AW31" s="1100" t="s">
        <v>1781</v>
      </c>
      <c r="AX31" s="1101"/>
      <c r="AY31" s="1101"/>
      <c r="AZ31" s="1088"/>
      <c r="BA31" s="1190"/>
      <c r="BB31" s="1190"/>
      <c r="BC31" s="1108" t="s">
        <v>5646</v>
      </c>
      <c r="BD31" s="1106"/>
      <c r="BE31" s="1156" t="s">
        <v>7770</v>
      </c>
      <c r="BF31" s="1088"/>
      <c r="BG31" s="1113"/>
      <c r="BH31" s="1113"/>
      <c r="BI31" s="1113"/>
      <c r="BJ31" s="1169"/>
      <c r="BK31" s="1113"/>
      <c r="BL31" s="1113"/>
      <c r="BM31" s="1113"/>
      <c r="BN31" s="1127"/>
      <c r="BO31" s="1116" t="s">
        <v>7771</v>
      </c>
      <c r="BP31" s="1138"/>
      <c r="BQ31" s="1115"/>
      <c r="BR31" s="1115"/>
      <c r="BS31" s="1115"/>
      <c r="BT31" s="1115"/>
      <c r="BU31" s="1115"/>
      <c r="BV31" s="1116" t="s">
        <v>7772</v>
      </c>
      <c r="BW31" s="1115"/>
      <c r="BX31" s="1127"/>
      <c r="BY31" s="1121"/>
      <c r="BZ31" s="1121"/>
      <c r="CA31" s="1142"/>
      <c r="CB31" s="1142"/>
      <c r="CC31" s="1142"/>
      <c r="CD31" s="1121"/>
      <c r="CE31" s="1121"/>
      <c r="CF31" s="1121"/>
      <c r="CG31" s="1121"/>
      <c r="CH31" s="1121"/>
      <c r="CI31" s="1121"/>
      <c r="CJ31" s="1142"/>
      <c r="CK31" s="1142"/>
    </row>
    <row r="32">
      <c r="A32" s="1078" t="s">
        <v>7773</v>
      </c>
      <c r="B32" s="1079" t="s">
        <v>2793</v>
      </c>
      <c r="C32" s="1080" t="s">
        <v>1483</v>
      </c>
      <c r="D32" s="1081" t="s">
        <v>1483</v>
      </c>
      <c r="E32" s="1082" t="s">
        <v>1483</v>
      </c>
      <c r="F32" s="1083" t="s">
        <v>1483</v>
      </c>
      <c r="G32" s="1079" t="s">
        <v>4529</v>
      </c>
      <c r="H32" s="1084"/>
      <c r="I32" s="1084"/>
      <c r="J32" s="1085" t="s">
        <v>7774</v>
      </c>
      <c r="K32" s="1084"/>
      <c r="L32" s="1084"/>
      <c r="M32" s="1084"/>
      <c r="N32" s="1084"/>
      <c r="O32" s="1085" t="s">
        <v>7775</v>
      </c>
      <c r="P32" s="1127"/>
      <c r="Q32" s="1090"/>
      <c r="R32" s="1090"/>
      <c r="S32" s="1090"/>
      <c r="T32" s="1090"/>
      <c r="U32" s="1090"/>
      <c r="V32" s="1089" t="s">
        <v>7776</v>
      </c>
      <c r="W32" s="1127"/>
      <c r="X32" s="1165"/>
      <c r="Y32" s="1165"/>
      <c r="Z32" s="1165"/>
      <c r="AA32" s="1219"/>
      <c r="AB32" s="1165"/>
      <c r="AC32" s="1165"/>
      <c r="AD32" s="1165"/>
      <c r="AE32" s="1094" t="s">
        <v>2382</v>
      </c>
      <c r="AF32" s="1094"/>
      <c r="AG32" s="1094" t="s">
        <v>7777</v>
      </c>
      <c r="AH32" s="1099"/>
      <c r="AI32" s="1127"/>
      <c r="AJ32" s="1101"/>
      <c r="AK32" s="1101"/>
      <c r="AL32" s="1101"/>
      <c r="AM32" s="1101"/>
      <c r="AN32" s="1101"/>
      <c r="AO32" s="1101"/>
      <c r="AP32" s="1100" t="s">
        <v>7778</v>
      </c>
      <c r="AQ32" s="1101"/>
      <c r="AR32" s="1101"/>
      <c r="AS32" s="1101"/>
      <c r="AT32" s="1132"/>
      <c r="AU32" s="1101"/>
      <c r="AV32" s="1101"/>
      <c r="AW32" s="1101"/>
      <c r="AX32" s="1101"/>
      <c r="AY32" s="1101"/>
      <c r="AZ32" s="1088"/>
      <c r="BA32" s="1156" t="s">
        <v>7779</v>
      </c>
      <c r="BB32" s="1190"/>
      <c r="BC32" s="1156"/>
      <c r="BD32" s="1156"/>
      <c r="BE32" s="1156" t="s">
        <v>7780</v>
      </c>
      <c r="BF32" s="1088"/>
      <c r="BG32" s="1113"/>
      <c r="BH32" s="1113"/>
      <c r="BI32" s="1113"/>
      <c r="BJ32" s="1169"/>
      <c r="BK32" s="1113"/>
      <c r="BL32" s="1113"/>
      <c r="BM32" s="1111" t="s">
        <v>7781</v>
      </c>
      <c r="BN32" s="1127"/>
      <c r="BO32" s="1115"/>
      <c r="BP32" s="1138"/>
      <c r="BQ32" s="1115"/>
      <c r="BR32" s="1116" t="s">
        <v>2565</v>
      </c>
      <c r="BS32" s="1115"/>
      <c r="BT32" s="1115"/>
      <c r="BU32" s="1115"/>
      <c r="BV32" s="1171" t="s">
        <v>7782</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7783</v>
      </c>
      <c r="M33" s="1084"/>
      <c r="N33" s="1085" t="s">
        <v>7784</v>
      </c>
      <c r="O33" s="1085"/>
      <c r="P33" s="1127"/>
      <c r="Q33" s="1089" t="s">
        <v>7785</v>
      </c>
      <c r="R33" s="1090"/>
      <c r="S33" s="1090"/>
      <c r="T33" s="1090"/>
      <c r="U33" s="1090"/>
      <c r="V33" s="1089" t="s">
        <v>7786</v>
      </c>
      <c r="W33" s="1127"/>
      <c r="X33" s="1165"/>
      <c r="Y33" s="1165"/>
      <c r="Z33" s="1094" t="s">
        <v>7787</v>
      </c>
      <c r="AA33" s="1094" t="s">
        <v>7788</v>
      </c>
      <c r="AB33" s="1094" t="s">
        <v>4087</v>
      </c>
      <c r="AC33" s="1094" t="s">
        <v>7789</v>
      </c>
      <c r="AD33" s="1165"/>
      <c r="AE33" s="1094" t="s">
        <v>2660</v>
      </c>
      <c r="AF33" s="1094"/>
      <c r="AG33" s="1165"/>
      <c r="AH33" s="1222" t="s">
        <v>7790</v>
      </c>
      <c r="AI33" s="1127"/>
      <c r="AJ33" s="1101"/>
      <c r="AK33" s="1101"/>
      <c r="AL33" s="1101"/>
      <c r="AM33" s="1101"/>
      <c r="AN33" s="1101"/>
      <c r="AO33" s="1101"/>
      <c r="AP33" s="1100" t="s">
        <v>7791</v>
      </c>
      <c r="AQ33" s="1101"/>
      <c r="AR33" s="1101"/>
      <c r="AS33" s="1101"/>
      <c r="AT33" s="1132"/>
      <c r="AU33" s="1101"/>
      <c r="AV33" s="1101"/>
      <c r="AW33" s="1100" t="s">
        <v>444</v>
      </c>
      <c r="AX33" s="1101"/>
      <c r="AY33" s="1100" t="s">
        <v>7792</v>
      </c>
      <c r="AZ33" s="1088"/>
      <c r="BA33" s="1156" t="s">
        <v>7793</v>
      </c>
      <c r="BB33" s="1156" t="s">
        <v>7794</v>
      </c>
      <c r="BC33" s="1190"/>
      <c r="BD33" s="1190"/>
      <c r="BE33" s="1156" t="s">
        <v>7795</v>
      </c>
      <c r="BF33" s="1088"/>
      <c r="BG33" s="1113"/>
      <c r="BH33" s="1113"/>
      <c r="BI33" s="1113"/>
      <c r="BJ33" s="1169"/>
      <c r="BK33" s="1113"/>
      <c r="BL33" s="1136" t="s">
        <v>7796</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3755</v>
      </c>
      <c r="H34" s="1085" t="s">
        <v>7797</v>
      </c>
      <c r="I34" s="1084"/>
      <c r="J34" s="1084"/>
      <c r="K34" s="1084"/>
      <c r="L34" s="1084"/>
      <c r="M34" s="1084"/>
      <c r="N34" s="1084"/>
      <c r="O34" s="1084"/>
      <c r="P34" s="1127"/>
      <c r="Q34" s="1090"/>
      <c r="R34" s="1090"/>
      <c r="S34" s="1089" t="s">
        <v>1072</v>
      </c>
      <c r="T34" s="1089" t="s">
        <v>2056</v>
      </c>
      <c r="U34" s="1089" t="s">
        <v>4630</v>
      </c>
      <c r="V34" s="1089" t="s">
        <v>7798</v>
      </c>
      <c r="W34" s="1127"/>
      <c r="X34" s="1094" t="s">
        <v>1744</v>
      </c>
      <c r="Y34" s="1165"/>
      <c r="Z34" s="1165"/>
      <c r="AA34" s="1219"/>
      <c r="AB34" s="1165"/>
      <c r="AC34" s="1165"/>
      <c r="AD34" s="1165"/>
      <c r="AE34" s="1165"/>
      <c r="AF34" s="1094"/>
      <c r="AG34" s="1165"/>
      <c r="AH34" s="1099"/>
      <c r="AI34" s="1127"/>
      <c r="AJ34" s="1101"/>
      <c r="AK34" s="1101"/>
      <c r="AL34" s="1101"/>
      <c r="AM34" s="1100" t="s">
        <v>7799</v>
      </c>
      <c r="AN34" s="1101"/>
      <c r="AO34" s="1101"/>
      <c r="AP34" s="1100" t="s">
        <v>7800</v>
      </c>
      <c r="AQ34" s="1101"/>
      <c r="AR34" s="1105" t="s">
        <v>7801</v>
      </c>
      <c r="AS34" s="1101"/>
      <c r="AT34" s="1132"/>
      <c r="AU34" s="1101"/>
      <c r="AV34" s="1101"/>
      <c r="AW34" s="1100" t="s">
        <v>1507</v>
      </c>
      <c r="AX34" s="1101"/>
      <c r="AY34" s="1101"/>
      <c r="AZ34" s="1088"/>
      <c r="BA34" s="1190"/>
      <c r="BB34" s="1156" t="s">
        <v>7802</v>
      </c>
      <c r="BC34" s="1156" t="s">
        <v>430</v>
      </c>
      <c r="BD34" s="1156"/>
      <c r="BE34" s="1156" t="s">
        <v>7803</v>
      </c>
      <c r="BF34" s="1088"/>
      <c r="BG34" s="1113"/>
      <c r="BH34" s="1113"/>
      <c r="BI34" s="1113"/>
      <c r="BJ34" s="1169"/>
      <c r="BK34" s="1113"/>
      <c r="BL34" s="1113"/>
      <c r="BM34" s="1113"/>
      <c r="BN34" s="1127"/>
      <c r="BO34" s="1117" t="s">
        <v>7804</v>
      </c>
      <c r="BP34" s="1138"/>
      <c r="BQ34" s="1117" t="s">
        <v>1084</v>
      </c>
      <c r="BR34" s="1115"/>
      <c r="BS34" s="1115"/>
      <c r="BT34" s="1115"/>
      <c r="BU34" s="1115"/>
      <c r="BV34" s="1116" t="s">
        <v>7805</v>
      </c>
      <c r="BW34" s="1116" t="s">
        <v>7806</v>
      </c>
      <c r="BX34" s="1127"/>
      <c r="BY34" s="1121"/>
      <c r="BZ34" s="1145" t="s">
        <v>6550</v>
      </c>
      <c r="CA34" s="1142"/>
      <c r="CB34" s="1142"/>
      <c r="CC34" s="1142"/>
      <c r="CD34" s="1121"/>
      <c r="CE34" s="1121"/>
      <c r="CF34" s="1121"/>
      <c r="CG34" s="1121"/>
      <c r="CH34" s="1121"/>
      <c r="CI34" s="1121"/>
      <c r="CJ34" s="1142"/>
      <c r="CK34" s="1142"/>
    </row>
    <row r="35">
      <c r="A35" s="1245" t="s">
        <v>3314</v>
      </c>
      <c r="B35" s="1079" t="s">
        <v>3635</v>
      </c>
      <c r="C35" s="1080" t="s">
        <v>562</v>
      </c>
      <c r="D35" s="1081" t="s">
        <v>1483</v>
      </c>
      <c r="E35" s="1082" t="s">
        <v>1483</v>
      </c>
      <c r="F35" s="1083" t="s">
        <v>336</v>
      </c>
      <c r="G35" s="1079" t="s">
        <v>3791</v>
      </c>
      <c r="H35" s="1085" t="s">
        <v>970</v>
      </c>
      <c r="I35" s="1084"/>
      <c r="J35" s="1084"/>
      <c r="K35" s="1084"/>
      <c r="L35" s="1084"/>
      <c r="M35" s="1084"/>
      <c r="N35" s="1147" t="s">
        <v>7807</v>
      </c>
      <c r="O35" s="1084"/>
      <c r="P35" s="1127"/>
      <c r="Q35" s="1090"/>
      <c r="R35" s="1090"/>
      <c r="S35" s="1196" t="s">
        <v>2944</v>
      </c>
      <c r="T35" s="1090"/>
      <c r="U35" s="1090"/>
      <c r="V35" s="1089" t="s">
        <v>7808</v>
      </c>
      <c r="W35" s="1127"/>
      <c r="X35" s="1165"/>
      <c r="Y35" s="1165"/>
      <c r="Z35" s="1094" t="s">
        <v>7578</v>
      </c>
      <c r="AA35" s="1164" t="s">
        <v>627</v>
      </c>
      <c r="AB35" s="1165"/>
      <c r="AC35" s="1165"/>
      <c r="AD35" s="1094" t="s">
        <v>4904</v>
      </c>
      <c r="AE35" s="1094" t="s">
        <v>778</v>
      </c>
      <c r="AF35" s="1165"/>
      <c r="AG35" s="1165"/>
      <c r="AH35" s="1232" t="s">
        <v>7809</v>
      </c>
      <c r="AI35" s="1127"/>
      <c r="AJ35" s="1101"/>
      <c r="AK35" s="1101"/>
      <c r="AL35" s="1101"/>
      <c r="AM35" s="1100" t="s">
        <v>7810</v>
      </c>
      <c r="AN35" s="1101"/>
      <c r="AO35" s="1101"/>
      <c r="AP35" s="1101"/>
      <c r="AQ35" s="1101"/>
      <c r="AR35" s="1101"/>
      <c r="AS35" s="1101"/>
      <c r="AT35" s="1132"/>
      <c r="AU35" s="1101"/>
      <c r="AV35" s="1101"/>
      <c r="AW35" s="1101"/>
      <c r="AX35" s="1101"/>
      <c r="AY35" s="1100" t="s">
        <v>7811</v>
      </c>
      <c r="AZ35" s="1088"/>
      <c r="BA35" s="1190"/>
      <c r="BB35" s="1190"/>
      <c r="BC35" s="1190"/>
      <c r="BD35" s="1156" t="s">
        <v>7812</v>
      </c>
      <c r="BE35" s="1156" t="s">
        <v>7813</v>
      </c>
      <c r="BF35" s="1088"/>
      <c r="BG35" s="1111" t="s">
        <v>1359</v>
      </c>
      <c r="BH35" s="1113"/>
      <c r="BI35" s="1113"/>
      <c r="BJ35" s="1169"/>
      <c r="BK35" s="1113"/>
      <c r="BL35" s="1111" t="s">
        <v>7814</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6284</v>
      </c>
      <c r="B36" s="1079" t="s">
        <v>1111</v>
      </c>
      <c r="C36" s="1080" t="s">
        <v>1483</v>
      </c>
      <c r="D36" s="1081" t="s">
        <v>1483</v>
      </c>
      <c r="E36" s="1082" t="s">
        <v>1483</v>
      </c>
      <c r="F36" s="1083" t="s">
        <v>1483</v>
      </c>
      <c r="G36" s="1079" t="s">
        <v>220</v>
      </c>
      <c r="H36" s="1084"/>
      <c r="I36" s="1084"/>
      <c r="J36" s="1084"/>
      <c r="K36" s="1084"/>
      <c r="L36" s="1085" t="s">
        <v>7815</v>
      </c>
      <c r="M36" s="1084"/>
      <c r="N36" s="1085" t="s">
        <v>7816</v>
      </c>
      <c r="O36" s="1084"/>
      <c r="P36" s="1127"/>
      <c r="Q36" s="1090"/>
      <c r="R36" s="1090"/>
      <c r="S36" s="1090"/>
      <c r="T36" s="1090"/>
      <c r="U36" s="1089" t="s">
        <v>4664</v>
      </c>
      <c r="V36" s="1089" t="s">
        <v>7817</v>
      </c>
      <c r="W36" s="1127"/>
      <c r="X36" s="1165"/>
      <c r="Y36" s="1165"/>
      <c r="Z36" s="1094" t="s">
        <v>7818</v>
      </c>
      <c r="AA36" s="1219"/>
      <c r="AB36" s="1165"/>
      <c r="AC36" s="1165"/>
      <c r="AD36" s="1094" t="s">
        <v>1381</v>
      </c>
      <c r="AE36" s="1094" t="s">
        <v>3872</v>
      </c>
      <c r="AF36" s="1094"/>
      <c r="AG36" s="1165"/>
      <c r="AH36" s="1222" t="s">
        <v>7819</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7820</v>
      </c>
      <c r="BF36" s="1088"/>
      <c r="BG36" s="1111" t="s">
        <v>6456</v>
      </c>
      <c r="BH36" s="1111" t="s">
        <v>3015</v>
      </c>
      <c r="BI36" s="1113"/>
      <c r="BJ36" s="1169"/>
      <c r="BK36" s="1113"/>
      <c r="BL36" s="1111" t="s">
        <v>7821</v>
      </c>
      <c r="BM36" s="1113"/>
      <c r="BN36" s="1127"/>
      <c r="BO36" s="1116" t="s">
        <v>1990</v>
      </c>
      <c r="BP36" s="1138"/>
      <c r="BQ36" s="1115"/>
      <c r="BR36" s="1115"/>
      <c r="BS36" s="1115"/>
      <c r="BT36" s="1116" t="s">
        <v>4425</v>
      </c>
      <c r="BU36" s="1115"/>
      <c r="BV36" s="1116" t="s">
        <v>7822</v>
      </c>
      <c r="BW36" s="1116" t="s">
        <v>7823</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7824</v>
      </c>
      <c r="O37" s="1084"/>
      <c r="P37" s="1127"/>
      <c r="Q37" s="1090"/>
      <c r="R37" s="1090"/>
      <c r="S37" s="1089" t="s">
        <v>7825</v>
      </c>
      <c r="T37" s="1090"/>
      <c r="U37" s="1090"/>
      <c r="V37" s="1090"/>
      <c r="W37" s="1127"/>
      <c r="X37" s="1165"/>
      <c r="Y37" s="1165"/>
      <c r="Z37" s="1165"/>
      <c r="AA37" s="1231" t="s">
        <v>6804</v>
      </c>
      <c r="AB37" s="1153" t="s">
        <v>7826</v>
      </c>
      <c r="AC37" s="1165"/>
      <c r="AD37" s="1165"/>
      <c r="AE37" s="1165"/>
      <c r="AF37" s="1165"/>
      <c r="AG37" s="1165"/>
      <c r="AH37" s="1222" t="s">
        <v>7827</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7828</v>
      </c>
      <c r="BF37" s="1088"/>
      <c r="BG37" s="1113"/>
      <c r="BH37" s="1113"/>
      <c r="BI37" s="1113"/>
      <c r="BJ37" s="1169"/>
      <c r="BK37" s="1113"/>
      <c r="BL37" s="1113"/>
      <c r="BM37" s="1113"/>
      <c r="BN37" s="1127"/>
      <c r="BO37" s="1115"/>
      <c r="BP37" s="1138"/>
      <c r="BQ37" s="1115"/>
      <c r="BR37" s="1115"/>
      <c r="BS37" s="1115"/>
      <c r="BT37" s="1115"/>
      <c r="BU37" s="1217" t="s">
        <v>3473</v>
      </c>
      <c r="BV37" s="1116" t="s">
        <v>398</v>
      </c>
      <c r="BW37" s="1171" t="s">
        <v>7829</v>
      </c>
      <c r="BX37" s="1127"/>
      <c r="BY37" s="1121"/>
      <c r="BZ37" s="1223" t="s">
        <v>2796</v>
      </c>
      <c r="CA37" s="1142"/>
      <c r="CB37" s="1142"/>
      <c r="CC37" s="1142"/>
      <c r="CD37" s="1121"/>
      <c r="CE37" s="1121"/>
      <c r="CF37" s="1120" t="s">
        <v>7830</v>
      </c>
      <c r="CG37" s="1121"/>
      <c r="CH37" s="1121"/>
      <c r="CI37" s="1145" t="s">
        <v>5028</v>
      </c>
      <c r="CJ37" s="1142"/>
      <c r="CK37" s="1142"/>
    </row>
    <row r="38">
      <c r="A38" s="1078" t="s">
        <v>7831</v>
      </c>
      <c r="B38" s="1079" t="s">
        <v>7832</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7833</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6513</v>
      </c>
      <c r="B39" s="1079" t="s">
        <v>7834</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7835</v>
      </c>
      <c r="Z39" s="832"/>
      <c r="AA39" s="832"/>
      <c r="AB39" s="820" t="s">
        <v>5171</v>
      </c>
      <c r="AC39" s="832"/>
      <c r="AD39" s="1249"/>
      <c r="AE39" s="1249"/>
      <c r="AF39" s="1249"/>
      <c r="AG39" s="820" t="s">
        <v>7836</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7837</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7838</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7839</v>
      </c>
      <c r="K41" s="1085"/>
      <c r="L41" s="1085"/>
      <c r="M41" s="1085" t="s">
        <v>7840</v>
      </c>
      <c r="N41" s="1084"/>
      <c r="O41" s="1085" t="s">
        <v>7841</v>
      </c>
      <c r="P41" s="1127"/>
      <c r="Q41" s="1090"/>
      <c r="R41" s="1089" t="s">
        <v>7121</v>
      </c>
      <c r="S41" s="1090"/>
      <c r="T41" s="1090"/>
      <c r="U41" s="1090"/>
      <c r="V41" s="1089" t="s">
        <v>7842</v>
      </c>
      <c r="W41" s="1127"/>
      <c r="X41" s="1165"/>
      <c r="Y41" s="1165"/>
      <c r="Z41" s="1165"/>
      <c r="AA41" s="1231" t="s">
        <v>7843</v>
      </c>
      <c r="AB41" s="1094" t="s">
        <v>7844</v>
      </c>
      <c r="AC41" s="1165"/>
      <c r="AD41" s="1165"/>
      <c r="AE41" s="1165"/>
      <c r="AF41" s="1165"/>
      <c r="AG41" s="1094" t="s">
        <v>7845</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7846</v>
      </c>
      <c r="BF41" s="1088"/>
      <c r="BG41" s="1113"/>
      <c r="BH41" s="1113"/>
      <c r="BI41" s="1113"/>
      <c r="BJ41" s="1169"/>
      <c r="BK41" s="1113"/>
      <c r="BL41" s="1113"/>
      <c r="BM41" s="1111" t="s">
        <v>7847</v>
      </c>
      <c r="BN41" s="1127"/>
      <c r="BO41" s="1115"/>
      <c r="BP41" s="1138"/>
      <c r="BQ41" s="1115"/>
      <c r="BR41" s="1115"/>
      <c r="BS41" s="1115"/>
      <c r="BT41" s="1115"/>
      <c r="BU41" s="1115"/>
      <c r="BV41" s="1116" t="s">
        <v>7329</v>
      </c>
      <c r="BW41" s="1116" t="s">
        <v>7848</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7849</v>
      </c>
      <c r="M42" s="1084"/>
      <c r="N42" s="1147" t="s">
        <v>7850</v>
      </c>
      <c r="O42" s="1084"/>
      <c r="P42" s="1127"/>
      <c r="Q42" s="1089" t="s">
        <v>7851</v>
      </c>
      <c r="R42" s="1090"/>
      <c r="S42" s="1090"/>
      <c r="T42" s="1090"/>
      <c r="U42" s="1090"/>
      <c r="V42" s="1089" t="s">
        <v>7852</v>
      </c>
      <c r="W42" s="1127"/>
      <c r="X42" s="1165"/>
      <c r="Y42" s="1165"/>
      <c r="Z42" s="1165"/>
      <c r="AA42" s="1219"/>
      <c r="AB42" s="1165"/>
      <c r="AC42" s="1165"/>
      <c r="AD42" s="1165"/>
      <c r="AE42" s="1165"/>
      <c r="AF42" s="1165"/>
      <c r="AG42" s="1165"/>
      <c r="AH42" s="1222" t="s">
        <v>7853</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7854</v>
      </c>
      <c r="BD42" s="1156"/>
      <c r="BE42" s="1156" t="s">
        <v>7855</v>
      </c>
      <c r="BF42" s="1088"/>
      <c r="BG42" s="1113"/>
      <c r="BH42" s="1113"/>
      <c r="BI42" s="1113"/>
      <c r="BJ42" s="1169"/>
      <c r="BK42" s="1113"/>
      <c r="BL42" s="1113"/>
      <c r="BM42" s="1113"/>
      <c r="BN42" s="1127"/>
      <c r="BO42" s="1115"/>
      <c r="BP42" s="1138"/>
      <c r="BQ42" s="1116" t="s">
        <v>3674</v>
      </c>
      <c r="BR42" s="1115"/>
      <c r="BS42" s="1115"/>
      <c r="BT42" s="1115"/>
      <c r="BU42" s="1117" t="s">
        <v>7856</v>
      </c>
      <c r="BV42" s="1115"/>
      <c r="BW42" s="1116" t="s">
        <v>7857</v>
      </c>
      <c r="BX42" s="1127"/>
      <c r="BY42" s="1121"/>
      <c r="BZ42" s="1121"/>
      <c r="CA42" s="1142"/>
      <c r="CB42" s="1142"/>
      <c r="CC42" s="1142"/>
      <c r="CD42" s="1121"/>
      <c r="CE42" s="1121"/>
      <c r="CF42" s="1121"/>
      <c r="CG42" s="1121"/>
      <c r="CH42" s="1121"/>
      <c r="CI42" s="1145" t="s">
        <v>7858</v>
      </c>
      <c r="CJ42" s="1142"/>
      <c r="CK42" s="1142"/>
    </row>
    <row r="43">
      <c r="A43" s="1078" t="s">
        <v>5892</v>
      </c>
      <c r="B43" s="1079" t="s">
        <v>3006</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7859</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7860</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7861</v>
      </c>
      <c r="BF44" s="1088"/>
      <c r="BG44" s="1206" t="s">
        <v>7862</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6517</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7863</v>
      </c>
      <c r="O46" s="1084"/>
      <c r="P46" s="1127"/>
      <c r="Q46" s="1090"/>
      <c r="R46" s="1090"/>
      <c r="S46" s="1090"/>
      <c r="T46" s="1090"/>
      <c r="U46" s="1089"/>
      <c r="V46" s="1089" t="s">
        <v>7864</v>
      </c>
      <c r="W46" s="1127"/>
      <c r="X46" s="1165"/>
      <c r="Y46" s="1165"/>
      <c r="Z46" s="1151" t="s">
        <v>7865</v>
      </c>
      <c r="AA46" s="1219"/>
      <c r="AB46" s="1094" t="s">
        <v>848</v>
      </c>
      <c r="AC46" s="1165"/>
      <c r="AD46" s="1165"/>
      <c r="AE46" s="1165"/>
      <c r="AF46" s="1165"/>
      <c r="AG46" s="1094" t="s">
        <v>7866</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7867</v>
      </c>
      <c r="BF46" s="1088"/>
      <c r="BG46" s="1113"/>
      <c r="BH46" s="1113"/>
      <c r="BI46" s="1113"/>
      <c r="BJ46" s="1169"/>
      <c r="BK46" s="1113"/>
      <c r="BL46" s="1113"/>
      <c r="BM46" s="1113"/>
      <c r="BN46" s="1127"/>
      <c r="BO46" s="1116" t="s">
        <v>7868</v>
      </c>
      <c r="BP46" s="1138"/>
      <c r="BQ46" s="1115"/>
      <c r="BR46" s="1115"/>
      <c r="BS46" s="1115"/>
      <c r="BT46" s="1115"/>
      <c r="BU46" s="1115"/>
      <c r="BV46" s="1115"/>
      <c r="BW46" s="1171" t="s">
        <v>7869</v>
      </c>
      <c r="BX46" s="1127"/>
      <c r="BY46" s="1121"/>
      <c r="BZ46" s="1121"/>
      <c r="CA46" s="1142"/>
      <c r="CB46" s="1142"/>
      <c r="CC46" s="1142"/>
      <c r="CD46" s="1121"/>
      <c r="CE46" s="1121"/>
      <c r="CF46" s="1121"/>
      <c r="CG46" s="1121"/>
      <c r="CH46" s="1121"/>
      <c r="CI46" s="1121"/>
      <c r="CJ46" s="1142"/>
      <c r="CK46" s="1142"/>
    </row>
    <row r="47">
      <c r="A47" s="1078" t="s">
        <v>6518</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7870</v>
      </c>
      <c r="W47" s="1127"/>
      <c r="X47" s="1165"/>
      <c r="Y47" s="1165"/>
      <c r="Z47" s="1165"/>
      <c r="AA47" s="1219"/>
      <c r="AB47" s="1165"/>
      <c r="AC47" s="1165"/>
      <c r="AD47" s="1165"/>
      <c r="AE47" s="1165"/>
      <c r="AF47" s="1165"/>
      <c r="AG47" s="1165"/>
      <c r="AH47" s="1222" t="s">
        <v>7871</v>
      </c>
      <c r="AI47" s="1127"/>
      <c r="AJ47" s="1101"/>
      <c r="AK47" s="1101"/>
      <c r="AL47" s="1101"/>
      <c r="AM47" s="1101"/>
      <c r="AN47" s="1101"/>
      <c r="AO47" s="1101"/>
      <c r="AP47" s="1101"/>
      <c r="AQ47" s="1101"/>
      <c r="AR47" s="1101"/>
      <c r="AS47" s="1101"/>
      <c r="AT47" s="1132"/>
      <c r="AU47" s="1101"/>
      <c r="AV47" s="1101"/>
      <c r="AW47" s="1101"/>
      <c r="AX47" s="1101"/>
      <c r="AY47" s="1222" t="s">
        <v>7872</v>
      </c>
      <c r="AZ47" s="1088"/>
      <c r="BA47" s="1190"/>
      <c r="BB47" s="1190"/>
      <c r="BC47" s="1190"/>
      <c r="BD47" s="1190"/>
      <c r="BE47" s="1222" t="s">
        <v>7873</v>
      </c>
      <c r="BF47" s="1088"/>
      <c r="BG47" s="1113"/>
      <c r="BH47" s="1113"/>
      <c r="BI47" s="1113"/>
      <c r="BJ47" s="1169"/>
      <c r="BK47" s="1113"/>
      <c r="BL47" s="1222" t="s">
        <v>7874</v>
      </c>
      <c r="BM47" s="1111"/>
      <c r="BN47" s="1127"/>
      <c r="BO47" s="1115"/>
      <c r="BP47" s="1138"/>
      <c r="BQ47" s="1115"/>
      <c r="BR47" s="1115"/>
      <c r="BS47" s="1115"/>
      <c r="BT47" s="1115"/>
      <c r="BU47" s="1115"/>
      <c r="BV47" s="1115"/>
      <c r="BW47" s="1222" t="s">
        <v>7875</v>
      </c>
      <c r="BX47" s="1127"/>
      <c r="BY47" s="1121"/>
      <c r="BZ47" s="1121"/>
      <c r="CA47" s="1142"/>
      <c r="CB47" s="1142"/>
      <c r="CC47" s="1142"/>
      <c r="CD47" s="1121"/>
      <c r="CE47" s="1121"/>
      <c r="CF47" s="1121"/>
      <c r="CG47" s="1121"/>
      <c r="CH47" s="1121"/>
      <c r="CI47" s="1121"/>
      <c r="CJ47" s="1142"/>
      <c r="CK47" s="1142"/>
    </row>
    <row r="48">
      <c r="A48" s="1228" t="s">
        <v>7876</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7877</v>
      </c>
      <c r="AA48" s="1165"/>
      <c r="AB48" s="1185" t="s">
        <v>7878</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7879</v>
      </c>
      <c r="B49" s="1079" t="s">
        <v>1033</v>
      </c>
      <c r="C49" s="1080" t="s">
        <v>1483</v>
      </c>
      <c r="D49" s="1081" t="s">
        <v>1483</v>
      </c>
      <c r="E49" s="1082" t="s">
        <v>1483</v>
      </c>
      <c r="F49" s="1083" t="s">
        <v>1483</v>
      </c>
      <c r="G49" s="1079" t="s">
        <v>667</v>
      </c>
      <c r="H49" s="1084"/>
      <c r="I49" s="1084"/>
      <c r="J49" s="1084"/>
      <c r="K49" s="1084"/>
      <c r="L49" s="1084"/>
      <c r="M49" s="1084"/>
      <c r="N49" s="1085" t="s">
        <v>7880</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7881</v>
      </c>
      <c r="BF49" s="1088"/>
      <c r="BG49" s="1113"/>
      <c r="BH49" s="1113"/>
      <c r="BI49" s="1113"/>
      <c r="BJ49" s="1169"/>
      <c r="BK49" s="1113"/>
      <c r="BL49" s="1113"/>
      <c r="BM49" s="1113"/>
      <c r="BN49" s="1127"/>
      <c r="BO49" s="1115"/>
      <c r="BP49" s="1138"/>
      <c r="BQ49" s="1115"/>
      <c r="BR49" s="1115"/>
      <c r="BS49" s="1115"/>
      <c r="BT49" s="1115"/>
      <c r="BU49" s="1115"/>
      <c r="BV49" s="1115"/>
      <c r="BW49" s="1116" t="s">
        <v>7882</v>
      </c>
      <c r="BX49" s="1127"/>
      <c r="BY49" s="1121"/>
      <c r="BZ49" s="1121"/>
      <c r="CA49" s="1142"/>
      <c r="CB49" s="1142"/>
      <c r="CC49" s="1142"/>
      <c r="CD49" s="1121"/>
      <c r="CE49" s="1121"/>
      <c r="CF49" s="1121"/>
      <c r="CG49" s="1121"/>
      <c r="CH49" s="1121"/>
      <c r="CI49" s="1121"/>
      <c r="CJ49" s="1142"/>
      <c r="CK49" s="1142"/>
    </row>
    <row r="50">
      <c r="A50" s="1078" t="s">
        <v>3633</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7883</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7884</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6310</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7885</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7886</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7887</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7888</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7889</v>
      </c>
      <c r="W56" s="1127"/>
      <c r="X56" s="1165"/>
      <c r="Y56" s="1165"/>
      <c r="Z56" s="1165"/>
      <c r="AA56" s="1219"/>
      <c r="AB56" s="1165"/>
      <c r="AC56" s="1165"/>
      <c r="AD56" s="1165"/>
      <c r="AE56" s="1165"/>
      <c r="AF56" s="1165"/>
      <c r="AG56" s="1165"/>
      <c r="AH56" s="1222" t="s">
        <v>7890</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7891</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7892</v>
      </c>
      <c r="B58" s="1079" t="s">
        <v>667</v>
      </c>
      <c r="C58" s="1080" t="s">
        <v>1483</v>
      </c>
      <c r="D58" s="1081" t="s">
        <v>1483</v>
      </c>
      <c r="E58" s="1082" t="s">
        <v>1483</v>
      </c>
      <c r="F58" s="1083" t="s">
        <v>448</v>
      </c>
      <c r="G58" s="1079" t="s">
        <v>448</v>
      </c>
      <c r="H58" s="1084"/>
      <c r="I58" s="1084"/>
      <c r="J58" s="1084"/>
      <c r="K58" s="1084"/>
      <c r="L58" s="1147" t="s">
        <v>7893</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7265</v>
      </c>
      <c r="BV58" s="1115"/>
      <c r="BW58" s="1115"/>
      <c r="BX58" s="1127"/>
      <c r="BY58" s="1121"/>
      <c r="BZ58" s="1121"/>
      <c r="CA58" s="1142"/>
      <c r="CB58" s="1142"/>
      <c r="CC58" s="1142"/>
      <c r="CD58" s="1121"/>
      <c r="CE58" s="1121"/>
      <c r="CF58" s="1121"/>
      <c r="CG58" s="1121"/>
      <c r="CH58" s="1121"/>
      <c r="CI58" s="1121"/>
      <c r="CJ58" s="1142"/>
      <c r="CK58" s="1142"/>
    </row>
    <row r="59">
      <c r="A59" s="1078" t="s">
        <v>7894</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265" t="s">
        <v>7896</v>
      </c>
      <c r="W1" s="1266" t="s">
        <v>7897</v>
      </c>
      <c r="AM1" s="1267" t="s">
        <v>7898</v>
      </c>
      <c r="BG1" s="1268" t="s">
        <v>7899</v>
      </c>
      <c r="BQ1" s="1269" t="s">
        <v>7900</v>
      </c>
      <c r="BV1" s="1270" t="s">
        <v>7901</v>
      </c>
      <c r="CE1" s="1265" t="s">
        <v>7902</v>
      </c>
      <c r="CM1" s="1271" t="s">
        <v>7903</v>
      </c>
      <c r="CP1" s="1272" t="s">
        <v>7904</v>
      </c>
      <c r="CT1" s="1273" t="s">
        <v>7905</v>
      </c>
    </row>
    <row r="2">
      <c r="A2" s="1274" t="s">
        <v>43</v>
      </c>
      <c r="B2" s="36" t="s">
        <v>44</v>
      </c>
      <c r="C2" s="36" t="s">
        <v>45</v>
      </c>
      <c r="F2" s="36" t="s">
        <v>7906</v>
      </c>
      <c r="H2" s="1275" t="s">
        <v>7907</v>
      </c>
      <c r="I2" s="1275" t="s">
        <v>7908</v>
      </c>
      <c r="J2" s="1275" t="s">
        <v>7909</v>
      </c>
      <c r="K2" s="1275" t="s">
        <v>7910</v>
      </c>
      <c r="L2" s="1275" t="s">
        <v>7911</v>
      </c>
      <c r="M2" s="1275" t="s">
        <v>7912</v>
      </c>
      <c r="N2" s="1275" t="s">
        <v>7913</v>
      </c>
      <c r="O2" s="1275" t="s">
        <v>7914</v>
      </c>
      <c r="P2" s="1275" t="s">
        <v>7915</v>
      </c>
      <c r="Q2" s="1275" t="s">
        <v>7916</v>
      </c>
      <c r="R2" s="1275" t="s">
        <v>7917</v>
      </c>
      <c r="S2" s="1275" t="s">
        <v>7918</v>
      </c>
      <c r="T2" s="1275" t="s">
        <v>7919</v>
      </c>
      <c r="U2" s="1275" t="s">
        <v>7920</v>
      </c>
      <c r="V2" s="1275" t="s">
        <v>7921</v>
      </c>
      <c r="W2" s="1276" t="s">
        <v>7922</v>
      </c>
      <c r="X2" s="1276" t="s">
        <v>7923</v>
      </c>
      <c r="Y2" s="1276" t="s">
        <v>7924</v>
      </c>
      <c r="Z2" s="1276" t="s">
        <v>7925</v>
      </c>
      <c r="AA2" s="1276" t="s">
        <v>7926</v>
      </c>
      <c r="AB2" s="1276" t="s">
        <v>7927</v>
      </c>
      <c r="AC2" s="1276" t="s">
        <v>7928</v>
      </c>
      <c r="AD2" s="1276" t="s">
        <v>7929</v>
      </c>
      <c r="AE2" s="1276" t="s">
        <v>7930</v>
      </c>
      <c r="AF2" s="1276" t="s">
        <v>7931</v>
      </c>
      <c r="AG2" s="1276" t="s">
        <v>7932</v>
      </c>
      <c r="AH2" s="1276" t="s">
        <v>7933</v>
      </c>
      <c r="AI2" s="1276" t="s">
        <v>7934</v>
      </c>
      <c r="AJ2" s="1276" t="s">
        <v>7935</v>
      </c>
      <c r="AK2" s="1276" t="s">
        <v>7936</v>
      </c>
      <c r="AL2" s="1276" t="s">
        <v>7937</v>
      </c>
      <c r="AM2" s="1277" t="s">
        <v>7938</v>
      </c>
      <c r="AN2" s="1277" t="s">
        <v>7939</v>
      </c>
      <c r="AO2" s="1277" t="s">
        <v>7940</v>
      </c>
      <c r="AP2" s="1277" t="s">
        <v>7941</v>
      </c>
      <c r="AQ2" s="1277" t="s">
        <v>7942</v>
      </c>
      <c r="AR2" s="1277" t="s">
        <v>7943</v>
      </c>
      <c r="AS2" s="1277" t="s">
        <v>7944</v>
      </c>
      <c r="AT2" s="1277" t="s">
        <v>7945</v>
      </c>
      <c r="AU2" s="1277" t="s">
        <v>7946</v>
      </c>
      <c r="AV2" s="1277" t="s">
        <v>7947</v>
      </c>
      <c r="AW2" s="1277" t="s">
        <v>7948</v>
      </c>
      <c r="AX2" s="1277" t="s">
        <v>7949</v>
      </c>
      <c r="AY2" s="1277" t="s">
        <v>7950</v>
      </c>
      <c r="AZ2" s="1277" t="s">
        <v>7951</v>
      </c>
      <c r="BA2" s="1277" t="s">
        <v>7952</v>
      </c>
      <c r="BB2" s="1277" t="s">
        <v>7953</v>
      </c>
      <c r="BC2" s="1277" t="s">
        <v>7954</v>
      </c>
      <c r="BD2" s="1277" t="s">
        <v>7955</v>
      </c>
      <c r="BE2" s="1277" t="s">
        <v>7956</v>
      </c>
      <c r="BF2" s="1277" t="s">
        <v>7957</v>
      </c>
      <c r="BG2" s="1278" t="s">
        <v>7958</v>
      </c>
      <c r="BH2" s="1278" t="s">
        <v>7959</v>
      </c>
      <c r="BI2" s="1278" t="s">
        <v>7960</v>
      </c>
      <c r="BJ2" s="1278" t="s">
        <v>7961</v>
      </c>
      <c r="BK2" s="1278" t="s">
        <v>7962</v>
      </c>
      <c r="BL2" s="1278" t="s">
        <v>7963</v>
      </c>
      <c r="BM2" s="1278" t="s">
        <v>7964</v>
      </c>
      <c r="BN2" s="1278" t="s">
        <v>7965</v>
      </c>
      <c r="BO2" s="1278" t="s">
        <v>7966</v>
      </c>
      <c r="BP2" s="1278" t="s">
        <v>7967</v>
      </c>
      <c r="BQ2" s="1279" t="s">
        <v>7968</v>
      </c>
      <c r="BR2" s="1279" t="s">
        <v>7969</v>
      </c>
      <c r="BS2" s="1279" t="s">
        <v>7970</v>
      </c>
      <c r="BT2" s="1279" t="s">
        <v>7971</v>
      </c>
      <c r="BU2" s="1279" t="s">
        <v>7972</v>
      </c>
      <c r="BV2" s="1280" t="s">
        <v>7973</v>
      </c>
      <c r="BW2" s="1280" t="s">
        <v>7974</v>
      </c>
      <c r="BX2" s="1280" t="s">
        <v>7975</v>
      </c>
      <c r="BY2" s="1280" t="s">
        <v>7976</v>
      </c>
      <c r="BZ2" s="1280" t="s">
        <v>7977</v>
      </c>
      <c r="CA2" s="1280" t="s">
        <v>7978</v>
      </c>
      <c r="CB2" s="1280" t="s">
        <v>7979</v>
      </c>
      <c r="CC2" s="1280" t="s">
        <v>7980</v>
      </c>
      <c r="CD2" s="1280" t="s">
        <v>7981</v>
      </c>
      <c r="CE2" s="1281" t="s">
        <v>7907</v>
      </c>
      <c r="CF2" s="1281" t="s">
        <v>7910</v>
      </c>
      <c r="CG2" s="1281" t="s">
        <v>7914</v>
      </c>
      <c r="CH2" s="1281" t="s">
        <v>7916</v>
      </c>
      <c r="CI2" s="1281" t="s">
        <v>7917</v>
      </c>
      <c r="CJ2" s="1281" t="s">
        <v>7920</v>
      </c>
      <c r="CK2" s="1281" t="s">
        <v>7982</v>
      </c>
      <c r="CL2" s="1281" t="s">
        <v>7983</v>
      </c>
      <c r="CM2" s="1282" t="s">
        <v>7984</v>
      </c>
      <c r="CN2" s="1282" t="s">
        <v>7985</v>
      </c>
      <c r="CO2" s="1282" t="s">
        <v>7986</v>
      </c>
      <c r="CP2" s="1283" t="s">
        <v>7987</v>
      </c>
      <c r="CQ2" s="1283" t="s">
        <v>7988</v>
      </c>
      <c r="CR2" s="1283" t="s">
        <v>7989</v>
      </c>
      <c r="CS2" s="1283" t="s">
        <v>7990</v>
      </c>
      <c r="CT2" s="1284" t="s">
        <v>7991</v>
      </c>
    </row>
    <row r="3">
      <c r="A3" s="1285" t="s">
        <v>6511</v>
      </c>
      <c r="B3" s="1079" t="s">
        <v>7992</v>
      </c>
      <c r="C3" s="1080" t="s">
        <v>337</v>
      </c>
      <c r="D3" s="1081" t="s">
        <v>448</v>
      </c>
      <c r="E3" s="1082" t="s">
        <v>667</v>
      </c>
      <c r="F3" s="1083" t="s">
        <v>220</v>
      </c>
      <c r="G3" s="1079" t="s">
        <v>3599</v>
      </c>
      <c r="H3" s="832" t="s">
        <v>7993</v>
      </c>
      <c r="I3" s="1286" t="s">
        <v>7994</v>
      </c>
      <c r="J3" s="832" t="s">
        <v>7698</v>
      </c>
      <c r="K3" s="807" t="s">
        <v>7995</v>
      </c>
      <c r="L3" s="1286" t="s">
        <v>7996</v>
      </c>
      <c r="M3" s="1287" t="s">
        <v>7997</v>
      </c>
      <c r="N3" s="832" t="s">
        <v>7998</v>
      </c>
      <c r="O3" s="1286" t="s">
        <v>7999</v>
      </c>
      <c r="P3" s="1288" t="s">
        <v>8000</v>
      </c>
      <c r="Q3" s="1288" t="s">
        <v>8001</v>
      </c>
      <c r="R3" s="832" t="s">
        <v>8002</v>
      </c>
      <c r="S3" s="1289" t="s">
        <v>8003</v>
      </c>
      <c r="T3" s="820" t="s">
        <v>8004</v>
      </c>
      <c r="U3" s="1290" t="s">
        <v>8005</v>
      </c>
      <c r="V3" s="832" t="s">
        <v>8006</v>
      </c>
      <c r="W3" s="832" t="s">
        <v>2442</v>
      </c>
      <c r="X3" s="1289" t="s">
        <v>1857</v>
      </c>
      <c r="Y3" s="832" t="s">
        <v>1961</v>
      </c>
      <c r="Z3" s="1289" t="s">
        <v>8007</v>
      </c>
      <c r="AA3" s="832" t="s">
        <v>4560</v>
      </c>
      <c r="AB3" s="1289"/>
      <c r="AC3" s="832" t="s">
        <v>3510</v>
      </c>
      <c r="AD3" s="832" t="s">
        <v>3923</v>
      </c>
      <c r="AE3" s="832" t="s">
        <v>8008</v>
      </c>
      <c r="AF3" s="1289" t="s">
        <v>8009</v>
      </c>
      <c r="AG3" s="1289"/>
      <c r="AH3" s="1289" t="s">
        <v>8010</v>
      </c>
      <c r="AI3" s="1289" t="s">
        <v>8011</v>
      </c>
      <c r="AJ3" s="1291"/>
      <c r="AK3" s="1289"/>
      <c r="AL3" s="832"/>
      <c r="AM3" s="1289" t="s">
        <v>8012</v>
      </c>
      <c r="AN3" s="1290" t="s">
        <v>8013</v>
      </c>
      <c r="AO3" s="1290" t="s">
        <v>8014</v>
      </c>
      <c r="AP3" s="1290" t="s">
        <v>8015</v>
      </c>
      <c r="AQ3" s="1290" t="s">
        <v>8016</v>
      </c>
      <c r="AR3" s="1290" t="s">
        <v>8017</v>
      </c>
      <c r="AS3" s="1290" t="s">
        <v>8018</v>
      </c>
      <c r="AT3" s="1287" t="s">
        <v>8019</v>
      </c>
      <c r="AU3" s="1290" t="s">
        <v>8020</v>
      </c>
      <c r="AV3" s="1290" t="s">
        <v>8021</v>
      </c>
      <c r="AW3" s="820" t="s">
        <v>8022</v>
      </c>
      <c r="AX3" s="1290" t="s">
        <v>8023</v>
      </c>
      <c r="AY3" s="1289" t="s">
        <v>8024</v>
      </c>
      <c r="AZ3" s="1289" t="s">
        <v>5194</v>
      </c>
      <c r="BA3" s="1290" t="s">
        <v>8025</v>
      </c>
      <c r="BB3" s="1289" t="s">
        <v>8026</v>
      </c>
      <c r="BC3" s="1289" t="s">
        <v>8027</v>
      </c>
      <c r="BD3" s="832" t="s">
        <v>8028</v>
      </c>
      <c r="BE3" s="1289"/>
      <c r="BF3" s="1290" t="s">
        <v>8029</v>
      </c>
      <c r="BG3" s="1289"/>
      <c r="BH3" s="1289"/>
      <c r="BI3" s="1289" t="s">
        <v>8030</v>
      </c>
      <c r="BJ3" s="1289"/>
      <c r="BK3" s="1289"/>
      <c r="BL3" s="832"/>
      <c r="BM3" s="1289" t="s">
        <v>8031</v>
      </c>
      <c r="BN3" s="1289"/>
      <c r="BO3" s="1289"/>
      <c r="BP3" s="1289"/>
      <c r="BQ3" s="832" t="s">
        <v>8032</v>
      </c>
      <c r="BR3" s="1291"/>
      <c r="BS3" s="832" t="s">
        <v>8033</v>
      </c>
      <c r="BT3" s="1291"/>
      <c r="BU3" s="832" t="s">
        <v>8034</v>
      </c>
      <c r="BV3" s="1249"/>
      <c r="BW3" s="1291"/>
      <c r="BX3" s="1289" t="s">
        <v>4089</v>
      </c>
      <c r="BY3" s="1291"/>
      <c r="BZ3" s="1249"/>
      <c r="CA3" s="1289" t="s">
        <v>3546</v>
      </c>
      <c r="CB3" s="1289" t="s">
        <v>377</v>
      </c>
      <c r="CC3" s="1289" t="s">
        <v>2507</v>
      </c>
      <c r="CD3" s="1289"/>
      <c r="CE3" s="832" t="s">
        <v>8035</v>
      </c>
      <c r="CF3" s="832" t="s">
        <v>8036</v>
      </c>
      <c r="CG3" s="1289"/>
      <c r="CH3" s="1289"/>
      <c r="CI3" s="1289"/>
      <c r="CJ3" s="1289"/>
      <c r="CK3" s="1289"/>
      <c r="CL3" s="1289"/>
      <c r="CM3" s="1289"/>
      <c r="CN3" s="832"/>
      <c r="CO3" s="1289"/>
      <c r="CP3" s="832" t="s">
        <v>8037</v>
      </c>
      <c r="CQ3" s="832" t="s">
        <v>8038</v>
      </c>
      <c r="CR3" s="1289"/>
      <c r="CS3" s="1289"/>
      <c r="CT3" s="1289" t="s">
        <v>8039</v>
      </c>
    </row>
    <row r="4">
      <c r="A4" s="1292" t="s">
        <v>6489</v>
      </c>
      <c r="B4" s="1079" t="s">
        <v>8040</v>
      </c>
      <c r="C4" s="1080" t="s">
        <v>450</v>
      </c>
      <c r="D4" s="1081" t="s">
        <v>336</v>
      </c>
      <c r="E4" s="1082" t="s">
        <v>1033</v>
      </c>
      <c r="F4" s="1083" t="s">
        <v>6124</v>
      </c>
      <c r="G4" s="1079" t="s">
        <v>4963</v>
      </c>
      <c r="H4" s="1293" t="s">
        <v>8041</v>
      </c>
      <c r="I4" s="1294" t="s">
        <v>8042</v>
      </c>
      <c r="J4" s="1249"/>
      <c r="K4" s="832" t="s">
        <v>8043</v>
      </c>
      <c r="L4" s="1291"/>
      <c r="M4" s="1290" t="s">
        <v>8044</v>
      </c>
      <c r="N4" s="1249"/>
      <c r="O4" s="820" t="s">
        <v>8045</v>
      </c>
      <c r="P4" s="1286" t="s">
        <v>8046</v>
      </c>
      <c r="Q4" s="1291"/>
      <c r="R4" s="820" t="s">
        <v>8047</v>
      </c>
      <c r="S4" s="1249"/>
      <c r="T4" s="832" t="s">
        <v>8048</v>
      </c>
      <c r="U4" s="820" t="s">
        <v>7548</v>
      </c>
      <c r="V4" s="1290" t="s">
        <v>8049</v>
      </c>
      <c r="W4" s="820" t="s">
        <v>1424</v>
      </c>
      <c r="X4" s="820" t="s">
        <v>1805</v>
      </c>
      <c r="Y4" s="820" t="s">
        <v>1657</v>
      </c>
      <c r="Z4" s="1290" t="s">
        <v>3420</v>
      </c>
      <c r="AA4" s="1295"/>
      <c r="AB4" s="1296" t="s">
        <v>8050</v>
      </c>
      <c r="AC4" s="820" t="s">
        <v>3443</v>
      </c>
      <c r="AD4" s="820" t="s">
        <v>6343</v>
      </c>
      <c r="AE4" s="1295"/>
      <c r="AF4" s="1286" t="s">
        <v>7799</v>
      </c>
      <c r="AG4" s="1291"/>
      <c r="AH4" s="1288" t="s">
        <v>8051</v>
      </c>
      <c r="AI4" s="1288" t="s">
        <v>5082</v>
      </c>
      <c r="AJ4" s="1291"/>
      <c r="AK4" s="820" t="s">
        <v>8052</v>
      </c>
      <c r="AL4" s="1249"/>
      <c r="AM4" s="1286" t="s">
        <v>8053</v>
      </c>
      <c r="AN4" s="832" t="s">
        <v>8054</v>
      </c>
      <c r="AO4" s="832" t="s">
        <v>8055</v>
      </c>
      <c r="AP4" s="1286" t="s">
        <v>8012</v>
      </c>
      <c r="AQ4" s="1249"/>
      <c r="AR4" s="832" t="s">
        <v>8056</v>
      </c>
      <c r="AS4" s="1249"/>
      <c r="AT4" s="1286" t="s">
        <v>8019</v>
      </c>
      <c r="AU4" s="1286" t="s">
        <v>8057</v>
      </c>
      <c r="AV4" s="1249"/>
      <c r="AW4" s="1286" t="s">
        <v>8058</v>
      </c>
      <c r="AX4" s="1249"/>
      <c r="AY4" s="1249"/>
      <c r="AZ4" s="1286" t="s">
        <v>1650</v>
      </c>
      <c r="BA4" s="1288" t="s">
        <v>5309</v>
      </c>
      <c r="BB4" s="1286" t="s">
        <v>8059</v>
      </c>
      <c r="BC4" s="820" t="s">
        <v>8060</v>
      </c>
      <c r="BD4" s="1290" t="s">
        <v>8061</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6498</v>
      </c>
      <c r="B5" s="1079" t="s">
        <v>8062</v>
      </c>
      <c r="C5" s="1080" t="s">
        <v>336</v>
      </c>
      <c r="D5" s="1081" t="s">
        <v>450</v>
      </c>
      <c r="E5" s="1082" t="s">
        <v>1483</v>
      </c>
      <c r="F5" s="1083" t="s">
        <v>1250</v>
      </c>
      <c r="G5" s="1079" t="s">
        <v>5643</v>
      </c>
      <c r="H5" s="832" t="s">
        <v>8063</v>
      </c>
      <c r="I5" s="832" t="s">
        <v>7753</v>
      </c>
      <c r="J5" s="832"/>
      <c r="K5" s="1288" t="s">
        <v>8064</v>
      </c>
      <c r="L5" s="1290" t="s">
        <v>8065</v>
      </c>
      <c r="M5" s="832"/>
      <c r="N5" s="832"/>
      <c r="O5" s="820" t="s">
        <v>8066</v>
      </c>
      <c r="P5" s="832" t="s">
        <v>8067</v>
      </c>
      <c r="Q5" s="832" t="s">
        <v>8068</v>
      </c>
      <c r="R5" s="1290" t="s">
        <v>8069</v>
      </c>
      <c r="S5" s="832"/>
      <c r="T5" s="1288" t="s">
        <v>8070</v>
      </c>
      <c r="U5" s="1288" t="s">
        <v>8071</v>
      </c>
      <c r="V5" s="832"/>
      <c r="W5" s="832" t="s">
        <v>6539</v>
      </c>
      <c r="X5" s="832"/>
      <c r="Y5" s="832" t="s">
        <v>8072</v>
      </c>
      <c r="Z5" s="1288" t="s">
        <v>1184</v>
      </c>
      <c r="AA5" s="1295"/>
      <c r="AB5" s="1295"/>
      <c r="AC5" s="832" t="s">
        <v>8073</v>
      </c>
      <c r="AD5" s="1249"/>
      <c r="AE5" s="832"/>
      <c r="AF5" s="832" t="s">
        <v>8074</v>
      </c>
      <c r="AG5" s="832"/>
      <c r="AH5" s="832" t="s">
        <v>8075</v>
      </c>
      <c r="AI5" s="832" t="s">
        <v>2108</v>
      </c>
      <c r="AJ5" s="1249"/>
      <c r="AK5" s="832"/>
      <c r="AL5" s="832"/>
      <c r="AM5" s="832" t="s">
        <v>8076</v>
      </c>
      <c r="AN5" s="1249"/>
      <c r="AO5" s="1249"/>
      <c r="AP5" s="832" t="s">
        <v>8077</v>
      </c>
      <c r="AQ5" s="1288" t="s">
        <v>8078</v>
      </c>
      <c r="AR5" s="832" t="s">
        <v>8079</v>
      </c>
      <c r="AS5" s="832"/>
      <c r="AT5" s="832" t="s">
        <v>8080</v>
      </c>
      <c r="AU5" s="820" t="s">
        <v>8081</v>
      </c>
      <c r="AV5" s="832"/>
      <c r="AW5" s="1298" t="s">
        <v>8082</v>
      </c>
      <c r="AX5" s="114"/>
      <c r="AY5" s="114" t="s">
        <v>8083</v>
      </c>
      <c r="AZ5" s="832" t="s">
        <v>2971</v>
      </c>
      <c r="BA5" s="832"/>
      <c r="BB5" s="832" t="s">
        <v>8061</v>
      </c>
      <c r="BC5" s="1290" t="s">
        <v>8084</v>
      </c>
      <c r="BD5" s="832" t="s">
        <v>8085</v>
      </c>
      <c r="BE5" s="832"/>
      <c r="BF5" s="832"/>
      <c r="BG5" s="832" t="s">
        <v>8086</v>
      </c>
      <c r="BH5" s="832"/>
      <c r="BI5" s="832"/>
      <c r="BJ5" s="832"/>
      <c r="BK5" s="832" t="s">
        <v>8087</v>
      </c>
      <c r="BL5" s="832"/>
      <c r="BM5" s="832"/>
      <c r="BN5" s="832"/>
      <c r="BO5" s="832"/>
      <c r="BP5" s="832" t="s">
        <v>8088</v>
      </c>
      <c r="BQ5" s="1249"/>
      <c r="BR5" s="1249"/>
      <c r="BS5" s="1249"/>
      <c r="BT5" s="1249"/>
      <c r="BU5" s="1249"/>
      <c r="BV5" s="832"/>
      <c r="BW5" s="832" t="s">
        <v>6786</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6512</v>
      </c>
      <c r="B6" s="1079" t="s">
        <v>7560</v>
      </c>
      <c r="C6" s="1080" t="s">
        <v>1033</v>
      </c>
      <c r="D6" s="1081" t="s">
        <v>337</v>
      </c>
      <c r="E6" s="1082" t="s">
        <v>336</v>
      </c>
      <c r="F6" s="1083" t="s">
        <v>6124</v>
      </c>
      <c r="G6" s="1079" t="s">
        <v>5867</v>
      </c>
      <c r="H6" s="1288" t="s">
        <v>8089</v>
      </c>
      <c r="I6" s="820" t="s">
        <v>8090</v>
      </c>
      <c r="J6" s="832"/>
      <c r="K6" s="1286" t="s">
        <v>8091</v>
      </c>
      <c r="L6" s="820" t="s">
        <v>8092</v>
      </c>
      <c r="M6" s="1249"/>
      <c r="N6" s="1249"/>
      <c r="O6" s="820" t="s">
        <v>8093</v>
      </c>
      <c r="P6" s="1249"/>
      <c r="Q6" s="832" t="s">
        <v>8094</v>
      </c>
      <c r="R6" s="1288" t="s">
        <v>8095</v>
      </c>
      <c r="S6" s="1249"/>
      <c r="T6" s="1286" t="s">
        <v>8096</v>
      </c>
      <c r="U6" s="1286" t="s">
        <v>694</v>
      </c>
      <c r="V6" s="832" t="s">
        <v>8097</v>
      </c>
      <c r="W6" s="1249"/>
      <c r="X6" s="1286" t="s">
        <v>6089</v>
      </c>
      <c r="Y6" s="1288" t="s">
        <v>2631</v>
      </c>
      <c r="Z6" s="1249"/>
      <c r="AA6" s="1249"/>
      <c r="AB6" s="1249"/>
      <c r="AC6" s="1249"/>
      <c r="AD6" s="832" t="s">
        <v>8098</v>
      </c>
      <c r="AE6" s="1295"/>
      <c r="AF6" s="820" t="s">
        <v>476</v>
      </c>
      <c r="AG6" s="1295"/>
      <c r="AH6" s="1249"/>
      <c r="AI6" s="1249"/>
      <c r="AJ6" s="1290" t="s">
        <v>2303</v>
      </c>
      <c r="AK6" s="1288" t="s">
        <v>6077</v>
      </c>
      <c r="AL6" s="1300" t="s">
        <v>8099</v>
      </c>
      <c r="AM6" s="1288" t="s">
        <v>8100</v>
      </c>
      <c r="AN6" s="1249"/>
      <c r="AO6" s="1249"/>
      <c r="AP6" s="832" t="s">
        <v>8012</v>
      </c>
      <c r="AQ6" s="832"/>
      <c r="AR6" s="1288" t="s">
        <v>8101</v>
      </c>
      <c r="AS6" s="1295"/>
      <c r="AT6" s="1290" t="s">
        <v>8102</v>
      </c>
      <c r="AU6" s="820" t="s">
        <v>8103</v>
      </c>
      <c r="AV6" s="1288" t="s">
        <v>8104</v>
      </c>
      <c r="AW6" s="1288" t="s">
        <v>8105</v>
      </c>
      <c r="AX6" s="1249"/>
      <c r="AY6" s="1249"/>
      <c r="AZ6" s="1290" t="s">
        <v>4688</v>
      </c>
      <c r="BA6" s="1295"/>
      <c r="BB6" s="1288" t="s">
        <v>8106</v>
      </c>
      <c r="BC6" s="1288" t="s">
        <v>8107</v>
      </c>
      <c r="BD6" s="1249"/>
      <c r="BE6" s="1249"/>
      <c r="BF6" s="1249"/>
      <c r="BG6" s="1301" t="s">
        <v>8108</v>
      </c>
      <c r="BH6" s="1190"/>
      <c r="BI6" s="1190"/>
      <c r="BJ6" s="1190"/>
      <c r="BK6" s="1301" t="s">
        <v>8109</v>
      </c>
      <c r="BL6" s="1190"/>
      <c r="BM6" s="1134" t="s">
        <v>8110</v>
      </c>
      <c r="BN6" s="1107" t="s">
        <v>8111</v>
      </c>
      <c r="BO6" s="1190"/>
      <c r="BP6" s="1190"/>
      <c r="BQ6" s="1302"/>
      <c r="BR6" s="1249"/>
      <c r="BS6" s="1290" t="s">
        <v>8112</v>
      </c>
      <c r="BT6" s="1249"/>
      <c r="BU6" s="1249"/>
      <c r="BV6" s="1249"/>
      <c r="BW6" s="1249"/>
      <c r="BX6" s="1249"/>
      <c r="BY6" s="1249"/>
      <c r="BZ6" s="1249"/>
      <c r="CA6" s="1249"/>
      <c r="CB6" s="1249"/>
      <c r="CC6" s="1288" t="s">
        <v>462</v>
      </c>
      <c r="CD6" s="1295"/>
      <c r="CE6" s="1303"/>
      <c r="CF6" s="1303"/>
      <c r="CG6" s="1304"/>
      <c r="CH6" s="1304"/>
      <c r="CI6" s="1303" t="s">
        <v>8113</v>
      </c>
      <c r="CJ6" s="1304"/>
      <c r="CK6" s="1304"/>
      <c r="CL6" s="1303" t="s">
        <v>5643</v>
      </c>
      <c r="CM6" s="1305" t="s">
        <v>2314</v>
      </c>
      <c r="CN6" s="1305" t="s">
        <v>3382</v>
      </c>
      <c r="CO6" s="1303"/>
      <c r="CP6" s="1303"/>
      <c r="CQ6" s="1303"/>
      <c r="CR6" s="1303"/>
      <c r="CS6" s="1305" t="s">
        <v>8114</v>
      </c>
      <c r="CT6" s="92"/>
    </row>
    <row r="7">
      <c r="A7" s="1306" t="s">
        <v>7304</v>
      </c>
      <c r="B7" s="1079" t="s">
        <v>6225</v>
      </c>
      <c r="C7" s="1080" t="s">
        <v>336</v>
      </c>
      <c r="D7" s="1081" t="s">
        <v>449</v>
      </c>
      <c r="E7" s="1082" t="s">
        <v>449</v>
      </c>
      <c r="F7" s="1083" t="s">
        <v>5026</v>
      </c>
      <c r="G7" s="1079" t="s">
        <v>2971</v>
      </c>
      <c r="H7" s="820" t="s">
        <v>8115</v>
      </c>
      <c r="I7" s="807" t="s">
        <v>8116</v>
      </c>
      <c r="J7" s="1307"/>
      <c r="K7" s="820" t="s">
        <v>8117</v>
      </c>
      <c r="L7" s="1308"/>
      <c r="M7" s="1286" t="s">
        <v>8118</v>
      </c>
      <c r="N7" s="1249"/>
      <c r="O7" s="1249"/>
      <c r="P7" s="1289" t="s">
        <v>8119</v>
      </c>
      <c r="Q7" s="1291"/>
      <c r="R7" s="832"/>
      <c r="S7" s="1249"/>
      <c r="T7" s="1249"/>
      <c r="U7" s="1289" t="s">
        <v>8120</v>
      </c>
      <c r="V7" s="1289"/>
      <c r="W7" s="1286" t="s">
        <v>2213</v>
      </c>
      <c r="X7" s="820" t="s">
        <v>2268</v>
      </c>
      <c r="Y7" s="820" t="s">
        <v>2160</v>
      </c>
      <c r="Z7" s="1286" t="s">
        <v>8121</v>
      </c>
      <c r="AA7" s="1295"/>
      <c r="AB7" s="1295"/>
      <c r="AC7" s="1289" t="s">
        <v>8122</v>
      </c>
      <c r="AD7" s="820" t="s">
        <v>4582</v>
      </c>
      <c r="AE7" s="1295"/>
      <c r="AF7" s="820" t="s">
        <v>8123</v>
      </c>
      <c r="AG7" s="1308"/>
      <c r="AH7" s="1289" t="s">
        <v>1980</v>
      </c>
      <c r="AI7" s="1289" t="s">
        <v>1403</v>
      </c>
      <c r="AJ7" s="1289"/>
      <c r="AK7" s="832" t="s">
        <v>8124</v>
      </c>
      <c r="AL7" s="1289" t="s">
        <v>6277</v>
      </c>
      <c r="AM7" s="1309" t="s">
        <v>8125</v>
      </c>
      <c r="AN7" s="1286" t="s">
        <v>8126</v>
      </c>
      <c r="AO7" s="1288" t="s">
        <v>8127</v>
      </c>
      <c r="AP7" s="820" t="s">
        <v>8128</v>
      </c>
      <c r="AQ7" s="1295"/>
      <c r="AR7" s="820" t="s">
        <v>8129</v>
      </c>
      <c r="AS7" s="1295"/>
      <c r="AT7" s="1288" t="s">
        <v>8087</v>
      </c>
      <c r="AU7" s="820" t="s">
        <v>8130</v>
      </c>
      <c r="AV7" s="1295"/>
      <c r="AW7" s="1310" t="s">
        <v>8131</v>
      </c>
      <c r="AX7" s="1295"/>
      <c r="AY7" s="1288" t="s">
        <v>8132</v>
      </c>
      <c r="AZ7" s="820" t="s">
        <v>5161</v>
      </c>
      <c r="BA7" s="1295"/>
      <c r="BB7" s="820" t="s">
        <v>8133</v>
      </c>
      <c r="BC7" s="1310" t="s">
        <v>8134</v>
      </c>
      <c r="BD7" s="1286" t="s">
        <v>8135</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8136</v>
      </c>
      <c r="BZ7" s="1288" t="s">
        <v>8137</v>
      </c>
      <c r="CA7" s="1290" t="s">
        <v>1409</v>
      </c>
      <c r="CB7" s="1290" t="s">
        <v>8138</v>
      </c>
      <c r="CC7" s="1290" t="s">
        <v>490</v>
      </c>
      <c r="CD7" s="1312" t="s">
        <v>2608</v>
      </c>
      <c r="CE7" s="1291"/>
      <c r="CF7" s="1249"/>
      <c r="CG7" s="1291"/>
      <c r="CH7" s="1291"/>
      <c r="CI7" s="1291"/>
      <c r="CJ7" s="1291"/>
      <c r="CK7" s="1291"/>
      <c r="CL7" s="1291"/>
      <c r="CM7" s="1291"/>
      <c r="CN7" s="1249"/>
      <c r="CO7" s="1291"/>
      <c r="CP7" s="1291"/>
      <c r="CQ7" s="1291"/>
      <c r="CR7" s="1291"/>
      <c r="CS7" s="1291"/>
      <c r="CT7" s="832" t="s">
        <v>8139</v>
      </c>
    </row>
    <row r="8">
      <c r="A8" s="1313" t="s">
        <v>8140</v>
      </c>
      <c r="B8" s="1079" t="s">
        <v>8141</v>
      </c>
      <c r="C8" s="1080" t="s">
        <v>562</v>
      </c>
      <c r="D8" s="1081" t="s">
        <v>336</v>
      </c>
      <c r="E8" s="1082" t="s">
        <v>450</v>
      </c>
      <c r="F8" s="1083" t="s">
        <v>5826</v>
      </c>
      <c r="G8" s="1079" t="s">
        <v>7441</v>
      </c>
      <c r="H8" s="820" t="s">
        <v>8142</v>
      </c>
      <c r="I8" s="820" t="s">
        <v>8143</v>
      </c>
      <c r="J8" s="1295"/>
      <c r="K8" s="1249"/>
      <c r="L8" s="1291"/>
      <c r="M8" s="1249"/>
      <c r="N8" s="1249"/>
      <c r="O8" s="1249"/>
      <c r="P8" s="832" t="s">
        <v>8144</v>
      </c>
      <c r="Q8" s="1291"/>
      <c r="R8" s="1286" t="s">
        <v>8145</v>
      </c>
      <c r="S8" s="1249"/>
      <c r="T8" s="1249"/>
      <c r="U8" s="1309" t="s">
        <v>8146</v>
      </c>
      <c r="V8" s="1308"/>
      <c r="W8" s="1287" t="s">
        <v>815</v>
      </c>
      <c r="X8" s="1308" t="s">
        <v>3846</v>
      </c>
      <c r="Y8" s="1314" t="s">
        <v>5079</v>
      </c>
      <c r="Z8" s="1295"/>
      <c r="AA8" s="1295" t="s">
        <v>8147</v>
      </c>
      <c r="AB8" s="1308"/>
      <c r="AC8" s="1286" t="s">
        <v>8148</v>
      </c>
      <c r="AD8" s="820" t="s">
        <v>851</v>
      </c>
      <c r="AE8" s="1295"/>
      <c r="AF8" s="1295"/>
      <c r="AG8" s="1308"/>
      <c r="AH8" s="1291"/>
      <c r="AI8" s="1291"/>
      <c r="AJ8" s="1291"/>
      <c r="AK8" s="1289" t="s">
        <v>329</v>
      </c>
      <c r="AL8" s="832"/>
      <c r="AM8" s="1290" t="s">
        <v>8149</v>
      </c>
      <c r="AN8" s="1289" t="s">
        <v>8150</v>
      </c>
      <c r="AO8" s="1249"/>
      <c r="AP8" s="820" t="s">
        <v>8126</v>
      </c>
      <c r="AQ8" s="1295"/>
      <c r="AR8" s="1249"/>
      <c r="AS8" s="1249"/>
      <c r="AT8" s="820" t="s">
        <v>8151</v>
      </c>
      <c r="AU8" s="832"/>
      <c r="AV8" s="832"/>
      <c r="AW8" s="820" t="s">
        <v>8152</v>
      </c>
      <c r="AX8" s="1249"/>
      <c r="AY8" s="1249"/>
      <c r="AZ8" s="1249"/>
      <c r="BA8" s="1249"/>
      <c r="BB8" s="820" t="s">
        <v>8153</v>
      </c>
      <c r="BC8" s="1289" t="s">
        <v>8154</v>
      </c>
      <c r="BD8" s="1249"/>
      <c r="BE8" s="1291"/>
      <c r="BF8" s="1249"/>
      <c r="BG8" s="1191"/>
      <c r="BH8" s="1156" t="s">
        <v>8155</v>
      </c>
      <c r="BI8" s="1191"/>
      <c r="BJ8" s="1191"/>
      <c r="BK8" s="1191"/>
      <c r="BL8" s="1190"/>
      <c r="BM8" s="1191"/>
      <c r="BN8" s="1191"/>
      <c r="BO8" s="1191"/>
      <c r="BP8" s="1191"/>
      <c r="BQ8" s="1291"/>
      <c r="BR8" s="1291"/>
      <c r="BS8" s="1288" t="s">
        <v>8156</v>
      </c>
      <c r="BT8" s="1291"/>
      <c r="BU8" s="1291"/>
      <c r="BV8" s="1315" t="s">
        <v>1183</v>
      </c>
      <c r="BW8" s="1286" t="s">
        <v>3648</v>
      </c>
      <c r="BX8" s="1288" t="s">
        <v>2399</v>
      </c>
      <c r="BY8" s="1309" t="s">
        <v>3777</v>
      </c>
      <c r="BZ8" s="1295"/>
      <c r="CA8" s="1288" t="s">
        <v>2053</v>
      </c>
      <c r="CB8" s="1309" t="s">
        <v>2956</v>
      </c>
      <c r="CC8" s="1316" t="s">
        <v>3569</v>
      </c>
      <c r="CD8" s="1317"/>
      <c r="CE8" s="1318"/>
      <c r="CF8" s="1304"/>
      <c r="CG8" s="1318"/>
      <c r="CH8" s="1318"/>
      <c r="CI8" s="1318"/>
      <c r="CJ8" s="1318"/>
      <c r="CK8" s="1318"/>
      <c r="CL8" s="1318"/>
      <c r="CM8" s="1319" t="s">
        <v>3792</v>
      </c>
      <c r="CN8" s="1304"/>
      <c r="CO8" s="1318"/>
      <c r="CP8" s="1318"/>
      <c r="CQ8" s="1320" t="s">
        <v>8131</v>
      </c>
      <c r="CR8" s="1318"/>
      <c r="CS8" s="1318"/>
      <c r="CT8" s="1321"/>
    </row>
    <row r="9">
      <c r="A9" s="1322" t="s">
        <v>3005</v>
      </c>
      <c r="B9" s="1079" t="s">
        <v>8157</v>
      </c>
      <c r="C9" s="1080" t="s">
        <v>448</v>
      </c>
      <c r="D9" s="1081" t="s">
        <v>448</v>
      </c>
      <c r="E9" s="1082" t="s">
        <v>1483</v>
      </c>
      <c r="F9" s="1083" t="s">
        <v>338</v>
      </c>
      <c r="G9" s="1079" t="s">
        <v>4963</v>
      </c>
      <c r="H9" s="1323"/>
      <c r="I9" s="1323" t="s">
        <v>8158</v>
      </c>
      <c r="J9" s="1249"/>
      <c r="K9" s="832" t="s">
        <v>8159</v>
      </c>
      <c r="L9" s="820" t="s">
        <v>8160</v>
      </c>
      <c r="M9" s="832" t="s">
        <v>8161</v>
      </c>
      <c r="N9" s="1249"/>
      <c r="O9" s="832" t="s">
        <v>8162</v>
      </c>
      <c r="P9" s="832" t="s">
        <v>8163</v>
      </c>
      <c r="Q9" s="832" t="s">
        <v>8164</v>
      </c>
      <c r="R9" s="832" t="s">
        <v>8165</v>
      </c>
      <c r="S9" s="1288" t="s">
        <v>3042</v>
      </c>
      <c r="T9" s="1249"/>
      <c r="U9" s="832" t="s">
        <v>3997</v>
      </c>
      <c r="V9" s="1291"/>
      <c r="W9" s="832" t="s">
        <v>5035</v>
      </c>
      <c r="X9" s="820" t="s">
        <v>3677</v>
      </c>
      <c r="Y9" s="820" t="s">
        <v>8166</v>
      </c>
      <c r="Z9" s="1249"/>
      <c r="AA9" s="1290" t="s">
        <v>5723</v>
      </c>
      <c r="AB9" s="1291"/>
      <c r="AC9" s="832" t="s">
        <v>5811</v>
      </c>
      <c r="AD9" s="832" t="s">
        <v>2069</v>
      </c>
      <c r="AE9" s="832"/>
      <c r="AF9" s="832" t="s">
        <v>5668</v>
      </c>
      <c r="AG9" s="1291"/>
      <c r="AH9" s="1291"/>
      <c r="AI9" s="1291"/>
      <c r="AJ9" s="1291"/>
      <c r="AK9" s="1249"/>
      <c r="AL9" s="1249"/>
      <c r="AM9" s="1289" t="s">
        <v>8131</v>
      </c>
      <c r="AN9" s="1249"/>
      <c r="AO9" s="1249"/>
      <c r="AP9" s="832" t="s">
        <v>8167</v>
      </c>
      <c r="AQ9" s="832" t="s">
        <v>8167</v>
      </c>
      <c r="AR9" s="832" t="s">
        <v>8168</v>
      </c>
      <c r="AS9" s="832" t="s">
        <v>8169</v>
      </c>
      <c r="AT9" s="832" t="s">
        <v>8169</v>
      </c>
      <c r="AU9" s="1288" t="s">
        <v>8170</v>
      </c>
      <c r="AV9" s="832" t="s">
        <v>8151</v>
      </c>
      <c r="AW9" s="832" t="s">
        <v>8125</v>
      </c>
      <c r="AX9" s="1249"/>
      <c r="AY9" s="1290" t="s">
        <v>8171</v>
      </c>
      <c r="AZ9" s="832" t="s">
        <v>5194</v>
      </c>
      <c r="BA9" s="832"/>
      <c r="BB9" s="832" t="s">
        <v>8135</v>
      </c>
      <c r="BC9" s="1289" t="s">
        <v>8172</v>
      </c>
      <c r="BD9" s="1289" t="s">
        <v>8173</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3444</v>
      </c>
      <c r="BZ9" s="1249"/>
      <c r="CA9" s="1291"/>
      <c r="CB9" s="832" t="s">
        <v>3655</v>
      </c>
      <c r="CC9" s="1291"/>
      <c r="CD9" s="1291"/>
      <c r="CE9" s="1318"/>
      <c r="CF9" s="1304"/>
      <c r="CG9" s="1318"/>
      <c r="CH9" s="1318"/>
      <c r="CI9" s="1318"/>
      <c r="CJ9" s="1318"/>
      <c r="CK9" s="1318"/>
      <c r="CL9" s="1318"/>
      <c r="CM9" s="1318"/>
      <c r="CN9" s="1304"/>
      <c r="CO9" s="1318"/>
      <c r="CP9" s="1318"/>
      <c r="CQ9" s="1318"/>
      <c r="CR9" s="1318"/>
      <c r="CS9" s="1303" t="s">
        <v>8174</v>
      </c>
      <c r="CT9" s="1249"/>
    </row>
    <row r="10">
      <c r="A10" s="1325" t="s">
        <v>2234</v>
      </c>
      <c r="B10" s="1079" t="s">
        <v>8175</v>
      </c>
      <c r="C10" s="1080" t="s">
        <v>1483</v>
      </c>
      <c r="D10" s="1081" t="s">
        <v>448</v>
      </c>
      <c r="E10" s="1082" t="s">
        <v>448</v>
      </c>
      <c r="F10" s="1083" t="s">
        <v>336</v>
      </c>
      <c r="G10" s="1079" t="s">
        <v>4688</v>
      </c>
      <c r="H10" s="1323" t="s">
        <v>8176</v>
      </c>
      <c r="I10" s="1326" t="s">
        <v>2247</v>
      </c>
      <c r="J10" s="832" t="s">
        <v>8177</v>
      </c>
      <c r="K10" s="832" t="s">
        <v>8178</v>
      </c>
      <c r="L10" s="832" t="s">
        <v>8179</v>
      </c>
      <c r="M10" s="832" t="s">
        <v>8180</v>
      </c>
      <c r="N10" s="832" t="s">
        <v>8181</v>
      </c>
      <c r="O10" s="832" t="s">
        <v>8182</v>
      </c>
      <c r="P10" s="832" t="s">
        <v>8183</v>
      </c>
      <c r="Q10" s="832" t="s">
        <v>8184</v>
      </c>
      <c r="R10" s="832" t="s">
        <v>8185</v>
      </c>
      <c r="S10" s="1286" t="s">
        <v>8186</v>
      </c>
      <c r="T10" s="832" t="s">
        <v>8187</v>
      </c>
      <c r="U10" s="832" t="s">
        <v>8188</v>
      </c>
      <c r="V10" s="1286" t="s">
        <v>8189</v>
      </c>
      <c r="W10" s="832" t="s">
        <v>3996</v>
      </c>
      <c r="X10" s="832" t="s">
        <v>8190</v>
      </c>
      <c r="Y10" s="1289" t="s">
        <v>2069</v>
      </c>
      <c r="Z10" s="1249"/>
      <c r="AA10" s="1249"/>
      <c r="AB10" s="1291"/>
      <c r="AC10" s="1289" t="s">
        <v>8191</v>
      </c>
      <c r="AD10" s="1289" t="s">
        <v>5428</v>
      </c>
      <c r="AE10" s="1288" t="s">
        <v>2618</v>
      </c>
      <c r="AF10" s="1289" t="s">
        <v>8192</v>
      </c>
      <c r="AG10" s="832" t="s">
        <v>8193</v>
      </c>
      <c r="AH10" s="1291"/>
      <c r="AI10" s="1291"/>
      <c r="AJ10" s="1291"/>
      <c r="AK10" s="832" t="s">
        <v>6354</v>
      </c>
      <c r="AL10" s="832" t="s">
        <v>2851</v>
      </c>
      <c r="AM10" s="1249"/>
      <c r="AN10" s="1249"/>
      <c r="AO10" s="1249"/>
      <c r="AP10" s="1249"/>
      <c r="AQ10" s="1249"/>
      <c r="AR10" s="1249"/>
      <c r="AS10" s="1249"/>
      <c r="AT10" s="832" t="s">
        <v>8194</v>
      </c>
      <c r="AU10" s="832" t="s">
        <v>8135</v>
      </c>
      <c r="AV10" s="1249"/>
      <c r="AW10" s="832" t="s">
        <v>8133</v>
      </c>
      <c r="AX10" s="832" t="s">
        <v>8195</v>
      </c>
      <c r="AY10" s="1249"/>
      <c r="AZ10" s="832"/>
      <c r="BA10" s="832"/>
      <c r="BB10" s="1295"/>
      <c r="BC10" s="832" t="s">
        <v>8172</v>
      </c>
      <c r="BD10" s="832" t="s">
        <v>8196</v>
      </c>
      <c r="BE10" s="832"/>
      <c r="BF10" s="832" t="s">
        <v>8197</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3546</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8198</v>
      </c>
    </row>
    <row r="11">
      <c r="A11" s="1328" t="s">
        <v>8199</v>
      </c>
      <c r="B11" s="1079" t="s">
        <v>8200</v>
      </c>
      <c r="C11" s="1080" t="s">
        <v>562</v>
      </c>
      <c r="D11" s="1081" t="s">
        <v>336</v>
      </c>
      <c r="E11" s="1082" t="s">
        <v>667</v>
      </c>
      <c r="F11" s="1083" t="s">
        <v>5826</v>
      </c>
      <c r="G11" s="1079" t="s">
        <v>6040</v>
      </c>
      <c r="H11" s="1323" t="s">
        <v>8201</v>
      </c>
      <c r="I11" s="1323" t="s">
        <v>8202</v>
      </c>
      <c r="J11" s="1249"/>
      <c r="K11" s="832" t="s">
        <v>8203</v>
      </c>
      <c r="L11" s="1291"/>
      <c r="M11" s="1249"/>
      <c r="N11" s="1249"/>
      <c r="O11" s="1249"/>
      <c r="P11" s="832" t="s">
        <v>8204</v>
      </c>
      <c r="Q11" s="1291"/>
      <c r="R11" s="1249"/>
      <c r="S11" s="1249"/>
      <c r="T11" s="832" t="s">
        <v>8205</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8037</v>
      </c>
      <c r="AN11" s="1288" t="s">
        <v>8105</v>
      </c>
      <c r="AO11" s="1249"/>
      <c r="AP11" s="930" t="s">
        <v>8037</v>
      </c>
      <c r="AQ11" s="1286" t="s">
        <v>8206</v>
      </c>
      <c r="AR11" s="1286" t="s">
        <v>8196</v>
      </c>
      <c r="AS11" s="1249"/>
      <c r="AT11" s="820" t="s">
        <v>8207</v>
      </c>
      <c r="AU11" s="820" t="s">
        <v>8208</v>
      </c>
      <c r="AV11" s="1286" t="s">
        <v>8209</v>
      </c>
      <c r="AW11" s="820" t="s">
        <v>8167</v>
      </c>
      <c r="AX11" s="1288" t="s">
        <v>8210</v>
      </c>
      <c r="AY11" s="1249"/>
      <c r="AZ11" s="1249"/>
      <c r="BA11" s="1249"/>
      <c r="BB11" s="820" t="s">
        <v>8208</v>
      </c>
      <c r="BC11" s="1249"/>
      <c r="BD11" s="1288" t="s">
        <v>8211</v>
      </c>
      <c r="BE11" s="1329" t="s">
        <v>8212</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6517</v>
      </c>
      <c r="B12" s="1079" t="s">
        <v>8213</v>
      </c>
      <c r="C12" s="1080" t="s">
        <v>336</v>
      </c>
      <c r="D12" s="1081" t="s">
        <v>338</v>
      </c>
      <c r="E12" s="1082" t="s">
        <v>562</v>
      </c>
      <c r="F12" s="1083" t="s">
        <v>5826</v>
      </c>
      <c r="G12" s="1079" t="s">
        <v>5026</v>
      </c>
      <c r="H12" s="1333" t="str">
        <f>HYPERLINK("https://www.twitch.tv/videos/990301696","3:46.19")</f>
        <v>3:46.19</v>
      </c>
      <c r="I12" s="1323" t="s">
        <v>8214</v>
      </c>
      <c r="J12" s="832"/>
      <c r="K12" s="832" t="s">
        <v>8215</v>
      </c>
      <c r="L12" s="1291"/>
      <c r="M12" s="1334" t="str">
        <f>HYPERLINK("https://youtu.be/muKa7MrNAp8","2:59.41")</f>
        <v>2:59.41</v>
      </c>
      <c r="N12" s="1287"/>
      <c r="O12" s="114" t="s">
        <v>8216</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8217</v>
      </c>
      <c r="X12" s="832"/>
      <c r="Y12" s="832" t="s">
        <v>8218</v>
      </c>
      <c r="Z12" s="1249"/>
      <c r="AA12" s="1249"/>
      <c r="AB12" s="1291"/>
      <c r="AC12" s="1249"/>
      <c r="AD12" s="832" t="s">
        <v>4337</v>
      </c>
      <c r="AE12" s="1249"/>
      <c r="AF12" s="1249"/>
      <c r="AG12" s="1291"/>
      <c r="AH12" s="832" t="s">
        <v>6012</v>
      </c>
      <c r="AI12" s="1289"/>
      <c r="AJ12" s="1289"/>
      <c r="AK12" s="1286" t="s">
        <v>8219</v>
      </c>
      <c r="AL12" s="1295"/>
      <c r="AM12" s="1289" t="s">
        <v>8167</v>
      </c>
      <c r="AN12" s="1249"/>
      <c r="AO12" s="1249"/>
      <c r="AP12" s="1249"/>
      <c r="AQ12" s="1249"/>
      <c r="AR12" s="1249"/>
      <c r="AS12" s="1249"/>
      <c r="AT12" s="832" t="s">
        <v>8220</v>
      </c>
      <c r="AU12" s="832" t="s">
        <v>8221</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8222</v>
      </c>
      <c r="C13" s="1080" t="s">
        <v>1483</v>
      </c>
      <c r="D13" s="1081" t="s">
        <v>562</v>
      </c>
      <c r="E13" s="1082" t="s">
        <v>1483</v>
      </c>
      <c r="F13" s="1083" t="s">
        <v>562</v>
      </c>
      <c r="G13" s="1079" t="s">
        <v>3947</v>
      </c>
      <c r="H13" s="1323"/>
      <c r="I13" s="1323" t="s">
        <v>8223</v>
      </c>
      <c r="J13" s="832" t="s">
        <v>8224</v>
      </c>
      <c r="K13" s="832" t="s">
        <v>8225</v>
      </c>
      <c r="L13" s="1291"/>
      <c r="M13" s="832" t="s">
        <v>8226</v>
      </c>
      <c r="N13" s="832" t="s">
        <v>8227</v>
      </c>
      <c r="O13" s="1249"/>
      <c r="P13" s="832" t="s">
        <v>8228</v>
      </c>
      <c r="Q13" s="1291"/>
      <c r="R13" s="1289" t="s">
        <v>8229</v>
      </c>
      <c r="S13" s="832" t="s">
        <v>8230</v>
      </c>
      <c r="T13" s="832" t="s">
        <v>8109</v>
      </c>
      <c r="U13" s="832" t="s">
        <v>8231</v>
      </c>
      <c r="V13" s="832" t="s">
        <v>8232</v>
      </c>
      <c r="W13" s="832" t="s">
        <v>8233</v>
      </c>
      <c r="X13" s="832" t="s">
        <v>4949</v>
      </c>
      <c r="Y13" s="832" t="s">
        <v>382</v>
      </c>
      <c r="Z13" s="1289" t="s">
        <v>3349</v>
      </c>
      <c r="AA13" s="832" t="s">
        <v>8234</v>
      </c>
      <c r="AB13" s="1289"/>
      <c r="AC13" s="1289" t="s">
        <v>2300</v>
      </c>
      <c r="AD13" s="1289" t="s">
        <v>8235</v>
      </c>
      <c r="AE13" s="832" t="s">
        <v>5221</v>
      </c>
      <c r="AF13" s="832" t="s">
        <v>8236</v>
      </c>
      <c r="AG13" s="1291"/>
      <c r="AH13" s="1291"/>
      <c r="AI13" s="1291"/>
      <c r="AJ13" s="1291"/>
      <c r="AK13" s="1291"/>
      <c r="AL13" s="832" t="s">
        <v>5595</v>
      </c>
      <c r="AM13" s="1289" t="s">
        <v>8153</v>
      </c>
      <c r="AN13" s="1289" t="s">
        <v>8237</v>
      </c>
      <c r="AO13" s="1249"/>
      <c r="AP13" s="832" t="s">
        <v>8238</v>
      </c>
      <c r="AQ13" s="832" t="s">
        <v>8037</v>
      </c>
      <c r="AR13" s="1289" t="s">
        <v>8239</v>
      </c>
      <c r="AS13" s="832" t="s">
        <v>8240</v>
      </c>
      <c r="AT13" s="832" t="s">
        <v>8241</v>
      </c>
      <c r="AU13" s="832" t="s">
        <v>8242</v>
      </c>
      <c r="AV13" s="114" t="s">
        <v>8243</v>
      </c>
      <c r="AW13" s="832" t="s">
        <v>8244</v>
      </c>
      <c r="AX13" s="832" t="s">
        <v>8220</v>
      </c>
      <c r="AY13" s="1249"/>
      <c r="AZ13" s="1289" t="s">
        <v>1804</v>
      </c>
      <c r="BA13" s="832"/>
      <c r="BB13" s="1289" t="s">
        <v>8245</v>
      </c>
      <c r="BC13" s="1289" t="s">
        <v>8246</v>
      </c>
      <c r="BD13" s="832" t="s">
        <v>8247</v>
      </c>
      <c r="BE13" s="832"/>
      <c r="BF13" s="1249"/>
      <c r="BG13" s="1330"/>
      <c r="BH13" s="1330"/>
      <c r="BI13" s="1330"/>
      <c r="BJ13" s="1330"/>
      <c r="BK13" s="1330"/>
      <c r="BL13" s="1331"/>
      <c r="BM13" s="1330"/>
      <c r="BN13" s="1330"/>
      <c r="BO13" s="1330"/>
      <c r="BP13" s="1330"/>
      <c r="BQ13" s="1291"/>
      <c r="BR13" s="1291"/>
      <c r="BS13" s="1291"/>
      <c r="BT13" s="1291"/>
      <c r="BU13" s="1291"/>
      <c r="BV13" s="832" t="s">
        <v>8248</v>
      </c>
      <c r="BW13" s="1291"/>
      <c r="BX13" s="832" t="s">
        <v>4685</v>
      </c>
      <c r="BY13" s="832" t="s">
        <v>2984</v>
      </c>
      <c r="BZ13" s="1249"/>
      <c r="CA13" s="1291"/>
      <c r="CB13" s="832" t="s">
        <v>1744</v>
      </c>
      <c r="CC13" s="1291"/>
      <c r="CD13" s="1291"/>
      <c r="CE13" s="1318"/>
      <c r="CF13" s="1249"/>
      <c r="CG13" s="1291"/>
      <c r="CH13" s="1318"/>
      <c r="CI13" s="1318"/>
      <c r="CJ13" s="1303" t="s">
        <v>8249</v>
      </c>
      <c r="CK13" s="1303"/>
      <c r="CL13" s="1319" t="s">
        <v>6124</v>
      </c>
      <c r="CM13" s="1303" t="s">
        <v>8250</v>
      </c>
      <c r="CN13" s="1303" t="s">
        <v>6163</v>
      </c>
      <c r="CO13" s="1303" t="s">
        <v>1971</v>
      </c>
      <c r="CP13" s="1303" t="s">
        <v>8130</v>
      </c>
      <c r="CQ13" s="1303" t="s">
        <v>8127</v>
      </c>
      <c r="CR13" s="1318"/>
      <c r="CS13" s="1318"/>
      <c r="CT13" s="96"/>
    </row>
    <row r="14">
      <c r="A14" s="1344" t="s">
        <v>4883</v>
      </c>
      <c r="B14" s="1079" t="s">
        <v>8251</v>
      </c>
      <c r="C14" s="1080" t="s">
        <v>667</v>
      </c>
      <c r="D14" s="1081" t="s">
        <v>667</v>
      </c>
      <c r="E14" s="1082" t="s">
        <v>1483</v>
      </c>
      <c r="F14" s="1083" t="s">
        <v>3791</v>
      </c>
      <c r="G14" s="1079" t="s">
        <v>4095</v>
      </c>
      <c r="H14" s="1323"/>
      <c r="I14" s="1323" t="s">
        <v>8129</v>
      </c>
      <c r="J14" s="1249"/>
      <c r="K14" s="820" t="s">
        <v>8252</v>
      </c>
      <c r="L14" s="1291"/>
      <c r="M14" s="820" t="s">
        <v>8253</v>
      </c>
      <c r="N14" s="1249"/>
      <c r="O14" s="820" t="s">
        <v>8254</v>
      </c>
      <c r="P14" s="820" t="s">
        <v>8255</v>
      </c>
      <c r="Q14" s="1291"/>
      <c r="R14" s="1289" t="s">
        <v>8256</v>
      </c>
      <c r="S14" s="820" t="s">
        <v>8257</v>
      </c>
      <c r="T14" s="1249"/>
      <c r="U14" s="820" t="s">
        <v>8258</v>
      </c>
      <c r="V14" s="1295"/>
      <c r="W14" s="832" t="s">
        <v>5167</v>
      </c>
      <c r="X14" s="820" t="s">
        <v>3192</v>
      </c>
      <c r="Y14" s="1289" t="s">
        <v>2778</v>
      </c>
      <c r="Z14" s="1249"/>
      <c r="AA14" s="1249"/>
      <c r="AB14" s="1291"/>
      <c r="AC14" s="832" t="s">
        <v>8259</v>
      </c>
      <c r="AD14" s="807" t="s">
        <v>4337</v>
      </c>
      <c r="AE14" s="1249"/>
      <c r="AF14" s="1249"/>
      <c r="AG14" s="1291"/>
      <c r="AH14" s="1289" t="s">
        <v>5446</v>
      </c>
      <c r="AI14" s="1291"/>
      <c r="AJ14" s="1291"/>
      <c r="AK14" s="1289" t="s">
        <v>4848</v>
      </c>
      <c r="AL14" s="832"/>
      <c r="AM14" s="820" t="s">
        <v>8150</v>
      </c>
      <c r="AN14" s="1249"/>
      <c r="AO14" s="1249"/>
      <c r="AP14" s="820" t="s">
        <v>8260</v>
      </c>
      <c r="AQ14" s="1249"/>
      <c r="AR14" s="1249"/>
      <c r="AS14" s="1249"/>
      <c r="AT14" s="832" t="s">
        <v>8261</v>
      </c>
      <c r="AU14" s="1249"/>
      <c r="AV14" s="1249"/>
      <c r="AW14" s="1249"/>
      <c r="AX14" s="1249"/>
      <c r="AY14" s="1249"/>
      <c r="AZ14" s="1288" t="s">
        <v>8262</v>
      </c>
      <c r="BA14" s="1295"/>
      <c r="BB14" s="820" t="s">
        <v>8263</v>
      </c>
      <c r="BC14" s="1309" t="s">
        <v>8246</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8264</v>
      </c>
      <c r="CF14" s="1305" t="s">
        <v>8265</v>
      </c>
      <c r="CG14" s="1345" t="s">
        <v>8266</v>
      </c>
      <c r="CH14" s="1318"/>
      <c r="CI14" s="1318"/>
      <c r="CJ14" s="1318"/>
      <c r="CK14" s="1318"/>
      <c r="CL14" s="1318"/>
      <c r="CM14" s="1318"/>
      <c r="CN14" s="1319" t="s">
        <v>6163</v>
      </c>
      <c r="CO14" s="1318"/>
      <c r="CP14" s="1318"/>
      <c r="CQ14" s="1318"/>
      <c r="CR14" s="1345" t="s">
        <v>7441</v>
      </c>
      <c r="CS14" s="1318"/>
      <c r="CT14" s="1291"/>
    </row>
    <row r="15">
      <c r="A15" s="1297" t="s">
        <v>1969</v>
      </c>
      <c r="B15" s="1079" t="s">
        <v>8267</v>
      </c>
      <c r="C15" s="1080" t="s">
        <v>667</v>
      </c>
      <c r="D15" s="1081" t="s">
        <v>562</v>
      </c>
      <c r="E15" s="1082" t="s">
        <v>562</v>
      </c>
      <c r="F15" s="1083" t="s">
        <v>449</v>
      </c>
      <c r="G15" s="1079" t="s">
        <v>4529</v>
      </c>
      <c r="H15" s="1323"/>
      <c r="I15" s="1323"/>
      <c r="J15" s="1249"/>
      <c r="K15" s="1249"/>
      <c r="L15" s="1291"/>
      <c r="M15" s="1289" t="s">
        <v>8268</v>
      </c>
      <c r="N15" s="1249"/>
      <c r="O15" s="1249"/>
      <c r="P15" s="1249"/>
      <c r="Q15" s="1290" t="s">
        <v>8269</v>
      </c>
      <c r="R15" s="1249"/>
      <c r="S15" s="1249"/>
      <c r="T15" s="1249"/>
      <c r="U15" s="1249"/>
      <c r="V15" s="1291"/>
      <c r="W15" s="1289" t="s">
        <v>6522</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8126</v>
      </c>
      <c r="AQ15" s="832"/>
      <c r="AR15" s="1289" t="s">
        <v>8270</v>
      </c>
      <c r="AS15" s="832"/>
      <c r="AT15" s="1249"/>
      <c r="AU15" s="1289" t="s">
        <v>8208</v>
      </c>
      <c r="AV15" s="832"/>
      <c r="AW15" s="1289" t="s">
        <v>8271</v>
      </c>
      <c r="AX15" s="1249"/>
      <c r="AY15" s="1249"/>
      <c r="AZ15" s="1249"/>
      <c r="BA15" s="1249"/>
      <c r="BB15" s="1290" t="s">
        <v>8272</v>
      </c>
      <c r="BC15" s="1286" t="s">
        <v>8035</v>
      </c>
      <c r="BD15" s="1249"/>
      <c r="BE15" s="1291"/>
      <c r="BF15" s="1249"/>
      <c r="BG15" s="1291"/>
      <c r="BH15" s="1291"/>
      <c r="BI15" s="1291"/>
      <c r="BJ15" s="1291"/>
      <c r="BK15" s="1291"/>
      <c r="BL15" s="1249"/>
      <c r="BM15" s="1290" t="s">
        <v>8273</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8274</v>
      </c>
      <c r="C16" s="1080" t="s">
        <v>338</v>
      </c>
      <c r="D16" s="1081" t="s">
        <v>562</v>
      </c>
      <c r="E16" s="1082" t="s">
        <v>1483</v>
      </c>
      <c r="F16" s="1083" t="s">
        <v>1251</v>
      </c>
      <c r="G16" s="1079" t="s">
        <v>4529</v>
      </c>
      <c r="H16" s="1347" t="s">
        <v>8275</v>
      </c>
      <c r="I16" s="1347" t="s">
        <v>8258</v>
      </c>
      <c r="J16" s="1290" t="s">
        <v>8276</v>
      </c>
      <c r="K16" s="1290" t="s">
        <v>8277</v>
      </c>
      <c r="L16" s="832" t="s">
        <v>8278</v>
      </c>
      <c r="M16" s="1249"/>
      <c r="N16" s="1290" t="s">
        <v>3706</v>
      </c>
      <c r="O16" s="1288" t="s">
        <v>8279</v>
      </c>
      <c r="P16" s="1249"/>
      <c r="Q16" s="832" t="s">
        <v>8280</v>
      </c>
      <c r="R16" s="832" t="s">
        <v>8281</v>
      </c>
      <c r="S16" s="1290" t="s">
        <v>8282</v>
      </c>
      <c r="T16" s="1290" t="s">
        <v>8283</v>
      </c>
      <c r="U16" s="832" t="s">
        <v>8284</v>
      </c>
      <c r="V16" s="832" t="s">
        <v>8285</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8286</v>
      </c>
      <c r="B17" s="1079" t="s">
        <v>8287</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8288</v>
      </c>
      <c r="X17" s="1288" t="s">
        <v>1820</v>
      </c>
      <c r="Y17" s="1249"/>
      <c r="Z17" s="1249"/>
      <c r="AA17" s="1249"/>
      <c r="AB17" s="1290" t="s">
        <v>8289</v>
      </c>
      <c r="AC17" s="1288" t="s">
        <v>2551</v>
      </c>
      <c r="AD17" s="820" t="s">
        <v>3413</v>
      </c>
      <c r="AE17" s="1295"/>
      <c r="AF17" s="1290" t="s">
        <v>8290</v>
      </c>
      <c r="AG17" s="1291"/>
      <c r="AH17" s="1290" t="s">
        <v>1779</v>
      </c>
      <c r="AI17" s="1290" t="s">
        <v>3127</v>
      </c>
      <c r="AJ17" s="1291"/>
      <c r="AK17" s="832" t="s">
        <v>4339</v>
      </c>
      <c r="AL17" s="1249"/>
      <c r="AM17" s="1249"/>
      <c r="AN17" s="1249"/>
      <c r="AO17" s="1249"/>
      <c r="AP17" s="820" t="s">
        <v>8291</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3503</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8292</v>
      </c>
      <c r="C18" s="1080" t="s">
        <v>562</v>
      </c>
      <c r="D18" s="1081" t="s">
        <v>1483</v>
      </c>
      <c r="E18" s="1082" t="s">
        <v>562</v>
      </c>
      <c r="F18" s="1083" t="s">
        <v>448</v>
      </c>
      <c r="G18" s="1079" t="s">
        <v>2971</v>
      </c>
      <c r="H18" s="1323"/>
      <c r="I18" s="1323" t="s">
        <v>8293</v>
      </c>
      <c r="J18" s="832"/>
      <c r="K18" s="1289" t="s">
        <v>8294</v>
      </c>
      <c r="L18" s="1289"/>
      <c r="M18" s="1289" t="s">
        <v>8295</v>
      </c>
      <c r="N18" s="1249"/>
      <c r="O18" s="1289" t="s">
        <v>8296</v>
      </c>
      <c r="P18" s="1249"/>
      <c r="Q18" s="1291"/>
      <c r="R18" s="832" t="s">
        <v>8297</v>
      </c>
      <c r="S18" s="1287" t="s">
        <v>4128</v>
      </c>
      <c r="T18" s="1289" t="s">
        <v>8298</v>
      </c>
      <c r="U18" s="832" t="s">
        <v>3857</v>
      </c>
      <c r="V18" s="1289"/>
      <c r="W18" s="1289" t="s">
        <v>4551</v>
      </c>
      <c r="X18" s="832" t="s">
        <v>3796</v>
      </c>
      <c r="Y18" s="1289" t="s">
        <v>2931</v>
      </c>
      <c r="Z18" s="1249"/>
      <c r="AA18" s="1249"/>
      <c r="AB18" s="1291"/>
      <c r="AC18" s="1289" t="s">
        <v>8299</v>
      </c>
      <c r="AD18" s="832" t="s">
        <v>2123</v>
      </c>
      <c r="AE18" s="832"/>
      <c r="AF18" s="1289" t="s">
        <v>8300</v>
      </c>
      <c r="AG18" s="1290" t="s">
        <v>8301</v>
      </c>
      <c r="AH18" s="1286" t="s">
        <v>1394</v>
      </c>
      <c r="AI18" s="1291"/>
      <c r="AJ18" s="1291"/>
      <c r="AK18" s="1289" t="s">
        <v>731</v>
      </c>
      <c r="AL18" s="1249"/>
      <c r="AM18" s="1289" t="s">
        <v>8211</v>
      </c>
      <c r="AN18" s="1249"/>
      <c r="AO18" s="1249"/>
      <c r="AP18" s="832" t="s">
        <v>8054</v>
      </c>
      <c r="AQ18" s="832"/>
      <c r="AR18" s="832" t="s">
        <v>8080</v>
      </c>
      <c r="AS18" s="832" t="s">
        <v>8302</v>
      </c>
      <c r="AT18" s="832" t="s">
        <v>8303</v>
      </c>
      <c r="AU18" s="832" t="s">
        <v>8304</v>
      </c>
      <c r="AV18" s="832"/>
      <c r="AW18" s="1249"/>
      <c r="AX18" s="1249"/>
      <c r="AY18" s="1249"/>
      <c r="AZ18" s="1289" t="s">
        <v>3316</v>
      </c>
      <c r="BA18" s="832"/>
      <c r="BB18" s="1289" t="s">
        <v>8208</v>
      </c>
      <c r="BC18" s="1289" t="s">
        <v>8305</v>
      </c>
      <c r="BD18" s="1289" t="s">
        <v>8109</v>
      </c>
      <c r="BE18" s="1289"/>
      <c r="BF18" s="832"/>
      <c r="BG18" s="1291"/>
      <c r="BH18" s="1291"/>
      <c r="BI18" s="1291"/>
      <c r="BJ18" s="1291"/>
      <c r="BK18" s="1291"/>
      <c r="BL18" s="1249"/>
      <c r="BM18" s="1291"/>
      <c r="BN18" s="1289" t="s">
        <v>8306</v>
      </c>
      <c r="BO18" s="1289" t="s">
        <v>8307</v>
      </c>
      <c r="BP18" s="1289"/>
      <c r="BQ18" s="1291"/>
      <c r="BR18" s="1291"/>
      <c r="BS18" s="1291"/>
      <c r="BT18" s="1291"/>
      <c r="BU18" s="1291"/>
      <c r="BV18" s="1324" t="s">
        <v>2168</v>
      </c>
      <c r="BW18" s="1291"/>
      <c r="BX18" s="1249"/>
      <c r="BY18" s="832" t="s">
        <v>2276</v>
      </c>
      <c r="BZ18" s="1249"/>
      <c r="CA18" s="1291"/>
      <c r="CB18" s="832" t="s">
        <v>4680</v>
      </c>
      <c r="CC18" s="1289" t="s">
        <v>8308</v>
      </c>
      <c r="CD18" s="1289"/>
      <c r="CE18" s="1291"/>
      <c r="CF18" s="1249"/>
      <c r="CG18" s="1291"/>
      <c r="CH18" s="1291"/>
      <c r="CI18" s="1291"/>
      <c r="CJ18" s="1291"/>
      <c r="CK18" s="1291"/>
      <c r="CL18" s="1291"/>
      <c r="CM18" s="1289" t="s">
        <v>8309</v>
      </c>
      <c r="CN18" s="1289" t="s">
        <v>1889</v>
      </c>
      <c r="CO18" s="1289" t="s">
        <v>5179</v>
      </c>
      <c r="CP18" s="1289" t="s">
        <v>8310</v>
      </c>
      <c r="CQ18" s="832" t="s">
        <v>8311</v>
      </c>
      <c r="CR18" s="1289" t="s">
        <v>3227</v>
      </c>
      <c r="CS18" s="832" t="s">
        <v>8312</v>
      </c>
      <c r="CT18" s="96"/>
    </row>
    <row r="19">
      <c r="A19" s="1350" t="s">
        <v>4815</v>
      </c>
      <c r="B19" s="1079" t="s">
        <v>8313</v>
      </c>
      <c r="C19" s="1080" t="s">
        <v>1483</v>
      </c>
      <c r="D19" s="1081" t="s">
        <v>1483</v>
      </c>
      <c r="E19" s="1082" t="s">
        <v>1483</v>
      </c>
      <c r="F19" s="1083" t="s">
        <v>562</v>
      </c>
      <c r="G19" s="1079" t="s">
        <v>3382</v>
      </c>
      <c r="H19" s="1323"/>
      <c r="I19" s="1323" t="s">
        <v>8314</v>
      </c>
      <c r="J19" s="832"/>
      <c r="K19" s="832" t="s">
        <v>7277</v>
      </c>
      <c r="L19" s="1289"/>
      <c r="M19" s="1249"/>
      <c r="N19" s="1249"/>
      <c r="O19" s="1249"/>
      <c r="P19" s="1249"/>
      <c r="Q19" s="1291"/>
      <c r="R19" s="1289" t="s">
        <v>8315</v>
      </c>
      <c r="S19" s="1249"/>
      <c r="T19" s="1289" t="s">
        <v>8316</v>
      </c>
      <c r="U19" s="1289" t="s">
        <v>8317</v>
      </c>
      <c r="V19" s="1289" t="s">
        <v>8318</v>
      </c>
      <c r="W19" s="1289" t="s">
        <v>3607</v>
      </c>
      <c r="X19" s="832" t="s">
        <v>2675</v>
      </c>
      <c r="Y19" s="1289" t="s">
        <v>8319</v>
      </c>
      <c r="Z19" s="1249"/>
      <c r="AA19" s="1249"/>
      <c r="AB19" s="1291"/>
      <c r="AC19" s="820" t="s">
        <v>348</v>
      </c>
      <c r="AD19" s="1289" t="s">
        <v>3921</v>
      </c>
      <c r="AE19" s="832"/>
      <c r="AF19" s="1289" t="s">
        <v>8320</v>
      </c>
      <c r="AG19" s="1289"/>
      <c r="AH19" s="1289" t="s">
        <v>8321</v>
      </c>
      <c r="AI19" s="1291"/>
      <c r="AJ19" s="1291"/>
      <c r="AK19" s="1291"/>
      <c r="AL19" s="1249"/>
      <c r="AM19" s="1249"/>
      <c r="AN19" s="1249"/>
      <c r="AO19" s="1249"/>
      <c r="AP19" s="832" t="s">
        <v>8054</v>
      </c>
      <c r="AQ19" s="1249"/>
      <c r="AR19" s="832" t="s">
        <v>8322</v>
      </c>
      <c r="AS19" s="1249"/>
      <c r="AT19" s="1249"/>
      <c r="AU19" s="832" t="s">
        <v>8323</v>
      </c>
      <c r="AV19" s="832"/>
      <c r="AW19" s="832" t="s">
        <v>8085</v>
      </c>
      <c r="AX19" s="1249"/>
      <c r="AY19" s="1249"/>
      <c r="AZ19" s="1289" t="s">
        <v>2314</v>
      </c>
      <c r="BA19" s="832"/>
      <c r="BB19" s="1249"/>
      <c r="BC19" s="1289" t="s">
        <v>8324</v>
      </c>
      <c r="BD19" s="832" t="s">
        <v>8325</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8326</v>
      </c>
      <c r="C20" s="1080" t="s">
        <v>1483</v>
      </c>
      <c r="D20" s="1081" t="s">
        <v>1483</v>
      </c>
      <c r="E20" s="1082" t="s">
        <v>1483</v>
      </c>
      <c r="F20" s="1083" t="s">
        <v>1483</v>
      </c>
      <c r="G20" s="1079" t="s">
        <v>3382</v>
      </c>
      <c r="H20" s="1323" t="s">
        <v>8327</v>
      </c>
      <c r="I20" s="1323" t="s">
        <v>8328</v>
      </c>
      <c r="J20" s="832" t="s">
        <v>8329</v>
      </c>
      <c r="K20" s="1323" t="s">
        <v>8330</v>
      </c>
      <c r="L20" s="832" t="s">
        <v>8331</v>
      </c>
      <c r="M20" s="832" t="s">
        <v>8115</v>
      </c>
      <c r="N20" s="832" t="s">
        <v>8332</v>
      </c>
      <c r="O20" s="832" t="s">
        <v>8333</v>
      </c>
      <c r="P20" s="832" t="s">
        <v>8334</v>
      </c>
      <c r="Q20" s="1291"/>
      <c r="R20" s="832" t="s">
        <v>8216</v>
      </c>
      <c r="S20" s="114" t="s">
        <v>8335</v>
      </c>
      <c r="T20" s="1249"/>
      <c r="U20" s="1351" t="s">
        <v>8336</v>
      </c>
      <c r="V20" s="832" t="s">
        <v>8337</v>
      </c>
      <c r="W20" s="1289" t="s">
        <v>8338</v>
      </c>
      <c r="X20" s="832" t="s">
        <v>8339</v>
      </c>
      <c r="Y20" s="832" t="s">
        <v>247</v>
      </c>
      <c r="Z20" s="1249"/>
      <c r="AA20" s="1249"/>
      <c r="AB20" s="1291"/>
      <c r="AC20" s="1289" t="s">
        <v>8340</v>
      </c>
      <c r="AD20" s="832" t="s">
        <v>4267</v>
      </c>
      <c r="AE20" s="1249"/>
      <c r="AF20" s="1249"/>
      <c r="AG20" s="1291"/>
      <c r="AH20" s="1291"/>
      <c r="AI20" s="1291"/>
      <c r="AJ20" s="1291"/>
      <c r="AK20" s="1291"/>
      <c r="AL20" s="1249"/>
      <c r="AM20" s="832"/>
      <c r="AN20" s="1249"/>
      <c r="AO20" s="1249"/>
      <c r="AP20" s="832" t="s">
        <v>8128</v>
      </c>
      <c r="AQ20" s="832" t="s">
        <v>8341</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6461</v>
      </c>
      <c r="B21" s="1079" t="s">
        <v>8342</v>
      </c>
      <c r="C21" s="1080" t="s">
        <v>1483</v>
      </c>
      <c r="D21" s="1081" t="s">
        <v>1483</v>
      </c>
      <c r="E21" s="1082" t="s">
        <v>1483</v>
      </c>
      <c r="F21" s="1083" t="s">
        <v>1483</v>
      </c>
      <c r="G21" s="1079" t="s">
        <v>5826</v>
      </c>
      <c r="H21" s="1323"/>
      <c r="I21" s="1323" t="s">
        <v>8343</v>
      </c>
      <c r="J21" s="832"/>
      <c r="K21" s="1289" t="s">
        <v>8344</v>
      </c>
      <c r="L21" s="1289"/>
      <c r="M21" s="832"/>
      <c r="N21" s="832"/>
      <c r="O21" s="1289" t="s">
        <v>8345</v>
      </c>
      <c r="P21" s="832"/>
      <c r="Q21" s="1291"/>
      <c r="R21" s="1249"/>
      <c r="S21" s="1249"/>
      <c r="T21" s="832"/>
      <c r="U21" s="1289" t="s">
        <v>8346</v>
      </c>
      <c r="V21" s="1289"/>
      <c r="W21" s="1289" t="s">
        <v>2389</v>
      </c>
      <c r="X21" s="832"/>
      <c r="Y21" s="1289" t="s">
        <v>3362</v>
      </c>
      <c r="Z21" s="832"/>
      <c r="AA21" s="832"/>
      <c r="AB21" s="1289"/>
      <c r="AC21" s="1289" t="s">
        <v>8347</v>
      </c>
      <c r="AD21" s="1289" t="s">
        <v>4935</v>
      </c>
      <c r="AE21" s="832"/>
      <c r="AF21" s="832"/>
      <c r="AG21" s="1289"/>
      <c r="AH21" s="1291"/>
      <c r="AI21" s="1291"/>
      <c r="AJ21" s="1291"/>
      <c r="AK21" s="1291"/>
      <c r="AL21" s="1249"/>
      <c r="AM21" s="1289" t="s">
        <v>8260</v>
      </c>
      <c r="AN21" s="1249"/>
      <c r="AO21" s="1249"/>
      <c r="AP21" s="1289" t="s">
        <v>8348</v>
      </c>
      <c r="AQ21" s="832"/>
      <c r="AR21" s="1289" t="s">
        <v>8349</v>
      </c>
      <c r="AS21" s="832"/>
      <c r="AT21" s="1289" t="s">
        <v>8350</v>
      </c>
      <c r="AU21" s="1289" t="s">
        <v>8351</v>
      </c>
      <c r="AV21" s="832"/>
      <c r="AW21" s="832"/>
      <c r="AX21" s="1249"/>
      <c r="AY21" s="1249"/>
      <c r="AZ21" s="1289" t="s">
        <v>5194</v>
      </c>
      <c r="BA21" s="832"/>
      <c r="BB21" s="1289" t="s">
        <v>8086</v>
      </c>
      <c r="BC21" s="1289" t="s">
        <v>8206</v>
      </c>
      <c r="BD21" s="1289" t="s">
        <v>8247</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7885</v>
      </c>
      <c r="B22" s="1079" t="s">
        <v>8352</v>
      </c>
      <c r="C22" s="1080" t="s">
        <v>1483</v>
      </c>
      <c r="D22" s="1081" t="s">
        <v>1483</v>
      </c>
      <c r="E22" s="1082" t="s">
        <v>562</v>
      </c>
      <c r="F22" s="1083" t="s">
        <v>448</v>
      </c>
      <c r="G22" s="1079" t="s">
        <v>5826</v>
      </c>
      <c r="H22" s="1323" t="s">
        <v>8353</v>
      </c>
      <c r="I22" s="1323"/>
      <c r="J22" s="1249"/>
      <c r="K22" s="1289" t="s">
        <v>8354</v>
      </c>
      <c r="L22" s="1289"/>
      <c r="M22" s="1249"/>
      <c r="N22" s="1249"/>
      <c r="O22" s="1249"/>
      <c r="P22" s="1249"/>
      <c r="Q22" s="1289" t="s">
        <v>8355</v>
      </c>
      <c r="R22" s="1289" t="s">
        <v>8356</v>
      </c>
      <c r="S22" s="1249"/>
      <c r="T22" s="1289" t="s">
        <v>8357</v>
      </c>
      <c r="U22" s="1353" t="s">
        <v>3177</v>
      </c>
      <c r="V22" s="1353"/>
      <c r="W22" s="1289" t="s">
        <v>373</v>
      </c>
      <c r="X22" s="832"/>
      <c r="Y22" s="1289" t="s">
        <v>4955</v>
      </c>
      <c r="Z22" s="1249"/>
      <c r="AA22" s="1249"/>
      <c r="AB22" s="1291"/>
      <c r="AC22" s="1289" t="s">
        <v>8358</v>
      </c>
      <c r="AD22" s="1289" t="s">
        <v>4157</v>
      </c>
      <c r="AE22" s="1295"/>
      <c r="AF22" s="820" t="s">
        <v>748</v>
      </c>
      <c r="AG22" s="1308"/>
      <c r="AH22" s="1289" t="s">
        <v>3375</v>
      </c>
      <c r="AI22" s="1289" t="s">
        <v>5599</v>
      </c>
      <c r="AJ22" s="1291"/>
      <c r="AK22" s="1291"/>
      <c r="AL22" s="1249"/>
      <c r="AM22" s="1249"/>
      <c r="AN22" s="1249"/>
      <c r="AO22" s="1249"/>
      <c r="AP22" s="1249"/>
      <c r="AQ22" s="1249"/>
      <c r="AR22" s="1249"/>
      <c r="AS22" s="1249"/>
      <c r="AT22" s="1249"/>
      <c r="AU22" s="1249"/>
      <c r="AV22" s="1249"/>
      <c r="AW22" s="1249"/>
      <c r="AX22" s="832"/>
      <c r="AY22" s="1289" t="s">
        <v>8246</v>
      </c>
      <c r="AZ22" s="1249"/>
      <c r="BA22" s="1249"/>
      <c r="BB22" s="1289" t="s">
        <v>8212</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8359</v>
      </c>
    </row>
    <row r="23">
      <c r="A23" s="1357" t="s">
        <v>7876</v>
      </c>
      <c r="B23" s="1079" t="s">
        <v>8360</v>
      </c>
      <c r="C23" s="1080" t="s">
        <v>1483</v>
      </c>
      <c r="D23" s="1081" t="s">
        <v>1483</v>
      </c>
      <c r="E23" s="1082" t="s">
        <v>1483</v>
      </c>
      <c r="F23" s="1083" t="s">
        <v>1483</v>
      </c>
      <c r="G23" s="1079" t="s">
        <v>220</v>
      </c>
      <c r="H23" s="1323"/>
      <c r="I23" s="1323" t="s">
        <v>8361</v>
      </c>
      <c r="J23" s="832"/>
      <c r="K23" s="832" t="s">
        <v>8362</v>
      </c>
      <c r="L23" s="1289"/>
      <c r="M23" s="1249"/>
      <c r="N23" s="1291" t="s">
        <v>8363</v>
      </c>
      <c r="O23" s="1249"/>
      <c r="P23" s="1249"/>
      <c r="Q23" s="1291"/>
      <c r="R23" s="1289" t="s">
        <v>8364</v>
      </c>
      <c r="S23" s="1249"/>
      <c r="T23" s="1289" t="s">
        <v>8365</v>
      </c>
      <c r="U23" s="1289" t="s">
        <v>8366</v>
      </c>
      <c r="V23" s="1289"/>
      <c r="W23" s="1289" t="s">
        <v>5333</v>
      </c>
      <c r="X23" s="832"/>
      <c r="Y23" s="1289" t="s">
        <v>1063</v>
      </c>
      <c r="Z23" s="1291" t="s">
        <v>8367</v>
      </c>
      <c r="AA23" s="1249"/>
      <c r="AB23" s="1291"/>
      <c r="AC23" s="832"/>
      <c r="AD23" s="1289" t="s">
        <v>1920</v>
      </c>
      <c r="AE23" s="832"/>
      <c r="AF23" s="832"/>
      <c r="AG23" s="1289"/>
      <c r="AH23" s="1289"/>
      <c r="AI23" s="1291" t="s">
        <v>8368</v>
      </c>
      <c r="AJ23" s="1291"/>
      <c r="AK23" s="1291"/>
      <c r="AL23" s="1249"/>
      <c r="AM23" s="1291" t="s">
        <v>8369</v>
      </c>
      <c r="AN23" s="1249"/>
      <c r="AO23" s="1249"/>
      <c r="AP23" s="832" t="s">
        <v>8370</v>
      </c>
      <c r="AQ23" s="1249"/>
      <c r="AR23" s="1291" t="s">
        <v>8371</v>
      </c>
      <c r="AS23" s="1249"/>
      <c r="AT23" s="1291" t="s">
        <v>8372</v>
      </c>
      <c r="AU23" s="832" t="s">
        <v>8373</v>
      </c>
      <c r="AV23" s="832"/>
      <c r="AW23" s="832" t="s">
        <v>8260</v>
      </c>
      <c r="AX23" s="1249"/>
      <c r="AY23" s="1291" t="s">
        <v>8264</v>
      </c>
      <c r="AZ23" s="832"/>
      <c r="BA23" s="832"/>
      <c r="BB23" s="1291" t="s">
        <v>8374</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8375</v>
      </c>
      <c r="C24" s="1080" t="s">
        <v>1483</v>
      </c>
      <c r="D24" s="1081" t="s">
        <v>562</v>
      </c>
      <c r="E24" s="1082" t="s">
        <v>448</v>
      </c>
      <c r="F24" s="1083" t="s">
        <v>449</v>
      </c>
      <c r="G24" s="1079" t="s">
        <v>5194</v>
      </c>
      <c r="H24" s="1333" t="s">
        <v>8376</v>
      </c>
      <c r="I24" s="1333" t="s">
        <v>5313</v>
      </c>
      <c r="J24" s="1295"/>
      <c r="K24" s="1289" t="s">
        <v>8377</v>
      </c>
      <c r="L24" s="1289"/>
      <c r="M24" s="832"/>
      <c r="N24" s="1289" t="s">
        <v>8378</v>
      </c>
      <c r="O24" s="1289" t="s">
        <v>8379</v>
      </c>
      <c r="P24" s="1289" t="s">
        <v>8380</v>
      </c>
      <c r="Q24" s="1289" t="s">
        <v>8381</v>
      </c>
      <c r="R24" s="1289" t="s">
        <v>8382</v>
      </c>
      <c r="S24" s="1289" t="s">
        <v>5332</v>
      </c>
      <c r="T24" s="1289" t="s">
        <v>8383</v>
      </c>
      <c r="U24" s="1289" t="s">
        <v>8384</v>
      </c>
      <c r="V24" s="1289"/>
      <c r="W24" s="1289" t="s">
        <v>5985</v>
      </c>
      <c r="X24" s="832"/>
      <c r="Y24" s="1249"/>
      <c r="Z24" s="1249"/>
      <c r="AA24" s="1249"/>
      <c r="AB24" s="1291"/>
      <c r="AC24" s="1289" t="s">
        <v>8385</v>
      </c>
      <c r="AD24" s="1289" t="s">
        <v>5818</v>
      </c>
      <c r="AE24" s="832"/>
      <c r="AF24" s="1289" t="s">
        <v>7502</v>
      </c>
      <c r="AG24" s="1289"/>
      <c r="AH24" s="1289" t="s">
        <v>3302</v>
      </c>
      <c r="AI24" s="1289"/>
      <c r="AJ24" s="1289"/>
      <c r="AK24" s="1291"/>
      <c r="AL24" s="1249"/>
      <c r="AM24" s="1289" t="s">
        <v>8386</v>
      </c>
      <c r="AN24" s="1289" t="s">
        <v>8221</v>
      </c>
      <c r="AO24" s="1289" t="s">
        <v>8151</v>
      </c>
      <c r="AP24" s="1289" t="s">
        <v>8387</v>
      </c>
      <c r="AQ24" s="832"/>
      <c r="AR24" s="1289" t="s">
        <v>8302</v>
      </c>
      <c r="AS24" s="832"/>
      <c r="AT24" s="1289" t="s">
        <v>8388</v>
      </c>
      <c r="AU24" s="1289" t="s">
        <v>8389</v>
      </c>
      <c r="AV24" s="832"/>
      <c r="AW24" s="1289" t="s">
        <v>8211</v>
      </c>
      <c r="AX24" s="832"/>
      <c r="AY24" s="1289" t="s">
        <v>8291</v>
      </c>
      <c r="AZ24" s="1249"/>
      <c r="BA24" s="1249"/>
      <c r="BB24" s="1289" t="s">
        <v>8237</v>
      </c>
      <c r="BC24" s="832" t="s">
        <v>8291</v>
      </c>
      <c r="BD24" s="1289" t="s">
        <v>8304</v>
      </c>
      <c r="BE24" s="1289"/>
      <c r="BF24" s="832"/>
      <c r="BG24" s="1359" t="s">
        <v>8390</v>
      </c>
      <c r="BH24" s="1360" t="s">
        <v>8391</v>
      </c>
      <c r="BI24" s="1191"/>
      <c r="BJ24" s="1191"/>
      <c r="BK24" s="1191"/>
      <c r="BL24" s="1191" t="s">
        <v>8392</v>
      </c>
      <c r="BM24" s="1191" t="s">
        <v>8393</v>
      </c>
      <c r="BN24" s="1191"/>
      <c r="BO24" s="1191"/>
      <c r="BP24" s="1191"/>
      <c r="BQ24" s="1291"/>
      <c r="BR24" s="1361" t="s">
        <v>8394</v>
      </c>
      <c r="BS24" s="1291"/>
      <c r="BT24" s="1291"/>
      <c r="BU24" s="1291"/>
      <c r="BV24" s="1362" t="s">
        <v>2153</v>
      </c>
      <c r="BW24" s="1289" t="s">
        <v>1860</v>
      </c>
      <c r="BX24" s="1289" t="s">
        <v>1707</v>
      </c>
      <c r="BY24" s="1286" t="s">
        <v>4993</v>
      </c>
      <c r="BZ24" s="1289" t="s">
        <v>2300</v>
      </c>
      <c r="CA24" s="1289" t="s">
        <v>5529</v>
      </c>
      <c r="CB24" s="1289" t="s">
        <v>2214</v>
      </c>
      <c r="CC24" s="1289" t="s">
        <v>8395</v>
      </c>
      <c r="CD24" s="1289"/>
      <c r="CE24" s="1320" t="s">
        <v>8324</v>
      </c>
      <c r="CF24" s="1320" t="s">
        <v>8024</v>
      </c>
      <c r="CG24" s="1320" t="s">
        <v>8396</v>
      </c>
      <c r="CH24" s="1320"/>
      <c r="CI24" s="1318"/>
      <c r="CJ24" s="1318"/>
      <c r="CK24" s="1318"/>
      <c r="CL24" s="1318"/>
      <c r="CM24" s="1318"/>
      <c r="CN24" s="1304"/>
      <c r="CO24" s="1318"/>
      <c r="CP24" s="1318"/>
      <c r="CQ24" s="1318"/>
      <c r="CR24" s="1318"/>
      <c r="CS24" s="1318"/>
      <c r="CT24" s="1363" t="s">
        <v>4931</v>
      </c>
    </row>
    <row r="25">
      <c r="A25" s="1313" t="s">
        <v>6505</v>
      </c>
      <c r="B25" s="1079" t="s">
        <v>452</v>
      </c>
      <c r="C25" s="1080" t="s">
        <v>1483</v>
      </c>
      <c r="D25" s="1081" t="s">
        <v>562</v>
      </c>
      <c r="E25" s="1082" t="s">
        <v>1483</v>
      </c>
      <c r="F25" s="1083" t="s">
        <v>336</v>
      </c>
      <c r="G25" s="1079" t="s">
        <v>3382</v>
      </c>
      <c r="H25" s="1323"/>
      <c r="I25" s="1323" t="s">
        <v>8397</v>
      </c>
      <c r="J25" s="832"/>
      <c r="K25" s="832" t="s">
        <v>8398</v>
      </c>
      <c r="L25" s="1288" t="s">
        <v>3835</v>
      </c>
      <c r="M25" s="1249"/>
      <c r="N25" s="1249"/>
      <c r="O25" s="1249"/>
      <c r="P25" s="832" t="s">
        <v>8399</v>
      </c>
      <c r="Q25" s="1291"/>
      <c r="R25" s="820" t="s">
        <v>8400</v>
      </c>
      <c r="S25" s="1249"/>
      <c r="T25" s="1249"/>
      <c r="U25" s="832" t="s">
        <v>781</v>
      </c>
      <c r="V25" s="1289"/>
      <c r="W25" s="1289" t="s">
        <v>4474</v>
      </c>
      <c r="X25" s="832" t="s">
        <v>3613</v>
      </c>
      <c r="Y25" s="820" t="s">
        <v>8401</v>
      </c>
      <c r="Z25" s="1249"/>
      <c r="AA25" s="1249"/>
      <c r="AB25" s="1291"/>
      <c r="AC25" s="1289" t="s">
        <v>8402</v>
      </c>
      <c r="AD25" s="1289" t="s">
        <v>8403</v>
      </c>
      <c r="AE25" s="832"/>
      <c r="AF25" s="1289" t="s">
        <v>8404</v>
      </c>
      <c r="AG25" s="1289"/>
      <c r="AH25" s="1289" t="s">
        <v>8405</v>
      </c>
      <c r="AI25" s="1291"/>
      <c r="AJ25" s="1291"/>
      <c r="AK25" s="1363" t="s">
        <v>3883</v>
      </c>
      <c r="AL25" s="1307"/>
      <c r="AM25" s="1249"/>
      <c r="AN25" s="1249"/>
      <c r="AO25" s="1249"/>
      <c r="AP25" s="1249"/>
      <c r="AQ25" s="1249"/>
      <c r="AR25" s="1289" t="s">
        <v>8406</v>
      </c>
      <c r="AS25" s="832"/>
      <c r="AT25" s="1249"/>
      <c r="AU25" s="1249"/>
      <c r="AV25" s="1249"/>
      <c r="AW25" s="1289" t="s">
        <v>8061</v>
      </c>
      <c r="AX25" s="1249"/>
      <c r="AY25" s="1249"/>
      <c r="AZ25" s="1249"/>
      <c r="BA25" s="1249"/>
      <c r="BB25" s="1289" t="s">
        <v>8135</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6513</v>
      </c>
      <c r="B26" s="1079" t="s">
        <v>3317</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8219</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8407</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7887</v>
      </c>
      <c r="B27" s="1079" t="s">
        <v>451</v>
      </c>
      <c r="C27" s="1080" t="s">
        <v>1483</v>
      </c>
      <c r="D27" s="1081" t="s">
        <v>1483</v>
      </c>
      <c r="E27" s="1082" t="s">
        <v>562</v>
      </c>
      <c r="F27" s="1083" t="s">
        <v>448</v>
      </c>
      <c r="G27" s="1079" t="s">
        <v>337</v>
      </c>
      <c r="H27" s="1323"/>
      <c r="I27" s="1323" t="s">
        <v>8408</v>
      </c>
      <c r="J27" s="1249"/>
      <c r="K27" s="832" t="s">
        <v>8409</v>
      </c>
      <c r="L27" s="1291"/>
      <c r="M27" s="1249"/>
      <c r="N27" s="1249"/>
      <c r="O27" s="1249"/>
      <c r="P27" s="832" t="s">
        <v>8410</v>
      </c>
      <c r="Q27" s="1291"/>
      <c r="R27" s="1249"/>
      <c r="S27" s="1249"/>
      <c r="T27" s="1249"/>
      <c r="U27" s="807" t="s">
        <v>8411</v>
      </c>
      <c r="V27" s="1291"/>
      <c r="W27" s="1249"/>
      <c r="X27" s="832" t="s">
        <v>6692</v>
      </c>
      <c r="Y27" s="820" t="s">
        <v>6782</v>
      </c>
      <c r="Z27" s="1249"/>
      <c r="AA27" s="832" t="s">
        <v>8412</v>
      </c>
      <c r="AB27" s="1291"/>
      <c r="AC27" s="832" t="s">
        <v>8413</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3314</v>
      </c>
      <c r="B28" s="1079" t="s">
        <v>2236</v>
      </c>
      <c r="C28" s="1080" t="s">
        <v>562</v>
      </c>
      <c r="D28" s="1081" t="s">
        <v>1483</v>
      </c>
      <c r="E28" s="1082" t="s">
        <v>1483</v>
      </c>
      <c r="F28" s="1083" t="s">
        <v>448</v>
      </c>
      <c r="G28" s="1079" t="s">
        <v>220</v>
      </c>
      <c r="H28" s="1323"/>
      <c r="I28" s="1294" t="s">
        <v>8414</v>
      </c>
      <c r="J28" s="1249"/>
      <c r="K28" s="832" t="s">
        <v>8415</v>
      </c>
      <c r="L28" s="1291"/>
      <c r="M28" s="832" t="s">
        <v>8416</v>
      </c>
      <c r="N28" s="1249"/>
      <c r="O28" s="1249"/>
      <c r="P28" s="1289" t="s">
        <v>5888</v>
      </c>
      <c r="Q28" s="1291"/>
      <c r="R28" s="1249"/>
      <c r="S28" s="832" t="s">
        <v>3351</v>
      </c>
      <c r="T28" s="832"/>
      <c r="U28" s="1289" t="s">
        <v>3823</v>
      </c>
      <c r="V28" s="1291"/>
      <c r="W28" s="1249"/>
      <c r="X28" s="832" t="s">
        <v>8417</v>
      </c>
      <c r="Y28" s="832" t="s">
        <v>5130</v>
      </c>
      <c r="Z28" s="1249"/>
      <c r="AA28" s="832" t="s">
        <v>8418</v>
      </c>
      <c r="AB28" s="1291"/>
      <c r="AC28" s="832" t="s">
        <v>8419</v>
      </c>
      <c r="AD28" s="832" t="s">
        <v>5429</v>
      </c>
      <c r="AE28" s="832" t="s">
        <v>8420</v>
      </c>
      <c r="AF28" s="832" t="s">
        <v>7767</v>
      </c>
      <c r="AG28" s="1291"/>
      <c r="AH28" s="1291"/>
      <c r="AI28" s="1291"/>
      <c r="AJ28" s="1291"/>
      <c r="AK28" s="1291"/>
      <c r="AL28" s="1249"/>
      <c r="AM28" s="1249"/>
      <c r="AN28" s="832" t="s">
        <v>8421</v>
      </c>
      <c r="AO28" s="1289" t="s">
        <v>8422</v>
      </c>
      <c r="AP28" s="1249"/>
      <c r="AQ28" s="832" t="s">
        <v>8150</v>
      </c>
      <c r="AR28" s="1249"/>
      <c r="AS28" s="1249"/>
      <c r="AT28" s="1249"/>
      <c r="AU28" s="832" t="s">
        <v>8373</v>
      </c>
      <c r="AV28" s="1249"/>
      <c r="AW28" s="1249"/>
      <c r="AX28" s="1249"/>
      <c r="AY28" s="1249"/>
      <c r="AZ28" s="1249"/>
      <c r="BA28" s="1249"/>
      <c r="BB28" s="1249"/>
      <c r="BC28" s="1249"/>
      <c r="BD28" s="1249"/>
      <c r="BE28" s="1291"/>
      <c r="BF28" s="1249"/>
      <c r="BG28" s="1330"/>
      <c r="BH28" s="1330"/>
      <c r="BI28" s="1330"/>
      <c r="BJ28" s="1330"/>
      <c r="BK28" s="1330"/>
      <c r="BL28" s="1366" t="s">
        <v>8423</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6580</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7306</v>
      </c>
      <c r="C30" s="1080" t="s">
        <v>1483</v>
      </c>
      <c r="D30" s="1081" t="s">
        <v>1483</v>
      </c>
      <c r="E30" s="1082" t="s">
        <v>1483</v>
      </c>
      <c r="F30" s="1083" t="s">
        <v>448</v>
      </c>
      <c r="G30" s="1079" t="s">
        <v>667</v>
      </c>
      <c r="H30" s="1323"/>
      <c r="I30" s="1323"/>
      <c r="J30" s="92"/>
      <c r="K30" s="92"/>
      <c r="L30" s="96"/>
      <c r="M30" s="92"/>
      <c r="N30" s="92"/>
      <c r="O30" s="92"/>
      <c r="P30" s="92"/>
      <c r="Q30" s="96"/>
      <c r="R30" s="114" t="s">
        <v>8424</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8425</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6580</v>
      </c>
      <c r="J31" s="1249"/>
      <c r="K31" s="832" t="s">
        <v>8426</v>
      </c>
      <c r="L31" s="1291"/>
      <c r="M31" s="1249"/>
      <c r="N31" s="1249"/>
      <c r="O31" s="1249"/>
      <c r="P31" s="832" t="s">
        <v>8427</v>
      </c>
      <c r="Q31" s="1291"/>
      <c r="R31" s="1249"/>
      <c r="S31" s="1249"/>
      <c r="T31" s="832" t="s">
        <v>8428</v>
      </c>
      <c r="U31" s="832" t="s">
        <v>8429</v>
      </c>
      <c r="V31" s="1291"/>
      <c r="W31" s="832" t="s">
        <v>248</v>
      </c>
      <c r="X31" s="832" t="s">
        <v>8430</v>
      </c>
      <c r="Y31" s="832" t="s">
        <v>370</v>
      </c>
      <c r="Z31" s="1249"/>
      <c r="AA31" s="1249"/>
      <c r="AB31" s="1291"/>
      <c r="AC31" s="1249"/>
      <c r="AD31" s="1249"/>
      <c r="AE31" s="1249"/>
      <c r="AF31" s="1249"/>
      <c r="AG31" s="1291"/>
      <c r="AH31" s="1291"/>
      <c r="AI31" s="1291"/>
      <c r="AJ31" s="1291"/>
      <c r="AK31" s="1291"/>
      <c r="AL31" s="1249"/>
      <c r="AM31" s="1249"/>
      <c r="AN31" s="1249"/>
      <c r="AO31" s="1249"/>
      <c r="AP31" s="807" t="s">
        <v>8125</v>
      </c>
      <c r="AQ31" s="807"/>
      <c r="AR31" s="1249"/>
      <c r="AS31" s="832" t="s">
        <v>8303</v>
      </c>
      <c r="AT31" s="1249"/>
      <c r="AU31" s="832" t="s">
        <v>8406</v>
      </c>
      <c r="AV31" s="1249"/>
      <c r="AW31" s="1249"/>
      <c r="AX31" s="1249"/>
      <c r="AY31" s="1249"/>
      <c r="AZ31" s="832" t="s">
        <v>2496</v>
      </c>
      <c r="BA31" s="1249"/>
      <c r="BB31" s="807" t="s">
        <v>8431</v>
      </c>
      <c r="BC31" s="832" t="s">
        <v>8053</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8432</v>
      </c>
      <c r="AD32" s="832" t="s">
        <v>2208</v>
      </c>
      <c r="AE32" s="832"/>
      <c r="AF32" s="1289" t="s">
        <v>7695</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8221</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8433</v>
      </c>
      <c r="I33" s="1323"/>
      <c r="J33" s="1249"/>
      <c r="K33" s="1249"/>
      <c r="L33" s="1291"/>
      <c r="M33" s="1249"/>
      <c r="N33" s="1249"/>
      <c r="O33" s="1249"/>
      <c r="P33" s="1249"/>
      <c r="Q33" s="1291"/>
      <c r="R33" s="1249"/>
      <c r="S33" s="1249"/>
      <c r="T33" s="820" t="s">
        <v>8434</v>
      </c>
      <c r="U33" s="832" t="s">
        <v>8435</v>
      </c>
      <c r="V33" s="832" t="s">
        <v>8436</v>
      </c>
      <c r="W33" s="1249"/>
      <c r="X33" s="832" t="s">
        <v>8437</v>
      </c>
      <c r="Y33" s="832" t="s">
        <v>8438</v>
      </c>
      <c r="Z33" s="1249"/>
      <c r="AA33" s="1249"/>
      <c r="AB33" s="1291"/>
      <c r="AC33" s="820" t="s">
        <v>1730</v>
      </c>
      <c r="AD33" s="832" t="s">
        <v>5549</v>
      </c>
      <c r="AE33" s="1249"/>
      <c r="AF33" s="1249"/>
      <c r="AG33" s="1291"/>
      <c r="AH33" s="1291"/>
      <c r="AI33" s="1291"/>
      <c r="AJ33" s="1291"/>
      <c r="AK33" s="1291"/>
      <c r="AL33" s="1249"/>
      <c r="AM33" s="832" t="s">
        <v>8439</v>
      </c>
      <c r="AN33" s="1249"/>
      <c r="AO33" s="1249"/>
      <c r="AP33" s="832" t="s">
        <v>8108</v>
      </c>
      <c r="AQ33" s="1249"/>
      <c r="AR33" s="1249"/>
      <c r="AS33" s="1249"/>
      <c r="AT33" s="1249"/>
      <c r="AU33" s="832" t="s">
        <v>8169</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8440</v>
      </c>
      <c r="CF33" s="1249"/>
      <c r="CG33" s="1291"/>
      <c r="CH33" s="1291"/>
      <c r="CI33" s="1291"/>
      <c r="CJ33" s="1291"/>
      <c r="CK33" s="1291"/>
      <c r="CL33" s="1291"/>
      <c r="CM33" s="1291"/>
      <c r="CN33" s="1249"/>
      <c r="CO33" s="1291"/>
      <c r="CP33" s="1291"/>
      <c r="CQ33" s="1291"/>
      <c r="CR33" s="1291"/>
      <c r="CS33" s="1291"/>
      <c r="CT33" s="1291"/>
    </row>
    <row r="34">
      <c r="A34" s="1292" t="s">
        <v>8441</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8442</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6510</v>
      </c>
      <c r="B35" s="1079" t="s">
        <v>3006</v>
      </c>
      <c r="C35" s="1080" t="s">
        <v>448</v>
      </c>
      <c r="D35" s="1081" t="s">
        <v>1483</v>
      </c>
      <c r="E35" s="1082" t="s">
        <v>1483</v>
      </c>
      <c r="F35" s="1083" t="s">
        <v>448</v>
      </c>
      <c r="G35" s="1079" t="s">
        <v>448</v>
      </c>
      <c r="H35" s="1081"/>
      <c r="I35" s="1323"/>
      <c r="J35" s="1249"/>
      <c r="K35" s="1249"/>
      <c r="L35" s="1291"/>
      <c r="M35" s="1249"/>
      <c r="N35" s="1249"/>
      <c r="O35" s="1290" t="s">
        <v>8443</v>
      </c>
      <c r="P35" s="1290" t="s">
        <v>8444</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3111</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8445</v>
      </c>
      <c r="B40" s="1079" t="s">
        <v>3382</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8077</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6502</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8446</v>
      </c>
      <c r="S41" s="1249"/>
      <c r="T41" s="1249"/>
      <c r="U41" s="832" t="s">
        <v>8447</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8448</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8449</v>
      </c>
      <c r="L43" s="1291"/>
      <c r="M43" s="1249"/>
      <c r="N43" s="1249"/>
      <c r="O43" s="1249"/>
      <c r="P43" s="1249"/>
      <c r="Q43" s="1291"/>
      <c r="R43" s="1249"/>
      <c r="S43" s="1249"/>
      <c r="T43" s="1249"/>
      <c r="U43" s="1249"/>
      <c r="V43" s="1291"/>
      <c r="W43" s="1289" t="s">
        <v>6376</v>
      </c>
      <c r="X43" s="832"/>
      <c r="Y43" s="1249"/>
      <c r="Z43" s="1249"/>
      <c r="AA43" s="1249"/>
      <c r="AB43" s="1291"/>
      <c r="AC43" s="1249"/>
      <c r="AD43" s="1289" t="s">
        <v>3090</v>
      </c>
      <c r="AE43" s="92"/>
      <c r="AF43" s="92"/>
      <c r="AG43" s="96"/>
      <c r="AH43" s="1291"/>
      <c r="AI43" s="1291"/>
      <c r="AJ43" s="1291"/>
      <c r="AK43" s="1291"/>
      <c r="AL43" s="1249"/>
      <c r="AM43" s="1249"/>
      <c r="AN43" s="1249"/>
      <c r="AO43" s="1249"/>
      <c r="AP43" s="1249"/>
      <c r="AQ43" s="1249"/>
      <c r="AR43" s="1249"/>
      <c r="AS43" s="1249"/>
      <c r="AT43" s="1249"/>
      <c r="AU43" s="832" t="s">
        <v>8080</v>
      </c>
      <c r="AV43" s="832"/>
      <c r="AW43" s="1249"/>
      <c r="AX43" s="1249"/>
      <c r="AY43" s="1249"/>
      <c r="AZ43" s="1249"/>
      <c r="BA43" s="1249"/>
      <c r="BB43" s="1249"/>
      <c r="BC43" s="832" t="s">
        <v>8167</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3633</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6499</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8450</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8451</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3338</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8452</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8453</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8454</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6433</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8455</v>
      </c>
      <c r="S51" s="1249"/>
      <c r="T51" s="1249"/>
      <c r="U51" s="820" t="s">
        <v>8456</v>
      </c>
      <c r="V51" s="1291"/>
      <c r="W51" s="832" t="s">
        <v>8457</v>
      </c>
      <c r="X51" s="832" t="s">
        <v>8457</v>
      </c>
      <c r="Y51" s="1249"/>
      <c r="Z51" s="1249"/>
      <c r="AA51" s="1249"/>
      <c r="AB51" s="1291"/>
      <c r="AC51" s="1249"/>
      <c r="AD51" s="1249"/>
      <c r="AE51" s="1249"/>
      <c r="AF51" s="1249"/>
      <c r="AG51" s="1291"/>
      <c r="AH51" s="1291"/>
      <c r="AI51" s="1291"/>
      <c r="AJ51" s="1291"/>
      <c r="AK51" s="1291"/>
      <c r="AL51" s="1249"/>
      <c r="AM51" s="1249"/>
      <c r="AN51" s="1249"/>
      <c r="AO51" s="1249"/>
      <c r="AP51" s="832" t="s">
        <v>8458</v>
      </c>
      <c r="AQ51" s="820" t="s">
        <v>8459</v>
      </c>
      <c r="AR51" s="820" t="s">
        <v>8460</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8461</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3138</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8012</v>
      </c>
      <c r="BD53" s="1289" t="s">
        <v>8406</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8462</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8463</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8464</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8161</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8465</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8466</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8467</v>
      </c>
      <c r="C1" s="23" t="s">
        <v>10</v>
      </c>
      <c r="F1" s="23" t="s">
        <v>34</v>
      </c>
      <c r="H1" s="24" t="s">
        <v>35</v>
      </c>
      <c r="K1" s="26" t="s">
        <v>36</v>
      </c>
      <c r="N1" s="28" t="s">
        <v>6720</v>
      </c>
      <c r="Q1" s="29" t="s">
        <v>38</v>
      </c>
      <c r="T1" s="30" t="s">
        <v>39</v>
      </c>
      <c r="W1" s="32" t="s">
        <v>6949</v>
      </c>
      <c r="Z1" s="33" t="s">
        <v>7008</v>
      </c>
      <c r="AC1" s="34" t="s">
        <v>42</v>
      </c>
      <c r="AF1" s="1383"/>
      <c r="AG1" s="1383"/>
    </row>
    <row r="2" ht="38.25" customHeight="1">
      <c r="A2" s="35" t="s">
        <v>43</v>
      </c>
      <c r="B2" s="36" t="s">
        <v>44</v>
      </c>
      <c r="C2" s="36" t="s">
        <v>45</v>
      </c>
      <c r="F2" s="36" t="s">
        <v>8468</v>
      </c>
      <c r="H2" s="1384"/>
      <c r="I2" s="1384"/>
      <c r="J2" s="1384"/>
      <c r="K2" s="1283" t="s">
        <v>8469</v>
      </c>
      <c r="L2" s="1283" t="s">
        <v>8470</v>
      </c>
      <c r="M2" s="1283" t="s">
        <v>8471</v>
      </c>
      <c r="N2" s="1385" t="s">
        <v>54</v>
      </c>
      <c r="O2" s="1385"/>
      <c r="P2" s="1385"/>
      <c r="Q2" s="42" t="s">
        <v>48</v>
      </c>
      <c r="R2" s="42" t="s">
        <v>8472</v>
      </c>
      <c r="S2" s="42"/>
      <c r="T2" s="44" t="s">
        <v>50</v>
      </c>
      <c r="U2" s="44" t="s">
        <v>54</v>
      </c>
      <c r="V2" s="44" t="s">
        <v>62</v>
      </c>
      <c r="W2" s="45" t="s">
        <v>52</v>
      </c>
      <c r="X2" s="45"/>
      <c r="Y2" s="45"/>
      <c r="Z2" s="47" t="s">
        <v>51</v>
      </c>
      <c r="AA2" s="1386" t="s">
        <v>8473</v>
      </c>
      <c r="AB2" s="47"/>
      <c r="AC2" s="1387" t="s">
        <v>8474</v>
      </c>
      <c r="AD2" s="1387"/>
      <c r="AE2" s="1387"/>
      <c r="AF2" s="1388"/>
      <c r="AG2" s="1388"/>
    </row>
    <row r="3">
      <c r="A3" s="1389" t="s">
        <v>4319</v>
      </c>
      <c r="B3" s="1390" t="s">
        <v>3755</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6891</v>
      </c>
      <c r="U3" s="1291"/>
      <c r="V3" s="1291"/>
      <c r="W3" s="1356" t="s">
        <v>8475</v>
      </c>
      <c r="X3" s="1291"/>
      <c r="Y3" s="1291"/>
      <c r="Z3" s="1398" t="s">
        <v>8476</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8477</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8478</v>
      </c>
      <c r="X5" s="1291"/>
      <c r="Y5" s="1291"/>
      <c r="Z5" s="1289" t="s">
        <v>8479</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5" t="s">
        <v>7757</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8480</v>
      </c>
      <c r="S7" s="1249"/>
      <c r="T7" s="1291"/>
      <c r="U7" s="1291"/>
      <c r="V7" s="1291"/>
      <c r="W7" s="1249"/>
      <c r="X7" s="1291"/>
      <c r="Y7" s="1291"/>
      <c r="Z7" s="1290" t="s">
        <v>8481</v>
      </c>
      <c r="AA7" s="1290" t="s">
        <v>6308</v>
      </c>
      <c r="AB7" s="1249"/>
      <c r="AC7" s="1291"/>
      <c r="AD7" s="1291"/>
      <c r="AE7" s="1291"/>
      <c r="AF7" s="1399"/>
      <c r="AG7" s="1399"/>
    </row>
    <row r="8">
      <c r="A8" s="1254" t="s">
        <v>7879</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6838</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3321</v>
      </c>
      <c r="W9" s="1249"/>
      <c r="X9" s="1291"/>
      <c r="Y9" s="1291"/>
      <c r="Z9" s="1249"/>
      <c r="AA9" s="1291"/>
      <c r="AB9" s="1249"/>
      <c r="AC9" s="1288" t="s">
        <v>8482</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6864</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8483</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8484</v>
      </c>
      <c r="L12" s="1249"/>
      <c r="M12" s="1249"/>
      <c r="N12" s="1249"/>
      <c r="O12" s="1291"/>
      <c r="P12" s="1291"/>
      <c r="Q12" s="1291"/>
      <c r="R12" s="1249"/>
      <c r="S12" s="1249"/>
      <c r="T12" s="1291"/>
      <c r="U12" s="1291"/>
      <c r="V12" s="1291"/>
      <c r="W12" s="1290" t="s">
        <v>8477</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8485</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8286</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6500</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3749</v>
      </c>
      <c r="R17" s="1295"/>
      <c r="S17" s="1295"/>
      <c r="T17" s="1363" t="s">
        <v>6635</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5" t="s">
        <v>8486</v>
      </c>
      <c r="AD18" s="1291"/>
      <c r="AE18" s="1291"/>
      <c r="AF18" s="1399"/>
      <c r="AG18" s="1399"/>
    </row>
    <row r="19">
      <c r="A19" s="1146" t="s">
        <v>6428</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8487</v>
      </c>
      <c r="W19" s="1249"/>
      <c r="X19" s="1291"/>
      <c r="Y19" s="1291"/>
      <c r="Z19" s="1249"/>
      <c r="AA19" s="1291"/>
      <c r="AB19" s="1249"/>
      <c r="AC19" s="1291"/>
      <c r="AD19" s="1291"/>
      <c r="AE19" s="1291"/>
      <c r="AF19" s="1399"/>
      <c r="AG19" s="1399"/>
    </row>
    <row r="20">
      <c r="A20" s="1389" t="s">
        <v>8488</v>
      </c>
      <c r="B20" s="1390" t="s">
        <v>667</v>
      </c>
      <c r="C20" s="1391" t="s">
        <v>448</v>
      </c>
      <c r="D20" s="1392" t="s">
        <v>1483</v>
      </c>
      <c r="E20" s="1393" t="s">
        <v>1483</v>
      </c>
      <c r="F20" s="1394" t="s">
        <v>448</v>
      </c>
      <c r="G20" s="1390" t="s">
        <v>448</v>
      </c>
      <c r="H20" s="1291"/>
      <c r="I20" s="96"/>
      <c r="J20" s="92"/>
      <c r="K20" s="1290" t="s">
        <v>8489</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5" t="s">
        <v>8490</v>
      </c>
      <c r="AD21" s="1291"/>
      <c r="AE21" s="1291"/>
      <c r="AF21" s="1399"/>
      <c r="AG21" s="1399"/>
    </row>
    <row r="22">
      <c r="A22" s="1389" t="s">
        <v>6489</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8491</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8492</v>
      </c>
      <c r="V24" s="1291"/>
      <c r="W24" s="1249"/>
      <c r="X24" s="1291"/>
      <c r="Y24" s="1291"/>
      <c r="Z24" s="1249"/>
      <c r="AA24" s="1291"/>
      <c r="AB24" s="1249"/>
      <c r="AC24" s="1291"/>
      <c r="AD24" s="1291"/>
      <c r="AE24" s="1291"/>
      <c r="AF24" s="1399"/>
      <c r="AG24" s="1399"/>
    </row>
    <row r="25">
      <c r="A25" s="1254" t="s">
        <v>6290</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8493</v>
      </c>
      <c r="C1" s="1414" t="s">
        <v>8494</v>
      </c>
      <c r="D1" s="1415" t="s">
        <v>8495</v>
      </c>
      <c r="E1" s="1415" t="s">
        <v>7908</v>
      </c>
      <c r="F1" s="1415" t="s">
        <v>7909</v>
      </c>
      <c r="G1" s="1415" t="s">
        <v>8496</v>
      </c>
      <c r="H1" s="1416" t="s">
        <v>8497</v>
      </c>
      <c r="I1" s="1416" t="s">
        <v>8498</v>
      </c>
      <c r="J1" s="1417" t="s">
        <v>7920</v>
      </c>
      <c r="K1" s="1417" t="s">
        <v>8499</v>
      </c>
      <c r="L1" s="1417" t="s">
        <v>8500</v>
      </c>
      <c r="M1" s="1417" t="s">
        <v>8501</v>
      </c>
      <c r="N1" s="1417" t="s">
        <v>7983</v>
      </c>
      <c r="O1" s="1417" t="s">
        <v>8502</v>
      </c>
      <c r="P1" s="1417" t="s">
        <v>8503</v>
      </c>
      <c r="Q1" s="1418" t="s">
        <v>8504</v>
      </c>
      <c r="R1" s="1418" t="s">
        <v>7916</v>
      </c>
      <c r="S1" s="1418" t="s">
        <v>8505</v>
      </c>
      <c r="T1" s="1418" t="s">
        <v>8506</v>
      </c>
      <c r="U1" s="1418" t="s">
        <v>8507</v>
      </c>
      <c r="V1" s="1418" t="s">
        <v>8508</v>
      </c>
      <c r="W1" s="1419" t="s">
        <v>7910</v>
      </c>
      <c r="X1" s="1419" t="s">
        <v>7911</v>
      </c>
      <c r="Y1" s="1419" t="s">
        <v>8509</v>
      </c>
      <c r="Z1" s="1419" t="s">
        <v>8510</v>
      </c>
      <c r="AA1" s="1419" t="s">
        <v>7913</v>
      </c>
      <c r="AB1" s="1419" t="s">
        <v>8511</v>
      </c>
      <c r="AC1" s="1419" t="s">
        <v>8512</v>
      </c>
      <c r="AD1" s="1415" t="s">
        <v>8513</v>
      </c>
      <c r="AE1" s="1415" t="s">
        <v>8514</v>
      </c>
      <c r="AF1" s="1420" t="s">
        <v>7917</v>
      </c>
      <c r="AG1" s="1420" t="s">
        <v>8515</v>
      </c>
      <c r="AH1" s="1420" t="s">
        <v>8516</v>
      </c>
      <c r="AI1" s="1420" t="s">
        <v>7918</v>
      </c>
      <c r="AJ1" s="1420" t="s">
        <v>8517</v>
      </c>
      <c r="AK1" s="1420" t="s">
        <v>8518</v>
      </c>
      <c r="AL1" s="1420" t="s">
        <v>8519</v>
      </c>
      <c r="AM1" s="1421" t="s">
        <v>7919</v>
      </c>
      <c r="AN1" s="1421" t="s">
        <v>8520</v>
      </c>
      <c r="AO1" s="1421" t="s">
        <v>8521</v>
      </c>
      <c r="AP1" s="1421" t="s">
        <v>8522</v>
      </c>
      <c r="AQ1" s="1421" t="s">
        <v>8523</v>
      </c>
      <c r="AR1" s="1421" t="s">
        <v>8524</v>
      </c>
      <c r="AS1" s="1421" t="s">
        <v>8525</v>
      </c>
      <c r="AT1" s="1422" t="s">
        <v>8526</v>
      </c>
      <c r="AU1" s="1412" t="s">
        <v>8527</v>
      </c>
      <c r="AV1" s="1423" t="s">
        <v>8528</v>
      </c>
      <c r="AW1" s="1424" t="s">
        <v>8529</v>
      </c>
    </row>
    <row r="2" ht="15.75" customHeight="1">
      <c r="A2" s="1425" t="s">
        <v>8530</v>
      </c>
      <c r="B2" s="1426" t="s">
        <v>8531</v>
      </c>
      <c r="C2" s="1427" t="s">
        <v>8532</v>
      </c>
      <c r="D2" s="1428" t="s">
        <v>8533</v>
      </c>
      <c r="E2" s="1428" t="s">
        <v>8534</v>
      </c>
      <c r="F2" s="1429" t="s">
        <v>8535</v>
      </c>
      <c r="G2" s="1428" t="s">
        <v>8536</v>
      </c>
      <c r="H2" s="1430" t="s">
        <v>6188</v>
      </c>
      <c r="I2" s="1431" t="s">
        <v>3868</v>
      </c>
      <c r="J2" s="1432" t="s">
        <v>8537</v>
      </c>
      <c r="K2" s="1433" t="s">
        <v>4301</v>
      </c>
      <c r="L2" s="1433" t="s">
        <v>232</v>
      </c>
      <c r="M2" s="1434" t="s">
        <v>8538</v>
      </c>
      <c r="N2" s="1434" t="s">
        <v>4112</v>
      </c>
      <c r="O2" s="1434" t="s">
        <v>8539</v>
      </c>
      <c r="P2" s="1433" t="s">
        <v>1414</v>
      </c>
      <c r="Q2" s="1435" t="s">
        <v>8540</v>
      </c>
      <c r="R2" s="1436" t="s">
        <v>8541</v>
      </c>
      <c r="S2" s="1435" t="s">
        <v>848</v>
      </c>
      <c r="T2" s="1436" t="s">
        <v>8542</v>
      </c>
      <c r="U2" s="1435" t="s">
        <v>8543</v>
      </c>
      <c r="V2" s="1437">
        <v>58.55</v>
      </c>
      <c r="W2" s="1438" t="s">
        <v>8544</v>
      </c>
      <c r="X2" s="1439" t="s">
        <v>8545</v>
      </c>
      <c r="Y2" s="1439">
        <v>46.63</v>
      </c>
      <c r="Z2" s="1440" t="s">
        <v>8546</v>
      </c>
      <c r="AA2" s="1439" t="s">
        <v>3721</v>
      </c>
      <c r="AB2" s="1439" t="s">
        <v>8547</v>
      </c>
      <c r="AC2" s="1440" t="s">
        <v>4136</v>
      </c>
      <c r="AD2" s="1441" t="s">
        <v>8548</v>
      </c>
      <c r="AE2" s="1429" t="s">
        <v>4818</v>
      </c>
      <c r="AF2" s="1442" t="s">
        <v>8549</v>
      </c>
      <c r="AG2" s="1442" t="s">
        <v>8550</v>
      </c>
      <c r="AH2" s="1442" t="s">
        <v>3895</v>
      </c>
      <c r="AI2" s="1443" t="s">
        <v>8551</v>
      </c>
      <c r="AJ2" s="1443" t="s">
        <v>8552</v>
      </c>
      <c r="AK2" s="1443" t="s">
        <v>8553</v>
      </c>
      <c r="AL2" s="1444" t="s">
        <v>5635</v>
      </c>
      <c r="AM2" s="1445" t="s">
        <v>8554</v>
      </c>
      <c r="AN2" s="1446" t="s">
        <v>8555</v>
      </c>
      <c r="AO2" s="1447" t="s">
        <v>6369</v>
      </c>
      <c r="AP2" s="1448" t="s">
        <v>8556</v>
      </c>
      <c r="AQ2" s="1445" t="s">
        <v>4811</v>
      </c>
      <c r="AR2" s="1447" t="s">
        <v>424</v>
      </c>
      <c r="AS2" s="1445">
        <v>42.83</v>
      </c>
      <c r="AT2" s="1449" t="s">
        <v>8557</v>
      </c>
      <c r="AU2" s="1427" t="s">
        <v>8558</v>
      </c>
      <c r="AV2" s="1427" t="str">
        <f t="shared" ref="AV2:AV74" si="1">TEXT(AU2-C2,"m:ss")</f>
        <v>2:25</v>
      </c>
      <c r="AW2" s="1450"/>
    </row>
    <row r="3" ht="15.75" customHeight="1">
      <c r="A3" s="1451" t="s">
        <v>8559</v>
      </c>
      <c r="B3" s="1452" t="s">
        <v>8560</v>
      </c>
      <c r="C3" s="1453">
        <v>0.049427546296296296</v>
      </c>
      <c r="D3" s="1454" t="s">
        <v>8561</v>
      </c>
      <c r="E3" s="1454" t="s">
        <v>8562</v>
      </c>
      <c r="F3" s="1454" t="s">
        <v>8563</v>
      </c>
      <c r="G3" s="1454" t="s">
        <v>8564</v>
      </c>
      <c r="H3" s="1455" t="s">
        <v>8565</v>
      </c>
      <c r="I3" s="1455" t="s">
        <v>8566</v>
      </c>
      <c r="J3" s="1456" t="s">
        <v>8567</v>
      </c>
      <c r="K3" s="1456" t="s">
        <v>1140</v>
      </c>
      <c r="L3" s="1456" t="s">
        <v>2875</v>
      </c>
      <c r="M3" s="1456" t="s">
        <v>8568</v>
      </c>
      <c r="N3" s="1456" t="s">
        <v>2589</v>
      </c>
      <c r="O3" s="1456" t="s">
        <v>8569</v>
      </c>
      <c r="P3" s="1456" t="s">
        <v>5572</v>
      </c>
      <c r="Q3" s="1457" t="s">
        <v>8570</v>
      </c>
      <c r="R3" s="1457" t="s">
        <v>8571</v>
      </c>
      <c r="S3" s="1457" t="s">
        <v>8572</v>
      </c>
      <c r="T3" s="1457" t="s">
        <v>8573</v>
      </c>
      <c r="U3" s="1458" t="s">
        <v>7856</v>
      </c>
      <c r="V3" s="1457" t="s">
        <v>4212</v>
      </c>
      <c r="W3" s="1459" t="s">
        <v>4242</v>
      </c>
      <c r="X3" s="1460" t="s">
        <v>2663</v>
      </c>
      <c r="Y3" s="1460" t="s">
        <v>8574</v>
      </c>
      <c r="Z3" s="1460" t="s">
        <v>454</v>
      </c>
      <c r="AA3" s="1460" t="s">
        <v>8575</v>
      </c>
      <c r="AB3" s="1459" t="s">
        <v>2914</v>
      </c>
      <c r="AC3" s="1460" t="s">
        <v>5110</v>
      </c>
      <c r="AD3" s="1454" t="s">
        <v>8576</v>
      </c>
      <c r="AE3" s="1454" t="s">
        <v>8577</v>
      </c>
      <c r="AF3" s="1461" t="s">
        <v>8578</v>
      </c>
      <c r="AG3" s="1462" t="s">
        <v>3992</v>
      </c>
      <c r="AH3" s="1462" t="s">
        <v>2889</v>
      </c>
      <c r="AI3" s="1462" t="s">
        <v>7578</v>
      </c>
      <c r="AJ3" s="1461" t="s">
        <v>8579</v>
      </c>
      <c r="AK3" s="1462" t="s">
        <v>8580</v>
      </c>
      <c r="AL3" s="1462" t="s">
        <v>6083</v>
      </c>
      <c r="AM3" s="1463" t="s">
        <v>8581</v>
      </c>
      <c r="AN3" s="1463" t="s">
        <v>3343</v>
      </c>
      <c r="AO3" s="1464" t="s">
        <v>7746</v>
      </c>
      <c r="AP3" s="1464" t="s">
        <v>8582</v>
      </c>
      <c r="AQ3" s="1464" t="s">
        <v>8583</v>
      </c>
      <c r="AR3" s="1464" t="s">
        <v>3432</v>
      </c>
      <c r="AS3" s="1463" t="s">
        <v>5277</v>
      </c>
      <c r="AT3" s="1465" t="s">
        <v>4062</v>
      </c>
      <c r="AU3" s="1466" t="s">
        <v>8584</v>
      </c>
      <c r="AV3" s="1466" t="str">
        <f t="shared" si="1"/>
        <v>3:56</v>
      </c>
    </row>
    <row r="4" ht="15.75" customHeight="1">
      <c r="A4" s="1467" t="s">
        <v>8585</v>
      </c>
      <c r="B4" s="1468" t="s">
        <v>8586</v>
      </c>
      <c r="C4" s="1469">
        <v>0.050637731481481485</v>
      </c>
      <c r="D4" s="1470" t="s">
        <v>8587</v>
      </c>
      <c r="E4" s="1470" t="s">
        <v>8588</v>
      </c>
      <c r="F4" s="1470" t="s">
        <v>8589</v>
      </c>
      <c r="G4" s="1470" t="s">
        <v>8590</v>
      </c>
      <c r="H4" s="1471" t="s">
        <v>8591</v>
      </c>
      <c r="I4" s="1471" t="s">
        <v>354</v>
      </c>
      <c r="J4" s="1472" t="s">
        <v>8592</v>
      </c>
      <c r="K4" s="1472" t="s">
        <v>6201</v>
      </c>
      <c r="L4" s="1472" t="s">
        <v>3882</v>
      </c>
      <c r="M4" s="1472" t="s">
        <v>8593</v>
      </c>
      <c r="N4" s="1472" t="s">
        <v>8554</v>
      </c>
      <c r="O4" s="1472" t="s">
        <v>8594</v>
      </c>
      <c r="P4" s="1472" t="s">
        <v>8595</v>
      </c>
      <c r="Q4" s="1473" t="s">
        <v>8596</v>
      </c>
      <c r="R4" s="1473" t="s">
        <v>8597</v>
      </c>
      <c r="S4" s="1473" t="s">
        <v>2350</v>
      </c>
      <c r="T4" s="1473" t="s">
        <v>8598</v>
      </c>
      <c r="U4" s="1473" t="s">
        <v>8599</v>
      </c>
      <c r="V4" s="1473" t="s">
        <v>8600</v>
      </c>
      <c r="W4" s="1474" t="s">
        <v>8601</v>
      </c>
      <c r="X4" s="1474" t="s">
        <v>8602</v>
      </c>
      <c r="Y4" s="1474">
        <v>47.93</v>
      </c>
      <c r="Z4" s="1474" t="s">
        <v>8603</v>
      </c>
      <c r="AA4" s="1474" t="s">
        <v>8604</v>
      </c>
      <c r="AB4" s="1474" t="s">
        <v>8605</v>
      </c>
      <c r="AC4" s="1474">
        <v>49.24</v>
      </c>
      <c r="AD4" s="1475" t="s">
        <v>8606</v>
      </c>
      <c r="AE4" s="1470" t="s">
        <v>8607</v>
      </c>
      <c r="AF4" s="1476" t="s">
        <v>2770</v>
      </c>
      <c r="AG4" s="1476" t="s">
        <v>4713</v>
      </c>
      <c r="AH4" s="1476" t="s">
        <v>5279</v>
      </c>
      <c r="AI4" s="1476" t="s">
        <v>8608</v>
      </c>
      <c r="AJ4" s="1476" t="s">
        <v>8609</v>
      </c>
      <c r="AK4" s="1476" t="s">
        <v>8610</v>
      </c>
      <c r="AL4" s="1476" t="s">
        <v>8611</v>
      </c>
      <c r="AM4" s="1477" t="s">
        <v>8612</v>
      </c>
      <c r="AN4" s="1478" t="s">
        <v>8613</v>
      </c>
      <c r="AO4" s="1477" t="s">
        <v>8614</v>
      </c>
      <c r="AP4" s="1478" t="s">
        <v>8615</v>
      </c>
      <c r="AQ4" s="1477" t="s">
        <v>8616</v>
      </c>
      <c r="AR4" s="1477" t="s">
        <v>6528</v>
      </c>
      <c r="AS4" s="1477" t="s">
        <v>784</v>
      </c>
      <c r="AT4" s="1479" t="s">
        <v>8617</v>
      </c>
      <c r="AU4" s="1480" t="s">
        <v>8618</v>
      </c>
      <c r="AV4" s="1481" t="str">
        <f t="shared" si="1"/>
        <v>2:38</v>
      </c>
    </row>
    <row r="5" ht="15.75" customHeight="1">
      <c r="A5" s="1482" t="s">
        <v>1107</v>
      </c>
      <c r="B5" s="1483" t="s">
        <v>8531</v>
      </c>
      <c r="C5" s="1484">
        <v>0.04913194444444444</v>
      </c>
      <c r="D5" s="1485" t="s">
        <v>8533</v>
      </c>
      <c r="E5" s="1485" t="s">
        <v>8534</v>
      </c>
      <c r="F5" s="1486" t="s">
        <v>8619</v>
      </c>
      <c r="G5" s="1486" t="s">
        <v>8620</v>
      </c>
      <c r="H5" s="1485" t="s">
        <v>6188</v>
      </c>
      <c r="I5" s="1485" t="s">
        <v>3868</v>
      </c>
      <c r="J5" s="1486" t="s">
        <v>5601</v>
      </c>
      <c r="K5" s="1487" t="s">
        <v>2172</v>
      </c>
      <c r="L5" s="1486" t="s">
        <v>8621</v>
      </c>
      <c r="M5" s="1488" t="s">
        <v>8538</v>
      </c>
      <c r="N5" s="1488" t="s">
        <v>4112</v>
      </c>
      <c r="O5" s="1486" t="s">
        <v>8622</v>
      </c>
      <c r="P5" s="1487" t="s">
        <v>4283</v>
      </c>
      <c r="Q5" s="1488" t="s">
        <v>8540</v>
      </c>
      <c r="R5" s="1489" t="s">
        <v>8541</v>
      </c>
      <c r="S5" s="1488" t="s">
        <v>848</v>
      </c>
      <c r="T5" s="1486" t="s">
        <v>8623</v>
      </c>
      <c r="U5" s="1488" t="s">
        <v>8543</v>
      </c>
      <c r="V5" s="1487" t="s">
        <v>8624</v>
      </c>
      <c r="W5" s="1485" t="s">
        <v>8544</v>
      </c>
      <c r="X5" s="1486" t="s">
        <v>8625</v>
      </c>
      <c r="Y5" s="1486" t="s">
        <v>7525</v>
      </c>
      <c r="Z5" s="1486" t="s">
        <v>5112</v>
      </c>
      <c r="AA5" s="1490" t="s">
        <v>5591</v>
      </c>
      <c r="AB5" s="1486" t="s">
        <v>538</v>
      </c>
      <c r="AC5" s="1488" t="s">
        <v>4136</v>
      </c>
      <c r="AD5" s="1489" t="s">
        <v>8548</v>
      </c>
      <c r="AE5" s="1491" t="s">
        <v>8626</v>
      </c>
      <c r="AF5" s="1491" t="s">
        <v>8627</v>
      </c>
      <c r="AG5" s="1492" t="s">
        <v>2415</v>
      </c>
      <c r="AH5" s="1486" t="s">
        <v>8628</v>
      </c>
      <c r="AI5" s="1488" t="s">
        <v>8551</v>
      </c>
      <c r="AJ5" s="1492" t="s">
        <v>8629</v>
      </c>
      <c r="AK5" s="1488" t="s">
        <v>8553</v>
      </c>
      <c r="AL5" s="1489" t="s">
        <v>5635</v>
      </c>
      <c r="AM5" s="1489" t="s">
        <v>8554</v>
      </c>
      <c r="AN5" s="1486" t="s">
        <v>5351</v>
      </c>
      <c r="AO5" s="1493" t="s">
        <v>8630</v>
      </c>
      <c r="AP5" s="1490" t="s">
        <v>8631</v>
      </c>
      <c r="AQ5" s="1489" t="s">
        <v>4811</v>
      </c>
      <c r="AR5" s="1494" t="s">
        <v>8632</v>
      </c>
      <c r="AS5" s="1486" t="s">
        <v>4532</v>
      </c>
      <c r="AT5" s="1490" t="s">
        <v>8633</v>
      </c>
      <c r="AU5" s="1495" t="s">
        <v>8558</v>
      </c>
      <c r="AV5" s="1491" t="str">
        <f t="shared" si="1"/>
        <v>2:06</v>
      </c>
      <c r="AW5" s="1496" t="s">
        <v>8634</v>
      </c>
    </row>
    <row r="6" ht="15.75" customHeight="1">
      <c r="A6" s="1497" t="s">
        <v>446</v>
      </c>
      <c r="B6" s="1483" t="s">
        <v>8531</v>
      </c>
      <c r="C6" s="1484">
        <v>0.0493287037037037</v>
      </c>
      <c r="D6" s="1498" t="s">
        <v>8635</v>
      </c>
      <c r="E6" s="1499" t="s">
        <v>8636</v>
      </c>
      <c r="F6" s="1499" t="s">
        <v>8637</v>
      </c>
      <c r="G6" s="1499" t="s">
        <v>8638</v>
      </c>
      <c r="H6" s="1499" t="s">
        <v>8639</v>
      </c>
      <c r="I6" s="1493" t="s">
        <v>8640</v>
      </c>
      <c r="J6" s="1500" t="s">
        <v>8537</v>
      </c>
      <c r="K6" s="1499" t="s">
        <v>813</v>
      </c>
      <c r="L6" s="1499" t="s">
        <v>8641</v>
      </c>
      <c r="M6" s="1499" t="s">
        <v>8642</v>
      </c>
      <c r="N6" s="1499" t="s">
        <v>8643</v>
      </c>
      <c r="O6" s="1499" t="s">
        <v>8644</v>
      </c>
      <c r="P6" s="1500" t="s">
        <v>1414</v>
      </c>
      <c r="Q6" s="1487" t="s">
        <v>1641</v>
      </c>
      <c r="R6" s="1499" t="s">
        <v>4559</v>
      </c>
      <c r="S6" s="1499" t="s">
        <v>8537</v>
      </c>
      <c r="T6" s="1500" t="s">
        <v>8542</v>
      </c>
      <c r="U6" s="1487" t="s">
        <v>8556</v>
      </c>
      <c r="V6" s="1501" t="s">
        <v>8358</v>
      </c>
      <c r="W6" s="1499" t="s">
        <v>8645</v>
      </c>
      <c r="X6" s="1500" t="s">
        <v>8545</v>
      </c>
      <c r="Y6" s="1502">
        <v>46.72</v>
      </c>
      <c r="Z6" s="1502" t="s">
        <v>3708</v>
      </c>
      <c r="AA6" s="1500" t="s">
        <v>3721</v>
      </c>
      <c r="AB6" s="1500" t="s">
        <v>8547</v>
      </c>
      <c r="AC6" s="1499" t="s">
        <v>5553</v>
      </c>
      <c r="AD6" s="1499" t="s">
        <v>7452</v>
      </c>
      <c r="AE6" s="1503" t="s">
        <v>4818</v>
      </c>
      <c r="AF6" s="1502" t="s">
        <v>8646</v>
      </c>
      <c r="AG6" s="1501" t="s">
        <v>8647</v>
      </c>
      <c r="AH6" s="1500" t="s">
        <v>3895</v>
      </c>
      <c r="AI6" s="1499" t="s">
        <v>5953</v>
      </c>
      <c r="AJ6" s="1502" t="s">
        <v>8648</v>
      </c>
      <c r="AK6" s="1502" t="s">
        <v>5869</v>
      </c>
      <c r="AL6" s="1501" t="s">
        <v>6170</v>
      </c>
      <c r="AM6" s="1499" t="s">
        <v>8649</v>
      </c>
      <c r="AN6" s="1501" t="s">
        <v>3328</v>
      </c>
      <c r="AO6" s="1501" t="s">
        <v>2946</v>
      </c>
      <c r="AP6" s="1501" t="s">
        <v>8650</v>
      </c>
      <c r="AQ6" s="1491" t="s">
        <v>8651</v>
      </c>
      <c r="AR6" s="1501" t="s">
        <v>8652</v>
      </c>
      <c r="AS6" s="1501" t="s">
        <v>8653</v>
      </c>
      <c r="AT6" s="1501" t="s">
        <v>8654</v>
      </c>
      <c r="AU6" s="1504" t="s">
        <v>8655</v>
      </c>
      <c r="AV6" s="1491" t="str">
        <f t="shared" si="1"/>
        <v>2:15</v>
      </c>
      <c r="AW6" s="1496"/>
    </row>
    <row r="7" ht="15.75" customHeight="1">
      <c r="A7" s="1482" t="s">
        <v>6501</v>
      </c>
      <c r="B7" s="1483" t="s">
        <v>8531</v>
      </c>
      <c r="C7" s="1484">
        <v>0.049444444444444444</v>
      </c>
      <c r="D7" s="1486" t="s">
        <v>8656</v>
      </c>
      <c r="E7" s="1486" t="s">
        <v>8657</v>
      </c>
      <c r="F7" s="1493" t="s">
        <v>8658</v>
      </c>
      <c r="G7" s="1488" t="s">
        <v>8536</v>
      </c>
      <c r="H7" s="1493" t="s">
        <v>8659</v>
      </c>
      <c r="I7" s="1493" t="s">
        <v>2881</v>
      </c>
      <c r="J7" s="1486" t="s">
        <v>8660</v>
      </c>
      <c r="K7" s="1493" t="s">
        <v>3591</v>
      </c>
      <c r="L7" s="1493" t="s">
        <v>4285</v>
      </c>
      <c r="M7" s="1493" t="s">
        <v>6420</v>
      </c>
      <c r="N7" s="1486" t="s">
        <v>8661</v>
      </c>
      <c r="O7" s="1493" t="s">
        <v>8662</v>
      </c>
      <c r="P7" s="1491" t="s">
        <v>7040</v>
      </c>
      <c r="Q7" s="1486" t="s">
        <v>8663</v>
      </c>
      <c r="R7" s="1493" t="s">
        <v>7343</v>
      </c>
      <c r="S7" s="1493" t="s">
        <v>3496</v>
      </c>
      <c r="T7" s="1491" t="s">
        <v>5042</v>
      </c>
      <c r="U7" s="1493" t="s">
        <v>8664</v>
      </c>
      <c r="V7" s="1493" t="s">
        <v>5271</v>
      </c>
      <c r="W7" s="1505" t="s">
        <v>8665</v>
      </c>
      <c r="X7" s="1491" t="s">
        <v>8666</v>
      </c>
      <c r="Y7" s="1506" t="s">
        <v>8667</v>
      </c>
      <c r="Z7" s="1493" t="s">
        <v>7695</v>
      </c>
      <c r="AA7" s="1507" t="str">
        <f>HYPERLINK("https://www.twitch.tv/videos/571775470","1:28.03")</f>
        <v>1:28.03</v>
      </c>
      <c r="AB7" s="1491" t="s">
        <v>424</v>
      </c>
      <c r="AC7" s="1508" t="str">
        <f>HYPERLINK("https://clips.twitch.tv/HelpfulSaltyCoyoteHoneyBadger","47.31")</f>
        <v>47.31</v>
      </c>
      <c r="AD7" s="1507" t="str">
        <f>HYPERLINK("https://www.twitch.tv/videos/625954575","1:47.79")</f>
        <v>1:47.79</v>
      </c>
      <c r="AE7" s="1491" t="s">
        <v>8668</v>
      </c>
      <c r="AF7" s="1491" t="s">
        <v>8669</v>
      </c>
      <c r="AG7" s="1507" t="str">
        <f>HYPERLINK("https://www.twitch.tv/videos/566334947","1:28.73")</f>
        <v>1:28.73</v>
      </c>
      <c r="AH7" s="1493" t="s">
        <v>8670</v>
      </c>
      <c r="AI7" s="1509" t="str">
        <f>HYPERLINK("https://www.twitch.tv/videos/584107631","1:27.68")</f>
        <v>1:27.68</v>
      </c>
      <c r="AJ7" s="1491" t="s">
        <v>8671</v>
      </c>
      <c r="AK7" s="1493" t="s">
        <v>7272</v>
      </c>
      <c r="AL7" s="1493" t="s">
        <v>8672</v>
      </c>
      <c r="AM7" s="1486" t="s">
        <v>4605</v>
      </c>
      <c r="AN7" s="1486" t="s">
        <v>2749</v>
      </c>
      <c r="AO7" s="1486" t="s">
        <v>5885</v>
      </c>
      <c r="AP7" s="1493" t="s">
        <v>8673</v>
      </c>
      <c r="AQ7" s="1491" t="s">
        <v>8674</v>
      </c>
      <c r="AR7" s="1486" t="s">
        <v>8675</v>
      </c>
      <c r="AS7" s="1508" t="str">
        <f>HYPERLINK("https://www.twitch.tv/videos/571767101","42.91")</f>
        <v>42.91</v>
      </c>
      <c r="AT7" s="1490" t="s">
        <v>8676</v>
      </c>
      <c r="AU7" s="1504" t="s">
        <v>8677</v>
      </c>
      <c r="AV7" s="1491" t="str">
        <f t="shared" si="1"/>
        <v>2:32</v>
      </c>
      <c r="AW7" s="1510" t="s">
        <v>8678</v>
      </c>
    </row>
    <row r="8" ht="15.75" customHeight="1">
      <c r="A8" s="1482" t="s">
        <v>1969</v>
      </c>
      <c r="B8" s="1483" t="s">
        <v>8531</v>
      </c>
      <c r="C8" s="1484">
        <v>0.04949074074074074</v>
      </c>
      <c r="D8" s="1506" t="s">
        <v>8679</v>
      </c>
      <c r="E8" s="1506" t="s">
        <v>8680</v>
      </c>
      <c r="F8" s="1506" t="s">
        <v>2216</v>
      </c>
      <c r="G8" s="1506" t="s">
        <v>8681</v>
      </c>
      <c r="H8" s="1486" t="s">
        <v>8682</v>
      </c>
      <c r="I8" s="1499">
        <v>47.34</v>
      </c>
      <c r="J8" s="1506" t="s">
        <v>669</v>
      </c>
      <c r="K8" s="1506" t="s">
        <v>8683</v>
      </c>
      <c r="L8" s="1506">
        <v>55.97</v>
      </c>
      <c r="M8" s="1506" t="s">
        <v>2060</v>
      </c>
      <c r="N8" s="1506" t="s">
        <v>8684</v>
      </c>
      <c r="O8" s="1511" t="s">
        <v>8539</v>
      </c>
      <c r="P8" s="1506">
        <v>47.49</v>
      </c>
      <c r="Q8" s="1506" t="s">
        <v>8685</v>
      </c>
      <c r="R8" s="1506" t="s">
        <v>1279</v>
      </c>
      <c r="S8" s="1512" t="s">
        <v>1990</v>
      </c>
      <c r="T8" s="1506" t="s">
        <v>8686</v>
      </c>
      <c r="U8" s="1486" t="s">
        <v>8687</v>
      </c>
      <c r="V8" s="1506">
        <v>59.32</v>
      </c>
      <c r="W8" s="1513" t="s">
        <v>8688</v>
      </c>
      <c r="X8" s="1506" t="s">
        <v>6967</v>
      </c>
      <c r="Y8" s="1506">
        <v>46.65</v>
      </c>
      <c r="Z8" s="1506" t="s">
        <v>8689</v>
      </c>
      <c r="AA8" s="1506" t="s">
        <v>2586</v>
      </c>
      <c r="AB8" s="1506" t="s">
        <v>8690</v>
      </c>
      <c r="AC8" s="1506">
        <v>47.89</v>
      </c>
      <c r="AD8" s="1506" t="s">
        <v>1989</v>
      </c>
      <c r="AE8" s="1506">
        <v>47.98</v>
      </c>
      <c r="AF8" s="1506" t="s">
        <v>8691</v>
      </c>
      <c r="AG8" s="1506" t="s">
        <v>8692</v>
      </c>
      <c r="AH8" s="1506">
        <v>57.45</v>
      </c>
      <c r="AI8" s="1502" t="s">
        <v>7213</v>
      </c>
      <c r="AJ8" s="1514" t="s">
        <v>8693</v>
      </c>
      <c r="AK8" s="1506" t="s">
        <v>5521</v>
      </c>
      <c r="AL8" s="1506">
        <v>56.23</v>
      </c>
      <c r="AM8" s="1513" t="s">
        <v>4017</v>
      </c>
      <c r="AN8" s="1513" t="s">
        <v>8694</v>
      </c>
      <c r="AO8" s="1506" t="s">
        <v>3457</v>
      </c>
      <c r="AP8" s="1506" t="s">
        <v>8695</v>
      </c>
      <c r="AQ8" s="1506" t="s">
        <v>8696</v>
      </c>
      <c r="AR8" s="1506" t="s">
        <v>4543</v>
      </c>
      <c r="AS8" s="1506">
        <v>46.19</v>
      </c>
      <c r="AT8" s="1515" t="s">
        <v>8557</v>
      </c>
      <c r="AU8" s="1506" t="s">
        <v>8697</v>
      </c>
      <c r="AV8" s="1491" t="str">
        <f t="shared" si="1"/>
        <v>1:52</v>
      </c>
      <c r="AW8" s="1510" t="s">
        <v>8698</v>
      </c>
    </row>
    <row r="9" ht="15.75" customHeight="1">
      <c r="A9" s="1497" t="s">
        <v>334</v>
      </c>
      <c r="B9" s="1483" t="s">
        <v>8531</v>
      </c>
      <c r="C9" s="1484">
        <v>0.04957175925925926</v>
      </c>
      <c r="D9" s="1516" t="s">
        <v>8699</v>
      </c>
      <c r="E9" s="1499" t="s">
        <v>8700</v>
      </c>
      <c r="F9" s="1517" t="s">
        <v>8535</v>
      </c>
      <c r="G9" s="1501" t="s">
        <v>8701</v>
      </c>
      <c r="H9" s="1518" t="s">
        <v>5458</v>
      </c>
      <c r="I9" s="1501" t="s">
        <v>1354</v>
      </c>
      <c r="J9" s="1519" t="s">
        <v>8702</v>
      </c>
      <c r="K9" s="1501" t="s">
        <v>6807</v>
      </c>
      <c r="L9" s="1500" t="s">
        <v>232</v>
      </c>
      <c r="M9" s="1519" t="s">
        <v>8703</v>
      </c>
      <c r="N9" s="1499" t="s">
        <v>8704</v>
      </c>
      <c r="O9" s="1519" t="s">
        <v>8705</v>
      </c>
      <c r="P9" s="1501" t="s">
        <v>6411</v>
      </c>
      <c r="Q9" s="1501" t="s">
        <v>8685</v>
      </c>
      <c r="R9" s="1501" t="s">
        <v>5663</v>
      </c>
      <c r="S9" s="1501" t="s">
        <v>2177</v>
      </c>
      <c r="T9" s="1501" t="s">
        <v>4121</v>
      </c>
      <c r="U9" s="1501" t="s">
        <v>8706</v>
      </c>
      <c r="V9" s="1401" t="s">
        <v>8707</v>
      </c>
      <c r="W9" s="1520" t="s">
        <v>8708</v>
      </c>
      <c r="X9" s="1501" t="s">
        <v>8709</v>
      </c>
      <c r="Y9" s="1500">
        <v>46.63</v>
      </c>
      <c r="Z9" s="1521" t="s">
        <v>308</v>
      </c>
      <c r="AA9" s="1499" t="s">
        <v>8710</v>
      </c>
      <c r="AB9" s="1500" t="s">
        <v>8547</v>
      </c>
      <c r="AC9" s="1501" t="s">
        <v>5551</v>
      </c>
      <c r="AD9" s="1501" t="s">
        <v>8711</v>
      </c>
      <c r="AE9" s="1502" t="s">
        <v>8712</v>
      </c>
      <c r="AF9" s="1499" t="s">
        <v>8713</v>
      </c>
      <c r="AG9" s="1506" t="s">
        <v>8714</v>
      </c>
      <c r="AH9" s="1501" t="s">
        <v>8628</v>
      </c>
      <c r="AI9" s="1401" t="s">
        <v>8715</v>
      </c>
      <c r="AJ9" s="1502" t="s">
        <v>8716</v>
      </c>
      <c r="AK9" s="1501" t="s">
        <v>1427</v>
      </c>
      <c r="AL9" s="1501" t="s">
        <v>5221</v>
      </c>
      <c r="AM9" s="1501" t="s">
        <v>4121</v>
      </c>
      <c r="AN9" s="1519" t="s">
        <v>8717</v>
      </c>
      <c r="AO9" s="1501" t="s">
        <v>8652</v>
      </c>
      <c r="AP9" s="1501" t="s">
        <v>8718</v>
      </c>
      <c r="AQ9" s="1501" t="s">
        <v>8719</v>
      </c>
      <c r="AR9" s="1501" t="s">
        <v>4689</v>
      </c>
      <c r="AS9" s="1501" t="s">
        <v>8720</v>
      </c>
      <c r="AT9" s="1495" t="s">
        <v>8721</v>
      </c>
      <c r="AU9" s="1522" t="s">
        <v>8722</v>
      </c>
      <c r="AV9" s="1491" t="str">
        <f t="shared" si="1"/>
        <v>2:59</v>
      </c>
      <c r="AW9" s="1523"/>
    </row>
    <row r="10">
      <c r="A10" s="1497" t="s">
        <v>6416</v>
      </c>
      <c r="B10" s="1524" t="s">
        <v>8531</v>
      </c>
      <c r="C10" s="1484">
        <v>0.04958333333333333</v>
      </c>
      <c r="D10" s="1401" t="s">
        <v>8723</v>
      </c>
      <c r="E10" s="1506" t="s">
        <v>6367</v>
      </c>
      <c r="F10" s="1506" t="s">
        <v>8724</v>
      </c>
      <c r="G10" s="1506" t="s">
        <v>8725</v>
      </c>
      <c r="H10" s="1513" t="s">
        <v>8726</v>
      </c>
      <c r="I10" s="1513" t="s">
        <v>5710</v>
      </c>
      <c r="J10" s="1513" t="s">
        <v>2719</v>
      </c>
      <c r="K10" s="1513" t="s">
        <v>7442</v>
      </c>
      <c r="L10" s="1506">
        <v>56.42</v>
      </c>
      <c r="M10" s="1506" t="s">
        <v>5294</v>
      </c>
      <c r="N10" s="1506" t="s">
        <v>8727</v>
      </c>
      <c r="O10" s="1513" t="s">
        <v>8728</v>
      </c>
      <c r="P10" s="1513" t="s">
        <v>280</v>
      </c>
      <c r="Q10" s="1513" t="s">
        <v>8729</v>
      </c>
      <c r="R10" s="1506" t="s">
        <v>8730</v>
      </c>
      <c r="S10" s="1513" t="s">
        <v>8731</v>
      </c>
      <c r="T10" s="1513" t="s">
        <v>5062</v>
      </c>
      <c r="U10" s="1513" t="s">
        <v>8732</v>
      </c>
      <c r="V10" s="1506">
        <v>59.45</v>
      </c>
      <c r="W10" s="1513" t="s">
        <v>8733</v>
      </c>
      <c r="X10" s="1513" t="s">
        <v>8734</v>
      </c>
      <c r="Y10" s="1513" t="s">
        <v>5172</v>
      </c>
      <c r="Z10" s="1506" t="s">
        <v>4279</v>
      </c>
      <c r="AA10" s="1506" t="s">
        <v>8735</v>
      </c>
      <c r="AB10" s="1506" t="s">
        <v>4706</v>
      </c>
      <c r="AC10" s="1513" t="s">
        <v>4934</v>
      </c>
      <c r="AD10" s="1513" t="s">
        <v>8736</v>
      </c>
      <c r="AE10" s="1506">
        <v>47.89</v>
      </c>
      <c r="AF10" s="1506" t="s">
        <v>8737</v>
      </c>
      <c r="AG10" s="1503" t="s">
        <v>8550</v>
      </c>
      <c r="AH10" s="1506">
        <v>57.71</v>
      </c>
      <c r="AI10" s="1513" t="s">
        <v>2275</v>
      </c>
      <c r="AJ10" s="1506" t="s">
        <v>8693</v>
      </c>
      <c r="AK10" s="1513" t="s">
        <v>7280</v>
      </c>
      <c r="AL10" s="1506">
        <v>56.69</v>
      </c>
      <c r="AM10" s="1513" t="s">
        <v>8738</v>
      </c>
      <c r="AN10" s="1513" t="s">
        <v>4237</v>
      </c>
      <c r="AO10" s="1513" t="s">
        <v>2864</v>
      </c>
      <c r="AP10" s="1506" t="s">
        <v>8739</v>
      </c>
      <c r="AQ10" s="1513" t="s">
        <v>8740</v>
      </c>
      <c r="AR10" s="1513" t="s">
        <v>8741</v>
      </c>
      <c r="AS10" s="1506">
        <v>43.65</v>
      </c>
      <c r="AT10" s="1513" t="s">
        <v>8742</v>
      </c>
      <c r="AU10" s="1504" t="s">
        <v>8743</v>
      </c>
      <c r="AV10" s="1491" t="str">
        <f t="shared" si="1"/>
        <v>1:34</v>
      </c>
      <c r="AW10" s="1525" t="s">
        <v>8744</v>
      </c>
    </row>
    <row r="11">
      <c r="A11" s="1526" t="s">
        <v>955</v>
      </c>
      <c r="B11" s="1527" t="s">
        <v>8531</v>
      </c>
      <c r="C11" s="1484">
        <v>0.049652777777777775</v>
      </c>
      <c r="D11" s="1501" t="s">
        <v>8745</v>
      </c>
      <c r="E11" s="1501" t="s">
        <v>8746</v>
      </c>
      <c r="F11" s="1501" t="s">
        <v>8747</v>
      </c>
      <c r="G11" s="1502" t="s">
        <v>8748</v>
      </c>
      <c r="H11" s="1501" t="s">
        <v>7660</v>
      </c>
      <c r="I11" s="1501" t="s">
        <v>8463</v>
      </c>
      <c r="J11" s="1499" t="s">
        <v>8749</v>
      </c>
      <c r="K11" s="1501" t="s">
        <v>8750</v>
      </c>
      <c r="L11" s="1501" t="s">
        <v>3389</v>
      </c>
      <c r="M11" s="1501" t="s">
        <v>8751</v>
      </c>
      <c r="N11" s="1501" t="s">
        <v>8752</v>
      </c>
      <c r="O11" s="1501" t="s">
        <v>8753</v>
      </c>
      <c r="P11" s="1501" t="s">
        <v>6060</v>
      </c>
      <c r="Q11" s="1501" t="s">
        <v>5057</v>
      </c>
      <c r="R11" s="1501" t="s">
        <v>8754</v>
      </c>
      <c r="S11" s="1486" t="s">
        <v>2826</v>
      </c>
      <c r="T11" s="1501" t="s">
        <v>8755</v>
      </c>
      <c r="U11" s="1501" t="s">
        <v>8756</v>
      </c>
      <c r="V11" s="1501" t="s">
        <v>5455</v>
      </c>
      <c r="W11" s="1501" t="s">
        <v>2017</v>
      </c>
      <c r="X11" s="1486" t="s">
        <v>8757</v>
      </c>
      <c r="Y11" s="1501" t="s">
        <v>8758</v>
      </c>
      <c r="Z11" s="1511" t="s">
        <v>8546</v>
      </c>
      <c r="AA11" s="1486" t="s">
        <v>8759</v>
      </c>
      <c r="AB11" s="1501" t="s">
        <v>8760</v>
      </c>
      <c r="AC11" s="1501" t="s">
        <v>5055</v>
      </c>
      <c r="AD11" s="1501" t="s">
        <v>5714</v>
      </c>
      <c r="AE11" s="1502">
        <v>47.81</v>
      </c>
      <c r="AF11" s="1501" t="s">
        <v>8761</v>
      </c>
      <c r="AG11" s="1501" t="s">
        <v>8762</v>
      </c>
      <c r="AH11" s="1501" t="s">
        <v>778</v>
      </c>
      <c r="AI11" s="1501" t="s">
        <v>902</v>
      </c>
      <c r="AJ11" s="1501" t="s">
        <v>8763</v>
      </c>
      <c r="AK11" s="1501" t="s">
        <v>8573</v>
      </c>
      <c r="AL11" s="1501" t="s">
        <v>8764</v>
      </c>
      <c r="AM11" s="1501" t="s">
        <v>4605</v>
      </c>
      <c r="AN11" s="1511" t="s">
        <v>8555</v>
      </c>
      <c r="AO11" s="1511" t="s">
        <v>6369</v>
      </c>
      <c r="AP11" s="1501" t="s">
        <v>8765</v>
      </c>
      <c r="AQ11" s="1501" t="s">
        <v>3775</v>
      </c>
      <c r="AR11" s="1511" t="s">
        <v>424</v>
      </c>
      <c r="AS11" s="1501" t="s">
        <v>3291</v>
      </c>
      <c r="AT11" s="1501" t="s">
        <v>3682</v>
      </c>
      <c r="AU11" s="1522" t="s">
        <v>8766</v>
      </c>
      <c r="AV11" s="1491" t="str">
        <f t="shared" si="1"/>
        <v>2:27</v>
      </c>
      <c r="AW11" s="1528" t="s">
        <v>8767</v>
      </c>
    </row>
    <row r="12" ht="15.75" customHeight="1">
      <c r="A12" s="1529" t="s">
        <v>6498</v>
      </c>
      <c r="B12" s="1483" t="s">
        <v>8531</v>
      </c>
      <c r="C12" s="1484">
        <v>0.04967592592592593</v>
      </c>
      <c r="D12" s="1401" t="s">
        <v>8768</v>
      </c>
      <c r="E12" s="1493" t="s">
        <v>926</v>
      </c>
      <c r="F12" s="1493" t="s">
        <v>8769</v>
      </c>
      <c r="G12" s="1493" t="s">
        <v>8770</v>
      </c>
      <c r="H12" s="1401" t="s">
        <v>8771</v>
      </c>
      <c r="I12" s="1493" t="s">
        <v>8772</v>
      </c>
      <c r="J12" s="1493" t="s">
        <v>8773</v>
      </c>
      <c r="K12" s="1493" t="s">
        <v>8774</v>
      </c>
      <c r="L12" s="1493" t="s">
        <v>4538</v>
      </c>
      <c r="M12" s="1493" t="s">
        <v>8320</v>
      </c>
      <c r="N12" s="1493" t="s">
        <v>2271</v>
      </c>
      <c r="O12" s="1493" t="s">
        <v>3305</v>
      </c>
      <c r="P12" s="1493" t="s">
        <v>8772</v>
      </c>
      <c r="Q12" s="1493" t="s">
        <v>8775</v>
      </c>
      <c r="R12" s="1493" t="s">
        <v>1279</v>
      </c>
      <c r="S12" s="1530" t="s">
        <v>8776</v>
      </c>
      <c r="T12" s="1493" t="s">
        <v>4969</v>
      </c>
      <c r="U12" s="1493" t="s">
        <v>8777</v>
      </c>
      <c r="V12" s="1493" t="s">
        <v>8624</v>
      </c>
      <c r="W12" s="1493" t="s">
        <v>8778</v>
      </c>
      <c r="X12" s="1493" t="s">
        <v>1004</v>
      </c>
      <c r="Y12" s="1493" t="s">
        <v>4423</v>
      </c>
      <c r="Z12" s="1493" t="s">
        <v>8779</v>
      </c>
      <c r="AA12" s="1493" t="s">
        <v>8780</v>
      </c>
      <c r="AB12" s="1493" t="s">
        <v>1998</v>
      </c>
      <c r="AC12" s="1493" t="s">
        <v>789</v>
      </c>
      <c r="AD12" s="1493" t="s">
        <v>8781</v>
      </c>
      <c r="AE12" s="1493" t="s">
        <v>6424</v>
      </c>
      <c r="AF12" s="1486" t="s">
        <v>8782</v>
      </c>
      <c r="AG12" s="1493" t="s">
        <v>8783</v>
      </c>
      <c r="AH12" s="1493" t="s">
        <v>4837</v>
      </c>
      <c r="AI12" s="1493" t="s">
        <v>3032</v>
      </c>
      <c r="AJ12" s="1493" t="s">
        <v>8629</v>
      </c>
      <c r="AK12" s="1493" t="s">
        <v>4287</v>
      </c>
      <c r="AL12" s="1493" t="s">
        <v>8784</v>
      </c>
      <c r="AM12" s="1493" t="s">
        <v>8785</v>
      </c>
      <c r="AN12" s="1401" t="s">
        <v>8641</v>
      </c>
      <c r="AO12" s="1493" t="s">
        <v>8786</v>
      </c>
      <c r="AP12" s="1493" t="s">
        <v>8787</v>
      </c>
      <c r="AQ12" s="1486" t="s">
        <v>8788</v>
      </c>
      <c r="AR12" s="1493" t="s">
        <v>8789</v>
      </c>
      <c r="AS12" s="1493" t="s">
        <v>1647</v>
      </c>
      <c r="AT12" s="1493" t="s">
        <v>8790</v>
      </c>
      <c r="AU12" s="1493" t="s">
        <v>8791</v>
      </c>
      <c r="AV12" s="1491" t="str">
        <f t="shared" si="1"/>
        <v>2:47</v>
      </c>
      <c r="AW12" s="1496" t="s">
        <v>8792</v>
      </c>
    </row>
    <row r="13" ht="15.75" customHeight="1">
      <c r="A13" s="1531" t="s">
        <v>2737</v>
      </c>
      <c r="B13" s="1483" t="s">
        <v>8531</v>
      </c>
      <c r="C13" s="1532">
        <v>0.04971064814814815</v>
      </c>
      <c r="D13" s="1492" t="s">
        <v>8793</v>
      </c>
      <c r="E13" s="1533" t="s">
        <v>527</v>
      </c>
      <c r="F13" s="1533" t="s">
        <v>8794</v>
      </c>
      <c r="G13" s="1533" t="s">
        <v>8795</v>
      </c>
      <c r="H13" s="1486" t="s">
        <v>8796</v>
      </c>
      <c r="I13" s="1534" t="s">
        <v>5755</v>
      </c>
      <c r="J13" s="1535" t="s">
        <v>8797</v>
      </c>
      <c r="K13" s="1535" t="s">
        <v>4372</v>
      </c>
      <c r="L13" s="1535" t="s">
        <v>4767</v>
      </c>
      <c r="M13" s="1535" t="s">
        <v>8751</v>
      </c>
      <c r="N13" s="1535" t="s">
        <v>2720</v>
      </c>
      <c r="O13" s="1535" t="s">
        <v>8798</v>
      </c>
      <c r="P13" s="1535" t="s">
        <v>8799</v>
      </c>
      <c r="Q13" s="1486" t="s">
        <v>8800</v>
      </c>
      <c r="R13" s="1536" t="s">
        <v>8801</v>
      </c>
      <c r="S13" s="1486" t="s">
        <v>1990</v>
      </c>
      <c r="T13" s="1536" t="s">
        <v>8802</v>
      </c>
      <c r="U13" s="1486" t="s">
        <v>7332</v>
      </c>
      <c r="V13" s="1536" t="s">
        <v>3510</v>
      </c>
      <c r="W13" s="1537" t="s">
        <v>8803</v>
      </c>
      <c r="X13" s="1537" t="s">
        <v>4148</v>
      </c>
      <c r="Y13" s="1537" t="s">
        <v>7051</v>
      </c>
      <c r="Z13" s="1537" t="s">
        <v>8804</v>
      </c>
      <c r="AA13" s="1537" t="s">
        <v>8647</v>
      </c>
      <c r="AB13" s="1537" t="s">
        <v>4523</v>
      </c>
      <c r="AC13" s="1537" t="s">
        <v>1194</v>
      </c>
      <c r="AD13" s="1533" t="s">
        <v>8805</v>
      </c>
      <c r="AE13" s="1533" t="s">
        <v>5383</v>
      </c>
      <c r="AF13" s="1538" t="s">
        <v>8806</v>
      </c>
      <c r="AG13" s="1538" t="s">
        <v>7825</v>
      </c>
      <c r="AH13" s="1538" t="s">
        <v>5393</v>
      </c>
      <c r="AI13" s="1538" t="s">
        <v>8807</v>
      </c>
      <c r="AJ13" s="1538" t="s">
        <v>8808</v>
      </c>
      <c r="AK13" s="1538" t="s">
        <v>8809</v>
      </c>
      <c r="AL13" s="1538" t="s">
        <v>4180</v>
      </c>
      <c r="AM13" s="1539" t="s">
        <v>8810</v>
      </c>
      <c r="AN13" s="1540" t="s">
        <v>4767</v>
      </c>
      <c r="AO13" s="1540" t="s">
        <v>8811</v>
      </c>
      <c r="AP13" s="1539" t="s">
        <v>8812</v>
      </c>
      <c r="AQ13" s="1539" t="s">
        <v>8813</v>
      </c>
      <c r="AR13" s="1540" t="s">
        <v>8814</v>
      </c>
      <c r="AS13" s="1539" t="s">
        <v>273</v>
      </c>
      <c r="AT13" s="1504" t="s">
        <v>8815</v>
      </c>
      <c r="AU13" s="1522" t="s">
        <v>8816</v>
      </c>
      <c r="AV13" s="1491" t="str">
        <f t="shared" si="1"/>
        <v>2:35</v>
      </c>
      <c r="AW13" s="1541" t="s">
        <v>8817</v>
      </c>
    </row>
    <row r="14" ht="15.75" customHeight="1">
      <c r="A14" s="1482" t="s">
        <v>6290</v>
      </c>
      <c r="B14" s="1542" t="s">
        <v>8531</v>
      </c>
      <c r="C14" s="1484">
        <v>0.04982638888888889</v>
      </c>
      <c r="D14" s="1492" t="s">
        <v>8818</v>
      </c>
      <c r="E14" s="1492" t="s">
        <v>4860</v>
      </c>
      <c r="F14" s="1492" t="s">
        <v>8819</v>
      </c>
      <c r="G14" s="1492" t="s">
        <v>8820</v>
      </c>
      <c r="H14" s="1492" t="s">
        <v>8821</v>
      </c>
      <c r="I14" s="1492" t="s">
        <v>5736</v>
      </c>
      <c r="J14" s="1492" t="s">
        <v>8822</v>
      </c>
      <c r="K14" s="1401" t="s">
        <v>8823</v>
      </c>
      <c r="L14" s="1492" t="s">
        <v>8824</v>
      </c>
      <c r="M14" s="1492" t="s">
        <v>8825</v>
      </c>
      <c r="N14" s="1492" t="s">
        <v>2112</v>
      </c>
      <c r="O14" s="1492" t="s">
        <v>8826</v>
      </c>
      <c r="P14" s="1401" t="s">
        <v>4586</v>
      </c>
      <c r="Q14" s="1492" t="s">
        <v>8827</v>
      </c>
      <c r="R14" s="1492" t="s">
        <v>2029</v>
      </c>
      <c r="S14" s="1492" t="s">
        <v>3496</v>
      </c>
      <c r="T14" s="1492" t="s">
        <v>8828</v>
      </c>
      <c r="U14" s="1492" t="s">
        <v>8829</v>
      </c>
      <c r="V14" s="1492" t="s">
        <v>6691</v>
      </c>
      <c r="W14" s="1492" t="s">
        <v>5539</v>
      </c>
      <c r="X14" s="1492" t="s">
        <v>8550</v>
      </c>
      <c r="Y14" s="1492" t="s">
        <v>8640</v>
      </c>
      <c r="Z14" s="1492" t="s">
        <v>6815</v>
      </c>
      <c r="AA14" s="1543" t="s">
        <v>8830</v>
      </c>
      <c r="AB14" s="1492" t="s">
        <v>5842</v>
      </c>
      <c r="AC14" s="1492" t="s">
        <v>1077</v>
      </c>
      <c r="AD14" s="1492" t="s">
        <v>7480</v>
      </c>
      <c r="AE14" s="1492" t="s">
        <v>4995</v>
      </c>
      <c r="AF14" s="1492" t="s">
        <v>8831</v>
      </c>
      <c r="AG14" s="1492" t="s">
        <v>1603</v>
      </c>
      <c r="AH14" s="1401" t="s">
        <v>8832</v>
      </c>
      <c r="AI14" s="1492" t="s">
        <v>8198</v>
      </c>
      <c r="AJ14" s="1492" t="s">
        <v>8833</v>
      </c>
      <c r="AK14" s="1492" t="s">
        <v>8834</v>
      </c>
      <c r="AL14" s="1492" t="s">
        <v>4515</v>
      </c>
      <c r="AM14" s="1492" t="s">
        <v>3518</v>
      </c>
      <c r="AN14" s="1492" t="s">
        <v>8835</v>
      </c>
      <c r="AO14" s="1492" t="s">
        <v>8675</v>
      </c>
      <c r="AP14" s="1544" t="s">
        <v>8556</v>
      </c>
      <c r="AQ14" s="1492" t="s">
        <v>8836</v>
      </c>
      <c r="AR14" s="1492" t="s">
        <v>8837</v>
      </c>
      <c r="AS14" s="1492" t="s">
        <v>8838</v>
      </c>
      <c r="AT14" s="1492" t="s">
        <v>8839</v>
      </c>
      <c r="AU14" s="1545" t="s">
        <v>8840</v>
      </c>
      <c r="AV14" s="1491" t="str">
        <f t="shared" si="1"/>
        <v>2:18</v>
      </c>
      <c r="AW14" s="1546" t="s">
        <v>8841</v>
      </c>
    </row>
    <row r="15" ht="15.75" customHeight="1">
      <c r="A15" s="1482" t="s">
        <v>2099</v>
      </c>
      <c r="B15" s="1483" t="s">
        <v>8531</v>
      </c>
      <c r="C15" s="1484">
        <v>0.049895833333333334</v>
      </c>
      <c r="D15" s="1401" t="s">
        <v>8842</v>
      </c>
      <c r="E15" s="1547" t="s">
        <v>926</v>
      </c>
      <c r="F15" s="1533" t="s">
        <v>8843</v>
      </c>
      <c r="G15" s="1547" t="s">
        <v>8844</v>
      </c>
      <c r="H15" s="1548" t="s">
        <v>8845</v>
      </c>
      <c r="I15" s="1534" t="s">
        <v>5600</v>
      </c>
      <c r="J15" s="1535" t="s">
        <v>8846</v>
      </c>
      <c r="K15" s="1549" t="s">
        <v>8847</v>
      </c>
      <c r="L15" s="1535" t="s">
        <v>8848</v>
      </c>
      <c r="M15" s="1535" t="s">
        <v>5114</v>
      </c>
      <c r="N15" s="1535" t="s">
        <v>8849</v>
      </c>
      <c r="O15" s="1549" t="s">
        <v>8850</v>
      </c>
      <c r="P15" s="1401" t="s">
        <v>8851</v>
      </c>
      <c r="Q15" s="1536" t="s">
        <v>3573</v>
      </c>
      <c r="R15" s="1550" t="s">
        <v>8852</v>
      </c>
      <c r="S15" s="1550" t="s">
        <v>8853</v>
      </c>
      <c r="T15" s="1550" t="s">
        <v>8854</v>
      </c>
      <c r="U15" s="1550" t="s">
        <v>8855</v>
      </c>
      <c r="V15" s="1536" t="s">
        <v>4567</v>
      </c>
      <c r="W15" s="1537" t="s">
        <v>8856</v>
      </c>
      <c r="X15" s="1551" t="s">
        <v>8857</v>
      </c>
      <c r="Y15" s="1537" t="s">
        <v>8858</v>
      </c>
      <c r="Z15" s="1537" t="s">
        <v>8859</v>
      </c>
      <c r="AA15" s="1537" t="s">
        <v>3292</v>
      </c>
      <c r="AB15" s="1551" t="s">
        <v>7787</v>
      </c>
      <c r="AC15" s="1551" t="s">
        <v>1272</v>
      </c>
      <c r="AD15" s="1547" t="s">
        <v>8860</v>
      </c>
      <c r="AE15" s="1547" t="s">
        <v>8861</v>
      </c>
      <c r="AF15" s="1552" t="s">
        <v>8862</v>
      </c>
      <c r="AG15" s="1538" t="s">
        <v>8863</v>
      </c>
      <c r="AH15" s="1538" t="s">
        <v>8864</v>
      </c>
      <c r="AI15" s="1538" t="s">
        <v>8762</v>
      </c>
      <c r="AJ15" s="1552" t="s">
        <v>8865</v>
      </c>
      <c r="AK15" s="1552" t="s">
        <v>933</v>
      </c>
      <c r="AL15" s="1538" t="s">
        <v>8866</v>
      </c>
      <c r="AM15" s="1540" t="s">
        <v>8867</v>
      </c>
      <c r="AN15" s="1539" t="s">
        <v>3141</v>
      </c>
      <c r="AO15" s="1540" t="s">
        <v>8868</v>
      </c>
      <c r="AP15" s="1539" t="s">
        <v>5670</v>
      </c>
      <c r="AQ15" s="1540" t="s">
        <v>8869</v>
      </c>
      <c r="AR15" s="1539" t="s">
        <v>1210</v>
      </c>
      <c r="AS15" s="1539" t="s">
        <v>4074</v>
      </c>
      <c r="AT15" s="1549" t="s">
        <v>6388</v>
      </c>
      <c r="AU15" s="1553" t="s">
        <v>8870</v>
      </c>
      <c r="AV15" s="1491" t="str">
        <f t="shared" si="1"/>
        <v>2:22</v>
      </c>
      <c r="AW15" s="1523" t="s">
        <v>8871</v>
      </c>
    </row>
    <row r="16">
      <c r="A16" s="1529" t="s">
        <v>1626</v>
      </c>
      <c r="B16" s="1527" t="s">
        <v>8531</v>
      </c>
      <c r="C16" s="1484">
        <v>0.04991898148148148</v>
      </c>
      <c r="D16" s="1554" t="s">
        <v>8872</v>
      </c>
      <c r="E16" s="1555" t="s">
        <v>8873</v>
      </c>
      <c r="F16" s="1555" t="s">
        <v>8874</v>
      </c>
      <c r="G16" s="1555" t="s">
        <v>8875</v>
      </c>
      <c r="H16" s="1555" t="s">
        <v>8876</v>
      </c>
      <c r="I16" s="1555">
        <v>48.07</v>
      </c>
      <c r="J16" s="1555" t="s">
        <v>8877</v>
      </c>
      <c r="K16" s="1555" t="s">
        <v>1782</v>
      </c>
      <c r="L16" s="1555">
        <v>56.32</v>
      </c>
      <c r="M16" s="1555" t="s">
        <v>900</v>
      </c>
      <c r="N16" s="1555" t="s">
        <v>8878</v>
      </c>
      <c r="O16" s="1555" t="s">
        <v>8879</v>
      </c>
      <c r="P16" s="1555">
        <v>47.77</v>
      </c>
      <c r="Q16" s="1555" t="s">
        <v>8880</v>
      </c>
      <c r="R16" s="1555" t="s">
        <v>7368</v>
      </c>
      <c r="S16" s="1555" t="s">
        <v>8881</v>
      </c>
      <c r="T16" s="1555" t="s">
        <v>4651</v>
      </c>
      <c r="U16" s="1555" t="s">
        <v>8882</v>
      </c>
      <c r="V16" s="1555">
        <v>59.79</v>
      </c>
      <c r="W16" s="1555" t="s">
        <v>8883</v>
      </c>
      <c r="X16" s="1555" t="s">
        <v>2162</v>
      </c>
      <c r="Y16" s="1555">
        <v>47.0</v>
      </c>
      <c r="Z16" s="1555" t="s">
        <v>8884</v>
      </c>
      <c r="AA16" s="1555" t="s">
        <v>8885</v>
      </c>
      <c r="AB16" s="1555" t="s">
        <v>7336</v>
      </c>
      <c r="AC16" s="1555">
        <v>47.56</v>
      </c>
      <c r="AD16" s="1555" t="s">
        <v>8576</v>
      </c>
      <c r="AE16" s="1555">
        <v>47.95</v>
      </c>
      <c r="AF16" s="1555" t="s">
        <v>8886</v>
      </c>
      <c r="AG16" s="1555" t="s">
        <v>8887</v>
      </c>
      <c r="AH16" s="1555">
        <v>57.67</v>
      </c>
      <c r="AI16" s="1555" t="s">
        <v>1004</v>
      </c>
      <c r="AJ16" s="1555" t="s">
        <v>8888</v>
      </c>
      <c r="AK16" s="1555" t="s">
        <v>6456</v>
      </c>
      <c r="AL16" s="1555">
        <v>56.37</v>
      </c>
      <c r="AM16" s="1555" t="s">
        <v>8889</v>
      </c>
      <c r="AN16" s="1555">
        <v>55.92</v>
      </c>
      <c r="AO16" s="1555" t="s">
        <v>4543</v>
      </c>
      <c r="AP16" s="1555" t="s">
        <v>8425</v>
      </c>
      <c r="AQ16" s="1555" t="s">
        <v>8890</v>
      </c>
      <c r="AR16" s="1555" t="s">
        <v>6527</v>
      </c>
      <c r="AS16" s="1555">
        <v>46.83</v>
      </c>
      <c r="AT16" s="1556" t="s">
        <v>8891</v>
      </c>
      <c r="AU16" s="1513" t="s">
        <v>8892</v>
      </c>
      <c r="AV16" s="1491" t="str">
        <f t="shared" si="1"/>
        <v>1:53</v>
      </c>
      <c r="AW16" s="1528" t="s">
        <v>8893</v>
      </c>
    </row>
    <row r="17">
      <c r="A17" s="1529" t="s">
        <v>2186</v>
      </c>
      <c r="B17" s="1527" t="s">
        <v>8531</v>
      </c>
      <c r="C17" s="1557">
        <v>0.049930555555555554</v>
      </c>
      <c r="D17" s="1558" t="s">
        <v>8894</v>
      </c>
      <c r="E17" s="1513" t="s">
        <v>8538</v>
      </c>
      <c r="F17" s="1513" t="s">
        <v>4366</v>
      </c>
      <c r="G17" s="1513" t="s">
        <v>8895</v>
      </c>
      <c r="H17" s="1513" t="s">
        <v>8896</v>
      </c>
      <c r="I17" s="1513" t="s">
        <v>5710</v>
      </c>
      <c r="J17" s="1513" t="s">
        <v>6297</v>
      </c>
      <c r="K17" s="1513" t="s">
        <v>8897</v>
      </c>
      <c r="L17" s="1513" t="s">
        <v>4180</v>
      </c>
      <c r="M17" s="1513" t="s">
        <v>1138</v>
      </c>
      <c r="N17" s="1513" t="s">
        <v>8898</v>
      </c>
      <c r="O17" s="1513" t="s">
        <v>831</v>
      </c>
      <c r="P17" s="1506">
        <v>47.54</v>
      </c>
      <c r="Q17" s="1559" t="s">
        <v>5717</v>
      </c>
      <c r="R17" s="1506" t="s">
        <v>8899</v>
      </c>
      <c r="S17" s="1559" t="s">
        <v>8776</v>
      </c>
      <c r="T17" s="1506" t="s">
        <v>8900</v>
      </c>
      <c r="U17" s="1559" t="s">
        <v>8901</v>
      </c>
      <c r="V17" s="1560">
        <v>58.55</v>
      </c>
      <c r="W17" s="1559" t="s">
        <v>8902</v>
      </c>
      <c r="X17" s="1559" t="s">
        <v>8903</v>
      </c>
      <c r="Y17" s="1486" t="s">
        <v>8667</v>
      </c>
      <c r="Z17" s="1559" t="s">
        <v>8904</v>
      </c>
      <c r="AA17" s="1513" t="s">
        <v>8905</v>
      </c>
      <c r="AB17" s="1559" t="s">
        <v>8906</v>
      </c>
      <c r="AC17" s="1491">
        <v>47.2</v>
      </c>
      <c r="AD17" s="1559" t="s">
        <v>8907</v>
      </c>
      <c r="AE17" s="1506">
        <v>47.88</v>
      </c>
      <c r="AF17" s="1559" t="s">
        <v>8908</v>
      </c>
      <c r="AG17" s="1559" t="s">
        <v>8909</v>
      </c>
      <c r="AH17" s="1559">
        <v>57.68</v>
      </c>
      <c r="AI17" s="1559" t="s">
        <v>2851</v>
      </c>
      <c r="AJ17" s="1506" t="s">
        <v>8910</v>
      </c>
      <c r="AK17" s="1486" t="s">
        <v>8911</v>
      </c>
      <c r="AL17" s="1559">
        <v>55.92</v>
      </c>
      <c r="AM17" s="1559" t="s">
        <v>2893</v>
      </c>
      <c r="AN17" s="1486" t="s">
        <v>5759</v>
      </c>
      <c r="AO17" s="1559" t="s">
        <v>6800</v>
      </c>
      <c r="AP17" s="1559" t="s">
        <v>8912</v>
      </c>
      <c r="AQ17" s="1559" t="s">
        <v>7451</v>
      </c>
      <c r="AR17" s="1559" t="s">
        <v>6457</v>
      </c>
      <c r="AS17" s="1561">
        <v>42.83</v>
      </c>
      <c r="AT17" s="1506" t="s">
        <v>8004</v>
      </c>
      <c r="AU17" s="1522" t="s">
        <v>8913</v>
      </c>
      <c r="AV17" s="1491" t="str">
        <f t="shared" si="1"/>
        <v>4:29</v>
      </c>
      <c r="AW17" s="1528" t="s">
        <v>8914</v>
      </c>
    </row>
    <row r="18" ht="15.75" customHeight="1">
      <c r="A18" s="1529" t="s">
        <v>2347</v>
      </c>
      <c r="B18" s="1483" t="s">
        <v>8531</v>
      </c>
      <c r="C18" s="1484">
        <v>0.0499537037037037</v>
      </c>
      <c r="D18" s="1493" t="s">
        <v>8915</v>
      </c>
      <c r="E18" s="1493" t="s">
        <v>2800</v>
      </c>
      <c r="F18" s="1493" t="s">
        <v>8916</v>
      </c>
      <c r="G18" s="1486" t="s">
        <v>8917</v>
      </c>
      <c r="H18" s="1493" t="s">
        <v>8918</v>
      </c>
      <c r="I18" s="1562" t="s">
        <v>8861</v>
      </c>
      <c r="J18" s="1493" t="s">
        <v>1486</v>
      </c>
      <c r="K18" s="1493" t="s">
        <v>5262</v>
      </c>
      <c r="L18" s="1493" t="s">
        <v>8919</v>
      </c>
      <c r="M18" s="1493" t="s">
        <v>8920</v>
      </c>
      <c r="N18" s="1493" t="s">
        <v>8921</v>
      </c>
      <c r="O18" s="1493" t="s">
        <v>8922</v>
      </c>
      <c r="P18" s="1493" t="s">
        <v>8923</v>
      </c>
      <c r="Q18" s="1493" t="s">
        <v>4732</v>
      </c>
      <c r="R18" s="1536" t="s">
        <v>8924</v>
      </c>
      <c r="S18" s="1493" t="s">
        <v>4112</v>
      </c>
      <c r="T18" s="1493" t="s">
        <v>8757</v>
      </c>
      <c r="U18" s="1493" t="s">
        <v>8925</v>
      </c>
      <c r="V18" s="1493" t="s">
        <v>6442</v>
      </c>
      <c r="W18" s="1493" t="s">
        <v>8926</v>
      </c>
      <c r="X18" s="1493" t="s">
        <v>7788</v>
      </c>
      <c r="Y18" s="1493" t="s">
        <v>4379</v>
      </c>
      <c r="Z18" s="1493" t="s">
        <v>8927</v>
      </c>
      <c r="AA18" s="1493" t="s">
        <v>7788</v>
      </c>
      <c r="AB18" s="1493" t="s">
        <v>8752</v>
      </c>
      <c r="AC18" s="1493" t="s">
        <v>5681</v>
      </c>
      <c r="AD18" s="1493" t="s">
        <v>7839</v>
      </c>
      <c r="AE18" s="1493" t="s">
        <v>8928</v>
      </c>
      <c r="AF18" s="1493" t="s">
        <v>8929</v>
      </c>
      <c r="AG18" s="1493" t="s">
        <v>5119</v>
      </c>
      <c r="AH18" s="1493" t="s">
        <v>5297</v>
      </c>
      <c r="AI18" s="1493" t="s">
        <v>8930</v>
      </c>
      <c r="AJ18" s="1488" t="s">
        <v>8552</v>
      </c>
      <c r="AK18" s="1493" t="s">
        <v>2619</v>
      </c>
      <c r="AL18" s="1493" t="s">
        <v>8931</v>
      </c>
      <c r="AM18" s="1493" t="s">
        <v>8932</v>
      </c>
      <c r="AN18" s="1493" t="s">
        <v>573</v>
      </c>
      <c r="AO18" s="1493" t="s">
        <v>8933</v>
      </c>
      <c r="AP18" s="1493" t="s">
        <v>8934</v>
      </c>
      <c r="AQ18" s="1493" t="s">
        <v>4846</v>
      </c>
      <c r="AR18" s="1493" t="s">
        <v>6528</v>
      </c>
      <c r="AS18" s="1493" t="s">
        <v>8935</v>
      </c>
      <c r="AT18" s="1493" t="s">
        <v>2993</v>
      </c>
      <c r="AU18" s="1493" t="s">
        <v>8936</v>
      </c>
      <c r="AV18" s="1491" t="str">
        <f t="shared" si="1"/>
        <v>3:21</v>
      </c>
      <c r="AW18" s="1546" t="s">
        <v>8937</v>
      </c>
    </row>
    <row r="19" ht="15.75" customHeight="1">
      <c r="A19" s="1482" t="s">
        <v>8938</v>
      </c>
      <c r="B19" s="1483" t="s">
        <v>8531</v>
      </c>
      <c r="C19" s="1484">
        <v>0.049965277777777775</v>
      </c>
      <c r="D19" s="1401" t="s">
        <v>8939</v>
      </c>
      <c r="E19" s="1493" t="s">
        <v>4404</v>
      </c>
      <c r="F19" s="1493" t="s">
        <v>8940</v>
      </c>
      <c r="G19" s="1493" t="s">
        <v>8941</v>
      </c>
      <c r="H19" s="1491" t="s">
        <v>2371</v>
      </c>
      <c r="I19" s="1493" t="s">
        <v>1354</v>
      </c>
      <c r="J19" s="1493" t="s">
        <v>388</v>
      </c>
      <c r="K19" s="1493" t="s">
        <v>8942</v>
      </c>
      <c r="L19" s="1493" t="s">
        <v>5464</v>
      </c>
      <c r="M19" s="1493" t="s">
        <v>6420</v>
      </c>
      <c r="N19" s="1493" t="s">
        <v>8943</v>
      </c>
      <c r="O19" s="1493" t="s">
        <v>2666</v>
      </c>
      <c r="P19" s="1491" t="s">
        <v>5493</v>
      </c>
      <c r="Q19" s="1493" t="s">
        <v>8944</v>
      </c>
      <c r="R19" s="1493" t="s">
        <v>3270</v>
      </c>
      <c r="S19" s="1493" t="s">
        <v>7706</v>
      </c>
      <c r="T19" s="1493" t="s">
        <v>8289</v>
      </c>
      <c r="U19" s="1493" t="s">
        <v>8945</v>
      </c>
      <c r="V19" s="1493" t="s">
        <v>5073</v>
      </c>
      <c r="W19" s="1493" t="s">
        <v>8946</v>
      </c>
      <c r="X19" s="1491" t="s">
        <v>6806</v>
      </c>
      <c r="Y19" s="1491" t="s">
        <v>5585</v>
      </c>
      <c r="Z19" s="1493" t="s">
        <v>8947</v>
      </c>
      <c r="AA19" s="1493" t="s">
        <v>2415</v>
      </c>
      <c r="AB19" s="1493" t="s">
        <v>8948</v>
      </c>
      <c r="AC19" s="1493" t="s">
        <v>817</v>
      </c>
      <c r="AD19" s="1493" t="s">
        <v>5504</v>
      </c>
      <c r="AE19" s="1493" t="s">
        <v>8949</v>
      </c>
      <c r="AF19" s="1493" t="s">
        <v>911</v>
      </c>
      <c r="AG19" s="1493" t="s">
        <v>8950</v>
      </c>
      <c r="AH19" s="1493" t="s">
        <v>8951</v>
      </c>
      <c r="AI19" s="1493" t="s">
        <v>714</v>
      </c>
      <c r="AJ19" s="1491" t="s">
        <v>8952</v>
      </c>
      <c r="AK19" s="1538" t="s">
        <v>7616</v>
      </c>
      <c r="AL19" s="1493" t="s">
        <v>4724</v>
      </c>
      <c r="AM19" s="1493" t="s">
        <v>3721</v>
      </c>
      <c r="AN19" s="1491" t="s">
        <v>6170</v>
      </c>
      <c r="AO19" s="1491" t="s">
        <v>6528</v>
      </c>
      <c r="AP19" s="1491" t="s">
        <v>8953</v>
      </c>
      <c r="AQ19" s="1491" t="s">
        <v>8651</v>
      </c>
      <c r="AR19" s="1491" t="s">
        <v>504</v>
      </c>
      <c r="AS19" s="1491" t="s">
        <v>5769</v>
      </c>
      <c r="AT19" s="1491" t="s">
        <v>8831</v>
      </c>
      <c r="AU19" s="1493" t="s">
        <v>8954</v>
      </c>
      <c r="AV19" s="1491" t="str">
        <f t="shared" si="1"/>
        <v>3:46</v>
      </c>
      <c r="AW19" s="1563" t="s">
        <v>8083</v>
      </c>
    </row>
    <row r="20">
      <c r="A20" s="1529" t="s">
        <v>2119</v>
      </c>
      <c r="B20" s="1524" t="s">
        <v>8531</v>
      </c>
      <c r="C20" s="1564">
        <v>0.04990740740740741</v>
      </c>
      <c r="D20" s="1513" t="s">
        <v>8955</v>
      </c>
      <c r="E20" s="1513" t="s">
        <v>8956</v>
      </c>
      <c r="F20" s="1513" t="s">
        <v>8829</v>
      </c>
      <c r="G20" s="1513" t="s">
        <v>8957</v>
      </c>
      <c r="H20" s="1513" t="s">
        <v>8958</v>
      </c>
      <c r="I20" s="1513" t="s">
        <v>3826</v>
      </c>
      <c r="J20" s="1513" t="s">
        <v>8959</v>
      </c>
      <c r="K20" s="1565" t="s">
        <v>4301</v>
      </c>
      <c r="L20" s="1513" t="s">
        <v>8931</v>
      </c>
      <c r="M20" s="1513" t="s">
        <v>8960</v>
      </c>
      <c r="N20" s="1513" t="s">
        <v>7254</v>
      </c>
      <c r="O20" s="1513" t="s">
        <v>8961</v>
      </c>
      <c r="P20" s="1513" t="s">
        <v>6411</v>
      </c>
      <c r="Q20" s="1513" t="s">
        <v>8962</v>
      </c>
      <c r="R20" s="1513" t="s">
        <v>8899</v>
      </c>
      <c r="S20" s="1513" t="s">
        <v>8963</v>
      </c>
      <c r="T20" s="1513" t="s">
        <v>5799</v>
      </c>
      <c r="U20" s="1513" t="s">
        <v>8964</v>
      </c>
      <c r="V20" s="1513" t="s">
        <v>8965</v>
      </c>
      <c r="W20" s="1513" t="s">
        <v>5524</v>
      </c>
      <c r="X20" s="1513" t="s">
        <v>8966</v>
      </c>
      <c r="Y20" s="1513" t="s">
        <v>8667</v>
      </c>
      <c r="Z20" s="1513" t="s">
        <v>8967</v>
      </c>
      <c r="AA20" s="1513" t="s">
        <v>8905</v>
      </c>
      <c r="AB20" s="1513" t="s">
        <v>8906</v>
      </c>
      <c r="AC20" s="1513" t="s">
        <v>616</v>
      </c>
      <c r="AD20" s="1513" t="s">
        <v>8968</v>
      </c>
      <c r="AE20" s="1513" t="s">
        <v>5598</v>
      </c>
      <c r="AF20" s="1513" t="s">
        <v>8969</v>
      </c>
      <c r="AG20" s="1513" t="s">
        <v>8970</v>
      </c>
      <c r="AH20" s="1513" t="s">
        <v>2937</v>
      </c>
      <c r="AI20" s="1513" t="s">
        <v>8735</v>
      </c>
      <c r="AJ20" s="1513" t="s">
        <v>8971</v>
      </c>
      <c r="AK20" s="1513" t="s">
        <v>8972</v>
      </c>
      <c r="AL20" s="1513" t="s">
        <v>348</v>
      </c>
      <c r="AM20" s="1513" t="s">
        <v>2273</v>
      </c>
      <c r="AN20" s="1513" t="s">
        <v>232</v>
      </c>
      <c r="AO20" s="1513" t="s">
        <v>8973</v>
      </c>
      <c r="AP20" s="1513" t="s">
        <v>8974</v>
      </c>
      <c r="AQ20" s="1486" t="s">
        <v>7703</v>
      </c>
      <c r="AR20" s="1513" t="s">
        <v>2694</v>
      </c>
      <c r="AS20" s="1513" t="s">
        <v>969</v>
      </c>
      <c r="AT20" s="1513" t="s">
        <v>2530</v>
      </c>
      <c r="AU20" s="1493" t="s">
        <v>8975</v>
      </c>
      <c r="AV20" s="1491" t="str">
        <f t="shared" si="1"/>
        <v>2:24</v>
      </c>
      <c r="AW20" s="1563"/>
    </row>
    <row r="21" ht="15.75" customHeight="1">
      <c r="A21" s="1566" t="s">
        <v>6209</v>
      </c>
      <c r="B21" s="1483" t="s">
        <v>8531</v>
      </c>
      <c r="C21" s="1484">
        <v>0.05</v>
      </c>
      <c r="D21" s="1401" t="s">
        <v>8976</v>
      </c>
      <c r="E21" s="1493" t="s">
        <v>8320</v>
      </c>
      <c r="F21" s="1493" t="s">
        <v>8916</v>
      </c>
      <c r="G21" s="1491" t="s">
        <v>8977</v>
      </c>
      <c r="H21" s="1493" t="s">
        <v>8978</v>
      </c>
      <c r="I21" s="1491" t="s">
        <v>2007</v>
      </c>
      <c r="J21" s="1493" t="s">
        <v>2967</v>
      </c>
      <c r="K21" s="1493" t="s">
        <v>8979</v>
      </c>
      <c r="L21" s="1493" t="s">
        <v>3290</v>
      </c>
      <c r="M21" s="1493" t="s">
        <v>8980</v>
      </c>
      <c r="N21" s="1493" t="s">
        <v>8981</v>
      </c>
      <c r="O21" s="1493" t="s">
        <v>8902</v>
      </c>
      <c r="P21" s="1491" t="s">
        <v>4011</v>
      </c>
      <c r="Q21" s="1493" t="s">
        <v>8982</v>
      </c>
      <c r="R21" s="1493" t="s">
        <v>6730</v>
      </c>
      <c r="S21" s="1493" t="s">
        <v>6968</v>
      </c>
      <c r="T21" s="1493" t="s">
        <v>7370</v>
      </c>
      <c r="U21" s="1493" t="s">
        <v>8983</v>
      </c>
      <c r="V21" s="1493" t="s">
        <v>8984</v>
      </c>
      <c r="W21" s="1493" t="s">
        <v>8985</v>
      </c>
      <c r="X21" s="1493" t="s">
        <v>8986</v>
      </c>
      <c r="Y21" s="1493" t="s">
        <v>8987</v>
      </c>
      <c r="Z21" s="1493" t="s">
        <v>8988</v>
      </c>
      <c r="AA21" s="1493" t="s">
        <v>8989</v>
      </c>
      <c r="AB21" s="1493" t="s">
        <v>8990</v>
      </c>
      <c r="AC21" s="1491" t="s">
        <v>5014</v>
      </c>
      <c r="AD21" s="1493" t="s">
        <v>8991</v>
      </c>
      <c r="AE21" s="1491" t="s">
        <v>5572</v>
      </c>
      <c r="AF21" s="1567" t="s">
        <v>8549</v>
      </c>
      <c r="AG21" s="1493" t="s">
        <v>627</v>
      </c>
      <c r="AH21" s="1493" t="s">
        <v>6953</v>
      </c>
      <c r="AI21" s="1493" t="s">
        <v>311</v>
      </c>
      <c r="AJ21" s="1491" t="s">
        <v>8992</v>
      </c>
      <c r="AK21" s="1493" t="s">
        <v>8993</v>
      </c>
      <c r="AL21" s="1491" t="s">
        <v>3767</v>
      </c>
      <c r="AM21" s="1493" t="s">
        <v>2068</v>
      </c>
      <c r="AN21" s="1491" t="s">
        <v>2685</v>
      </c>
      <c r="AO21" s="1493" t="s">
        <v>3547</v>
      </c>
      <c r="AP21" s="1493" t="s">
        <v>8994</v>
      </c>
      <c r="AQ21" s="1491" t="s">
        <v>8995</v>
      </c>
      <c r="AR21" s="1493" t="s">
        <v>1749</v>
      </c>
      <c r="AS21" s="1491" t="s">
        <v>8838</v>
      </c>
      <c r="AT21" s="1493" t="s">
        <v>8996</v>
      </c>
      <c r="AU21" s="1493" t="s">
        <v>8997</v>
      </c>
      <c r="AV21" s="1491" t="str">
        <f t="shared" si="1"/>
        <v>1:53</v>
      </c>
      <c r="AW21" s="1563"/>
    </row>
    <row r="22" ht="15.75" customHeight="1">
      <c r="A22" s="1529" t="s">
        <v>2312</v>
      </c>
      <c r="B22" s="1568" t="s">
        <v>8560</v>
      </c>
      <c r="C22" s="1484">
        <v>0.05002314814814815</v>
      </c>
      <c r="D22" s="1569" t="s">
        <v>8998</v>
      </c>
      <c r="E22" s="1401" t="s">
        <v>8487</v>
      </c>
      <c r="F22" s="1401" t="s">
        <v>8999</v>
      </c>
      <c r="G22" s="1533" t="s">
        <v>9000</v>
      </c>
      <c r="H22" s="1570" t="s">
        <v>8565</v>
      </c>
      <c r="I22" s="1401" t="s">
        <v>6129</v>
      </c>
      <c r="J22" s="1401" t="s">
        <v>9001</v>
      </c>
      <c r="K22" s="1401" t="s">
        <v>9002</v>
      </c>
      <c r="L22" s="1571" t="s">
        <v>2875</v>
      </c>
      <c r="M22" s="1401" t="s">
        <v>9003</v>
      </c>
      <c r="N22" s="1535" t="s">
        <v>9004</v>
      </c>
      <c r="O22" s="1401" t="s">
        <v>9005</v>
      </c>
      <c r="P22" s="1535" t="s">
        <v>5551</v>
      </c>
      <c r="Q22" s="1401" t="s">
        <v>9006</v>
      </c>
      <c r="R22" s="1571" t="s">
        <v>8571</v>
      </c>
      <c r="S22" s="1536" t="s">
        <v>9007</v>
      </c>
      <c r="T22" s="1572" t="s">
        <v>8573</v>
      </c>
      <c r="U22" s="1536" t="s">
        <v>1196</v>
      </c>
      <c r="V22" s="1401" t="s">
        <v>8123</v>
      </c>
      <c r="W22" s="1573" t="s">
        <v>4242</v>
      </c>
      <c r="X22" s="1401" t="s">
        <v>9008</v>
      </c>
      <c r="Y22" s="1571" t="s">
        <v>8574</v>
      </c>
      <c r="Z22" s="1571" t="s">
        <v>454</v>
      </c>
      <c r="AA22" s="1537" t="s">
        <v>4778</v>
      </c>
      <c r="AB22" s="1401" t="s">
        <v>3142</v>
      </c>
      <c r="AC22" s="1401" t="s">
        <v>420</v>
      </c>
      <c r="AD22" s="1401" t="s">
        <v>7839</v>
      </c>
      <c r="AE22" s="1574" t="s">
        <v>8577</v>
      </c>
      <c r="AF22" s="1494" t="s">
        <v>9009</v>
      </c>
      <c r="AG22" s="1571" t="s">
        <v>3992</v>
      </c>
      <c r="AH22" s="1401" t="s">
        <v>5031</v>
      </c>
      <c r="AI22" s="1575" t="s">
        <v>7578</v>
      </c>
      <c r="AJ22" s="1401" t="s">
        <v>9010</v>
      </c>
      <c r="AK22" s="1401" t="s">
        <v>1346</v>
      </c>
      <c r="AL22" s="1573" t="s">
        <v>6083</v>
      </c>
      <c r="AM22" s="1571" t="s">
        <v>8581</v>
      </c>
      <c r="AN22" s="1540" t="s">
        <v>8848</v>
      </c>
      <c r="AO22" s="1571" t="s">
        <v>7746</v>
      </c>
      <c r="AP22" s="1401" t="s">
        <v>9011</v>
      </c>
      <c r="AQ22" s="1576" t="s">
        <v>8583</v>
      </c>
      <c r="AR22" s="1401" t="s">
        <v>898</v>
      </c>
      <c r="AS22" s="1577" t="s">
        <v>5277</v>
      </c>
      <c r="AT22" s="1571" t="s">
        <v>4062</v>
      </c>
      <c r="AU22" s="1522" t="s">
        <v>9012</v>
      </c>
      <c r="AV22" s="1491" t="str">
        <f t="shared" si="1"/>
        <v>4:17</v>
      </c>
      <c r="AW22" s="1528" t="s">
        <v>9013</v>
      </c>
    </row>
    <row r="23">
      <c r="A23" s="1578" t="s">
        <v>3173</v>
      </c>
      <c r="B23" s="1579" t="s">
        <v>8531</v>
      </c>
      <c r="C23" s="1580">
        <v>0.05011574074074074</v>
      </c>
      <c r="D23" s="1581" t="s">
        <v>9014</v>
      </c>
      <c r="E23" s="1582" t="s">
        <v>7619</v>
      </c>
      <c r="F23" s="1581" t="s">
        <v>7357</v>
      </c>
      <c r="G23" s="1581" t="s">
        <v>9015</v>
      </c>
      <c r="H23" s="1583" t="s">
        <v>9016</v>
      </c>
      <c r="I23" s="1583" t="s">
        <v>2007</v>
      </c>
      <c r="J23" s="1584" t="s">
        <v>9017</v>
      </c>
      <c r="K23" s="1585" t="s">
        <v>9018</v>
      </c>
      <c r="L23" s="1586" t="s">
        <v>9019</v>
      </c>
      <c r="M23" s="1585" t="s">
        <v>9020</v>
      </c>
      <c r="N23" s="1585" t="s">
        <v>9021</v>
      </c>
      <c r="O23" s="1584" t="s">
        <v>9022</v>
      </c>
      <c r="P23" s="1586" t="s">
        <v>6424</v>
      </c>
      <c r="Q23" s="1587" t="s">
        <v>9023</v>
      </c>
      <c r="R23" s="1588" t="s">
        <v>5593</v>
      </c>
      <c r="S23" s="1589" t="s">
        <v>1099</v>
      </c>
      <c r="T23" s="1587" t="s">
        <v>2002</v>
      </c>
      <c r="U23" s="1590" t="s">
        <v>9024</v>
      </c>
      <c r="V23" s="1587" t="s">
        <v>4045</v>
      </c>
      <c r="W23" s="1591" t="s">
        <v>7532</v>
      </c>
      <c r="X23" s="1592" t="s">
        <v>9025</v>
      </c>
      <c r="Y23" s="1593" t="s">
        <v>7051</v>
      </c>
      <c r="Z23" s="1591" t="s">
        <v>224</v>
      </c>
      <c r="AA23" s="1592" t="s">
        <v>7488</v>
      </c>
      <c r="AB23" s="1594" t="s">
        <v>3408</v>
      </c>
      <c r="AC23" s="1595" t="s">
        <v>4934</v>
      </c>
      <c r="AD23" s="1582" t="s">
        <v>9026</v>
      </c>
      <c r="AE23" s="1596" t="s">
        <v>5598</v>
      </c>
      <c r="AF23" s="1597" t="s">
        <v>9027</v>
      </c>
      <c r="AG23" s="1598" t="s">
        <v>426</v>
      </c>
      <c r="AH23" s="1599" t="s">
        <v>9028</v>
      </c>
      <c r="AI23" s="1598" t="s">
        <v>9029</v>
      </c>
      <c r="AJ23" s="1600" t="s">
        <v>9030</v>
      </c>
      <c r="AK23" s="1598" t="s">
        <v>9031</v>
      </c>
      <c r="AL23" s="1601" t="s">
        <v>8951</v>
      </c>
      <c r="AM23" s="1602" t="s">
        <v>8581</v>
      </c>
      <c r="AN23" s="1603" t="s">
        <v>4700</v>
      </c>
      <c r="AO23" s="1604" t="s">
        <v>1545</v>
      </c>
      <c r="AP23" s="1605" t="s">
        <v>9032</v>
      </c>
      <c r="AQ23" s="1606" t="s">
        <v>9033</v>
      </c>
      <c r="AR23" s="1604" t="s">
        <v>8727</v>
      </c>
      <c r="AS23" s="1607" t="s">
        <v>9034</v>
      </c>
      <c r="AT23" s="1608" t="s">
        <v>2075</v>
      </c>
      <c r="AU23" s="1609" t="s">
        <v>9035</v>
      </c>
      <c r="AV23" s="1610" t="str">
        <f t="shared" si="1"/>
        <v>3:01</v>
      </c>
      <c r="AW23" s="1611"/>
    </row>
    <row r="24">
      <c r="A24" s="1529" t="s">
        <v>6503</v>
      </c>
      <c r="B24" s="1524" t="s">
        <v>8560</v>
      </c>
      <c r="C24" s="1484">
        <v>0.05016203703703704</v>
      </c>
      <c r="D24" s="1506" t="s">
        <v>9036</v>
      </c>
      <c r="E24" s="1612" t="s">
        <v>8562</v>
      </c>
      <c r="F24" s="1506" t="s">
        <v>9037</v>
      </c>
      <c r="G24" s="1506" t="s">
        <v>9038</v>
      </c>
      <c r="H24" s="1506" t="s">
        <v>9039</v>
      </c>
      <c r="I24" s="1506" t="s">
        <v>5043</v>
      </c>
      <c r="J24" s="1506" t="s">
        <v>4193</v>
      </c>
      <c r="K24" s="1506" t="s">
        <v>9040</v>
      </c>
      <c r="L24" s="1401" t="s">
        <v>5167</v>
      </c>
      <c r="M24" s="1571" t="s">
        <v>8568</v>
      </c>
      <c r="N24" s="1506" t="s">
        <v>9041</v>
      </c>
      <c r="O24" s="1506" t="s">
        <v>9042</v>
      </c>
      <c r="P24" s="1506" t="s">
        <v>5857</v>
      </c>
      <c r="Q24" s="1506" t="s">
        <v>2773</v>
      </c>
      <c r="R24" s="1506" t="s">
        <v>942</v>
      </c>
      <c r="S24" s="1506" t="s">
        <v>9043</v>
      </c>
      <c r="T24" s="1506" t="s">
        <v>1359</v>
      </c>
      <c r="U24" s="1506" t="s">
        <v>9044</v>
      </c>
      <c r="V24" s="1506" t="s">
        <v>9045</v>
      </c>
      <c r="W24" s="1506" t="s">
        <v>9046</v>
      </c>
      <c r="X24" s="1506" t="s">
        <v>1430</v>
      </c>
      <c r="Y24" s="1506" t="s">
        <v>1141</v>
      </c>
      <c r="Z24" s="1506" t="s">
        <v>8904</v>
      </c>
      <c r="AA24" s="1613" t="s">
        <v>8575</v>
      </c>
      <c r="AB24" s="1506" t="s">
        <v>9047</v>
      </c>
      <c r="AC24" s="1506" t="s">
        <v>4818</v>
      </c>
      <c r="AD24" s="1506" t="s">
        <v>9048</v>
      </c>
      <c r="AE24" s="1506" t="s">
        <v>4948</v>
      </c>
      <c r="AF24" s="1506" t="s">
        <v>5737</v>
      </c>
      <c r="AG24" s="1506" t="s">
        <v>9049</v>
      </c>
      <c r="AH24" s="1506" t="s">
        <v>4443</v>
      </c>
      <c r="AI24" s="1493" t="s">
        <v>4257</v>
      </c>
      <c r="AJ24" s="1506" t="s">
        <v>9050</v>
      </c>
      <c r="AK24" s="1506" t="s">
        <v>9051</v>
      </c>
      <c r="AL24" s="1506" t="s">
        <v>2602</v>
      </c>
      <c r="AM24" s="1506" t="s">
        <v>4117</v>
      </c>
      <c r="AN24" s="1506" t="s">
        <v>5958</v>
      </c>
      <c r="AO24" s="1506" t="s">
        <v>9052</v>
      </c>
      <c r="AP24" s="1506" t="s">
        <v>9053</v>
      </c>
      <c r="AQ24" s="1506" t="s">
        <v>4102</v>
      </c>
      <c r="AR24" s="1613" t="s">
        <v>3432</v>
      </c>
      <c r="AS24" s="1506" t="s">
        <v>784</v>
      </c>
      <c r="AT24" s="1506" t="s">
        <v>9054</v>
      </c>
      <c r="AU24" s="1493" t="s">
        <v>9055</v>
      </c>
      <c r="AV24" s="1491" t="str">
        <f t="shared" si="1"/>
        <v>3:20</v>
      </c>
      <c r="AW24" s="1614"/>
    </row>
    <row r="25" ht="15.75" customHeight="1">
      <c r="A25" s="1497" t="s">
        <v>1481</v>
      </c>
      <c r="B25" s="1483" t="s">
        <v>8531</v>
      </c>
      <c r="C25" s="1484">
        <v>0.05025462962962963</v>
      </c>
      <c r="D25" s="1401" t="s">
        <v>9056</v>
      </c>
      <c r="E25" s="1533" t="s">
        <v>9057</v>
      </c>
      <c r="F25" s="1547" t="s">
        <v>9058</v>
      </c>
      <c r="G25" s="1486" t="s">
        <v>9059</v>
      </c>
      <c r="H25" s="1534" t="s">
        <v>9060</v>
      </c>
      <c r="I25" s="1534" t="s">
        <v>1095</v>
      </c>
      <c r="J25" s="1535" t="s">
        <v>8683</v>
      </c>
      <c r="K25" s="1549" t="s">
        <v>9061</v>
      </c>
      <c r="L25" s="1549" t="s">
        <v>5217</v>
      </c>
      <c r="M25" s="1615" t="str">
        <f>HYPERLINK("https://youtu.be/teAIifUZjFw","1:14.18")</f>
        <v>1:14.18</v>
      </c>
      <c r="N25" s="1549" t="s">
        <v>3848</v>
      </c>
      <c r="O25" s="1549" t="s">
        <v>9062</v>
      </c>
      <c r="P25" s="1549" t="s">
        <v>2110</v>
      </c>
      <c r="Q25" s="1550" t="s">
        <v>9063</v>
      </c>
      <c r="R25" s="1536" t="s">
        <v>9064</v>
      </c>
      <c r="S25" s="1536" t="s">
        <v>5530</v>
      </c>
      <c r="T25" s="1616" t="str">
        <f>HYPERLINK("https://youtu.be/AiXricVH5ss","1:24.99")</f>
        <v>1:24.99</v>
      </c>
      <c r="U25" s="1617" t="str">
        <f>HYPERLINK("https://www.twitch.tv/videos/450151935","2:00.31")</f>
        <v>2:00.31</v>
      </c>
      <c r="V25" s="1536" t="s">
        <v>9065</v>
      </c>
      <c r="W25" s="1618" t="str">
        <f>HYPERLINK("https://youtu.be/eafNhBoXVWA","1:46.09")</f>
        <v>1:46.09</v>
      </c>
      <c r="X25" s="1551" t="s">
        <v>4584</v>
      </c>
      <c r="Y25" s="1551" t="s">
        <v>8772</v>
      </c>
      <c r="Z25" s="1551" t="s">
        <v>9066</v>
      </c>
      <c r="AA25" s="1537" t="s">
        <v>8714</v>
      </c>
      <c r="AB25" s="1551" t="s">
        <v>7078</v>
      </c>
      <c r="AC25" s="1551" t="s">
        <v>7671</v>
      </c>
      <c r="AD25" s="1619" t="str">
        <f>HYPERLINK("https://youtu.be/8FEcTKESSh0","1:49.80")</f>
        <v>1:49.80</v>
      </c>
      <c r="AE25" s="1533" t="s">
        <v>6424</v>
      </c>
      <c r="AF25" s="1552" t="s">
        <v>9067</v>
      </c>
      <c r="AG25" s="1552" t="s">
        <v>9068</v>
      </c>
      <c r="AH25" s="1552" t="s">
        <v>9069</v>
      </c>
      <c r="AI25" s="1552" t="s">
        <v>4118</v>
      </c>
      <c r="AJ25" s="1552" t="s">
        <v>9070</v>
      </c>
      <c r="AK25" s="1538" t="s">
        <v>8900</v>
      </c>
      <c r="AL25" s="1552" t="s">
        <v>9071</v>
      </c>
      <c r="AM25" s="1540" t="s">
        <v>8867</v>
      </c>
      <c r="AN25" s="1540" t="s">
        <v>8290</v>
      </c>
      <c r="AO25" s="1540" t="s">
        <v>9072</v>
      </c>
      <c r="AP25" s="1539" t="s">
        <v>9073</v>
      </c>
      <c r="AQ25" s="1539" t="s">
        <v>9074</v>
      </c>
      <c r="AR25" s="1540" t="s">
        <v>9075</v>
      </c>
      <c r="AS25" s="1539" t="s">
        <v>5628</v>
      </c>
      <c r="AT25" s="1615" t="str">
        <f>HYPERLINK("https://youtu.be/xDirVtS1AZ4?t=4416","2:27.45")</f>
        <v>2:27.45</v>
      </c>
      <c r="AU25" s="1553" t="s">
        <v>9076</v>
      </c>
      <c r="AV25" s="1491" t="str">
        <f t="shared" si="1"/>
        <v>2:34</v>
      </c>
      <c r="AW25" s="1523" t="s">
        <v>9077</v>
      </c>
    </row>
    <row r="26">
      <c r="A26" s="1529" t="s">
        <v>6489</v>
      </c>
      <c r="B26" s="1524" t="s">
        <v>8531</v>
      </c>
      <c r="C26" s="1484">
        <v>0.0502662037037037</v>
      </c>
      <c r="D26" s="1401" t="s">
        <v>9078</v>
      </c>
      <c r="E26" s="1493" t="s">
        <v>8703</v>
      </c>
      <c r="F26" s="1493" t="s">
        <v>9079</v>
      </c>
      <c r="G26" s="1493" t="s">
        <v>9080</v>
      </c>
      <c r="H26" s="1493" t="s">
        <v>9081</v>
      </c>
      <c r="I26" s="1401" t="s">
        <v>263</v>
      </c>
      <c r="J26" s="1401" t="s">
        <v>9082</v>
      </c>
      <c r="K26" s="1493" t="s">
        <v>8979</v>
      </c>
      <c r="L26" s="1493" t="s">
        <v>4180</v>
      </c>
      <c r="M26" s="1401" t="s">
        <v>2754</v>
      </c>
      <c r="N26" s="1493" t="s">
        <v>9083</v>
      </c>
      <c r="O26" s="1493" t="s">
        <v>9084</v>
      </c>
      <c r="P26" s="1401" t="s">
        <v>9085</v>
      </c>
      <c r="Q26" s="1493" t="s">
        <v>9086</v>
      </c>
      <c r="R26" s="1401" t="s">
        <v>9087</v>
      </c>
      <c r="S26" s="1493" t="s">
        <v>9088</v>
      </c>
      <c r="T26" s="1401" t="s">
        <v>9089</v>
      </c>
      <c r="U26" s="1493" t="s">
        <v>1079</v>
      </c>
      <c r="V26" s="1401" t="s">
        <v>5073</v>
      </c>
      <c r="W26" s="1401" t="s">
        <v>7219</v>
      </c>
      <c r="X26" s="1401" t="s">
        <v>6806</v>
      </c>
      <c r="Y26" s="1401" t="s">
        <v>1013</v>
      </c>
      <c r="Z26" s="1401" t="s">
        <v>9090</v>
      </c>
      <c r="AA26" s="1493" t="s">
        <v>9091</v>
      </c>
      <c r="AB26" s="1401" t="s">
        <v>7670</v>
      </c>
      <c r="AC26" s="1493" t="s">
        <v>9092</v>
      </c>
      <c r="AD26" s="1401" t="s">
        <v>6207</v>
      </c>
      <c r="AE26" s="1493" t="s">
        <v>9093</v>
      </c>
      <c r="AF26" s="1493" t="s">
        <v>9094</v>
      </c>
      <c r="AG26" s="1401" t="s">
        <v>2149</v>
      </c>
      <c r="AH26" s="1401" t="s">
        <v>2691</v>
      </c>
      <c r="AI26" s="1493" t="s">
        <v>9095</v>
      </c>
      <c r="AJ26" s="1401" t="s">
        <v>9096</v>
      </c>
      <c r="AK26" s="1401" t="s">
        <v>8545</v>
      </c>
      <c r="AL26" s="1401" t="s">
        <v>4724</v>
      </c>
      <c r="AM26" s="1401" t="s">
        <v>9097</v>
      </c>
      <c r="AN26" s="1401" t="s">
        <v>4724</v>
      </c>
      <c r="AO26" s="1401" t="s">
        <v>2003</v>
      </c>
      <c r="AP26" s="1493" t="s">
        <v>9098</v>
      </c>
      <c r="AQ26" s="1401" t="s">
        <v>2274</v>
      </c>
      <c r="AR26" s="1493" t="s">
        <v>8407</v>
      </c>
      <c r="AS26" s="1401" t="s">
        <v>1912</v>
      </c>
      <c r="AT26" s="1493" t="s">
        <v>9099</v>
      </c>
      <c r="AU26" s="1493" t="s">
        <v>9100</v>
      </c>
      <c r="AV26" s="1491" t="str">
        <f t="shared" si="1"/>
        <v>2:28</v>
      </c>
      <c r="AW26" s="1525" t="s">
        <v>9101</v>
      </c>
    </row>
    <row r="27">
      <c r="A27" s="1529" t="s">
        <v>9102</v>
      </c>
      <c r="B27" s="1620" t="s">
        <v>8531</v>
      </c>
      <c r="C27" s="1484">
        <v>0.0503125</v>
      </c>
      <c r="D27" s="1401" t="s">
        <v>9103</v>
      </c>
      <c r="E27" s="1533" t="s">
        <v>9104</v>
      </c>
      <c r="F27" s="1533" t="s">
        <v>9105</v>
      </c>
      <c r="G27" s="1533" t="s">
        <v>8116</v>
      </c>
      <c r="H27" s="1621" t="s">
        <v>9106</v>
      </c>
      <c r="I27" s="1621" t="s">
        <v>7050</v>
      </c>
      <c r="J27" s="1535" t="s">
        <v>1999</v>
      </c>
      <c r="K27" s="1535" t="s">
        <v>5979</v>
      </c>
      <c r="L27" s="1535" t="s">
        <v>3577</v>
      </c>
      <c r="M27" s="1535" t="s">
        <v>9107</v>
      </c>
      <c r="N27" s="1535" t="s">
        <v>9108</v>
      </c>
      <c r="O27" s="1535" t="s">
        <v>4242</v>
      </c>
      <c r="P27" s="1535" t="s">
        <v>5244</v>
      </c>
      <c r="Q27" s="1536" t="s">
        <v>9109</v>
      </c>
      <c r="R27" s="1536" t="s">
        <v>9110</v>
      </c>
      <c r="S27" s="1536" t="s">
        <v>565</v>
      </c>
      <c r="T27" s="1536" t="s">
        <v>9111</v>
      </c>
      <c r="U27" s="1536" t="s">
        <v>9112</v>
      </c>
      <c r="V27" s="1536" t="s">
        <v>9113</v>
      </c>
      <c r="W27" s="1537" t="s">
        <v>9114</v>
      </c>
      <c r="X27" s="1537" t="s">
        <v>4584</v>
      </c>
      <c r="Y27" s="1537" t="s">
        <v>1622</v>
      </c>
      <c r="Z27" s="1537" t="s">
        <v>2523</v>
      </c>
      <c r="AA27" s="1537" t="s">
        <v>9115</v>
      </c>
      <c r="AB27" s="1537" t="s">
        <v>3879</v>
      </c>
      <c r="AC27" s="1537" t="s">
        <v>9116</v>
      </c>
      <c r="AD27" s="1533" t="s">
        <v>9117</v>
      </c>
      <c r="AE27" s="1533" t="s">
        <v>8928</v>
      </c>
      <c r="AF27" s="1538" t="s">
        <v>9118</v>
      </c>
      <c r="AG27" s="1538" t="s">
        <v>7865</v>
      </c>
      <c r="AH27" s="1538" t="s">
        <v>9119</v>
      </c>
      <c r="AI27" s="1538" t="s">
        <v>5202</v>
      </c>
      <c r="AJ27" s="1538" t="s">
        <v>9120</v>
      </c>
      <c r="AK27" s="1538" t="s">
        <v>9121</v>
      </c>
      <c r="AL27" s="1538" t="s">
        <v>8764</v>
      </c>
      <c r="AM27" s="1540" t="s">
        <v>8807</v>
      </c>
      <c r="AN27" s="1540" t="s">
        <v>9122</v>
      </c>
      <c r="AO27" s="1540" t="s">
        <v>3340</v>
      </c>
      <c r="AP27" s="1540" t="s">
        <v>9123</v>
      </c>
      <c r="AQ27" s="1540" t="s">
        <v>9124</v>
      </c>
      <c r="AR27" s="1540" t="s">
        <v>3030</v>
      </c>
      <c r="AS27" s="1540" t="s">
        <v>303</v>
      </c>
      <c r="AT27" s="1535" t="s">
        <v>9125</v>
      </c>
      <c r="AU27" s="1522" t="s">
        <v>9126</v>
      </c>
      <c r="AV27" s="1491" t="str">
        <f t="shared" si="1"/>
        <v>2:59</v>
      </c>
      <c r="AW27" s="1528" t="s">
        <v>9127</v>
      </c>
    </row>
    <row r="28" ht="15.75" customHeight="1">
      <c r="A28" s="1529" t="s">
        <v>2700</v>
      </c>
      <c r="B28" s="1527" t="s">
        <v>8560</v>
      </c>
      <c r="C28" s="1484">
        <v>0.050347222222222224</v>
      </c>
      <c r="D28" s="1401" t="s">
        <v>9128</v>
      </c>
      <c r="E28" s="1401" t="s">
        <v>9129</v>
      </c>
      <c r="F28" s="1401" t="s">
        <v>9130</v>
      </c>
      <c r="G28" s="1401" t="s">
        <v>9131</v>
      </c>
      <c r="H28" s="1401" t="s">
        <v>5959</v>
      </c>
      <c r="I28" s="1401" t="s">
        <v>720</v>
      </c>
      <c r="J28" s="1571" t="s">
        <v>8567</v>
      </c>
      <c r="K28" s="1571" t="s">
        <v>1140</v>
      </c>
      <c r="L28" s="1401" t="s">
        <v>9132</v>
      </c>
      <c r="M28" s="1535" t="s">
        <v>9020</v>
      </c>
      <c r="N28" s="1571" t="s">
        <v>2589</v>
      </c>
      <c r="O28" s="1401" t="s">
        <v>9133</v>
      </c>
      <c r="P28" s="1571" t="s">
        <v>5572</v>
      </c>
      <c r="Q28" s="1571" t="s">
        <v>8570</v>
      </c>
      <c r="R28" s="1401" t="s">
        <v>7309</v>
      </c>
      <c r="S28" s="1571" t="s">
        <v>8572</v>
      </c>
      <c r="T28" s="1401" t="s">
        <v>4684</v>
      </c>
      <c r="U28" s="1401" t="s">
        <v>9134</v>
      </c>
      <c r="V28" s="1571" t="s">
        <v>4212</v>
      </c>
      <c r="W28" s="1401" t="s">
        <v>6155</v>
      </c>
      <c r="X28" s="1401" t="s">
        <v>5799</v>
      </c>
      <c r="Y28" s="1401" t="s">
        <v>5681</v>
      </c>
      <c r="Z28" s="1401" t="s">
        <v>1178</v>
      </c>
      <c r="AA28" s="1401" t="s">
        <v>9135</v>
      </c>
      <c r="AB28" s="1401" t="s">
        <v>3323</v>
      </c>
      <c r="AC28" s="1401" t="s">
        <v>1991</v>
      </c>
      <c r="AD28" s="1401" t="s">
        <v>9136</v>
      </c>
      <c r="AE28" s="1401" t="s">
        <v>3284</v>
      </c>
      <c r="AF28" s="1401" t="s">
        <v>9137</v>
      </c>
      <c r="AG28" s="1401" t="s">
        <v>5679</v>
      </c>
      <c r="AH28" s="1401" t="s">
        <v>4712</v>
      </c>
      <c r="AI28" s="1401" t="s">
        <v>3481</v>
      </c>
      <c r="AJ28" s="1401" t="s">
        <v>9138</v>
      </c>
      <c r="AK28" s="1401" t="s">
        <v>3074</v>
      </c>
      <c r="AL28" s="1401" t="s">
        <v>9139</v>
      </c>
      <c r="AM28" s="1401" t="s">
        <v>9140</v>
      </c>
      <c r="AN28" s="1401" t="s">
        <v>4506</v>
      </c>
      <c r="AO28" s="1401" t="s">
        <v>7394</v>
      </c>
      <c r="AP28" s="1401" t="s">
        <v>9141</v>
      </c>
      <c r="AQ28" s="1401" t="s">
        <v>3768</v>
      </c>
      <c r="AR28" s="1401" t="s">
        <v>3030</v>
      </c>
      <c r="AS28" s="1401" t="s">
        <v>6676</v>
      </c>
      <c r="AT28" s="1401" t="s">
        <v>9142</v>
      </c>
      <c r="AU28" s="1538" t="s">
        <v>8584</v>
      </c>
      <c r="AV28" s="1491" t="str">
        <f t="shared" si="1"/>
        <v>2:37</v>
      </c>
      <c r="AW28" s="1622"/>
    </row>
    <row r="29" ht="15.75" customHeight="1">
      <c r="A29" s="1482" t="s">
        <v>9143</v>
      </c>
      <c r="B29" s="1542" t="s">
        <v>8560</v>
      </c>
      <c r="C29" s="1484">
        <v>0.05042824074074074</v>
      </c>
      <c r="D29" s="1401" t="s">
        <v>8818</v>
      </c>
      <c r="E29" s="1533" t="s">
        <v>6250</v>
      </c>
      <c r="F29" s="1533" t="s">
        <v>9144</v>
      </c>
      <c r="G29" s="1547" t="s">
        <v>9145</v>
      </c>
      <c r="H29" s="1534" t="s">
        <v>9146</v>
      </c>
      <c r="I29" s="1621" t="s">
        <v>3248</v>
      </c>
      <c r="J29" s="1535" t="s">
        <v>4880</v>
      </c>
      <c r="K29" s="1535" t="s">
        <v>9040</v>
      </c>
      <c r="L29" s="1535" t="s">
        <v>2564</v>
      </c>
      <c r="M29" s="1535" t="s">
        <v>2139</v>
      </c>
      <c r="N29" s="1535" t="s">
        <v>4288</v>
      </c>
      <c r="O29" s="1535" t="s">
        <v>9147</v>
      </c>
      <c r="P29" s="1549" t="s">
        <v>789</v>
      </c>
      <c r="Q29" s="1536" t="s">
        <v>9148</v>
      </c>
      <c r="R29" s="1536" t="s">
        <v>3496</v>
      </c>
      <c r="S29" s="1536" t="s">
        <v>7627</v>
      </c>
      <c r="T29" s="1550" t="s">
        <v>8735</v>
      </c>
      <c r="U29" s="1536" t="s">
        <v>8687</v>
      </c>
      <c r="V29" s="1550" t="s">
        <v>9149</v>
      </c>
      <c r="W29" s="1551" t="s">
        <v>7428</v>
      </c>
      <c r="X29" s="1623" t="s">
        <v>2663</v>
      </c>
      <c r="Y29" s="1551" t="s">
        <v>9150</v>
      </c>
      <c r="Z29" s="1537" t="s">
        <v>9151</v>
      </c>
      <c r="AA29" s="1551" t="s">
        <v>9152</v>
      </c>
      <c r="AB29" s="1401" t="s">
        <v>7493</v>
      </c>
      <c r="AC29" s="1551" t="s">
        <v>3697</v>
      </c>
      <c r="AD29" s="1574" t="s">
        <v>8576</v>
      </c>
      <c r="AE29" s="1533" t="s">
        <v>3284</v>
      </c>
      <c r="AF29" s="1538" t="s">
        <v>9153</v>
      </c>
      <c r="AG29" s="1552" t="s">
        <v>3991</v>
      </c>
      <c r="AH29" s="1552" t="s">
        <v>9154</v>
      </c>
      <c r="AI29" s="1491" t="s">
        <v>9091</v>
      </c>
      <c r="AJ29" s="1552" t="s">
        <v>9155</v>
      </c>
      <c r="AK29" s="1575" t="s">
        <v>8580</v>
      </c>
      <c r="AL29" s="1552" t="s">
        <v>3702</v>
      </c>
      <c r="AM29" s="1540" t="s">
        <v>9156</v>
      </c>
      <c r="AN29" s="1540" t="s">
        <v>5101</v>
      </c>
      <c r="AO29" s="1540" t="s">
        <v>2176</v>
      </c>
      <c r="AP29" s="1540" t="s">
        <v>9157</v>
      </c>
      <c r="AQ29" s="1539" t="s">
        <v>9158</v>
      </c>
      <c r="AR29" s="1539" t="s">
        <v>3747</v>
      </c>
      <c r="AS29" s="1539" t="s">
        <v>5293</v>
      </c>
      <c r="AT29" s="1535" t="s">
        <v>9159</v>
      </c>
      <c r="AU29" s="1522" t="s">
        <v>9160</v>
      </c>
      <c r="AV29" s="1491" t="str">
        <f t="shared" si="1"/>
        <v>2:55</v>
      </c>
      <c r="AW29" s="1624"/>
    </row>
    <row r="30" ht="15.75" customHeight="1">
      <c r="A30" s="1482" t="s">
        <v>4370</v>
      </c>
      <c r="B30" s="1483" t="s">
        <v>8531</v>
      </c>
      <c r="C30" s="1625">
        <v>0.05043981481481481</v>
      </c>
      <c r="D30" s="1401" t="s">
        <v>9161</v>
      </c>
      <c r="E30" s="1491" t="s">
        <v>7398</v>
      </c>
      <c r="F30" s="1491" t="s">
        <v>1649</v>
      </c>
      <c r="G30" s="1491" t="s">
        <v>9162</v>
      </c>
      <c r="H30" s="1491" t="s">
        <v>8726</v>
      </c>
      <c r="I30" s="1491" t="s">
        <v>4789</v>
      </c>
      <c r="J30" s="1491" t="s">
        <v>4594</v>
      </c>
      <c r="K30" s="1491" t="s">
        <v>8942</v>
      </c>
      <c r="L30" s="1491" t="s">
        <v>3919</v>
      </c>
      <c r="M30" s="1491" t="s">
        <v>9163</v>
      </c>
      <c r="N30" s="1491" t="s">
        <v>9164</v>
      </c>
      <c r="O30" s="1491" t="s">
        <v>9165</v>
      </c>
      <c r="P30" s="1491" t="s">
        <v>5383</v>
      </c>
      <c r="Q30" s="1491" t="s">
        <v>9166</v>
      </c>
      <c r="R30" s="1491" t="s">
        <v>9167</v>
      </c>
      <c r="S30" s="1491" t="s">
        <v>8963</v>
      </c>
      <c r="T30" s="1491" t="s">
        <v>9168</v>
      </c>
      <c r="U30" s="1491" t="s">
        <v>9169</v>
      </c>
      <c r="V30" s="1491" t="s">
        <v>2367</v>
      </c>
      <c r="W30" s="1491" t="s">
        <v>9170</v>
      </c>
      <c r="X30" s="1491" t="s">
        <v>9171</v>
      </c>
      <c r="Y30" s="1491" t="s">
        <v>8987</v>
      </c>
      <c r="Z30" s="1491" t="s">
        <v>1178</v>
      </c>
      <c r="AA30" s="1491" t="s">
        <v>3481</v>
      </c>
      <c r="AB30" s="1491" t="s">
        <v>4880</v>
      </c>
      <c r="AC30" s="1491" t="s">
        <v>7671</v>
      </c>
      <c r="AD30" s="1491" t="s">
        <v>6188</v>
      </c>
      <c r="AE30" s="1491" t="s">
        <v>5598</v>
      </c>
      <c r="AF30" s="1491" t="s">
        <v>9172</v>
      </c>
      <c r="AG30" s="1491" t="s">
        <v>6353</v>
      </c>
      <c r="AH30" s="1491" t="s">
        <v>4143</v>
      </c>
      <c r="AI30" s="1491" t="s">
        <v>5202</v>
      </c>
      <c r="AJ30" s="1491" t="s">
        <v>9173</v>
      </c>
      <c r="AK30" s="1491" t="s">
        <v>9174</v>
      </c>
      <c r="AL30" s="1491" t="s">
        <v>5915</v>
      </c>
      <c r="AM30" s="1491" t="s">
        <v>1284</v>
      </c>
      <c r="AN30" s="1491" t="s">
        <v>4291</v>
      </c>
      <c r="AO30" s="1491" t="s">
        <v>9175</v>
      </c>
      <c r="AP30" s="1626" t="str">
        <f>HYPERLINK("https://www.twitch.tv/videos/511415405","2:00.79")</f>
        <v>2:00.79</v>
      </c>
      <c r="AQ30" s="1491" t="s">
        <v>9176</v>
      </c>
      <c r="AR30" s="1491" t="s">
        <v>7394</v>
      </c>
      <c r="AS30" s="1491" t="s">
        <v>9177</v>
      </c>
      <c r="AT30" s="1491" t="s">
        <v>9178</v>
      </c>
      <c r="AU30" s="1491" t="s">
        <v>9179</v>
      </c>
      <c r="AV30" s="1491" t="str">
        <f t="shared" si="1"/>
        <v>2:36</v>
      </c>
      <c r="AW30" s="1510" t="s">
        <v>6580</v>
      </c>
    </row>
    <row r="31">
      <c r="A31" s="1529" t="s">
        <v>1248</v>
      </c>
      <c r="B31" s="1527" t="s">
        <v>8531</v>
      </c>
      <c r="C31" s="1484">
        <v>0.050486111111111114</v>
      </c>
      <c r="D31" s="1533" t="s">
        <v>9180</v>
      </c>
      <c r="E31" s="1533" t="s">
        <v>4329</v>
      </c>
      <c r="F31" s="1533" t="s">
        <v>9181</v>
      </c>
      <c r="G31" s="1533" t="s">
        <v>9182</v>
      </c>
      <c r="H31" s="1401" t="s">
        <v>9183</v>
      </c>
      <c r="I31" s="1621" t="s">
        <v>890</v>
      </c>
      <c r="J31" s="1535" t="s">
        <v>5730</v>
      </c>
      <c r="K31" s="1535" t="s">
        <v>7877</v>
      </c>
      <c r="L31" s="1535" t="s">
        <v>6372</v>
      </c>
      <c r="M31" s="1535" t="s">
        <v>5065</v>
      </c>
      <c r="N31" s="1535" t="s">
        <v>9184</v>
      </c>
      <c r="O31" s="1535" t="s">
        <v>9185</v>
      </c>
      <c r="P31" s="1535" t="s">
        <v>8861</v>
      </c>
      <c r="Q31" s="1536" t="s">
        <v>917</v>
      </c>
      <c r="R31" s="1536" t="s">
        <v>4827</v>
      </c>
      <c r="S31" s="1536" t="s">
        <v>9051</v>
      </c>
      <c r="T31" s="1536" t="s">
        <v>9186</v>
      </c>
      <c r="U31" s="1536" t="s">
        <v>9187</v>
      </c>
      <c r="V31" s="1536" t="s">
        <v>9188</v>
      </c>
      <c r="W31" s="1537" t="s">
        <v>9189</v>
      </c>
      <c r="X31" s="1537" t="s">
        <v>9190</v>
      </c>
      <c r="Y31" s="1537" t="s">
        <v>7012</v>
      </c>
      <c r="Z31" s="1537" t="s">
        <v>9191</v>
      </c>
      <c r="AA31" s="1493" t="s">
        <v>9192</v>
      </c>
      <c r="AB31" s="1537" t="s">
        <v>3464</v>
      </c>
      <c r="AC31" s="1537" t="s">
        <v>1095</v>
      </c>
      <c r="AD31" s="1533" t="s">
        <v>9193</v>
      </c>
      <c r="AE31" s="1533" t="s">
        <v>2270</v>
      </c>
      <c r="AF31" s="1538" t="s">
        <v>9194</v>
      </c>
      <c r="AG31" s="1538" t="s">
        <v>543</v>
      </c>
      <c r="AH31" s="1538" t="s">
        <v>9195</v>
      </c>
      <c r="AI31" s="1538" t="s">
        <v>2731</v>
      </c>
      <c r="AJ31" s="1538" t="s">
        <v>9196</v>
      </c>
      <c r="AK31" s="1538" t="s">
        <v>7468</v>
      </c>
      <c r="AL31" s="1538" t="s">
        <v>2809</v>
      </c>
      <c r="AM31" s="1540" t="s">
        <v>9197</v>
      </c>
      <c r="AN31" s="1540" t="s">
        <v>9132</v>
      </c>
      <c r="AO31" s="1540" t="s">
        <v>9198</v>
      </c>
      <c r="AP31" s="1540" t="s">
        <v>9199</v>
      </c>
      <c r="AQ31" s="1540" t="s">
        <v>9200</v>
      </c>
      <c r="AR31" s="1540" t="s">
        <v>1207</v>
      </c>
      <c r="AS31" s="1540" t="s">
        <v>1622</v>
      </c>
      <c r="AT31" s="1535" t="s">
        <v>9201</v>
      </c>
      <c r="AU31" s="1522" t="s">
        <v>9202</v>
      </c>
      <c r="AV31" s="1491" t="str">
        <f t="shared" si="1"/>
        <v>3:47</v>
      </c>
      <c r="AW31" s="1528"/>
    </row>
    <row r="32" ht="15.75" customHeight="1">
      <c r="A32" s="1529" t="s">
        <v>1710</v>
      </c>
      <c r="B32" s="1483" t="s">
        <v>8531</v>
      </c>
      <c r="C32" s="1484">
        <v>0.05049768518518519</v>
      </c>
      <c r="D32" s="1401" t="s">
        <v>9203</v>
      </c>
      <c r="E32" s="1547" t="s">
        <v>9204</v>
      </c>
      <c r="F32" s="1619" t="str">
        <f>HYPERLINK("https://www.youtube.com/watch?v=rtR6KkKhM6I","1:59.91")</f>
        <v>1:59.91</v>
      </c>
      <c r="G32" s="1547" t="s">
        <v>9205</v>
      </c>
      <c r="H32" s="1627" t="str">
        <f>HYPERLINK("https://www.youtube.com/watch?v=cg-eipYsN1s","1:54.47")</f>
        <v>1:54.47</v>
      </c>
      <c r="I32" s="1534" t="s">
        <v>9150</v>
      </c>
      <c r="J32" s="1549" t="s">
        <v>6457</v>
      </c>
      <c r="K32" s="1535" t="s">
        <v>6526</v>
      </c>
      <c r="L32" s="1615" t="str">
        <f>HYPERLINK("https://www.youtube.com/watch?v=tJdjPKdAbw4","57.01")</f>
        <v>57.01</v>
      </c>
      <c r="M32" s="1549" t="s">
        <v>7343</v>
      </c>
      <c r="N32" s="1535" t="s">
        <v>2386</v>
      </c>
      <c r="O32" s="1549" t="s">
        <v>9206</v>
      </c>
      <c r="P32" s="1549" t="s">
        <v>280</v>
      </c>
      <c r="Q32" s="1550" t="s">
        <v>237</v>
      </c>
      <c r="R32" s="1550" t="s">
        <v>9207</v>
      </c>
      <c r="S32" s="1617" t="str">
        <f>HYPERLINK("https://www.youtube.com/watch?v=_3ms_ZhYFzo","1:18.01")</f>
        <v>1:18.01</v>
      </c>
      <c r="T32" s="1550" t="s">
        <v>6142</v>
      </c>
      <c r="U32" s="1617" t="str">
        <f>HYPERLINK("https://www.youtube.com/watch?v=ZOy_TI3Zw14","2:02.38")</f>
        <v>2:02.38</v>
      </c>
      <c r="V32" s="1550" t="s">
        <v>9188</v>
      </c>
      <c r="W32" s="1551" t="s">
        <v>3282</v>
      </c>
      <c r="X32" s="1551" t="s">
        <v>7468</v>
      </c>
      <c r="Y32" s="1618" t="str">
        <f>HYPERLINK("https://www.youtube.com/watch?v=9NrvSboXXOg","48.25")</f>
        <v>48.25</v>
      </c>
      <c r="Z32" s="1618" t="str">
        <f>HYPERLINK("https://www.youtube.com/watch?v=NwsOKLYrlHA","1:20.36")</f>
        <v>1:20.36</v>
      </c>
      <c r="AA32" s="1618" t="str">
        <f>HYPERLINK("https://www.youtube.com/watch?v=onNUzQt23oU","1:28.94")</f>
        <v>1:28.94</v>
      </c>
      <c r="AB32" s="1618" t="str">
        <f>HYPERLINK("https://www.youtube.com/watch?v=Gu4GucRJZx0","1:20.48")</f>
        <v>1:20.48</v>
      </c>
      <c r="AC32" s="1551" t="s">
        <v>7671</v>
      </c>
      <c r="AD32" s="1619" t="str">
        <f>HYPERLINK("https://www.youtube.com/watch?v=ikF77QyREZg","1:50.30")</f>
        <v>1:50.30</v>
      </c>
      <c r="AE32" s="1547" t="s">
        <v>8861</v>
      </c>
      <c r="AF32" s="1552" t="s">
        <v>9208</v>
      </c>
      <c r="AG32" s="1628" t="str">
        <f>HYPERLINK("https://www.youtube.com/watch?v=KXwTRrVVluY","1:30.62")</f>
        <v>1:30.62</v>
      </c>
      <c r="AH32" s="1552" t="s">
        <v>3066</v>
      </c>
      <c r="AI32" s="1552" t="s">
        <v>9068</v>
      </c>
      <c r="AJ32" s="1552" t="s">
        <v>9209</v>
      </c>
      <c r="AK32" s="1538" t="s">
        <v>9210</v>
      </c>
      <c r="AL32" s="1552" t="s">
        <v>9211</v>
      </c>
      <c r="AM32" s="1629" t="str">
        <f>HYPERLINK("https://www.youtube.com/watch?v=BAoEwuQ0LoI","1:25.68")</f>
        <v>1:25.68</v>
      </c>
      <c r="AN32" s="1629" t="str">
        <f>HYPERLINK("https://www.youtube.com/watch?v=F-LtZeEZXek","56.36")</f>
        <v>56.36</v>
      </c>
      <c r="AO32" s="1539" t="s">
        <v>9212</v>
      </c>
      <c r="AP32" s="1539" t="s">
        <v>9213</v>
      </c>
      <c r="AQ32" s="1539" t="s">
        <v>9214</v>
      </c>
      <c r="AR32" s="1629" t="str">
        <f>HYPERLINK("https://www.youtube.com/watch?v=WSIIkWWbKgE","1:21.74")</f>
        <v>1:21.74</v>
      </c>
      <c r="AS32" s="1539" t="s">
        <v>5620</v>
      </c>
      <c r="AT32" s="1615" t="str">
        <f>HYPERLINK("https://www.youtube.com/watch?v=H67SXBLcISI","2:29.09")</f>
        <v>2:29.09</v>
      </c>
      <c r="AU32" s="1553" t="s">
        <v>9215</v>
      </c>
      <c r="AV32" s="1491" t="str">
        <f t="shared" si="1"/>
        <v>2:03</v>
      </c>
      <c r="AW32" s="1630" t="s">
        <v>9216</v>
      </c>
    </row>
    <row r="33">
      <c r="A33" s="1529" t="s">
        <v>2969</v>
      </c>
      <c r="B33" s="1527" t="s">
        <v>8560</v>
      </c>
      <c r="C33" s="1484">
        <v>0.050520833333333334</v>
      </c>
      <c r="D33" s="1533" t="s">
        <v>9217</v>
      </c>
      <c r="E33" s="1558" t="s">
        <v>4710</v>
      </c>
      <c r="F33" s="1558" t="s">
        <v>9218</v>
      </c>
      <c r="G33" s="1533" t="s">
        <v>9219</v>
      </c>
      <c r="H33" s="1558" t="s">
        <v>9220</v>
      </c>
      <c r="I33" s="1558" t="s">
        <v>2992</v>
      </c>
      <c r="J33" s="1535" t="s">
        <v>9221</v>
      </c>
      <c r="K33" s="1631" t="s">
        <v>9222</v>
      </c>
      <c r="L33" s="1535" t="s">
        <v>9223</v>
      </c>
      <c r="M33" s="1486" t="s">
        <v>5777</v>
      </c>
      <c r="N33" s="1535" t="s">
        <v>1017</v>
      </c>
      <c r="O33" s="1535" t="s">
        <v>9062</v>
      </c>
      <c r="P33" s="1535" t="s">
        <v>420</v>
      </c>
      <c r="Q33" s="1508" t="str">
        <f>HYPERLINK("https://www.twitch.tv/planktonsecretformula/v/1588460220?sr=a", "2:12.43")</f>
        <v>2:12.43</v>
      </c>
      <c r="R33" s="1536" t="s">
        <v>9167</v>
      </c>
      <c r="S33" s="1536" t="s">
        <v>9224</v>
      </c>
      <c r="T33" s="1632" t="s">
        <v>9225</v>
      </c>
      <c r="U33" s="1558" t="s">
        <v>9226</v>
      </c>
      <c r="V33" s="1558" t="s">
        <v>9227</v>
      </c>
      <c r="W33" s="1543" t="s">
        <v>9228</v>
      </c>
      <c r="X33" s="1537" t="s">
        <v>988</v>
      </c>
      <c r="Y33" s="1537" t="s">
        <v>8923</v>
      </c>
      <c r="Z33" s="1537" t="s">
        <v>8684</v>
      </c>
      <c r="AA33" s="1493" t="s">
        <v>9229</v>
      </c>
      <c r="AB33" s="1537" t="s">
        <v>4238</v>
      </c>
      <c r="AC33" s="1537" t="s">
        <v>908</v>
      </c>
      <c r="AD33" s="1533" t="s">
        <v>4081</v>
      </c>
      <c r="AE33" s="1533" t="s">
        <v>5857</v>
      </c>
      <c r="AF33" s="1538" t="s">
        <v>9230</v>
      </c>
      <c r="AG33" s="1558" t="s">
        <v>4696</v>
      </c>
      <c r="AH33" s="1538" t="s">
        <v>9231</v>
      </c>
      <c r="AI33" s="1538" t="s">
        <v>6801</v>
      </c>
      <c r="AJ33" s="1538" t="s">
        <v>9232</v>
      </c>
      <c r="AK33" s="1538" t="s">
        <v>9233</v>
      </c>
      <c r="AL33" s="1538" t="s">
        <v>9234</v>
      </c>
      <c r="AM33" s="1540" t="s">
        <v>8735</v>
      </c>
      <c r="AN33" s="1540" t="s">
        <v>8864</v>
      </c>
      <c r="AO33" s="1540" t="s">
        <v>3030</v>
      </c>
      <c r="AP33" s="1571" t="s">
        <v>8582</v>
      </c>
      <c r="AQ33" s="1508" t="str">
        <f>HYPERLINK("https://www.twitch.tv/planktonsecretformula/v/1678454360?sr=a&amp;t=0s", "1:37.46")</f>
        <v>1:37.46</v>
      </c>
      <c r="AR33" s="1540" t="s">
        <v>9235</v>
      </c>
      <c r="AS33" s="1540" t="s">
        <v>742</v>
      </c>
      <c r="AT33" s="1535" t="s">
        <v>9236</v>
      </c>
      <c r="AU33" s="1522" t="s">
        <v>9237</v>
      </c>
      <c r="AV33" s="1491" t="str">
        <f t="shared" si="1"/>
        <v>4:40</v>
      </c>
      <c r="AW33" s="1528" t="s">
        <v>9238</v>
      </c>
    </row>
    <row r="34" ht="15.75" customHeight="1">
      <c r="A34" s="1566" t="s">
        <v>9239</v>
      </c>
      <c r="B34" s="1483" t="s">
        <v>8531</v>
      </c>
      <c r="C34" s="1484">
        <v>0.050555555555555555</v>
      </c>
      <c r="D34" s="1401" t="s">
        <v>9240</v>
      </c>
      <c r="E34" s="1533" t="s">
        <v>9241</v>
      </c>
      <c r="F34" s="1533" t="s">
        <v>9242</v>
      </c>
      <c r="G34" s="1533" t="s">
        <v>9243</v>
      </c>
      <c r="H34" s="1621" t="s">
        <v>9244</v>
      </c>
      <c r="I34" s="1621" t="s">
        <v>9245</v>
      </c>
      <c r="J34" s="1535" t="s">
        <v>9246</v>
      </c>
      <c r="K34" s="1535" t="s">
        <v>9247</v>
      </c>
      <c r="L34" s="1535" t="s">
        <v>9248</v>
      </c>
      <c r="M34" s="1535" t="s">
        <v>3332</v>
      </c>
      <c r="N34" s="1535" t="s">
        <v>9249</v>
      </c>
      <c r="O34" s="1535" t="s">
        <v>9147</v>
      </c>
      <c r="P34" s="1535" t="s">
        <v>4934</v>
      </c>
      <c r="Q34" s="1536" t="s">
        <v>9250</v>
      </c>
      <c r="R34" s="1536" t="s">
        <v>2736</v>
      </c>
      <c r="S34" s="1536" t="s">
        <v>9251</v>
      </c>
      <c r="T34" s="1536" t="s">
        <v>9252</v>
      </c>
      <c r="U34" s="1536" t="s">
        <v>9253</v>
      </c>
      <c r="V34" s="1536" t="s">
        <v>9065</v>
      </c>
      <c r="W34" s="1537" t="s">
        <v>9254</v>
      </c>
      <c r="X34" s="1537" t="s">
        <v>9255</v>
      </c>
      <c r="Y34" s="1537" t="s">
        <v>9256</v>
      </c>
      <c r="Z34" s="1537" t="s">
        <v>1350</v>
      </c>
      <c r="AA34" s="1537" t="s">
        <v>9257</v>
      </c>
      <c r="AB34" s="1537" t="s">
        <v>6525</v>
      </c>
      <c r="AC34" s="1551" t="s">
        <v>6627</v>
      </c>
      <c r="AD34" s="1533" t="s">
        <v>9258</v>
      </c>
      <c r="AE34" s="1533" t="s">
        <v>8861</v>
      </c>
      <c r="AF34" s="1538" t="s">
        <v>9259</v>
      </c>
      <c r="AG34" s="1538" t="s">
        <v>9260</v>
      </c>
      <c r="AH34" s="1538" t="s">
        <v>5682</v>
      </c>
      <c r="AI34" s="1538" t="s">
        <v>9261</v>
      </c>
      <c r="AJ34" s="1538" t="s">
        <v>9262</v>
      </c>
      <c r="AK34" s="1538" t="s">
        <v>4584</v>
      </c>
      <c r="AL34" s="1538" t="s">
        <v>5722</v>
      </c>
      <c r="AM34" s="1540" t="s">
        <v>2162</v>
      </c>
      <c r="AN34" s="1540" t="s">
        <v>4731</v>
      </c>
      <c r="AO34" s="1540" t="s">
        <v>9263</v>
      </c>
      <c r="AP34" s="1540" t="s">
        <v>9264</v>
      </c>
      <c r="AQ34" s="1540" t="s">
        <v>9265</v>
      </c>
      <c r="AR34" s="1540" t="s">
        <v>8878</v>
      </c>
      <c r="AS34" s="1540" t="s">
        <v>1013</v>
      </c>
      <c r="AT34" s="1535" t="s">
        <v>9266</v>
      </c>
      <c r="AU34" s="1522" t="s">
        <v>9267</v>
      </c>
      <c r="AV34" s="1491" t="str">
        <f t="shared" si="1"/>
        <v>2:07</v>
      </c>
      <c r="AW34" s="1624"/>
    </row>
    <row r="35">
      <c r="A35" s="1497" t="s">
        <v>665</v>
      </c>
      <c r="B35" s="1527" t="s">
        <v>8531</v>
      </c>
      <c r="C35" s="1484">
        <v>0.050555555555555555</v>
      </c>
      <c r="D35" s="1401" t="s">
        <v>9268</v>
      </c>
      <c r="E35" s="1401" t="s">
        <v>9269</v>
      </c>
      <c r="F35" s="1401" t="s">
        <v>9270</v>
      </c>
      <c r="G35" s="1401" t="s">
        <v>9271</v>
      </c>
      <c r="H35" s="1401" t="s">
        <v>9272</v>
      </c>
      <c r="I35" s="1401" t="s">
        <v>9273</v>
      </c>
      <c r="J35" s="1401" t="s">
        <v>1431</v>
      </c>
      <c r="K35" s="1401" t="s">
        <v>9274</v>
      </c>
      <c r="L35" s="1401" t="s">
        <v>4323</v>
      </c>
      <c r="M35" s="1401" t="s">
        <v>4268</v>
      </c>
      <c r="N35" s="1401" t="s">
        <v>9275</v>
      </c>
      <c r="O35" s="1401" t="s">
        <v>9276</v>
      </c>
      <c r="P35" s="1401" t="s">
        <v>9277</v>
      </c>
      <c r="Q35" s="1401" t="s">
        <v>9278</v>
      </c>
      <c r="R35" s="1401" t="s">
        <v>9279</v>
      </c>
      <c r="S35" s="1401" t="s">
        <v>9280</v>
      </c>
      <c r="T35" s="1401" t="s">
        <v>9121</v>
      </c>
      <c r="U35" s="1401" t="s">
        <v>9281</v>
      </c>
      <c r="V35" s="1401" t="s">
        <v>9282</v>
      </c>
      <c r="W35" s="1401" t="s">
        <v>4798</v>
      </c>
      <c r="X35" s="1401" t="s">
        <v>9283</v>
      </c>
      <c r="Y35" s="1401" t="s">
        <v>5172</v>
      </c>
      <c r="Z35" s="1401" t="s">
        <v>9284</v>
      </c>
      <c r="AA35" s="1401" t="s">
        <v>9285</v>
      </c>
      <c r="AB35" s="1401" t="s">
        <v>9286</v>
      </c>
      <c r="AC35" s="1401" t="s">
        <v>7671</v>
      </c>
      <c r="AD35" s="1401" t="s">
        <v>9287</v>
      </c>
      <c r="AE35" s="1401" t="s">
        <v>8712</v>
      </c>
      <c r="AF35" s="1401" t="s">
        <v>9288</v>
      </c>
      <c r="AG35" s="1401" t="s">
        <v>5168</v>
      </c>
      <c r="AH35" s="1401" t="s">
        <v>4555</v>
      </c>
      <c r="AI35" s="1401" t="s">
        <v>9289</v>
      </c>
      <c r="AJ35" s="1401" t="s">
        <v>9290</v>
      </c>
      <c r="AK35" s="1401" t="s">
        <v>1839</v>
      </c>
      <c r="AL35" s="1401" t="s">
        <v>9291</v>
      </c>
      <c r="AM35" s="1401" t="s">
        <v>3958</v>
      </c>
      <c r="AN35" s="1401" t="s">
        <v>4123</v>
      </c>
      <c r="AO35" s="1401" t="s">
        <v>6254</v>
      </c>
      <c r="AP35" s="1401" t="s">
        <v>9292</v>
      </c>
      <c r="AQ35" s="1401" t="s">
        <v>9293</v>
      </c>
      <c r="AR35" s="1401" t="s">
        <v>8811</v>
      </c>
      <c r="AS35" s="1401" t="s">
        <v>969</v>
      </c>
      <c r="AT35" s="1401" t="s">
        <v>3218</v>
      </c>
      <c r="AU35" s="1522" t="s">
        <v>9179</v>
      </c>
      <c r="AV35" s="1491" t="str">
        <f t="shared" si="1"/>
        <v>2:26</v>
      </c>
      <c r="AW35" s="1528" t="s">
        <v>9294</v>
      </c>
    </row>
    <row r="36" ht="15.75" customHeight="1">
      <c r="A36" s="1482" t="s">
        <v>767</v>
      </c>
      <c r="B36" s="1542" t="s">
        <v>8560</v>
      </c>
      <c r="C36" s="1484">
        <v>0.05056712962962963</v>
      </c>
      <c r="D36" s="1571" t="s">
        <v>8561</v>
      </c>
      <c r="E36" s="1547" t="s">
        <v>9057</v>
      </c>
      <c r="F36" s="1612" t="s">
        <v>8563</v>
      </c>
      <c r="G36" s="1493" t="s">
        <v>9295</v>
      </c>
      <c r="H36" s="1493" t="s">
        <v>9296</v>
      </c>
      <c r="I36" s="1612" t="s">
        <v>8566</v>
      </c>
      <c r="J36" s="1493" t="s">
        <v>1152</v>
      </c>
      <c r="K36" s="1493" t="s">
        <v>4969</v>
      </c>
      <c r="L36" s="1493" t="s">
        <v>2373</v>
      </c>
      <c r="M36" s="1493" t="s">
        <v>2290</v>
      </c>
      <c r="N36" s="1493" t="s">
        <v>8993</v>
      </c>
      <c r="O36" s="1493" t="s">
        <v>9297</v>
      </c>
      <c r="P36" s="1493" t="s">
        <v>4011</v>
      </c>
      <c r="Q36" s="1493" t="s">
        <v>9298</v>
      </c>
      <c r="R36" s="1493" t="s">
        <v>2989</v>
      </c>
      <c r="S36" s="1493" t="s">
        <v>9299</v>
      </c>
      <c r="T36" s="1493" t="s">
        <v>2444</v>
      </c>
      <c r="U36" s="1493" t="s">
        <v>8769</v>
      </c>
      <c r="V36" s="1493" t="s">
        <v>2803</v>
      </c>
      <c r="W36" s="1493" t="s">
        <v>9300</v>
      </c>
      <c r="X36" s="1493" t="s">
        <v>9301</v>
      </c>
      <c r="Y36" s="1493" t="s">
        <v>993</v>
      </c>
      <c r="Z36" s="1493" t="s">
        <v>8884</v>
      </c>
      <c r="AA36" s="1493" t="s">
        <v>7468</v>
      </c>
      <c r="AB36" s="1493" t="s">
        <v>9302</v>
      </c>
      <c r="AC36" s="1491" t="s">
        <v>551</v>
      </c>
      <c r="AD36" s="1493" t="s">
        <v>9303</v>
      </c>
      <c r="AE36" s="1493" t="s">
        <v>4948</v>
      </c>
      <c r="AF36" s="1493" t="s">
        <v>9304</v>
      </c>
      <c r="AG36" s="1493" t="s">
        <v>9121</v>
      </c>
      <c r="AH36" s="1612" t="s">
        <v>2889</v>
      </c>
      <c r="AI36" s="1493" t="s">
        <v>9305</v>
      </c>
      <c r="AJ36" s="1493" t="s">
        <v>9306</v>
      </c>
      <c r="AK36" s="1493" t="s">
        <v>5416</v>
      </c>
      <c r="AL36" s="1493" t="s">
        <v>4291</v>
      </c>
      <c r="AM36" s="1493" t="s">
        <v>3292</v>
      </c>
      <c r="AN36" s="1493" t="s">
        <v>348</v>
      </c>
      <c r="AO36" s="1493" t="s">
        <v>9307</v>
      </c>
      <c r="AP36" s="1493" t="s">
        <v>9308</v>
      </c>
      <c r="AQ36" s="1493" t="s">
        <v>7410</v>
      </c>
      <c r="AR36" s="1493" t="s">
        <v>2720</v>
      </c>
      <c r="AS36" s="1493" t="s">
        <v>4136</v>
      </c>
      <c r="AT36" s="1493" t="s">
        <v>9309</v>
      </c>
      <c r="AU36" s="1493" t="s">
        <v>8913</v>
      </c>
      <c r="AV36" s="1491" t="str">
        <f t="shared" si="1"/>
        <v>3:34</v>
      </c>
      <c r="AW36" s="1525" t="s">
        <v>9310</v>
      </c>
    </row>
    <row r="37" ht="15.75" customHeight="1">
      <c r="A37" s="1497" t="s">
        <v>665</v>
      </c>
      <c r="B37" s="1542" t="s">
        <v>8560</v>
      </c>
      <c r="C37" s="1625">
        <v>0.05056712962962963</v>
      </c>
      <c r="D37" s="1401" t="s">
        <v>9311</v>
      </c>
      <c r="E37" s="1491" t="s">
        <v>9312</v>
      </c>
      <c r="F37" s="1491" t="s">
        <v>8945</v>
      </c>
      <c r="G37" s="1491" t="s">
        <v>9313</v>
      </c>
      <c r="H37" s="1491" t="s">
        <v>4558</v>
      </c>
      <c r="I37" s="1491" t="s">
        <v>1231</v>
      </c>
      <c r="J37" s="1493" t="s">
        <v>3532</v>
      </c>
      <c r="K37" s="1493" t="s">
        <v>3532</v>
      </c>
      <c r="L37" s="1491" t="s">
        <v>9314</v>
      </c>
      <c r="M37" s="1491" t="s">
        <v>9315</v>
      </c>
      <c r="N37" s="1491" t="s">
        <v>8889</v>
      </c>
      <c r="O37" s="1612" t="s">
        <v>8569</v>
      </c>
      <c r="P37" s="1491" t="s">
        <v>7046</v>
      </c>
      <c r="Q37" s="1491" t="s">
        <v>818</v>
      </c>
      <c r="R37" s="1493" t="s">
        <v>3532</v>
      </c>
      <c r="S37" s="1491" t="s">
        <v>9316</v>
      </c>
      <c r="T37" s="1491" t="s">
        <v>812</v>
      </c>
      <c r="U37" s="1491" t="s">
        <v>9317</v>
      </c>
      <c r="V37" s="1491" t="s">
        <v>9318</v>
      </c>
      <c r="W37" s="1491" t="s">
        <v>9319</v>
      </c>
      <c r="X37" s="1491" t="s">
        <v>9115</v>
      </c>
      <c r="Y37" s="1491" t="s">
        <v>9116</v>
      </c>
      <c r="Z37" s="1491" t="s">
        <v>2719</v>
      </c>
      <c r="AA37" s="1491" t="s">
        <v>9320</v>
      </c>
      <c r="AB37" s="1491" t="s">
        <v>8786</v>
      </c>
      <c r="AC37" s="1491" t="s">
        <v>4586</v>
      </c>
      <c r="AD37" s="1491" t="s">
        <v>2407</v>
      </c>
      <c r="AE37" s="1491" t="s">
        <v>9256</v>
      </c>
      <c r="AF37" s="1491" t="s">
        <v>9321</v>
      </c>
      <c r="AG37" s="1491" t="s">
        <v>9322</v>
      </c>
      <c r="AH37" s="1491" t="s">
        <v>4575</v>
      </c>
      <c r="AI37" s="1491" t="s">
        <v>3876</v>
      </c>
      <c r="AJ37" s="1491" t="s">
        <v>9323</v>
      </c>
      <c r="AK37" s="1491" t="s">
        <v>1210</v>
      </c>
      <c r="AL37" s="1491" t="s">
        <v>9119</v>
      </c>
      <c r="AM37" s="1491" t="s">
        <v>9324</v>
      </c>
      <c r="AN37" s="1493" t="s">
        <v>9325</v>
      </c>
      <c r="AO37" s="1493" t="s">
        <v>3532</v>
      </c>
      <c r="AP37" s="1491" t="s">
        <v>5404</v>
      </c>
      <c r="AQ37" s="1491" t="s">
        <v>252</v>
      </c>
      <c r="AR37" s="1491" t="s">
        <v>5058</v>
      </c>
      <c r="AS37" s="1491" t="s">
        <v>8574</v>
      </c>
      <c r="AT37" s="1491" t="s">
        <v>9326</v>
      </c>
      <c r="AU37" s="1493" t="s">
        <v>9327</v>
      </c>
      <c r="AV37" s="1491" t="str">
        <f t="shared" si="1"/>
        <v>3:07</v>
      </c>
      <c r="AW37" s="1563" t="s">
        <v>9328</v>
      </c>
    </row>
    <row r="38" ht="15.75" customHeight="1">
      <c r="A38" s="1482" t="s">
        <v>4319</v>
      </c>
      <c r="B38" s="1483" t="s">
        <v>8531</v>
      </c>
      <c r="C38" s="1625">
        <v>0.05060185185185185</v>
      </c>
      <c r="D38" s="1401" t="s">
        <v>9329</v>
      </c>
      <c r="E38" s="1547" t="s">
        <v>3268</v>
      </c>
      <c r="F38" s="1547" t="s">
        <v>5997</v>
      </c>
      <c r="G38" s="1547" t="s">
        <v>9330</v>
      </c>
      <c r="H38" s="1534" t="s">
        <v>9331</v>
      </c>
      <c r="I38" s="1534" t="s">
        <v>1118</v>
      </c>
      <c r="J38" s="1549" t="s">
        <v>8727</v>
      </c>
      <c r="K38" s="1549" t="s">
        <v>7877</v>
      </c>
      <c r="L38" s="1549" t="s">
        <v>5599</v>
      </c>
      <c r="M38" s="1549" t="s">
        <v>9332</v>
      </c>
      <c r="N38" s="1549" t="s">
        <v>5325</v>
      </c>
      <c r="O38" s="1549" t="s">
        <v>9333</v>
      </c>
      <c r="P38" s="1549" t="s">
        <v>8928</v>
      </c>
      <c r="Q38" s="1550" t="s">
        <v>3439</v>
      </c>
      <c r="R38" s="1550" t="s">
        <v>5548</v>
      </c>
      <c r="S38" s="1550" t="s">
        <v>6525</v>
      </c>
      <c r="T38" s="1550" t="s">
        <v>9334</v>
      </c>
      <c r="U38" s="1550" t="s">
        <v>6113</v>
      </c>
      <c r="V38" s="1550" t="s">
        <v>4045</v>
      </c>
      <c r="W38" s="1551" t="s">
        <v>9335</v>
      </c>
      <c r="X38" s="1551" t="s">
        <v>7868</v>
      </c>
      <c r="Y38" s="1551" t="s">
        <v>5146</v>
      </c>
      <c r="Z38" s="1551" t="s">
        <v>1999</v>
      </c>
      <c r="AA38" s="1551" t="s">
        <v>9336</v>
      </c>
      <c r="AB38" s="1551" t="s">
        <v>8786</v>
      </c>
      <c r="AC38" s="1551" t="s">
        <v>5600</v>
      </c>
      <c r="AD38" s="1547" t="s">
        <v>6406</v>
      </c>
      <c r="AE38" s="1547" t="s">
        <v>8923</v>
      </c>
      <c r="AF38" s="1552" t="s">
        <v>9337</v>
      </c>
      <c r="AG38" s="1552" t="s">
        <v>9260</v>
      </c>
      <c r="AH38" s="1552" t="s">
        <v>9338</v>
      </c>
      <c r="AI38" s="1552" t="s">
        <v>5595</v>
      </c>
      <c r="AJ38" s="1552" t="s">
        <v>9339</v>
      </c>
      <c r="AK38" s="1552" t="s">
        <v>9340</v>
      </c>
      <c r="AL38" s="1552" t="s">
        <v>9341</v>
      </c>
      <c r="AM38" s="1539" t="s">
        <v>9342</v>
      </c>
      <c r="AN38" s="1539" t="s">
        <v>9343</v>
      </c>
      <c r="AO38" s="1539" t="s">
        <v>9344</v>
      </c>
      <c r="AP38" s="1539" t="s">
        <v>9345</v>
      </c>
      <c r="AQ38" s="1539" t="s">
        <v>9200</v>
      </c>
      <c r="AR38" s="1539" t="s">
        <v>9346</v>
      </c>
      <c r="AS38" s="1539" t="s">
        <v>4423</v>
      </c>
      <c r="AT38" s="1549" t="s">
        <v>9347</v>
      </c>
      <c r="AU38" s="1553" t="s">
        <v>9348</v>
      </c>
      <c r="AV38" s="1491" t="str">
        <f t="shared" si="1"/>
        <v>1:56</v>
      </c>
      <c r="AW38" s="1624"/>
    </row>
    <row r="39" ht="15.75" customHeight="1">
      <c r="A39" s="1497" t="s">
        <v>859</v>
      </c>
      <c r="B39" s="1483" t="s">
        <v>8531</v>
      </c>
      <c r="C39" s="1484">
        <v>0.05061342592592592</v>
      </c>
      <c r="D39" s="1401" t="s">
        <v>9349</v>
      </c>
      <c r="E39" s="1493" t="s">
        <v>8703</v>
      </c>
      <c r="F39" s="1493" t="s">
        <v>5477</v>
      </c>
      <c r="G39" s="1491" t="s">
        <v>9350</v>
      </c>
      <c r="H39" s="1493" t="s">
        <v>9351</v>
      </c>
      <c r="I39" s="1493" t="s">
        <v>395</v>
      </c>
      <c r="J39" s="1493" t="s">
        <v>6803</v>
      </c>
      <c r="K39" s="1491" t="s">
        <v>8942</v>
      </c>
      <c r="L39" s="1493" t="s">
        <v>9352</v>
      </c>
      <c r="M39" s="1493" t="s">
        <v>9353</v>
      </c>
      <c r="N39" s="1493" t="s">
        <v>4430</v>
      </c>
      <c r="O39" s="1493" t="s">
        <v>9354</v>
      </c>
      <c r="P39" s="1493" t="s">
        <v>1661</v>
      </c>
      <c r="Q39" s="1633" t="s">
        <v>9355</v>
      </c>
      <c r="R39" s="1493" t="s">
        <v>9356</v>
      </c>
      <c r="S39" s="1491" t="s">
        <v>9357</v>
      </c>
      <c r="T39" s="1493" t="s">
        <v>9097</v>
      </c>
      <c r="U39" s="1493" t="s">
        <v>7240</v>
      </c>
      <c r="V39" s="1493" t="s">
        <v>2569</v>
      </c>
      <c r="W39" s="1634" t="str">
        <f>HYPERLINK("https://www.youtube.com/watch?v=nn1ub1z3NYM","1:45.96")</f>
        <v>1:45.96</v>
      </c>
      <c r="X39" s="1493" t="s">
        <v>5720</v>
      </c>
      <c r="Y39" s="1491" t="s">
        <v>5585</v>
      </c>
      <c r="Z39" s="1493" t="s">
        <v>1572</v>
      </c>
      <c r="AA39" s="1493" t="s">
        <v>9358</v>
      </c>
      <c r="AB39" s="1493" t="s">
        <v>9359</v>
      </c>
      <c r="AC39" s="1493" t="s">
        <v>1095</v>
      </c>
      <c r="AD39" s="1493" t="s">
        <v>9360</v>
      </c>
      <c r="AE39" s="1633" t="s">
        <v>4729</v>
      </c>
      <c r="AF39" s="1491" t="s">
        <v>9361</v>
      </c>
      <c r="AG39" s="1493" t="s">
        <v>2175</v>
      </c>
      <c r="AH39" s="1493" t="s">
        <v>3066</v>
      </c>
      <c r="AI39" s="1493" t="s">
        <v>9362</v>
      </c>
      <c r="AJ39" s="1491" t="s">
        <v>8091</v>
      </c>
      <c r="AK39" s="1493" t="s">
        <v>9363</v>
      </c>
      <c r="AL39" s="1491" t="s">
        <v>4380</v>
      </c>
      <c r="AM39" s="1491" t="s">
        <v>9364</v>
      </c>
      <c r="AN39" s="1491" t="s">
        <v>2602</v>
      </c>
      <c r="AO39" s="1493" t="s">
        <v>5275</v>
      </c>
      <c r="AP39" s="1493" t="s">
        <v>9365</v>
      </c>
      <c r="AQ39" s="1493" t="s">
        <v>9366</v>
      </c>
      <c r="AR39" s="1493" t="s">
        <v>1431</v>
      </c>
      <c r="AS39" s="1493" t="s">
        <v>9367</v>
      </c>
      <c r="AT39" s="1493" t="s">
        <v>9368</v>
      </c>
      <c r="AU39" s="1493" t="s">
        <v>9369</v>
      </c>
      <c r="AV39" s="1491" t="str">
        <f t="shared" si="1"/>
        <v>2:25</v>
      </c>
      <c r="AW39" s="1525"/>
    </row>
    <row r="40">
      <c r="A40" s="1497" t="s">
        <v>9370</v>
      </c>
      <c r="B40" s="1524" t="s">
        <v>8531</v>
      </c>
      <c r="C40" s="1484">
        <v>0.050625</v>
      </c>
      <c r="D40" s="1635" t="s">
        <v>9371</v>
      </c>
      <c r="E40" s="1493" t="s">
        <v>4773</v>
      </c>
      <c r="F40" s="1493" t="s">
        <v>9372</v>
      </c>
      <c r="G40" s="1493" t="s">
        <v>8957</v>
      </c>
      <c r="H40" s="1493" t="s">
        <v>1735</v>
      </c>
      <c r="I40" s="1493" t="s">
        <v>1991</v>
      </c>
      <c r="J40" s="1493" t="s">
        <v>9373</v>
      </c>
      <c r="K40" s="1493" t="s">
        <v>3637</v>
      </c>
      <c r="L40" s="1493" t="s">
        <v>9374</v>
      </c>
      <c r="M40" s="1493" t="s">
        <v>9375</v>
      </c>
      <c r="N40" s="1493" t="s">
        <v>9376</v>
      </c>
      <c r="O40" s="1493" t="s">
        <v>9377</v>
      </c>
      <c r="P40" s="1493" t="s">
        <v>9256</v>
      </c>
      <c r="Q40" s="1493" t="s">
        <v>4701</v>
      </c>
      <c r="R40" s="1493" t="s">
        <v>4007</v>
      </c>
      <c r="S40" s="1493" t="s">
        <v>2703</v>
      </c>
      <c r="T40" s="1493" t="s">
        <v>2444</v>
      </c>
      <c r="U40" s="1493" t="s">
        <v>9378</v>
      </c>
      <c r="V40" s="1493" t="s">
        <v>2261</v>
      </c>
      <c r="W40" s="1493" t="s">
        <v>7722</v>
      </c>
      <c r="X40" s="1493" t="s">
        <v>9379</v>
      </c>
      <c r="Y40" s="1493" t="s">
        <v>9380</v>
      </c>
      <c r="Z40" s="1493" t="s">
        <v>9381</v>
      </c>
      <c r="AA40" s="1493" t="s">
        <v>9382</v>
      </c>
      <c r="AB40" s="1493"/>
      <c r="AC40" s="1493" t="s">
        <v>9383</v>
      </c>
      <c r="AD40" s="1493" t="s">
        <v>9384</v>
      </c>
      <c r="AE40" s="1493" t="s">
        <v>4995</v>
      </c>
      <c r="AF40" s="1493" t="s">
        <v>9385</v>
      </c>
      <c r="AG40" s="1493" t="s">
        <v>9386</v>
      </c>
      <c r="AH40" s="1493" t="s">
        <v>9387</v>
      </c>
      <c r="AI40" s="1493" t="s">
        <v>752</v>
      </c>
      <c r="AJ40" s="1493" t="s">
        <v>9388</v>
      </c>
      <c r="AK40" s="1493" t="s">
        <v>9389</v>
      </c>
      <c r="AL40" s="1493" t="s">
        <v>9028</v>
      </c>
      <c r="AM40" s="1493" t="s">
        <v>9390</v>
      </c>
      <c r="AN40" s="1493" t="s">
        <v>8613</v>
      </c>
      <c r="AO40" s="1493" t="s">
        <v>9391</v>
      </c>
      <c r="AP40" s="1493" t="s">
        <v>9392</v>
      </c>
      <c r="AQ40" s="1493" t="s">
        <v>9393</v>
      </c>
      <c r="AR40" s="1493" t="s">
        <v>6530</v>
      </c>
      <c r="AS40" s="1493" t="s">
        <v>6160</v>
      </c>
      <c r="AT40" s="1493" t="s">
        <v>8189</v>
      </c>
      <c r="AU40" s="1493" t="s">
        <v>9394</v>
      </c>
      <c r="AV40" s="1491" t="str">
        <f t="shared" si="1"/>
        <v>2:05</v>
      </c>
      <c r="AW40" s="1563"/>
    </row>
    <row r="41">
      <c r="A41" s="1497" t="s">
        <v>9395</v>
      </c>
      <c r="B41" s="1527" t="s">
        <v>8531</v>
      </c>
      <c r="C41" s="1484">
        <v>0.0506712962962963</v>
      </c>
      <c r="D41" s="1635" t="s">
        <v>9396</v>
      </c>
      <c r="E41" s="1533" t="s">
        <v>3268</v>
      </c>
      <c r="F41" s="1533" t="s">
        <v>8829</v>
      </c>
      <c r="G41" s="1533" t="s">
        <v>9397</v>
      </c>
      <c r="H41" s="1621" t="s">
        <v>9398</v>
      </c>
      <c r="I41" s="1621" t="s">
        <v>9399</v>
      </c>
      <c r="J41" s="1535" t="s">
        <v>9400</v>
      </c>
      <c r="K41" s="1535" t="s">
        <v>7084</v>
      </c>
      <c r="L41" s="1535" t="s">
        <v>4473</v>
      </c>
      <c r="M41" s="1535" t="s">
        <v>7085</v>
      </c>
      <c r="N41" s="1535" t="s">
        <v>9401</v>
      </c>
      <c r="O41" s="1535" t="s">
        <v>2294</v>
      </c>
      <c r="P41" s="1535" t="s">
        <v>7050</v>
      </c>
      <c r="Q41" s="1536" t="s">
        <v>7801</v>
      </c>
      <c r="R41" s="1536" t="s">
        <v>9402</v>
      </c>
      <c r="S41" s="1536" t="s">
        <v>9403</v>
      </c>
      <c r="T41" s="1536" t="s">
        <v>9404</v>
      </c>
      <c r="U41" s="1536" t="s">
        <v>9405</v>
      </c>
      <c r="V41" s="1536" t="s">
        <v>9406</v>
      </c>
      <c r="W41" s="1537" t="s">
        <v>9407</v>
      </c>
      <c r="X41" s="1537" t="s">
        <v>9408</v>
      </c>
      <c r="Y41" s="1537" t="s">
        <v>6119</v>
      </c>
      <c r="Z41" s="1537" t="s">
        <v>9409</v>
      </c>
      <c r="AA41" s="1493" t="s">
        <v>1844</v>
      </c>
      <c r="AB41" s="1537" t="s">
        <v>9410</v>
      </c>
      <c r="AC41" s="1537" t="s">
        <v>7671</v>
      </c>
      <c r="AD41" s="1533" t="s">
        <v>9411</v>
      </c>
      <c r="AE41" s="1533" t="s">
        <v>551</v>
      </c>
      <c r="AF41" s="1538" t="s">
        <v>9412</v>
      </c>
      <c r="AG41" s="1538" t="s">
        <v>3991</v>
      </c>
      <c r="AH41" s="1538" t="s">
        <v>5297</v>
      </c>
      <c r="AI41" s="1538" t="s">
        <v>9029</v>
      </c>
      <c r="AJ41" s="1538" t="s">
        <v>9413</v>
      </c>
      <c r="AK41" s="1538" t="s">
        <v>408</v>
      </c>
      <c r="AL41" s="1538" t="s">
        <v>2675</v>
      </c>
      <c r="AM41" s="1540" t="s">
        <v>8830</v>
      </c>
      <c r="AN41" s="1540" t="s">
        <v>8764</v>
      </c>
      <c r="AO41" s="1540" t="s">
        <v>9052</v>
      </c>
      <c r="AP41" s="1540" t="s">
        <v>9414</v>
      </c>
      <c r="AQ41" s="1540" t="s">
        <v>9415</v>
      </c>
      <c r="AR41" s="1540" t="s">
        <v>9416</v>
      </c>
      <c r="AS41" s="1540" t="s">
        <v>9417</v>
      </c>
      <c r="AT41" s="1535" t="s">
        <v>9418</v>
      </c>
      <c r="AU41" s="1522" t="s">
        <v>9202</v>
      </c>
      <c r="AV41" s="1491" t="str">
        <f t="shared" si="1"/>
        <v>3:31</v>
      </c>
      <c r="AW41" s="1624"/>
    </row>
    <row r="42" ht="15.75" customHeight="1">
      <c r="A42" s="1566" t="s">
        <v>9419</v>
      </c>
      <c r="B42" s="1483" t="s">
        <v>8531</v>
      </c>
      <c r="C42" s="1484">
        <v>0.05070601851851852</v>
      </c>
      <c r="D42" s="1401" t="s">
        <v>9420</v>
      </c>
      <c r="E42" s="1547" t="s">
        <v>3321</v>
      </c>
      <c r="F42" s="1547" t="s">
        <v>8765</v>
      </c>
      <c r="G42" s="1547" t="s">
        <v>9421</v>
      </c>
      <c r="H42" s="1534" t="s">
        <v>9422</v>
      </c>
      <c r="I42" s="1534" t="s">
        <v>395</v>
      </c>
      <c r="J42" s="1549" t="s">
        <v>2172</v>
      </c>
      <c r="K42" s="1549" t="s">
        <v>3614</v>
      </c>
      <c r="L42" s="1549" t="s">
        <v>5486</v>
      </c>
      <c r="M42" s="1549" t="s">
        <v>9423</v>
      </c>
      <c r="N42" s="1549" t="s">
        <v>9252</v>
      </c>
      <c r="O42" s="1549" t="s">
        <v>9424</v>
      </c>
      <c r="P42" s="1549" t="s">
        <v>5563</v>
      </c>
      <c r="Q42" s="1550" t="s">
        <v>9425</v>
      </c>
      <c r="R42" s="1550" t="s">
        <v>756</v>
      </c>
      <c r="S42" s="1550" t="s">
        <v>9391</v>
      </c>
      <c r="T42" s="1550" t="s">
        <v>9255</v>
      </c>
      <c r="U42" s="1550" t="s">
        <v>9426</v>
      </c>
      <c r="V42" s="1550" t="s">
        <v>2569</v>
      </c>
      <c r="W42" s="1551" t="s">
        <v>9427</v>
      </c>
      <c r="X42" s="1551" t="s">
        <v>8647</v>
      </c>
      <c r="Y42" s="1551" t="s">
        <v>9428</v>
      </c>
      <c r="Z42" s="1551" t="s">
        <v>8632</v>
      </c>
      <c r="AA42" s="1551" t="s">
        <v>9429</v>
      </c>
      <c r="AB42" s="1551" t="s">
        <v>2694</v>
      </c>
      <c r="AC42" s="1551" t="s">
        <v>2985</v>
      </c>
      <c r="AD42" s="1547" t="s">
        <v>9430</v>
      </c>
      <c r="AE42" s="1547" t="s">
        <v>6121</v>
      </c>
      <c r="AF42" s="1552" t="s">
        <v>8669</v>
      </c>
      <c r="AG42" s="1552" t="s">
        <v>9431</v>
      </c>
      <c r="AH42" s="1552" t="s">
        <v>2304</v>
      </c>
      <c r="AI42" s="1552" t="s">
        <v>6150</v>
      </c>
      <c r="AJ42" s="1552" t="s">
        <v>9000</v>
      </c>
      <c r="AK42" s="1552" t="s">
        <v>9432</v>
      </c>
      <c r="AL42" s="1552" t="s">
        <v>5453</v>
      </c>
      <c r="AM42" s="1539" t="s">
        <v>9283</v>
      </c>
      <c r="AN42" s="1539" t="s">
        <v>5453</v>
      </c>
      <c r="AO42" s="1539" t="s">
        <v>2386</v>
      </c>
      <c r="AP42" s="1539" t="s">
        <v>9433</v>
      </c>
      <c r="AQ42" s="1539" t="s">
        <v>9434</v>
      </c>
      <c r="AR42" s="1539" t="s">
        <v>9435</v>
      </c>
      <c r="AS42" s="1539" t="s">
        <v>4426</v>
      </c>
      <c r="AT42" s="1549" t="s">
        <v>9436</v>
      </c>
      <c r="AU42" s="1553" t="s">
        <v>9437</v>
      </c>
      <c r="AV42" s="1491" t="str">
        <f t="shared" si="1"/>
        <v>2:54</v>
      </c>
      <c r="AW42" s="1624"/>
    </row>
    <row r="43">
      <c r="A43" s="1529" t="s">
        <v>2920</v>
      </c>
      <c r="B43" s="1524" t="s">
        <v>8531</v>
      </c>
      <c r="C43" s="1484">
        <v>0.050826388888888886</v>
      </c>
      <c r="D43" s="1493" t="s">
        <v>9438</v>
      </c>
      <c r="E43" s="1493" t="s">
        <v>9439</v>
      </c>
      <c r="F43" s="1533" t="s">
        <v>9440</v>
      </c>
      <c r="G43" s="1493" t="s">
        <v>9441</v>
      </c>
      <c r="H43" s="1493" t="s">
        <v>6383</v>
      </c>
      <c r="I43" s="1493" t="s">
        <v>1421</v>
      </c>
      <c r="J43" s="1493" t="s">
        <v>9442</v>
      </c>
      <c r="K43" s="1493" t="s">
        <v>3968</v>
      </c>
      <c r="L43" s="1493" t="s">
        <v>9443</v>
      </c>
      <c r="M43" s="1493" t="s">
        <v>9444</v>
      </c>
      <c r="N43" s="1493" t="s">
        <v>7296</v>
      </c>
      <c r="O43" s="1493" t="s">
        <v>9445</v>
      </c>
      <c r="P43" s="1493" t="s">
        <v>8949</v>
      </c>
      <c r="Q43" s="1493" t="s">
        <v>9446</v>
      </c>
      <c r="R43" s="1493" t="s">
        <v>9447</v>
      </c>
      <c r="S43" s="1493" t="s">
        <v>9448</v>
      </c>
      <c r="T43" s="1493" t="s">
        <v>1872</v>
      </c>
      <c r="U43" s="1493" t="s">
        <v>9449</v>
      </c>
      <c r="V43" s="1493" t="s">
        <v>7129</v>
      </c>
      <c r="W43" s="1493" t="s">
        <v>5547</v>
      </c>
      <c r="X43" s="1493" t="s">
        <v>9450</v>
      </c>
      <c r="Y43" s="1493" t="s">
        <v>7041</v>
      </c>
      <c r="Z43" s="1493" t="s">
        <v>2122</v>
      </c>
      <c r="AA43" s="1537" t="s">
        <v>9451</v>
      </c>
      <c r="AB43" s="1493" t="s">
        <v>1999</v>
      </c>
      <c r="AC43" s="1493" t="s">
        <v>7671</v>
      </c>
      <c r="AD43" s="1493" t="s">
        <v>9452</v>
      </c>
      <c r="AE43" s="1493" t="s">
        <v>4995</v>
      </c>
      <c r="AF43" s="1493" t="s">
        <v>9453</v>
      </c>
      <c r="AG43" s="1493" t="s">
        <v>1225</v>
      </c>
      <c r="AH43" s="1493" t="s">
        <v>3939</v>
      </c>
      <c r="AI43" s="1493" t="s">
        <v>9454</v>
      </c>
      <c r="AJ43" s="1493" t="s">
        <v>9455</v>
      </c>
      <c r="AK43" s="1493" t="s">
        <v>9363</v>
      </c>
      <c r="AL43" s="1493" t="s">
        <v>4387</v>
      </c>
      <c r="AM43" s="1493" t="s">
        <v>9363</v>
      </c>
      <c r="AN43" s="1493" t="s">
        <v>8613</v>
      </c>
      <c r="AO43" s="1493" t="s">
        <v>7394</v>
      </c>
      <c r="AP43" s="1493" t="s">
        <v>9456</v>
      </c>
      <c r="AQ43" s="1493" t="s">
        <v>9457</v>
      </c>
      <c r="AR43" s="1493" t="s">
        <v>5209</v>
      </c>
      <c r="AS43" s="1493" t="s">
        <v>6128</v>
      </c>
      <c r="AT43" s="1493" t="s">
        <v>9458</v>
      </c>
      <c r="AU43" s="1493" t="s">
        <v>9459</v>
      </c>
      <c r="AV43" s="1491" t="str">
        <f t="shared" si="1"/>
        <v>2:25</v>
      </c>
      <c r="AW43" s="1563"/>
    </row>
    <row r="44" ht="15.75" customHeight="1">
      <c r="A44" s="1529" t="s">
        <v>4735</v>
      </c>
      <c r="B44" s="1483" t="s">
        <v>8531</v>
      </c>
      <c r="C44" s="1625">
        <v>0.050868055555555555</v>
      </c>
      <c r="D44" s="1401" t="s">
        <v>9460</v>
      </c>
      <c r="E44" s="1491" t="s">
        <v>7619</v>
      </c>
      <c r="F44" s="1491" t="s">
        <v>9461</v>
      </c>
      <c r="G44" s="1491" t="s">
        <v>9462</v>
      </c>
      <c r="H44" s="1491" t="s">
        <v>9296</v>
      </c>
      <c r="I44" s="1491" t="s">
        <v>1421</v>
      </c>
      <c r="J44" s="1491" t="s">
        <v>9416</v>
      </c>
      <c r="K44" s="1491" t="s">
        <v>8979</v>
      </c>
      <c r="L44" s="1491" t="s">
        <v>8832</v>
      </c>
      <c r="M44" s="1491" t="s">
        <v>5382</v>
      </c>
      <c r="N44" s="1491" t="s">
        <v>8050</v>
      </c>
      <c r="O44" s="1491" t="s">
        <v>9463</v>
      </c>
      <c r="P44" s="1491" t="s">
        <v>9464</v>
      </c>
      <c r="Q44" s="1491" t="s">
        <v>9465</v>
      </c>
      <c r="R44" s="1491" t="s">
        <v>7376</v>
      </c>
      <c r="S44" s="1491" t="s">
        <v>8814</v>
      </c>
      <c r="T44" s="1491" t="s">
        <v>4718</v>
      </c>
      <c r="U44" s="1491" t="s">
        <v>9466</v>
      </c>
      <c r="V44" s="1491" t="s">
        <v>9045</v>
      </c>
      <c r="W44" s="1491" t="s">
        <v>9467</v>
      </c>
      <c r="X44" s="1491" t="s">
        <v>9049</v>
      </c>
      <c r="Y44" s="1491" t="s">
        <v>3644</v>
      </c>
      <c r="Z44" s="1491" t="s">
        <v>9468</v>
      </c>
      <c r="AA44" s="1491" t="s">
        <v>9469</v>
      </c>
      <c r="AB44" s="1491" t="s">
        <v>1695</v>
      </c>
      <c r="AC44" s="1491" t="s">
        <v>3029</v>
      </c>
      <c r="AD44" s="1491" t="s">
        <v>9470</v>
      </c>
      <c r="AE44" s="1491" t="s">
        <v>638</v>
      </c>
      <c r="AF44" s="1491" t="s">
        <v>9471</v>
      </c>
      <c r="AG44" s="1491" t="s">
        <v>5923</v>
      </c>
      <c r="AH44" s="1491" t="s">
        <v>9472</v>
      </c>
      <c r="AI44" s="1491" t="s">
        <v>7489</v>
      </c>
      <c r="AJ44" s="1491" t="s">
        <v>9473</v>
      </c>
      <c r="AK44" s="1491" t="s">
        <v>5441</v>
      </c>
      <c r="AL44" s="1491" t="s">
        <v>9474</v>
      </c>
      <c r="AM44" s="1491" t="s">
        <v>9475</v>
      </c>
      <c r="AN44" s="1491" t="s">
        <v>3312</v>
      </c>
      <c r="AO44" s="1491" t="s">
        <v>8942</v>
      </c>
      <c r="AP44" s="1491" t="s">
        <v>9476</v>
      </c>
      <c r="AQ44" s="1491" t="s">
        <v>9477</v>
      </c>
      <c r="AR44" s="1491" t="s">
        <v>8823</v>
      </c>
      <c r="AS44" s="1491" t="s">
        <v>5104</v>
      </c>
      <c r="AT44" s="1491" t="s">
        <v>9478</v>
      </c>
      <c r="AU44" s="1491" t="s">
        <v>9479</v>
      </c>
      <c r="AV44" s="1491" t="str">
        <f t="shared" si="1"/>
        <v>2:44</v>
      </c>
      <c r="AW44" s="1510"/>
    </row>
    <row r="45" ht="15.75" customHeight="1">
      <c r="A45" s="1529" t="s">
        <v>1969</v>
      </c>
      <c r="B45" s="1636" t="s">
        <v>8586</v>
      </c>
      <c r="C45" s="1484">
        <v>0.05092592592592592</v>
      </c>
      <c r="D45" s="1637" t="s">
        <v>8587</v>
      </c>
      <c r="E45" s="1638" t="s">
        <v>8588</v>
      </c>
      <c r="F45" s="1637" t="s">
        <v>8589</v>
      </c>
      <c r="G45" s="1493" t="s">
        <v>9480</v>
      </c>
      <c r="H45" s="1637" t="s">
        <v>8591</v>
      </c>
      <c r="I45" s="1491" t="s">
        <v>1379</v>
      </c>
      <c r="J45" s="1547" t="s">
        <v>9481</v>
      </c>
      <c r="K45" s="1491" t="s">
        <v>9252</v>
      </c>
      <c r="L45" s="1547" t="s">
        <v>2413</v>
      </c>
      <c r="M45" s="1491" t="s">
        <v>2736</v>
      </c>
      <c r="N45" s="1637" t="s">
        <v>8554</v>
      </c>
      <c r="O45" s="1491" t="s">
        <v>9482</v>
      </c>
      <c r="P45" s="1547" t="s">
        <v>657</v>
      </c>
      <c r="Q45" s="1638" t="s">
        <v>8596</v>
      </c>
      <c r="R45" s="1637" t="s">
        <v>8597</v>
      </c>
      <c r="S45" s="1491" t="s">
        <v>1210</v>
      </c>
      <c r="T45" s="1547" t="s">
        <v>7726</v>
      </c>
      <c r="U45" s="1638" t="s">
        <v>8599</v>
      </c>
      <c r="V45" s="1637" t="s">
        <v>8600</v>
      </c>
      <c r="W45" s="1491" t="s">
        <v>9483</v>
      </c>
      <c r="X45" s="1637" t="s">
        <v>8602</v>
      </c>
      <c r="Y45" s="1491" t="s">
        <v>5667</v>
      </c>
      <c r="Z45" s="1533" t="s">
        <v>9484</v>
      </c>
      <c r="AA45" s="1491" t="s">
        <v>2388</v>
      </c>
      <c r="AB45" s="1547" t="s">
        <v>9485</v>
      </c>
      <c r="AC45" s="1493" t="s">
        <v>9486</v>
      </c>
      <c r="AD45" s="1547" t="s">
        <v>9487</v>
      </c>
      <c r="AE45" s="1493" t="s">
        <v>9488</v>
      </c>
      <c r="AF45" s="1547" t="s">
        <v>9489</v>
      </c>
      <c r="AG45" s="1491" t="s">
        <v>6958</v>
      </c>
      <c r="AH45" s="1533" t="s">
        <v>9374</v>
      </c>
      <c r="AI45" s="1638" t="s">
        <v>8608</v>
      </c>
      <c r="AJ45" s="1547" t="s">
        <v>9490</v>
      </c>
      <c r="AK45" s="1491" t="s">
        <v>5842</v>
      </c>
      <c r="AL45" s="1637" t="s">
        <v>8611</v>
      </c>
      <c r="AM45" s="1491" t="s">
        <v>8905</v>
      </c>
      <c r="AN45" s="1547" t="s">
        <v>4040</v>
      </c>
      <c r="AO45" s="1493" t="s">
        <v>4908</v>
      </c>
      <c r="AP45" s="1533" t="s">
        <v>9491</v>
      </c>
      <c r="AQ45" s="1493" t="s">
        <v>9492</v>
      </c>
      <c r="AR45" s="1533" t="s">
        <v>9493</v>
      </c>
      <c r="AS45" s="1491" t="s">
        <v>946</v>
      </c>
      <c r="AT45" s="1637" t="s">
        <v>8617</v>
      </c>
      <c r="AU45" s="1493" t="s">
        <v>9494</v>
      </c>
      <c r="AV45" s="1491" t="str">
        <f t="shared" si="1"/>
        <v>2:24</v>
      </c>
      <c r="AW45" s="1525"/>
    </row>
    <row r="46">
      <c r="A46" s="1529" t="s">
        <v>2633</v>
      </c>
      <c r="B46" s="1568" t="s">
        <v>8560</v>
      </c>
      <c r="C46" s="1484">
        <v>0.05092592592592592</v>
      </c>
      <c r="D46" s="1401" t="s">
        <v>9495</v>
      </c>
      <c r="E46" s="1533" t="s">
        <v>9496</v>
      </c>
      <c r="F46" s="1533" t="s">
        <v>9497</v>
      </c>
      <c r="G46" s="1533" t="s">
        <v>9498</v>
      </c>
      <c r="H46" s="1621" t="s">
        <v>9499</v>
      </c>
      <c r="I46" s="1621" t="s">
        <v>2887</v>
      </c>
      <c r="J46" s="1535" t="s">
        <v>8686</v>
      </c>
      <c r="K46" s="1535" t="s">
        <v>3926</v>
      </c>
      <c r="L46" s="1535" t="s">
        <v>5747</v>
      </c>
      <c r="M46" s="1535" t="s">
        <v>3003</v>
      </c>
      <c r="N46" s="1535" t="s">
        <v>9324</v>
      </c>
      <c r="O46" s="1535" t="s">
        <v>9500</v>
      </c>
      <c r="P46" s="1535" t="s">
        <v>804</v>
      </c>
      <c r="Q46" s="1536" t="s">
        <v>7697</v>
      </c>
      <c r="R46" s="1536" t="s">
        <v>7421</v>
      </c>
      <c r="S46" s="1536" t="s">
        <v>6526</v>
      </c>
      <c r="T46" s="1536" t="s">
        <v>9501</v>
      </c>
      <c r="U46" s="1639" t="s">
        <v>7856</v>
      </c>
      <c r="V46" s="1536" t="s">
        <v>9502</v>
      </c>
      <c r="W46" s="1537" t="s">
        <v>6725</v>
      </c>
      <c r="X46" s="1537" t="s">
        <v>9503</v>
      </c>
      <c r="Y46" s="1537" t="s">
        <v>9504</v>
      </c>
      <c r="Z46" s="1537" t="s">
        <v>7627</v>
      </c>
      <c r="AA46" s="1537" t="s">
        <v>2026</v>
      </c>
      <c r="AB46" s="1537" t="s">
        <v>9505</v>
      </c>
      <c r="AC46" s="1537" t="s">
        <v>2481</v>
      </c>
      <c r="AD46" s="1533" t="s">
        <v>9506</v>
      </c>
      <c r="AE46" s="1533" t="s">
        <v>5303</v>
      </c>
      <c r="AF46" s="1538" t="s">
        <v>9507</v>
      </c>
      <c r="AG46" s="1538" t="s">
        <v>5414</v>
      </c>
      <c r="AH46" s="1538" t="s">
        <v>4575</v>
      </c>
      <c r="AI46" s="1538" t="s">
        <v>9508</v>
      </c>
      <c r="AJ46" s="1640" t="s">
        <v>8579</v>
      </c>
      <c r="AK46" s="1538" t="s">
        <v>1695</v>
      </c>
      <c r="AL46" s="1538" t="s">
        <v>5843</v>
      </c>
      <c r="AM46" s="1540" t="s">
        <v>4118</v>
      </c>
      <c r="AN46" s="1540" t="s">
        <v>3738</v>
      </c>
      <c r="AO46" s="1540" t="s">
        <v>2521</v>
      </c>
      <c r="AP46" s="1540" t="s">
        <v>9509</v>
      </c>
      <c r="AQ46" s="1540" t="s">
        <v>4458</v>
      </c>
      <c r="AR46" s="1540" t="s">
        <v>7687</v>
      </c>
      <c r="AS46" s="1540" t="s">
        <v>6411</v>
      </c>
      <c r="AT46" s="1535" t="s">
        <v>9510</v>
      </c>
      <c r="AU46" s="1641" t="s">
        <v>9511</v>
      </c>
      <c r="AV46" s="1491" t="str">
        <f t="shared" si="1"/>
        <v>4:25</v>
      </c>
      <c r="AW46" s="1523"/>
    </row>
    <row r="47" ht="15.75" customHeight="1">
      <c r="A47" s="1482" t="s">
        <v>4527</v>
      </c>
      <c r="B47" s="1542" t="s">
        <v>8560</v>
      </c>
      <c r="C47" s="1484">
        <v>0.05100810185185185</v>
      </c>
      <c r="D47" s="1401" t="s">
        <v>9512</v>
      </c>
      <c r="E47" s="1533" t="s">
        <v>9513</v>
      </c>
      <c r="F47" s="1533" t="s">
        <v>9514</v>
      </c>
      <c r="G47" s="1547" t="s">
        <v>9515</v>
      </c>
      <c r="H47" s="1621" t="s">
        <v>9516</v>
      </c>
      <c r="I47" s="1621" t="s">
        <v>1379</v>
      </c>
      <c r="J47" s="1535" t="s">
        <v>5209</v>
      </c>
      <c r="K47" s="1535" t="s">
        <v>9249</v>
      </c>
      <c r="L47" s="1535" t="s">
        <v>4502</v>
      </c>
      <c r="M47" s="1535" t="s">
        <v>1522</v>
      </c>
      <c r="N47" s="1535" t="s">
        <v>9517</v>
      </c>
      <c r="O47" s="1535" t="s">
        <v>8708</v>
      </c>
      <c r="P47" s="1535" t="s">
        <v>9518</v>
      </c>
      <c r="Q47" s="1536" t="s">
        <v>9519</v>
      </c>
      <c r="R47" s="1536" t="s">
        <v>3496</v>
      </c>
      <c r="S47" s="1536" t="s">
        <v>7078</v>
      </c>
      <c r="T47" s="1536" t="s">
        <v>9520</v>
      </c>
      <c r="U47" s="1536" t="s">
        <v>9521</v>
      </c>
      <c r="V47" s="1550" t="s">
        <v>1330</v>
      </c>
      <c r="W47" s="1537" t="s">
        <v>9522</v>
      </c>
      <c r="X47" s="1537" t="s">
        <v>9305</v>
      </c>
      <c r="Y47" s="1537" t="s">
        <v>4011</v>
      </c>
      <c r="Z47" s="1537" t="s">
        <v>7647</v>
      </c>
      <c r="AA47" s="1537" t="s">
        <v>1072</v>
      </c>
      <c r="AB47" s="1537" t="s">
        <v>4069</v>
      </c>
      <c r="AC47" s="1551" t="s">
        <v>6671</v>
      </c>
      <c r="AD47" s="1533" t="s">
        <v>9523</v>
      </c>
      <c r="AE47" s="1547" t="s">
        <v>4983</v>
      </c>
      <c r="AF47" s="1538" t="s">
        <v>9524</v>
      </c>
      <c r="AG47" s="1538" t="s">
        <v>9525</v>
      </c>
      <c r="AH47" s="1538" t="s">
        <v>9526</v>
      </c>
      <c r="AI47" s="1538" t="s">
        <v>8887</v>
      </c>
      <c r="AJ47" s="1538" t="s">
        <v>9527</v>
      </c>
      <c r="AK47" s="1538" t="s">
        <v>9528</v>
      </c>
      <c r="AL47" s="1538" t="s">
        <v>4675</v>
      </c>
      <c r="AM47" s="1540" t="s">
        <v>9025</v>
      </c>
      <c r="AN47" s="1540" t="s">
        <v>3443</v>
      </c>
      <c r="AO47" s="1540" t="s">
        <v>9529</v>
      </c>
      <c r="AP47" s="1540" t="s">
        <v>9530</v>
      </c>
      <c r="AQ47" s="1540" t="s">
        <v>4458</v>
      </c>
      <c r="AR47" s="1540" t="s">
        <v>9531</v>
      </c>
      <c r="AS47" s="1540" t="s">
        <v>4613</v>
      </c>
      <c r="AT47" s="1535" t="s">
        <v>9532</v>
      </c>
      <c r="AU47" s="1522" t="s">
        <v>9533</v>
      </c>
      <c r="AV47" s="1491" t="str">
        <f t="shared" si="1"/>
        <v>3:17</v>
      </c>
      <c r="AW47" s="1528" t="s">
        <v>9534</v>
      </c>
    </row>
    <row r="48" ht="15.75" customHeight="1">
      <c r="A48" s="1529" t="s">
        <v>1031</v>
      </c>
      <c r="B48" s="1527" t="s">
        <v>8560</v>
      </c>
      <c r="C48" s="1484">
        <v>0.05112268518518519</v>
      </c>
      <c r="D48" s="1533" t="s">
        <v>9535</v>
      </c>
      <c r="E48" s="1533" t="s">
        <v>4746</v>
      </c>
      <c r="F48" s="1533" t="s">
        <v>9536</v>
      </c>
      <c r="G48" s="1533" t="s">
        <v>9537</v>
      </c>
      <c r="H48" s="1401" t="s">
        <v>9538</v>
      </c>
      <c r="I48" s="1621" t="s">
        <v>5043</v>
      </c>
      <c r="J48" s="1535" t="s">
        <v>4121</v>
      </c>
      <c r="K48" s="1535" t="s">
        <v>9539</v>
      </c>
      <c r="L48" s="1486" t="s">
        <v>3659</v>
      </c>
      <c r="M48" s="1535" t="s">
        <v>4559</v>
      </c>
      <c r="N48" s="1535" t="s">
        <v>9283</v>
      </c>
      <c r="O48" s="1535" t="s">
        <v>9540</v>
      </c>
      <c r="P48" s="1535" t="s">
        <v>1597</v>
      </c>
      <c r="Q48" s="1536" t="s">
        <v>9541</v>
      </c>
      <c r="R48" s="1642" t="s">
        <v>9542</v>
      </c>
      <c r="S48" s="1536" t="s">
        <v>424</v>
      </c>
      <c r="T48" s="1536" t="s">
        <v>9543</v>
      </c>
      <c r="U48" s="1536" t="s">
        <v>9544</v>
      </c>
      <c r="V48" s="1536" t="s">
        <v>9545</v>
      </c>
      <c r="W48" s="1537" t="s">
        <v>9546</v>
      </c>
      <c r="X48" s="1537" t="s">
        <v>9547</v>
      </c>
      <c r="Y48" s="1643" t="s">
        <v>946</v>
      </c>
      <c r="Z48" s="1537" t="s">
        <v>9548</v>
      </c>
      <c r="AA48" s="1493" t="s">
        <v>9549</v>
      </c>
      <c r="AB48" s="1537" t="s">
        <v>2946</v>
      </c>
      <c r="AC48" s="1623" t="s">
        <v>5110</v>
      </c>
      <c r="AD48" s="1533" t="s">
        <v>9550</v>
      </c>
      <c r="AE48" s="1533" t="s">
        <v>8607</v>
      </c>
      <c r="AF48" s="1538" t="s">
        <v>8725</v>
      </c>
      <c r="AG48" s="1538" t="s">
        <v>274</v>
      </c>
      <c r="AH48" s="1538" t="s">
        <v>475</v>
      </c>
      <c r="AI48" s="1538" t="s">
        <v>9551</v>
      </c>
      <c r="AJ48" s="1538" t="s">
        <v>9552</v>
      </c>
      <c r="AK48" s="1538" t="s">
        <v>4241</v>
      </c>
      <c r="AL48" s="1538" t="s">
        <v>9553</v>
      </c>
      <c r="AM48" s="1540" t="s">
        <v>9554</v>
      </c>
      <c r="AN48" s="1576" t="s">
        <v>3343</v>
      </c>
      <c r="AO48" s="1540" t="s">
        <v>7084</v>
      </c>
      <c r="AP48" s="1540" t="s">
        <v>9555</v>
      </c>
      <c r="AQ48" s="1540" t="s">
        <v>9556</v>
      </c>
      <c r="AR48" s="1540" t="s">
        <v>9557</v>
      </c>
      <c r="AS48" s="1540" t="s">
        <v>8463</v>
      </c>
      <c r="AT48" s="1535" t="s">
        <v>9558</v>
      </c>
      <c r="AU48" s="1522" t="s">
        <v>9559</v>
      </c>
      <c r="AV48" s="1491" t="str">
        <f t="shared" si="1"/>
        <v>4:57</v>
      </c>
      <c r="AW48" s="1624"/>
    </row>
    <row r="49">
      <c r="A49" s="1529" t="s">
        <v>2494</v>
      </c>
      <c r="B49" s="1524" t="s">
        <v>8560</v>
      </c>
      <c r="C49" s="1484">
        <v>0.05112268518518519</v>
      </c>
      <c r="D49" s="1493" t="s">
        <v>9560</v>
      </c>
      <c r="E49" s="1493" t="s">
        <v>4664</v>
      </c>
      <c r="F49" s="1493" t="s">
        <v>9561</v>
      </c>
      <c r="G49" s="1612" t="s">
        <v>8564</v>
      </c>
      <c r="H49" s="1401" t="s">
        <v>9562</v>
      </c>
      <c r="I49" s="1493" t="s">
        <v>795</v>
      </c>
      <c r="J49" s="1493" t="s">
        <v>6529</v>
      </c>
      <c r="K49" s="1493" t="s">
        <v>2590</v>
      </c>
      <c r="L49" s="1493" t="s">
        <v>1330</v>
      </c>
      <c r="M49" s="1493" t="s">
        <v>9563</v>
      </c>
      <c r="N49" s="1493" t="s">
        <v>9140</v>
      </c>
      <c r="O49" s="1493" t="s">
        <v>9564</v>
      </c>
      <c r="P49" s="1493" t="s">
        <v>3644</v>
      </c>
      <c r="Q49" s="1493" t="s">
        <v>9565</v>
      </c>
      <c r="R49" s="1493" t="s">
        <v>2325</v>
      </c>
      <c r="S49" s="1493" t="s">
        <v>3851</v>
      </c>
      <c r="T49" s="1493" t="s">
        <v>7868</v>
      </c>
      <c r="U49" s="1536" t="s">
        <v>8912</v>
      </c>
      <c r="V49" s="1493" t="s">
        <v>9566</v>
      </c>
      <c r="W49" s="1493" t="s">
        <v>9567</v>
      </c>
      <c r="X49" s="1493" t="s">
        <v>1557</v>
      </c>
      <c r="Y49" s="1493" t="s">
        <v>7046</v>
      </c>
      <c r="Z49" s="1493" t="s">
        <v>8773</v>
      </c>
      <c r="AA49" s="1537" t="s">
        <v>633</v>
      </c>
      <c r="AB49" s="1493" t="s">
        <v>9568</v>
      </c>
      <c r="AC49" s="1493" t="s">
        <v>5303</v>
      </c>
      <c r="AD49" s="1493" t="s">
        <v>8958</v>
      </c>
      <c r="AE49" s="1493" t="s">
        <v>3644</v>
      </c>
      <c r="AF49" s="1493" t="s">
        <v>9569</v>
      </c>
      <c r="AG49" s="1493" t="s">
        <v>9570</v>
      </c>
      <c r="AH49" s="1493" t="s">
        <v>2614</v>
      </c>
      <c r="AI49" s="1493" t="s">
        <v>6013</v>
      </c>
      <c r="AJ49" s="1493" t="s">
        <v>9571</v>
      </c>
      <c r="AK49" s="1493" t="s">
        <v>9052</v>
      </c>
      <c r="AL49" s="1493" t="s">
        <v>9572</v>
      </c>
      <c r="AM49" s="1493" t="s">
        <v>2731</v>
      </c>
      <c r="AN49" s="1493" t="s">
        <v>9573</v>
      </c>
      <c r="AO49" s="1493" t="s">
        <v>8683</v>
      </c>
      <c r="AP49" s="1493" t="s">
        <v>9574</v>
      </c>
      <c r="AQ49" s="1493" t="s">
        <v>9575</v>
      </c>
      <c r="AR49" s="1493" t="s">
        <v>2303</v>
      </c>
      <c r="AS49" s="1493" t="s">
        <v>7041</v>
      </c>
      <c r="AT49" s="1493" t="s">
        <v>9576</v>
      </c>
      <c r="AU49" s="1493" t="s">
        <v>9577</v>
      </c>
      <c r="AV49" s="1491" t="str">
        <f t="shared" si="1"/>
        <v>3:15</v>
      </c>
      <c r="AW49" s="1644"/>
    </row>
    <row r="50" ht="15.75" customHeight="1">
      <c r="A50" s="1482" t="s">
        <v>9578</v>
      </c>
      <c r="B50" s="1645" t="s">
        <v>8531</v>
      </c>
      <c r="C50" s="1484">
        <v>0.051180555555555556</v>
      </c>
      <c r="D50" s="1401" t="s">
        <v>9579</v>
      </c>
      <c r="E50" s="1493" t="s">
        <v>9580</v>
      </c>
      <c r="F50" s="1493" t="s">
        <v>4243</v>
      </c>
      <c r="G50" s="1493" t="s">
        <v>8205</v>
      </c>
      <c r="H50" s="1493" t="s">
        <v>9581</v>
      </c>
      <c r="I50" s="1493" t="s">
        <v>1670</v>
      </c>
      <c r="J50" s="1493" t="s">
        <v>1017</v>
      </c>
      <c r="K50" s="1493" t="s">
        <v>9108</v>
      </c>
      <c r="L50" s="1493" t="s">
        <v>8628</v>
      </c>
      <c r="M50" s="1493" t="s">
        <v>9582</v>
      </c>
      <c r="N50" s="1493" t="s">
        <v>9583</v>
      </c>
      <c r="O50" s="1493" t="s">
        <v>9584</v>
      </c>
      <c r="P50" s="1493" t="s">
        <v>5584</v>
      </c>
      <c r="Q50" s="1493" t="s">
        <v>7285</v>
      </c>
      <c r="R50" s="1493" t="s">
        <v>9585</v>
      </c>
      <c r="S50" s="1493" t="s">
        <v>8407</v>
      </c>
      <c r="T50" s="1491" t="s">
        <v>4289</v>
      </c>
      <c r="U50" s="1491" t="s">
        <v>9586</v>
      </c>
      <c r="V50" s="1493" t="s">
        <v>1906</v>
      </c>
      <c r="W50" s="1493" t="s">
        <v>9587</v>
      </c>
      <c r="X50" s="1493" t="s">
        <v>9588</v>
      </c>
      <c r="Y50" s="1493" t="s">
        <v>8949</v>
      </c>
      <c r="Z50" s="1493" t="s">
        <v>9589</v>
      </c>
      <c r="AA50" s="1493" t="s">
        <v>9590</v>
      </c>
      <c r="AB50" s="1493" t="s">
        <v>9591</v>
      </c>
      <c r="AC50" s="1493" t="s">
        <v>979</v>
      </c>
      <c r="AD50" s="1493" t="s">
        <v>9523</v>
      </c>
      <c r="AE50" s="1493" t="s">
        <v>3339</v>
      </c>
      <c r="AF50" s="1491" t="s">
        <v>9592</v>
      </c>
      <c r="AG50" s="1493" t="s">
        <v>394</v>
      </c>
      <c r="AH50" s="1493" t="s">
        <v>9593</v>
      </c>
      <c r="AI50" s="1493" t="s">
        <v>9594</v>
      </c>
      <c r="AJ50" s="1493" t="s">
        <v>9595</v>
      </c>
      <c r="AK50" s="1493" t="s">
        <v>9596</v>
      </c>
      <c r="AL50" s="1493" t="s">
        <v>9597</v>
      </c>
      <c r="AM50" s="1493" t="s">
        <v>7391</v>
      </c>
      <c r="AN50" s="1493" t="s">
        <v>9211</v>
      </c>
      <c r="AO50" s="1507" t="str">
        <f>HYPERLINK("https://clips.twitch.tv/AltruisticEmpathicManateeDoritosChip","1:20.90")</f>
        <v>1:20.90</v>
      </c>
      <c r="AP50" s="1493" t="s">
        <v>9598</v>
      </c>
      <c r="AQ50" s="1493" t="s">
        <v>9599</v>
      </c>
      <c r="AR50" s="1493" t="s">
        <v>9600</v>
      </c>
      <c r="AS50" s="1493" t="s">
        <v>9177</v>
      </c>
      <c r="AT50" s="1493" t="s">
        <v>9601</v>
      </c>
      <c r="AU50" s="1493" t="s">
        <v>9602</v>
      </c>
      <c r="AV50" s="1491" t="str">
        <f t="shared" si="1"/>
        <v>2:40</v>
      </c>
      <c r="AW50" s="1563" t="s">
        <v>9603</v>
      </c>
    </row>
    <row r="51" ht="15.75" customHeight="1">
      <c r="A51" s="1529" t="s">
        <v>3819</v>
      </c>
      <c r="B51" s="1636" t="s">
        <v>8531</v>
      </c>
      <c r="C51" s="1646">
        <v>0.05123738425925926</v>
      </c>
      <c r="D51" s="1533" t="s">
        <v>9604</v>
      </c>
      <c r="E51" s="1533" t="s">
        <v>4030</v>
      </c>
      <c r="F51" s="1533" t="s">
        <v>9605</v>
      </c>
      <c r="G51" s="1533" t="s">
        <v>8992</v>
      </c>
      <c r="H51" s="1621" t="s">
        <v>9606</v>
      </c>
      <c r="I51" s="1621" t="s">
        <v>9273</v>
      </c>
      <c r="J51" s="1535" t="s">
        <v>9249</v>
      </c>
      <c r="K51" s="1535" t="s">
        <v>7074</v>
      </c>
      <c r="L51" s="1535" t="s">
        <v>9607</v>
      </c>
      <c r="M51" s="1535" t="s">
        <v>8924</v>
      </c>
      <c r="N51" s="1647" t="s">
        <v>1209</v>
      </c>
      <c r="O51" s="1535" t="s">
        <v>3512</v>
      </c>
      <c r="P51" s="1535" t="s">
        <v>8668</v>
      </c>
      <c r="Q51" s="1536" t="s">
        <v>9608</v>
      </c>
      <c r="R51" s="1536" t="s">
        <v>9207</v>
      </c>
      <c r="S51" s="1536" t="s">
        <v>9609</v>
      </c>
      <c r="T51" s="1536" t="s">
        <v>9610</v>
      </c>
      <c r="U51" s="1536" t="s">
        <v>9611</v>
      </c>
      <c r="V51" s="1536" t="s">
        <v>4315</v>
      </c>
      <c r="W51" s="1537" t="s">
        <v>9612</v>
      </c>
      <c r="X51" s="1537" t="s">
        <v>9613</v>
      </c>
      <c r="Y51" s="1537" t="s">
        <v>9614</v>
      </c>
      <c r="Z51" s="1537" t="s">
        <v>1316</v>
      </c>
      <c r="AA51" s="1537" t="s">
        <v>8887</v>
      </c>
      <c r="AB51" s="1537" t="s">
        <v>9357</v>
      </c>
      <c r="AC51" s="1537" t="s">
        <v>496</v>
      </c>
      <c r="AD51" s="1533" t="s">
        <v>9615</v>
      </c>
      <c r="AE51" s="1533" t="s">
        <v>6424</v>
      </c>
      <c r="AF51" s="1538" t="s">
        <v>9616</v>
      </c>
      <c r="AG51" s="1538" t="s">
        <v>9617</v>
      </c>
      <c r="AH51" s="1538" t="s">
        <v>9618</v>
      </c>
      <c r="AI51" s="1538" t="s">
        <v>314</v>
      </c>
      <c r="AJ51" s="1538" t="s">
        <v>9619</v>
      </c>
      <c r="AK51" s="1495" t="s">
        <v>9095</v>
      </c>
      <c r="AL51" s="1538" t="s">
        <v>9132</v>
      </c>
      <c r="AM51" s="1540" t="s">
        <v>9620</v>
      </c>
      <c r="AN51" s="1540" t="s">
        <v>587</v>
      </c>
      <c r="AO51" s="1540" t="s">
        <v>9621</v>
      </c>
      <c r="AP51" s="1540" t="s">
        <v>9622</v>
      </c>
      <c r="AQ51" s="1401" t="s">
        <v>9623</v>
      </c>
      <c r="AR51" s="1648" t="s">
        <v>9624</v>
      </c>
      <c r="AS51" s="1540" t="s">
        <v>9625</v>
      </c>
      <c r="AT51" s="1535" t="s">
        <v>9626</v>
      </c>
      <c r="AU51" s="1522" t="s">
        <v>9627</v>
      </c>
      <c r="AV51" s="1491" t="str">
        <f t="shared" si="1"/>
        <v>4:25</v>
      </c>
      <c r="AW51" s="1528" t="s">
        <v>9628</v>
      </c>
    </row>
    <row r="52" ht="15.75" customHeight="1">
      <c r="A52" s="1529" t="s">
        <v>1710</v>
      </c>
      <c r="B52" s="1649" t="s">
        <v>8586</v>
      </c>
      <c r="C52" s="1625">
        <v>0.051319444444444445</v>
      </c>
      <c r="D52" s="1401" t="s">
        <v>9629</v>
      </c>
      <c r="E52" s="1491" t="s">
        <v>9630</v>
      </c>
      <c r="F52" s="1491" t="s">
        <v>9631</v>
      </c>
      <c r="G52" s="1491" t="s">
        <v>9632</v>
      </c>
      <c r="H52" s="1491" t="s">
        <v>5124</v>
      </c>
      <c r="I52" s="1491" t="s">
        <v>6423</v>
      </c>
      <c r="J52" s="1491" t="s">
        <v>9633</v>
      </c>
      <c r="K52" s="1491" t="s">
        <v>8932</v>
      </c>
      <c r="L52" s="1491" t="s">
        <v>3940</v>
      </c>
      <c r="M52" s="1491" t="s">
        <v>9402</v>
      </c>
      <c r="N52" s="1491" t="s">
        <v>9190</v>
      </c>
      <c r="O52" s="1491" t="s">
        <v>9634</v>
      </c>
      <c r="P52" s="1650" t="s">
        <v>8595</v>
      </c>
      <c r="Q52" s="1491" t="s">
        <v>9635</v>
      </c>
      <c r="R52" s="1491" t="s">
        <v>9636</v>
      </c>
      <c r="S52" s="1491" t="s">
        <v>1207</v>
      </c>
      <c r="T52" s="1491" t="s">
        <v>9637</v>
      </c>
      <c r="U52" s="1491" t="s">
        <v>1054</v>
      </c>
      <c r="V52" s="1491" t="s">
        <v>463</v>
      </c>
      <c r="W52" s="1491" t="s">
        <v>9638</v>
      </c>
      <c r="X52" s="1491" t="s">
        <v>311</v>
      </c>
      <c r="Y52" s="1491" t="s">
        <v>9639</v>
      </c>
      <c r="Z52" s="1491" t="s">
        <v>7396</v>
      </c>
      <c r="AA52" s="1491" t="s">
        <v>6150</v>
      </c>
      <c r="AB52" s="1491" t="s">
        <v>4543</v>
      </c>
      <c r="AC52" s="1491" t="s">
        <v>6129</v>
      </c>
      <c r="AD52" s="1491" t="s">
        <v>9640</v>
      </c>
      <c r="AE52" s="1650" t="s">
        <v>8607</v>
      </c>
      <c r="AF52" s="1650" t="s">
        <v>2770</v>
      </c>
      <c r="AG52" s="1491" t="s">
        <v>4654</v>
      </c>
      <c r="AH52" s="1491" t="s">
        <v>9641</v>
      </c>
      <c r="AI52" s="1491" t="s">
        <v>9642</v>
      </c>
      <c r="AJ52" s="1491" t="s">
        <v>9643</v>
      </c>
      <c r="AK52" s="1491" t="s">
        <v>5979</v>
      </c>
      <c r="AL52" s="1491" t="s">
        <v>6192</v>
      </c>
      <c r="AM52" s="1650" t="s">
        <v>8612</v>
      </c>
      <c r="AN52" s="1493" t="s">
        <v>2564</v>
      </c>
      <c r="AO52" s="1491" t="s">
        <v>4980</v>
      </c>
      <c r="AP52" s="1491" t="s">
        <v>9644</v>
      </c>
      <c r="AQ52" s="1491" t="s">
        <v>9645</v>
      </c>
      <c r="AR52" s="1491" t="s">
        <v>9061</v>
      </c>
      <c r="AS52" s="1491" t="s">
        <v>4548</v>
      </c>
      <c r="AT52" s="1491" t="s">
        <v>9646</v>
      </c>
      <c r="AU52" s="1491" t="s">
        <v>9647</v>
      </c>
      <c r="AV52" s="1491" t="str">
        <f t="shared" si="1"/>
        <v>3:15</v>
      </c>
      <c r="AW52" s="1563" t="s">
        <v>9648</v>
      </c>
    </row>
    <row r="53">
      <c r="A53" s="1529" t="s">
        <v>1887</v>
      </c>
      <c r="B53" s="1527" t="s">
        <v>8531</v>
      </c>
      <c r="C53" s="1484">
        <v>0.05133101851851852</v>
      </c>
      <c r="D53" s="1635" t="s">
        <v>9649</v>
      </c>
      <c r="E53" s="1533" t="s">
        <v>9650</v>
      </c>
      <c r="F53" s="1533" t="s">
        <v>9651</v>
      </c>
      <c r="G53" s="1533" t="s">
        <v>9652</v>
      </c>
      <c r="H53" s="1621" t="s">
        <v>9653</v>
      </c>
      <c r="I53" s="1621" t="s">
        <v>2985</v>
      </c>
      <c r="J53" s="1535" t="s">
        <v>2025</v>
      </c>
      <c r="K53" s="1535" t="s">
        <v>9654</v>
      </c>
      <c r="L53" s="1535" t="s">
        <v>4277</v>
      </c>
      <c r="M53" s="1535" t="s">
        <v>9655</v>
      </c>
      <c r="N53" s="1535" t="s">
        <v>8780</v>
      </c>
      <c r="O53" s="1535" t="s">
        <v>9656</v>
      </c>
      <c r="P53" s="1535" t="s">
        <v>8712</v>
      </c>
      <c r="Q53" s="1536" t="s">
        <v>9657</v>
      </c>
      <c r="R53" s="1536" t="s">
        <v>9447</v>
      </c>
      <c r="S53" s="1536" t="s">
        <v>9658</v>
      </c>
      <c r="T53" s="1536" t="s">
        <v>9451</v>
      </c>
      <c r="U53" s="1536" t="s">
        <v>9659</v>
      </c>
      <c r="V53" s="1536" t="s">
        <v>9227</v>
      </c>
      <c r="W53" s="1537" t="s">
        <v>9660</v>
      </c>
      <c r="X53" s="1537" t="s">
        <v>9661</v>
      </c>
      <c r="Y53" s="1537" t="s">
        <v>5551</v>
      </c>
      <c r="Z53" s="1537" t="s">
        <v>1572</v>
      </c>
      <c r="AA53" s="1537" t="s">
        <v>9662</v>
      </c>
      <c r="AB53" s="1537" t="s">
        <v>6238</v>
      </c>
      <c r="AC53" s="1537" t="s">
        <v>263</v>
      </c>
      <c r="AD53" s="1533" t="s">
        <v>8978</v>
      </c>
      <c r="AE53" s="1533" t="s">
        <v>5551</v>
      </c>
      <c r="AF53" s="1538" t="s">
        <v>9663</v>
      </c>
      <c r="AG53" s="1538" t="s">
        <v>5797</v>
      </c>
      <c r="AH53" s="1538" t="s">
        <v>4107</v>
      </c>
      <c r="AI53" s="1538" t="s">
        <v>9664</v>
      </c>
      <c r="AJ53" s="1538" t="s">
        <v>9665</v>
      </c>
      <c r="AK53" s="1538" t="s">
        <v>9588</v>
      </c>
      <c r="AL53" s="1538" t="s">
        <v>4110</v>
      </c>
      <c r="AM53" s="1540" t="s">
        <v>9666</v>
      </c>
      <c r="AN53" s="1540" t="s">
        <v>4116</v>
      </c>
      <c r="AO53" s="1540" t="s">
        <v>9667</v>
      </c>
      <c r="AP53" s="1540" t="s">
        <v>9668</v>
      </c>
      <c r="AQ53" s="1540" t="s">
        <v>9265</v>
      </c>
      <c r="AR53" s="1540" t="s">
        <v>9669</v>
      </c>
      <c r="AS53" s="1540" t="s">
        <v>9670</v>
      </c>
      <c r="AT53" s="1535" t="s">
        <v>9671</v>
      </c>
      <c r="AU53" s="1522" t="s">
        <v>9672</v>
      </c>
      <c r="AV53" s="1491" t="str">
        <f t="shared" si="1"/>
        <v>1:34</v>
      </c>
      <c r="AW53" s="1624"/>
    </row>
    <row r="54">
      <c r="A54" s="1529" t="s">
        <v>3005</v>
      </c>
      <c r="B54" s="1527" t="s">
        <v>8531</v>
      </c>
      <c r="C54" s="1484">
        <v>0.05134259259259259</v>
      </c>
      <c r="D54" s="1533" t="s">
        <v>9673</v>
      </c>
      <c r="E54" s="1533" t="s">
        <v>6420</v>
      </c>
      <c r="F54" s="1533" t="s">
        <v>9674</v>
      </c>
      <c r="G54" s="1533" t="s">
        <v>9675</v>
      </c>
      <c r="H54" s="1533" t="s">
        <v>9676</v>
      </c>
      <c r="I54" s="1533" t="s">
        <v>1421</v>
      </c>
      <c r="J54" s="1535" t="s">
        <v>5062</v>
      </c>
      <c r="K54" s="1535" t="s">
        <v>7280</v>
      </c>
      <c r="L54" s="1535" t="s">
        <v>4913</v>
      </c>
      <c r="M54" s="1535" t="s">
        <v>3651</v>
      </c>
      <c r="N54" s="1535" t="s">
        <v>2087</v>
      </c>
      <c r="O54" s="1535" t="s">
        <v>9677</v>
      </c>
      <c r="P54" s="1535" t="s">
        <v>4611</v>
      </c>
      <c r="Q54" s="1536" t="s">
        <v>9678</v>
      </c>
      <c r="R54" s="1536" t="s">
        <v>2650</v>
      </c>
      <c r="S54" s="1536" t="s">
        <v>9679</v>
      </c>
      <c r="T54" s="1536" t="s">
        <v>9680</v>
      </c>
      <c r="U54" s="1536" t="s">
        <v>9544</v>
      </c>
      <c r="V54" s="1536" t="s">
        <v>9681</v>
      </c>
      <c r="W54" s="1537" t="s">
        <v>9682</v>
      </c>
      <c r="X54" s="1537" t="s">
        <v>8608</v>
      </c>
      <c r="Y54" s="1537" t="s">
        <v>9277</v>
      </c>
      <c r="Z54" s="1537" t="s">
        <v>3050</v>
      </c>
      <c r="AA54" s="1493" t="s">
        <v>610</v>
      </c>
      <c r="AB54" s="1537" t="s">
        <v>8973</v>
      </c>
      <c r="AC54" s="1537" t="s">
        <v>9150</v>
      </c>
      <c r="AD54" s="1533" t="s">
        <v>9683</v>
      </c>
      <c r="AE54" s="1533" t="s">
        <v>9684</v>
      </c>
      <c r="AF54" s="1538" t="s">
        <v>9685</v>
      </c>
      <c r="AG54" s="1538" t="s">
        <v>9686</v>
      </c>
      <c r="AH54" s="1538" t="s">
        <v>1913</v>
      </c>
      <c r="AI54" s="1538" t="s">
        <v>429</v>
      </c>
      <c r="AJ54" s="1538" t="s">
        <v>9687</v>
      </c>
      <c r="AK54" s="1538" t="s">
        <v>9688</v>
      </c>
      <c r="AL54" s="1538" t="s">
        <v>5694</v>
      </c>
      <c r="AM54" s="1540" t="s">
        <v>9689</v>
      </c>
      <c r="AN54" s="1540" t="s">
        <v>6372</v>
      </c>
      <c r="AO54" s="1540" t="s">
        <v>9690</v>
      </c>
      <c r="AP54" s="1540" t="s">
        <v>9691</v>
      </c>
      <c r="AQ54" s="1540" t="s">
        <v>9265</v>
      </c>
      <c r="AR54" s="1540" t="s">
        <v>9692</v>
      </c>
      <c r="AS54" s="1540" t="s">
        <v>1912</v>
      </c>
      <c r="AT54" s="1535" t="s">
        <v>9693</v>
      </c>
      <c r="AU54" s="1522" t="s">
        <v>9577</v>
      </c>
      <c r="AV54" s="1491" t="str">
        <f t="shared" si="1"/>
        <v>2:56</v>
      </c>
      <c r="AW54" s="1528" t="s">
        <v>9694</v>
      </c>
    </row>
    <row r="55" ht="15.75" customHeight="1">
      <c r="A55" s="1497" t="s">
        <v>1481</v>
      </c>
      <c r="B55" s="1649" t="s">
        <v>8586</v>
      </c>
      <c r="C55" s="1625">
        <v>0.05134259259259259</v>
      </c>
      <c r="D55" s="1401" t="s">
        <v>9695</v>
      </c>
      <c r="E55" s="1547" t="s">
        <v>9696</v>
      </c>
      <c r="F55" s="1547" t="s">
        <v>9674</v>
      </c>
      <c r="G55" s="1547" t="s">
        <v>9697</v>
      </c>
      <c r="H55" s="1534" t="s">
        <v>9698</v>
      </c>
      <c r="I55" s="1651" t="s">
        <v>354</v>
      </c>
      <c r="J55" s="1549" t="s">
        <v>9699</v>
      </c>
      <c r="K55" s="1549" t="s">
        <v>3958</v>
      </c>
      <c r="L55" s="1652" t="s">
        <v>3882</v>
      </c>
      <c r="M55" s="1549" t="s">
        <v>5663</v>
      </c>
      <c r="N55" s="1549" t="s">
        <v>9700</v>
      </c>
      <c r="O55" s="1652" t="s">
        <v>8594</v>
      </c>
      <c r="P55" s="1549" t="s">
        <v>395</v>
      </c>
      <c r="Q55" s="1550" t="s">
        <v>9701</v>
      </c>
      <c r="R55" s="1550" t="s">
        <v>1701</v>
      </c>
      <c r="S55" s="1550" t="s">
        <v>9702</v>
      </c>
      <c r="T55" s="1653" t="s">
        <v>8598</v>
      </c>
      <c r="U55" s="1550" t="s">
        <v>9703</v>
      </c>
      <c r="V55" s="1550" t="s">
        <v>4109</v>
      </c>
      <c r="W55" s="1654" t="s">
        <v>8601</v>
      </c>
      <c r="X55" s="1551" t="s">
        <v>4396</v>
      </c>
      <c r="Y55" s="1551" t="s">
        <v>6423</v>
      </c>
      <c r="Z55" s="1551" t="s">
        <v>7638</v>
      </c>
      <c r="AA55" s="1551" t="s">
        <v>9095</v>
      </c>
      <c r="AB55" s="1654" t="s">
        <v>8605</v>
      </c>
      <c r="AC55" s="1551" t="s">
        <v>6540</v>
      </c>
      <c r="AD55" s="1540" t="s">
        <v>9704</v>
      </c>
      <c r="AE55" s="1547" t="s">
        <v>9705</v>
      </c>
      <c r="AF55" s="1552" t="s">
        <v>9706</v>
      </c>
      <c r="AG55" s="1552" t="s">
        <v>9707</v>
      </c>
      <c r="AH55" s="1552" t="s">
        <v>6138</v>
      </c>
      <c r="AI55" s="1552" t="s">
        <v>9708</v>
      </c>
      <c r="AJ55" s="1552" t="s">
        <v>9709</v>
      </c>
      <c r="AK55" s="1655" t="s">
        <v>8610</v>
      </c>
      <c r="AL55" s="1552" t="s">
        <v>1639</v>
      </c>
      <c r="AM55" s="1539" t="s">
        <v>9570</v>
      </c>
      <c r="AN55" s="1540" t="s">
        <v>4214</v>
      </c>
      <c r="AO55" s="1539" t="s">
        <v>9710</v>
      </c>
      <c r="AP55" s="1539" t="s">
        <v>9711</v>
      </c>
      <c r="AQ55" s="1539" t="s">
        <v>9712</v>
      </c>
      <c r="AR55" s="1539" t="s">
        <v>8623</v>
      </c>
      <c r="AS55" s="1539" t="s">
        <v>4729</v>
      </c>
      <c r="AT55" s="1549" t="s">
        <v>9713</v>
      </c>
      <c r="AU55" s="1553" t="s">
        <v>9714</v>
      </c>
      <c r="AV55" s="1491" t="str">
        <f t="shared" si="1"/>
        <v>1:58</v>
      </c>
      <c r="AW55" s="1624"/>
    </row>
    <row r="56" ht="15.75" customHeight="1">
      <c r="A56" s="1482" t="s">
        <v>3380</v>
      </c>
      <c r="B56" s="1483" t="s">
        <v>8531</v>
      </c>
      <c r="C56" s="1625">
        <v>0.05134259259259259</v>
      </c>
      <c r="D56" s="1401" t="s">
        <v>9715</v>
      </c>
      <c r="E56" s="1491" t="s">
        <v>9716</v>
      </c>
      <c r="F56" s="1491" t="s">
        <v>9717</v>
      </c>
      <c r="G56" s="1491" t="s">
        <v>7683</v>
      </c>
      <c r="H56" s="1491" t="s">
        <v>8769</v>
      </c>
      <c r="I56" s="1491" t="s">
        <v>6195</v>
      </c>
      <c r="J56" s="1491" t="s">
        <v>9718</v>
      </c>
      <c r="K56" s="1491" t="s">
        <v>3968</v>
      </c>
      <c r="L56" s="1491" t="s">
        <v>9719</v>
      </c>
      <c r="M56" s="1491" t="s">
        <v>9720</v>
      </c>
      <c r="N56" s="1491" t="s">
        <v>2851</v>
      </c>
      <c r="O56" s="1491" t="s">
        <v>9721</v>
      </c>
      <c r="P56" s="1491" t="s">
        <v>1132</v>
      </c>
      <c r="Q56" s="1491" t="s">
        <v>2554</v>
      </c>
      <c r="R56" s="1491" t="s">
        <v>9447</v>
      </c>
      <c r="S56" s="1491" t="s">
        <v>9316</v>
      </c>
      <c r="T56" s="1491" t="s">
        <v>9722</v>
      </c>
      <c r="U56" s="1491" t="s">
        <v>9723</v>
      </c>
      <c r="V56" s="1491" t="s">
        <v>4212</v>
      </c>
      <c r="W56" s="1491" t="s">
        <v>9724</v>
      </c>
      <c r="X56" s="1491" t="s">
        <v>9725</v>
      </c>
      <c r="Y56" s="1491" t="s">
        <v>395</v>
      </c>
      <c r="Z56" s="1491" t="s">
        <v>7078</v>
      </c>
      <c r="AA56" s="1491" t="s">
        <v>9260</v>
      </c>
      <c r="AB56" s="1491" t="s">
        <v>8652</v>
      </c>
      <c r="AC56" s="1491" t="s">
        <v>979</v>
      </c>
      <c r="AD56" s="1491" t="s">
        <v>9726</v>
      </c>
      <c r="AE56" s="1491" t="s">
        <v>395</v>
      </c>
      <c r="AF56" s="1491" t="s">
        <v>9727</v>
      </c>
      <c r="AG56" s="1491" t="s">
        <v>9728</v>
      </c>
      <c r="AH56" s="1491" t="s">
        <v>5272</v>
      </c>
      <c r="AI56" s="1491" t="s">
        <v>9729</v>
      </c>
      <c r="AJ56" s="1491" t="s">
        <v>9665</v>
      </c>
      <c r="AK56" s="1491" t="s">
        <v>7417</v>
      </c>
      <c r="AL56" s="1491" t="s">
        <v>3286</v>
      </c>
      <c r="AM56" s="1491" t="s">
        <v>4239</v>
      </c>
      <c r="AN56" s="1491" t="s">
        <v>9730</v>
      </c>
      <c r="AO56" s="1491" t="s">
        <v>8774</v>
      </c>
      <c r="AP56" s="1491" t="s">
        <v>9731</v>
      </c>
      <c r="AQ56" s="1491" t="s">
        <v>9732</v>
      </c>
      <c r="AR56" s="1491" t="s">
        <v>9733</v>
      </c>
      <c r="AS56" s="1539" t="s">
        <v>4519</v>
      </c>
      <c r="AT56" s="1491" t="s">
        <v>9734</v>
      </c>
      <c r="AU56" s="1491" t="s">
        <v>8913</v>
      </c>
      <c r="AV56" s="1491" t="str">
        <f t="shared" si="1"/>
        <v>2:27</v>
      </c>
      <c r="AW56" s="1563"/>
    </row>
    <row r="57" ht="15.75" customHeight="1">
      <c r="A57" s="1529" t="s">
        <v>1311</v>
      </c>
      <c r="B57" s="1524" t="s">
        <v>8586</v>
      </c>
      <c r="C57" s="1484">
        <v>0.05140046296296296</v>
      </c>
      <c r="D57" s="1493" t="s">
        <v>9735</v>
      </c>
      <c r="E57" s="1493" t="s">
        <v>1736</v>
      </c>
      <c r="F57" s="1493" t="s">
        <v>9736</v>
      </c>
      <c r="G57" s="1638" t="s">
        <v>8590</v>
      </c>
      <c r="H57" s="1401" t="s">
        <v>9737</v>
      </c>
      <c r="I57" s="1493" t="s">
        <v>1836</v>
      </c>
      <c r="J57" s="1638" t="s">
        <v>8592</v>
      </c>
      <c r="K57" s="1493" t="s">
        <v>9738</v>
      </c>
      <c r="L57" s="1493" t="s">
        <v>9739</v>
      </c>
      <c r="M57" s="1638" t="s">
        <v>8593</v>
      </c>
      <c r="N57" s="1493" t="s">
        <v>9740</v>
      </c>
      <c r="O57" s="1493" t="s">
        <v>9741</v>
      </c>
      <c r="P57" s="1493" t="s">
        <v>1095</v>
      </c>
      <c r="Q57" s="1493" t="s">
        <v>9541</v>
      </c>
      <c r="R57" s="1493" t="s">
        <v>9742</v>
      </c>
      <c r="S57" s="1493" t="s">
        <v>9743</v>
      </c>
      <c r="T57" s="1493" t="s">
        <v>3341</v>
      </c>
      <c r="U57" s="1493" t="s">
        <v>9461</v>
      </c>
      <c r="V57" s="1493" t="s">
        <v>5834</v>
      </c>
      <c r="W57" s="1493" t="s">
        <v>9744</v>
      </c>
      <c r="X57" s="1493" t="s">
        <v>648</v>
      </c>
      <c r="Y57" s="1493" t="s">
        <v>9745</v>
      </c>
      <c r="Z57" s="1493" t="s">
        <v>9746</v>
      </c>
      <c r="AA57" s="1656" t="s">
        <v>8604</v>
      </c>
      <c r="AB57" s="1493" t="s">
        <v>5952</v>
      </c>
      <c r="AC57" s="1493" t="s">
        <v>9747</v>
      </c>
      <c r="AD57" s="1493" t="s">
        <v>8896</v>
      </c>
      <c r="AE57" s="1493" t="s">
        <v>2656</v>
      </c>
      <c r="AF57" s="1493" t="s">
        <v>9748</v>
      </c>
      <c r="AG57" s="1638" t="s">
        <v>4713</v>
      </c>
      <c r="AH57" s="1638" t="s">
        <v>5279</v>
      </c>
      <c r="AI57" s="1493" t="s">
        <v>9749</v>
      </c>
      <c r="AJ57" s="1493" t="s">
        <v>9750</v>
      </c>
      <c r="AK57" s="1493" t="s">
        <v>7616</v>
      </c>
      <c r="AL57" s="1493" t="s">
        <v>3939</v>
      </c>
      <c r="AM57" s="1493" t="s">
        <v>9751</v>
      </c>
      <c r="AN57" s="1493" t="s">
        <v>3796</v>
      </c>
      <c r="AO57" s="1638" t="s">
        <v>8614</v>
      </c>
      <c r="AP57" s="1657" t="s">
        <v>8615</v>
      </c>
      <c r="AQ57" s="1493" t="s">
        <v>3365</v>
      </c>
      <c r="AR57" s="1493" t="s">
        <v>1697</v>
      </c>
      <c r="AS57" s="1493" t="s">
        <v>5244</v>
      </c>
      <c r="AT57" s="1493" t="s">
        <v>9752</v>
      </c>
      <c r="AU57" s="1493" t="s">
        <v>8913</v>
      </c>
      <c r="AV57" s="1491" t="str">
        <f t="shared" si="1"/>
        <v>2:22</v>
      </c>
      <c r="AW57" s="1525" t="s">
        <v>9753</v>
      </c>
    </row>
    <row r="58" ht="15.75" customHeight="1">
      <c r="A58" s="1529" t="s">
        <v>4093</v>
      </c>
      <c r="B58" s="1527" t="s">
        <v>8531</v>
      </c>
      <c r="C58" s="1484">
        <v>0.05153935185185185</v>
      </c>
      <c r="D58" s="1562" t="s">
        <v>9754</v>
      </c>
      <c r="E58" s="1562" t="s">
        <v>6731</v>
      </c>
      <c r="F58" s="1562" t="s">
        <v>9755</v>
      </c>
      <c r="G58" s="1562" t="s">
        <v>4988</v>
      </c>
      <c r="H58" s="1401" t="s">
        <v>9756</v>
      </c>
      <c r="I58" s="1562" t="s">
        <v>1421</v>
      </c>
      <c r="J58" s="1562" t="s">
        <v>9757</v>
      </c>
      <c r="K58" s="1562" t="s">
        <v>3684</v>
      </c>
      <c r="L58" s="1562" t="s">
        <v>4315</v>
      </c>
      <c r="M58" s="1562" t="s">
        <v>7211</v>
      </c>
      <c r="N58" s="1562" t="s">
        <v>9758</v>
      </c>
      <c r="O58" s="1562" t="s">
        <v>3874</v>
      </c>
      <c r="P58" s="1562" t="s">
        <v>7046</v>
      </c>
      <c r="Q58" s="1562" t="s">
        <v>9759</v>
      </c>
      <c r="R58" s="1562" t="s">
        <v>3496</v>
      </c>
      <c r="S58" s="1658" t="s">
        <v>9400</v>
      </c>
      <c r="T58" s="1562" t="s">
        <v>9210</v>
      </c>
      <c r="U58" s="1562" t="s">
        <v>9760</v>
      </c>
      <c r="V58" s="1562" t="s">
        <v>1869</v>
      </c>
      <c r="W58" s="1562" t="s">
        <v>9761</v>
      </c>
      <c r="X58" s="1562" t="s">
        <v>1754</v>
      </c>
      <c r="Y58" s="1562" t="s">
        <v>3697</v>
      </c>
      <c r="Z58" s="1562" t="s">
        <v>7387</v>
      </c>
      <c r="AA58" s="1562" t="s">
        <v>935</v>
      </c>
      <c r="AB58" s="1562" t="s">
        <v>9762</v>
      </c>
      <c r="AC58" s="1562" t="s">
        <v>9747</v>
      </c>
      <c r="AD58" s="1562" t="s">
        <v>9763</v>
      </c>
      <c r="AE58" s="1562" t="s">
        <v>4995</v>
      </c>
      <c r="AF58" s="1486" t="s">
        <v>9764</v>
      </c>
      <c r="AG58" s="1562" t="s">
        <v>9765</v>
      </c>
      <c r="AH58" s="1562" t="s">
        <v>9766</v>
      </c>
      <c r="AI58" s="1562" t="s">
        <v>9767</v>
      </c>
      <c r="AJ58" s="1562" t="s">
        <v>9768</v>
      </c>
      <c r="AK58" s="1562" t="s">
        <v>5168</v>
      </c>
      <c r="AL58" s="1562" t="s">
        <v>9572</v>
      </c>
      <c r="AM58" s="1562" t="s">
        <v>9749</v>
      </c>
      <c r="AN58" s="1562" t="s">
        <v>2645</v>
      </c>
      <c r="AO58" s="1562" t="s">
        <v>5709</v>
      </c>
      <c r="AP58" s="1658" t="s">
        <v>9509</v>
      </c>
      <c r="AQ58" s="1562" t="s">
        <v>9769</v>
      </c>
      <c r="AR58" s="1562" t="s">
        <v>5062</v>
      </c>
      <c r="AS58" s="1562" t="s">
        <v>9177</v>
      </c>
      <c r="AT58" s="1562" t="s">
        <v>9770</v>
      </c>
      <c r="AU58" s="1562" t="s">
        <v>9771</v>
      </c>
      <c r="AV58" s="1659" t="str">
        <f t="shared" si="1"/>
        <v>2:41</v>
      </c>
      <c r="AW58" s="1660" t="s">
        <v>9772</v>
      </c>
    </row>
    <row r="59" ht="15.75" customHeight="1">
      <c r="A59" s="1482" t="s">
        <v>2036</v>
      </c>
      <c r="B59" s="1483" t="s">
        <v>8531</v>
      </c>
      <c r="C59" s="1484">
        <v>0.05157407407407407</v>
      </c>
      <c r="D59" s="1401" t="s">
        <v>9773</v>
      </c>
      <c r="E59" s="1533" t="s">
        <v>9774</v>
      </c>
      <c r="F59" s="1533" t="s">
        <v>9775</v>
      </c>
      <c r="G59" s="1547" t="s">
        <v>9271</v>
      </c>
      <c r="H59" s="1534" t="s">
        <v>9776</v>
      </c>
      <c r="I59" s="1534" t="s">
        <v>2113</v>
      </c>
      <c r="J59" s="1549" t="s">
        <v>5521</v>
      </c>
      <c r="K59" s="1549" t="s">
        <v>3614</v>
      </c>
      <c r="L59" s="1549" t="s">
        <v>9777</v>
      </c>
      <c r="M59" s="1549" t="s">
        <v>9444</v>
      </c>
      <c r="N59" s="1549" t="s">
        <v>1282</v>
      </c>
      <c r="O59" s="1549" t="s">
        <v>9744</v>
      </c>
      <c r="P59" s="1549" t="s">
        <v>8758</v>
      </c>
      <c r="Q59" s="1550" t="s">
        <v>9778</v>
      </c>
      <c r="R59" s="1550" t="s">
        <v>9779</v>
      </c>
      <c r="S59" s="1550" t="s">
        <v>9780</v>
      </c>
      <c r="T59" s="1550" t="s">
        <v>7391</v>
      </c>
      <c r="U59" s="1550" t="s">
        <v>7326</v>
      </c>
      <c r="V59" s="1550" t="s">
        <v>5154</v>
      </c>
      <c r="W59" s="1551" t="s">
        <v>9781</v>
      </c>
      <c r="X59" s="1551" t="s">
        <v>9782</v>
      </c>
      <c r="Y59" s="1551" t="s">
        <v>9639</v>
      </c>
      <c r="Z59" s="1551" t="s">
        <v>8605</v>
      </c>
      <c r="AA59" s="1551" t="s">
        <v>6013</v>
      </c>
      <c r="AB59" s="1551" t="s">
        <v>5730</v>
      </c>
      <c r="AC59" s="1551" t="s">
        <v>6345</v>
      </c>
      <c r="AD59" s="1533" t="s">
        <v>9783</v>
      </c>
      <c r="AE59" s="1547" t="s">
        <v>5572</v>
      </c>
      <c r="AF59" s="1552" t="s">
        <v>9784</v>
      </c>
      <c r="AG59" s="1552" t="s">
        <v>9785</v>
      </c>
      <c r="AH59" s="1552" t="s">
        <v>9786</v>
      </c>
      <c r="AI59" s="1552" t="s">
        <v>1086</v>
      </c>
      <c r="AJ59" s="1552" t="s">
        <v>9787</v>
      </c>
      <c r="AK59" s="1538" t="s">
        <v>648</v>
      </c>
      <c r="AL59" s="1538" t="s">
        <v>9788</v>
      </c>
      <c r="AM59" s="1539" t="s">
        <v>3737</v>
      </c>
      <c r="AN59" s="1539" t="s">
        <v>9789</v>
      </c>
      <c r="AO59" s="1539" t="s">
        <v>9790</v>
      </c>
      <c r="AP59" s="1539" t="s">
        <v>9791</v>
      </c>
      <c r="AQ59" s="1539" t="s">
        <v>9792</v>
      </c>
      <c r="AR59" s="1540" t="s">
        <v>7877</v>
      </c>
      <c r="AS59" s="1539" t="s">
        <v>4519</v>
      </c>
      <c r="AT59" s="1549" t="s">
        <v>9793</v>
      </c>
      <c r="AU59" s="1553" t="s">
        <v>9794</v>
      </c>
      <c r="AV59" s="1491" t="str">
        <f t="shared" si="1"/>
        <v>4:40</v>
      </c>
      <c r="AW59" s="1624" t="s">
        <v>9795</v>
      </c>
    </row>
    <row r="60" ht="15.75" customHeight="1">
      <c r="A60" s="1529" t="s">
        <v>9796</v>
      </c>
      <c r="B60" s="1527" t="s">
        <v>8531</v>
      </c>
      <c r="C60" s="1484">
        <v>0.051631944444444446</v>
      </c>
      <c r="D60" s="1533" t="s">
        <v>9797</v>
      </c>
      <c r="E60" s="1533" t="s">
        <v>6594</v>
      </c>
      <c r="F60" s="1533" t="s">
        <v>8765</v>
      </c>
      <c r="G60" s="1533" t="s">
        <v>9798</v>
      </c>
      <c r="H60" s="1621" t="s">
        <v>9799</v>
      </c>
      <c r="I60" s="1621" t="s">
        <v>9800</v>
      </c>
      <c r="J60" s="1535" t="s">
        <v>9801</v>
      </c>
      <c r="K60" s="1535" t="s">
        <v>7616</v>
      </c>
      <c r="L60" s="1535" t="s">
        <v>4567</v>
      </c>
      <c r="M60" s="1535" t="s">
        <v>9802</v>
      </c>
      <c r="N60" s="1535" t="s">
        <v>6142</v>
      </c>
      <c r="O60" s="1535" t="s">
        <v>9803</v>
      </c>
      <c r="P60" s="1535" t="s">
        <v>6627</v>
      </c>
      <c r="Q60" s="1536" t="s">
        <v>9804</v>
      </c>
      <c r="R60" s="1536" t="s">
        <v>9636</v>
      </c>
      <c r="S60" s="1536" t="s">
        <v>5676</v>
      </c>
      <c r="T60" s="1536" t="s">
        <v>6182</v>
      </c>
      <c r="U60" s="1536" t="s">
        <v>9805</v>
      </c>
      <c r="V60" s="1536" t="s">
        <v>9806</v>
      </c>
      <c r="W60" s="1537" t="s">
        <v>9807</v>
      </c>
      <c r="X60" s="1537" t="s">
        <v>648</v>
      </c>
      <c r="Y60" s="1537" t="s">
        <v>5144</v>
      </c>
      <c r="Z60" s="1537" t="s">
        <v>9808</v>
      </c>
      <c r="AA60" s="1493" t="s">
        <v>9809</v>
      </c>
      <c r="AB60" s="1537" t="s">
        <v>9410</v>
      </c>
      <c r="AC60" s="1537" t="s">
        <v>4789</v>
      </c>
      <c r="AD60" s="1533" t="s">
        <v>9810</v>
      </c>
      <c r="AE60" s="1533" t="s">
        <v>9085</v>
      </c>
      <c r="AF60" s="1661" t="s">
        <v>9811</v>
      </c>
      <c r="AG60" s="1538" t="s">
        <v>6701</v>
      </c>
      <c r="AH60" s="1538" t="s">
        <v>9786</v>
      </c>
      <c r="AI60" s="1538" t="s">
        <v>4162</v>
      </c>
      <c r="AJ60" s="1538" t="s">
        <v>9812</v>
      </c>
      <c r="AK60" s="1538" t="s">
        <v>1594</v>
      </c>
      <c r="AL60" s="1538" t="s">
        <v>3543</v>
      </c>
      <c r="AM60" s="1540" t="s">
        <v>6013</v>
      </c>
      <c r="AN60" s="1540" t="s">
        <v>5694</v>
      </c>
      <c r="AO60" s="1540" t="s">
        <v>6528</v>
      </c>
      <c r="AP60" s="1540" t="s">
        <v>9813</v>
      </c>
      <c r="AQ60" s="1540" t="s">
        <v>3621</v>
      </c>
      <c r="AR60" s="1540" t="s">
        <v>9376</v>
      </c>
      <c r="AS60" s="1540" t="s">
        <v>4136</v>
      </c>
      <c r="AT60" s="1535" t="s">
        <v>9814</v>
      </c>
      <c r="AU60" s="1522" t="s">
        <v>9815</v>
      </c>
      <c r="AV60" s="1491" t="str">
        <f t="shared" si="1"/>
        <v>2:25</v>
      </c>
      <c r="AW60" s="1622" t="s">
        <v>9816</v>
      </c>
    </row>
    <row r="61" ht="15.75" customHeight="1">
      <c r="A61" s="1566" t="s">
        <v>9817</v>
      </c>
      <c r="B61" s="1483" t="s">
        <v>8531</v>
      </c>
      <c r="C61" s="1625">
        <v>0.051631944444444446</v>
      </c>
      <c r="D61" s="1401" t="s">
        <v>9818</v>
      </c>
      <c r="E61" s="1659" t="s">
        <v>9819</v>
      </c>
      <c r="F61" s="1659" t="s">
        <v>8615</v>
      </c>
      <c r="G61" s="1659" t="s">
        <v>9820</v>
      </c>
      <c r="H61" s="1659" t="s">
        <v>9821</v>
      </c>
      <c r="I61" s="1659" t="s">
        <v>9747</v>
      </c>
      <c r="J61" s="1659" t="s">
        <v>3615</v>
      </c>
      <c r="K61" s="1659" t="s">
        <v>9822</v>
      </c>
      <c r="L61" s="1659" t="s">
        <v>5413</v>
      </c>
      <c r="M61" s="1659" t="s">
        <v>736</v>
      </c>
      <c r="N61" s="1659" t="s">
        <v>9823</v>
      </c>
      <c r="O61" s="1659" t="s">
        <v>4798</v>
      </c>
      <c r="P61" s="1659" t="s">
        <v>8566</v>
      </c>
      <c r="Q61" s="1659" t="s">
        <v>9824</v>
      </c>
      <c r="R61" s="1659" t="s">
        <v>9825</v>
      </c>
      <c r="S61" s="1659" t="s">
        <v>9600</v>
      </c>
      <c r="T61" s="1659" t="s">
        <v>9666</v>
      </c>
      <c r="U61" s="1659" t="s">
        <v>9826</v>
      </c>
      <c r="V61" s="1659" t="s">
        <v>9827</v>
      </c>
      <c r="W61" s="1659" t="s">
        <v>9828</v>
      </c>
      <c r="X61" s="1659" t="s">
        <v>9749</v>
      </c>
      <c r="Y61" s="1659" t="s">
        <v>4789</v>
      </c>
      <c r="Z61" s="1659" t="s">
        <v>7317</v>
      </c>
      <c r="AA61" s="1659" t="s">
        <v>6353</v>
      </c>
      <c r="AB61" s="1659" t="s">
        <v>9829</v>
      </c>
      <c r="AC61" s="1659" t="s">
        <v>395</v>
      </c>
      <c r="AD61" s="1659" t="s">
        <v>6049</v>
      </c>
      <c r="AE61" s="1659" t="s">
        <v>2985</v>
      </c>
      <c r="AF61" s="1659" t="s">
        <v>9515</v>
      </c>
      <c r="AG61" s="1659" t="s">
        <v>9830</v>
      </c>
      <c r="AH61" s="1659" t="s">
        <v>5455</v>
      </c>
      <c r="AI61" s="1659" t="s">
        <v>4181</v>
      </c>
      <c r="AJ61" s="1659" t="s">
        <v>9831</v>
      </c>
      <c r="AK61" s="1659" t="s">
        <v>9662</v>
      </c>
      <c r="AL61" s="1659" t="s">
        <v>4592</v>
      </c>
      <c r="AM61" s="1659" t="s">
        <v>9832</v>
      </c>
      <c r="AN61" s="1659" t="s">
        <v>8368</v>
      </c>
      <c r="AO61" s="1659" t="s">
        <v>5195</v>
      </c>
      <c r="AP61" s="1659" t="s">
        <v>9833</v>
      </c>
      <c r="AQ61" s="1659" t="s">
        <v>3703</v>
      </c>
      <c r="AR61" s="1659" t="s">
        <v>9192</v>
      </c>
      <c r="AS61" s="1659" t="s">
        <v>4774</v>
      </c>
      <c r="AT61" s="1659" t="s">
        <v>9834</v>
      </c>
      <c r="AU61" s="1662" t="str">
        <f>HYPERLINK("https://splits.io/pc9","1:16:48")</f>
        <v>1:16:48</v>
      </c>
      <c r="AV61" s="1659" t="str">
        <f t="shared" si="1"/>
        <v>2:27</v>
      </c>
      <c r="AW61" s="1663" t="s">
        <v>9835</v>
      </c>
    </row>
    <row r="62" ht="15.75" customHeight="1">
      <c r="A62" s="1482" t="s">
        <v>5727</v>
      </c>
      <c r="B62" s="1483" t="s">
        <v>8531</v>
      </c>
      <c r="C62" s="1625">
        <v>0.051631944444444446</v>
      </c>
      <c r="D62" s="1401" t="s">
        <v>9836</v>
      </c>
      <c r="E62" s="1659" t="s">
        <v>6731</v>
      </c>
      <c r="F62" s="1659" t="s">
        <v>9837</v>
      </c>
      <c r="G62" s="1659" t="s">
        <v>5357</v>
      </c>
      <c r="H62" s="1659" t="s">
        <v>9422</v>
      </c>
      <c r="I62" s="1659" t="s">
        <v>4789</v>
      </c>
      <c r="J62" s="1659" t="s">
        <v>8755</v>
      </c>
      <c r="K62" s="1659" t="s">
        <v>8404</v>
      </c>
      <c r="L62" s="1659" t="s">
        <v>5811</v>
      </c>
      <c r="M62" s="1659" t="s">
        <v>903</v>
      </c>
      <c r="N62" s="1659" t="s">
        <v>9838</v>
      </c>
      <c r="O62" s="1659" t="s">
        <v>9634</v>
      </c>
      <c r="P62" s="1659" t="s">
        <v>9518</v>
      </c>
      <c r="Q62" s="1659" t="s">
        <v>9839</v>
      </c>
      <c r="R62" s="1659" t="s">
        <v>9779</v>
      </c>
      <c r="S62" s="1659" t="s">
        <v>7272</v>
      </c>
      <c r="T62" s="1659" t="s">
        <v>9840</v>
      </c>
      <c r="U62" s="1659" t="s">
        <v>9841</v>
      </c>
      <c r="V62" s="1659" t="s">
        <v>9842</v>
      </c>
      <c r="W62" s="1659" t="s">
        <v>9843</v>
      </c>
      <c r="X62" s="1659" t="s">
        <v>9844</v>
      </c>
      <c r="Y62" s="1659" t="s">
        <v>1213</v>
      </c>
      <c r="Z62" s="1659" t="s">
        <v>4880</v>
      </c>
      <c r="AA62" s="1659" t="s">
        <v>9845</v>
      </c>
      <c r="AB62" s="1659" t="s">
        <v>7345</v>
      </c>
      <c r="AC62" s="1659" t="s">
        <v>9846</v>
      </c>
      <c r="AD62" s="1659" t="s">
        <v>9847</v>
      </c>
      <c r="AE62" s="1562" t="s">
        <v>5551</v>
      </c>
      <c r="AF62" s="1659" t="s">
        <v>9848</v>
      </c>
      <c r="AG62" s="1659" t="s">
        <v>9849</v>
      </c>
      <c r="AH62" s="1659" t="s">
        <v>2300</v>
      </c>
      <c r="AI62" s="1659" t="s">
        <v>5280</v>
      </c>
      <c r="AJ62" s="1659" t="s">
        <v>8184</v>
      </c>
      <c r="AK62" s="1659" t="s">
        <v>1785</v>
      </c>
      <c r="AL62" s="1659" t="s">
        <v>5694</v>
      </c>
      <c r="AM62" s="1659" t="s">
        <v>9850</v>
      </c>
      <c r="AN62" s="1659" t="s">
        <v>9851</v>
      </c>
      <c r="AO62" s="1659" t="s">
        <v>8802</v>
      </c>
      <c r="AP62" s="1659" t="s">
        <v>9852</v>
      </c>
      <c r="AQ62" s="1659" t="s">
        <v>9853</v>
      </c>
      <c r="AR62" s="1659" t="s">
        <v>4866</v>
      </c>
      <c r="AS62" s="1659" t="s">
        <v>3054</v>
      </c>
      <c r="AT62" s="1659" t="s">
        <v>9854</v>
      </c>
      <c r="AU62" s="1659" t="s">
        <v>9855</v>
      </c>
      <c r="AV62" s="1659" t="str">
        <f t="shared" si="1"/>
        <v>3:33</v>
      </c>
      <c r="AW62" s="1663"/>
    </row>
    <row r="63" ht="15.75" customHeight="1">
      <c r="A63" s="1482" t="s">
        <v>4342</v>
      </c>
      <c r="B63" s="1483" t="s">
        <v>8531</v>
      </c>
      <c r="C63" s="1625">
        <v>0.05164351851851852</v>
      </c>
      <c r="D63" s="1401" t="s">
        <v>9856</v>
      </c>
      <c r="E63" s="1659" t="s">
        <v>8703</v>
      </c>
      <c r="F63" s="1659" t="s">
        <v>9857</v>
      </c>
      <c r="G63" s="1659" t="s">
        <v>8590</v>
      </c>
      <c r="H63" s="1659" t="s">
        <v>9858</v>
      </c>
      <c r="I63" s="1659" t="s">
        <v>1421</v>
      </c>
      <c r="J63" s="1659" t="s">
        <v>837</v>
      </c>
      <c r="K63" s="1659" t="s">
        <v>7261</v>
      </c>
      <c r="L63" s="1659" t="s">
        <v>3738</v>
      </c>
      <c r="M63" s="1659" t="s">
        <v>9802</v>
      </c>
      <c r="N63" s="1659" t="s">
        <v>8857</v>
      </c>
      <c r="O63" s="1659" t="s">
        <v>9522</v>
      </c>
      <c r="P63" s="1659" t="s">
        <v>5227</v>
      </c>
      <c r="Q63" s="1659" t="s">
        <v>9859</v>
      </c>
      <c r="R63" s="1659" t="s">
        <v>9860</v>
      </c>
      <c r="S63" s="1659" t="s">
        <v>9861</v>
      </c>
      <c r="T63" s="1659" t="s">
        <v>9862</v>
      </c>
      <c r="U63" s="1659" t="s">
        <v>9863</v>
      </c>
      <c r="V63" s="1659" t="s">
        <v>9864</v>
      </c>
      <c r="W63" s="1659" t="s">
        <v>9865</v>
      </c>
      <c r="X63" s="1659" t="s">
        <v>627</v>
      </c>
      <c r="Y63" s="1659" t="s">
        <v>9866</v>
      </c>
      <c r="Z63" s="1659" t="s">
        <v>7638</v>
      </c>
      <c r="AA63" s="1659" t="s">
        <v>5679</v>
      </c>
      <c r="AB63" s="1659" t="s">
        <v>6529</v>
      </c>
      <c r="AC63" s="1659" t="s">
        <v>6671</v>
      </c>
      <c r="AD63" s="1659" t="s">
        <v>9867</v>
      </c>
      <c r="AE63" s="1659" t="s">
        <v>2007</v>
      </c>
      <c r="AF63" s="1659" t="s">
        <v>9868</v>
      </c>
      <c r="AG63" s="1659" t="s">
        <v>542</v>
      </c>
      <c r="AH63" s="1659" t="s">
        <v>5455</v>
      </c>
      <c r="AI63" s="1659" t="s">
        <v>9869</v>
      </c>
      <c r="AJ63" s="1659" t="s">
        <v>9870</v>
      </c>
      <c r="AK63" s="1659" t="s">
        <v>9871</v>
      </c>
      <c r="AL63" s="1659" t="s">
        <v>5224</v>
      </c>
      <c r="AM63" s="1659" t="s">
        <v>9320</v>
      </c>
      <c r="AN63" s="1659" t="s">
        <v>8919</v>
      </c>
      <c r="AO63" s="1659" t="s">
        <v>8623</v>
      </c>
      <c r="AP63" s="1659" t="s">
        <v>9872</v>
      </c>
      <c r="AQ63" s="1659" t="s">
        <v>9873</v>
      </c>
      <c r="AR63" s="1659" t="s">
        <v>3637</v>
      </c>
      <c r="AS63" s="1659" t="s">
        <v>9874</v>
      </c>
      <c r="AT63" s="1659" t="s">
        <v>9663</v>
      </c>
      <c r="AU63" s="1659" t="s">
        <v>9875</v>
      </c>
      <c r="AV63" s="1659" t="str">
        <f t="shared" si="1"/>
        <v>3:13</v>
      </c>
      <c r="AW63" s="1663" t="s">
        <v>9876</v>
      </c>
    </row>
    <row r="64" ht="15.75" customHeight="1">
      <c r="A64" s="1497" t="s">
        <v>859</v>
      </c>
      <c r="B64" s="1649" t="s">
        <v>8586</v>
      </c>
      <c r="C64" s="1625">
        <v>0.05167824074074074</v>
      </c>
      <c r="D64" s="1401" t="s">
        <v>9877</v>
      </c>
      <c r="E64" s="1659" t="s">
        <v>9878</v>
      </c>
      <c r="F64" s="1659" t="s">
        <v>9879</v>
      </c>
      <c r="G64" s="1659" t="s">
        <v>9880</v>
      </c>
      <c r="H64" s="1659" t="s">
        <v>9881</v>
      </c>
      <c r="I64" s="1659" t="s">
        <v>1995</v>
      </c>
      <c r="J64" s="1659" t="s">
        <v>9740</v>
      </c>
      <c r="K64" s="1659" t="s">
        <v>8834</v>
      </c>
      <c r="L64" s="1659" t="s">
        <v>1906</v>
      </c>
      <c r="M64" s="1659" t="s">
        <v>7376</v>
      </c>
      <c r="N64" s="1659" t="s">
        <v>9882</v>
      </c>
      <c r="O64" s="1659" t="s">
        <v>9883</v>
      </c>
      <c r="P64" s="1659" t="s">
        <v>2504</v>
      </c>
      <c r="Q64" s="1659" t="s">
        <v>745</v>
      </c>
      <c r="R64" s="1659" t="s">
        <v>9884</v>
      </c>
      <c r="S64" s="1659" t="s">
        <v>9885</v>
      </c>
      <c r="T64" s="1659" t="s">
        <v>9886</v>
      </c>
      <c r="U64" s="1659" t="s">
        <v>9476</v>
      </c>
      <c r="V64" s="1659" t="s">
        <v>501</v>
      </c>
      <c r="W64" s="1659" t="s">
        <v>5881</v>
      </c>
      <c r="X64" s="1659" t="s">
        <v>9887</v>
      </c>
      <c r="Y64" s="1659" t="s">
        <v>908</v>
      </c>
      <c r="Z64" s="1659" t="s">
        <v>4069</v>
      </c>
      <c r="AA64" s="1659" t="s">
        <v>1698</v>
      </c>
      <c r="AB64" s="1659" t="s">
        <v>9888</v>
      </c>
      <c r="AC64" s="1659" t="s">
        <v>9889</v>
      </c>
      <c r="AD64" s="1562" t="s">
        <v>9890</v>
      </c>
      <c r="AE64" s="1659" t="s">
        <v>2021</v>
      </c>
      <c r="AF64" s="1659" t="s">
        <v>9361</v>
      </c>
      <c r="AG64" s="1659" t="s">
        <v>6810</v>
      </c>
      <c r="AH64" s="1659" t="s">
        <v>4567</v>
      </c>
      <c r="AI64" s="1659" t="s">
        <v>6303</v>
      </c>
      <c r="AJ64" s="1659" t="s">
        <v>9891</v>
      </c>
      <c r="AK64" s="1659" t="s">
        <v>5042</v>
      </c>
      <c r="AL64" s="1659" t="s">
        <v>5279</v>
      </c>
      <c r="AM64" s="1659" t="s">
        <v>9892</v>
      </c>
      <c r="AN64" s="1659" t="s">
        <v>9893</v>
      </c>
      <c r="AO64" s="1659" t="s">
        <v>9894</v>
      </c>
      <c r="AP64" s="1659" t="s">
        <v>9895</v>
      </c>
      <c r="AQ64" s="1659" t="s">
        <v>9896</v>
      </c>
      <c r="AR64" s="1659" t="s">
        <v>9897</v>
      </c>
      <c r="AS64" s="1659" t="s">
        <v>9898</v>
      </c>
      <c r="AT64" s="1659" t="s">
        <v>9899</v>
      </c>
      <c r="AU64" s="1659" t="s">
        <v>9900</v>
      </c>
      <c r="AV64" s="1659" t="str">
        <f t="shared" si="1"/>
        <v>2:51</v>
      </c>
      <c r="AW64" s="1664"/>
    </row>
    <row r="65" ht="15.75" customHeight="1">
      <c r="A65" s="1529" t="s">
        <v>4735</v>
      </c>
      <c r="B65" s="1542" t="s">
        <v>8560</v>
      </c>
      <c r="C65" s="1625">
        <v>0.05170138888888889</v>
      </c>
      <c r="D65" s="1401" t="s">
        <v>9901</v>
      </c>
      <c r="E65" s="1659" t="s">
        <v>4336</v>
      </c>
      <c r="F65" s="1659" t="s">
        <v>9466</v>
      </c>
      <c r="G65" s="1659" t="s">
        <v>8957</v>
      </c>
      <c r="H65" s="1659" t="s">
        <v>9902</v>
      </c>
      <c r="I65" s="1659" t="s">
        <v>9903</v>
      </c>
      <c r="J65" s="1659" t="s">
        <v>9481</v>
      </c>
      <c r="K65" s="1659" t="s">
        <v>8802</v>
      </c>
      <c r="L65" s="1659" t="s">
        <v>4139</v>
      </c>
      <c r="M65" s="1659" t="s">
        <v>7573</v>
      </c>
      <c r="N65" s="1659" t="s">
        <v>6059</v>
      </c>
      <c r="O65" s="1659" t="s">
        <v>9584</v>
      </c>
      <c r="P65" s="1659" t="s">
        <v>496</v>
      </c>
      <c r="Q65" s="1659" t="s">
        <v>2927</v>
      </c>
      <c r="R65" s="1659" t="s">
        <v>9904</v>
      </c>
      <c r="S65" s="1659" t="s">
        <v>9790</v>
      </c>
      <c r="T65" s="1659" t="s">
        <v>2851</v>
      </c>
      <c r="U65" s="1659" t="s">
        <v>9905</v>
      </c>
      <c r="V65" s="1659" t="s">
        <v>9906</v>
      </c>
      <c r="W65" s="1659" t="s">
        <v>9828</v>
      </c>
      <c r="X65" s="1659" t="s">
        <v>3737</v>
      </c>
      <c r="Y65" s="1659" t="s">
        <v>2481</v>
      </c>
      <c r="Z65" s="1659" t="s">
        <v>504</v>
      </c>
      <c r="AA65" s="1659" t="s">
        <v>648</v>
      </c>
      <c r="AB65" s="1659" t="s">
        <v>9907</v>
      </c>
      <c r="AC65" s="1659" t="s">
        <v>968</v>
      </c>
      <c r="AD65" s="1659" t="s">
        <v>9538</v>
      </c>
      <c r="AE65" s="1659" t="s">
        <v>703</v>
      </c>
      <c r="AF65" s="1659" t="s">
        <v>9908</v>
      </c>
      <c r="AG65" s="1659" t="s">
        <v>9909</v>
      </c>
      <c r="AH65" s="1659" t="s">
        <v>9910</v>
      </c>
      <c r="AI65" s="1659" t="s">
        <v>9911</v>
      </c>
      <c r="AJ65" s="1659" t="s">
        <v>9912</v>
      </c>
      <c r="AK65" s="1659" t="s">
        <v>9485</v>
      </c>
      <c r="AL65" s="1659" t="s">
        <v>9913</v>
      </c>
      <c r="AM65" s="1659" t="s">
        <v>9767</v>
      </c>
      <c r="AN65" s="1659" t="s">
        <v>9914</v>
      </c>
      <c r="AO65" s="1659" t="s">
        <v>9529</v>
      </c>
      <c r="AP65" s="1659" t="s">
        <v>3299</v>
      </c>
      <c r="AQ65" s="1659" t="s">
        <v>9915</v>
      </c>
      <c r="AR65" s="1659" t="s">
        <v>9916</v>
      </c>
      <c r="AS65" s="1659" t="s">
        <v>6411</v>
      </c>
      <c r="AT65" s="1659" t="s">
        <v>9917</v>
      </c>
      <c r="AU65" s="1659" t="s">
        <v>9918</v>
      </c>
      <c r="AV65" s="1659" t="str">
        <f t="shared" si="1"/>
        <v>2:37</v>
      </c>
      <c r="AW65" s="1664" t="s">
        <v>9919</v>
      </c>
    </row>
    <row r="66" ht="15.75" customHeight="1">
      <c r="A66" s="1529" t="s">
        <v>5088</v>
      </c>
      <c r="B66" s="1524" t="s">
        <v>8560</v>
      </c>
      <c r="C66" s="1484">
        <v>0.05171296296296296</v>
      </c>
      <c r="D66" s="1635" t="s">
        <v>9920</v>
      </c>
      <c r="E66" s="1562" t="s">
        <v>9921</v>
      </c>
      <c r="F66" s="1562" t="s">
        <v>1538</v>
      </c>
      <c r="G66" s="1562" t="s">
        <v>9922</v>
      </c>
      <c r="H66" s="1562" t="s">
        <v>9923</v>
      </c>
      <c r="I66" s="1562" t="s">
        <v>9924</v>
      </c>
      <c r="J66" s="1562" t="s">
        <v>1017</v>
      </c>
      <c r="K66" s="1562" t="s">
        <v>4969</v>
      </c>
      <c r="L66" s="1562" t="s">
        <v>1896</v>
      </c>
      <c r="M66" s="1665" t="s">
        <v>9925</v>
      </c>
      <c r="N66" s="1562" t="s">
        <v>9926</v>
      </c>
      <c r="O66" s="1562" t="s">
        <v>1862</v>
      </c>
      <c r="P66" s="1562" t="s">
        <v>5144</v>
      </c>
      <c r="Q66" s="1562" t="s">
        <v>9927</v>
      </c>
      <c r="R66" s="1562" t="s">
        <v>9928</v>
      </c>
      <c r="S66" s="1562" t="s">
        <v>8649</v>
      </c>
      <c r="T66" s="1562" t="s">
        <v>9929</v>
      </c>
      <c r="U66" s="1562" t="s">
        <v>9717</v>
      </c>
      <c r="V66" s="1665" t="s">
        <v>9930</v>
      </c>
      <c r="W66" s="1665" t="s">
        <v>9931</v>
      </c>
      <c r="X66" s="1562" t="s">
        <v>9590</v>
      </c>
      <c r="Y66" s="1401" t="s">
        <v>9273</v>
      </c>
      <c r="Z66" s="1562" t="s">
        <v>1591</v>
      </c>
      <c r="AA66" s="1562" t="s">
        <v>1467</v>
      </c>
      <c r="AB66" s="1665" t="s">
        <v>9932</v>
      </c>
      <c r="AC66" s="1562" t="s">
        <v>2007</v>
      </c>
      <c r="AD66" s="1562" t="s">
        <v>9933</v>
      </c>
      <c r="AE66" s="1562" t="s">
        <v>3897</v>
      </c>
      <c r="AF66" s="1562" t="s">
        <v>9934</v>
      </c>
      <c r="AG66" s="1562" t="s">
        <v>542</v>
      </c>
      <c r="AH66" s="1562" t="s">
        <v>9935</v>
      </c>
      <c r="AI66" s="1562" t="s">
        <v>5483</v>
      </c>
      <c r="AJ66" s="1562" t="s">
        <v>9936</v>
      </c>
      <c r="AK66" s="1562" t="s">
        <v>9937</v>
      </c>
      <c r="AL66" s="1562" t="s">
        <v>1739</v>
      </c>
      <c r="AM66" s="1562" t="s">
        <v>9758</v>
      </c>
      <c r="AN66" s="1562" t="s">
        <v>9938</v>
      </c>
      <c r="AO66" s="1562" t="s">
        <v>2823</v>
      </c>
      <c r="AP66" s="1562" t="s">
        <v>2085</v>
      </c>
      <c r="AQ66" s="1562" t="s">
        <v>787</v>
      </c>
      <c r="AR66" s="1562" t="s">
        <v>9557</v>
      </c>
      <c r="AS66" s="1562" t="s">
        <v>7051</v>
      </c>
      <c r="AT66" s="1562" t="s">
        <v>9939</v>
      </c>
      <c r="AU66" s="1562" t="s">
        <v>9940</v>
      </c>
      <c r="AV66" s="1659" t="str">
        <f t="shared" si="1"/>
        <v>4:14</v>
      </c>
      <c r="AW66" s="1660" t="s">
        <v>9941</v>
      </c>
    </row>
    <row r="67" ht="15.75" customHeight="1">
      <c r="A67" s="1529" t="s">
        <v>2234</v>
      </c>
      <c r="B67" s="1645" t="s">
        <v>8560</v>
      </c>
      <c r="C67" s="1484">
        <v>0.05173611111111111</v>
      </c>
      <c r="D67" s="1401" t="s">
        <v>9942</v>
      </c>
      <c r="E67" s="1562" t="s">
        <v>9943</v>
      </c>
      <c r="F67" s="1562" t="s">
        <v>9944</v>
      </c>
      <c r="G67" s="1562" t="s">
        <v>9945</v>
      </c>
      <c r="H67" s="1562" t="s">
        <v>7508</v>
      </c>
      <c r="I67" s="1562" t="s">
        <v>509</v>
      </c>
      <c r="J67" s="1562" t="s">
        <v>8900</v>
      </c>
      <c r="K67" s="1562" t="s">
        <v>9946</v>
      </c>
      <c r="L67" s="1562" t="s">
        <v>7127</v>
      </c>
      <c r="M67" s="1562" t="s">
        <v>3654</v>
      </c>
      <c r="N67" s="1562" t="s">
        <v>9947</v>
      </c>
      <c r="O67" s="1562" t="s">
        <v>9948</v>
      </c>
      <c r="P67" s="1562" t="s">
        <v>3826</v>
      </c>
      <c r="Q67" s="1562" t="s">
        <v>9949</v>
      </c>
      <c r="R67" s="1562" t="s">
        <v>9884</v>
      </c>
      <c r="S67" s="1562" t="s">
        <v>5618</v>
      </c>
      <c r="T67" s="1562" t="s">
        <v>9950</v>
      </c>
      <c r="U67" s="1562" t="s">
        <v>9951</v>
      </c>
      <c r="V67" s="1562" t="s">
        <v>364</v>
      </c>
      <c r="W67" s="1562" t="s">
        <v>5683</v>
      </c>
      <c r="X67" s="1562" t="s">
        <v>9785</v>
      </c>
      <c r="Y67" s="1562" t="s">
        <v>1213</v>
      </c>
      <c r="Z67" s="1562" t="s">
        <v>9952</v>
      </c>
      <c r="AA67" s="1562" t="s">
        <v>6353</v>
      </c>
      <c r="AB67" s="1562" t="s">
        <v>6527</v>
      </c>
      <c r="AC67" s="1562" t="s">
        <v>1670</v>
      </c>
      <c r="AD67" s="1562" t="s">
        <v>9810</v>
      </c>
      <c r="AE67" s="1562" t="s">
        <v>9245</v>
      </c>
      <c r="AF67" s="1562" t="s">
        <v>9259</v>
      </c>
      <c r="AG67" s="1562" t="s">
        <v>4952</v>
      </c>
      <c r="AH67" s="1562" t="s">
        <v>9953</v>
      </c>
      <c r="AI67" s="1562" t="s">
        <v>9954</v>
      </c>
      <c r="AJ67" s="1562" t="s">
        <v>9955</v>
      </c>
      <c r="AK67" s="1562" t="s">
        <v>8868</v>
      </c>
      <c r="AL67" s="1562" t="s">
        <v>9956</v>
      </c>
      <c r="AM67" s="1562" t="s">
        <v>2909</v>
      </c>
      <c r="AN67" s="1562" t="s">
        <v>5224</v>
      </c>
      <c r="AO67" s="1562" t="s">
        <v>9710</v>
      </c>
      <c r="AP67" s="1562" t="s">
        <v>9957</v>
      </c>
      <c r="AQ67" s="1562" t="s">
        <v>9958</v>
      </c>
      <c r="AR67" s="1562" t="s">
        <v>426</v>
      </c>
      <c r="AS67" s="1562" t="s">
        <v>9959</v>
      </c>
      <c r="AT67" s="1562" t="s">
        <v>9960</v>
      </c>
      <c r="AU67" s="1562" t="s">
        <v>9961</v>
      </c>
      <c r="AV67" s="1659" t="str">
        <f t="shared" si="1"/>
        <v>3:51</v>
      </c>
      <c r="AW67" s="1660" t="s">
        <v>9962</v>
      </c>
    </row>
    <row r="68" ht="15.75" customHeight="1">
      <c r="A68" s="1529" t="s">
        <v>8286</v>
      </c>
      <c r="B68" s="1527" t="s">
        <v>8586</v>
      </c>
      <c r="C68" s="1484">
        <v>0.051805555555555556</v>
      </c>
      <c r="D68" s="1562" t="s">
        <v>9963</v>
      </c>
      <c r="E68" s="1562" t="s">
        <v>9964</v>
      </c>
      <c r="F68" s="1401" t="s">
        <v>9965</v>
      </c>
      <c r="G68" s="1562" t="s">
        <v>9966</v>
      </c>
      <c r="H68" s="1502" t="s">
        <v>9967</v>
      </c>
      <c r="I68" s="1502">
        <v>49.81</v>
      </c>
      <c r="J68" s="1502" t="s">
        <v>9968</v>
      </c>
      <c r="K68" s="1502" t="s">
        <v>6194</v>
      </c>
      <c r="L68" s="1502">
        <v>59.57</v>
      </c>
      <c r="M68" s="1502" t="s">
        <v>9969</v>
      </c>
      <c r="N68" s="1502" t="s">
        <v>9970</v>
      </c>
      <c r="O68" s="1501" t="s">
        <v>7428</v>
      </c>
      <c r="P68" s="1501" t="s">
        <v>9971</v>
      </c>
      <c r="Q68" s="1501" t="s">
        <v>9972</v>
      </c>
      <c r="R68" s="1502" t="s">
        <v>9973</v>
      </c>
      <c r="S68" s="1502" t="s">
        <v>9600</v>
      </c>
      <c r="T68" s="1502" t="s">
        <v>9974</v>
      </c>
      <c r="U68" s="1502" t="s">
        <v>9975</v>
      </c>
      <c r="V68" s="1502" t="s">
        <v>4470</v>
      </c>
      <c r="W68" s="1502" t="s">
        <v>9976</v>
      </c>
      <c r="X68" s="1502" t="s">
        <v>9977</v>
      </c>
      <c r="Y68" s="1501" t="s">
        <v>9486</v>
      </c>
      <c r="Z68" s="1666" t="s">
        <v>8603</v>
      </c>
      <c r="AA68" s="1502" t="s">
        <v>938</v>
      </c>
      <c r="AB68" s="1501" t="s">
        <v>4372</v>
      </c>
      <c r="AC68" s="1502">
        <v>49.53</v>
      </c>
      <c r="AD68" s="1502" t="s">
        <v>1947</v>
      </c>
      <c r="AE68" s="1501" t="s">
        <v>9978</v>
      </c>
      <c r="AF68" s="1502" t="s">
        <v>8763</v>
      </c>
      <c r="AG68" s="1502" t="s">
        <v>9979</v>
      </c>
      <c r="AH68" s="1502">
        <v>59.93</v>
      </c>
      <c r="AI68" s="1502" t="s">
        <v>9980</v>
      </c>
      <c r="AJ68" s="1502" t="s">
        <v>9981</v>
      </c>
      <c r="AK68" s="1502" t="s">
        <v>5869</v>
      </c>
      <c r="AL68" s="1502">
        <v>59.13</v>
      </c>
      <c r="AM68" s="1502" t="s">
        <v>9916</v>
      </c>
      <c r="AN68" s="1502">
        <v>57.86</v>
      </c>
      <c r="AO68" s="1502" t="s">
        <v>7725</v>
      </c>
      <c r="AP68" s="1502" t="s">
        <v>9982</v>
      </c>
      <c r="AQ68" s="1502" t="s">
        <v>9492</v>
      </c>
      <c r="AR68" s="1502" t="s">
        <v>6080</v>
      </c>
      <c r="AS68" s="1502">
        <v>47.67</v>
      </c>
      <c r="AT68" s="1562" t="s">
        <v>9983</v>
      </c>
      <c r="AU68" s="1562" t="s">
        <v>9984</v>
      </c>
      <c r="AV68" s="1659" t="str">
        <f t="shared" si="1"/>
        <v>2:57</v>
      </c>
      <c r="AW68" s="1667" t="s">
        <v>9985</v>
      </c>
    </row>
    <row r="69">
      <c r="A69" s="1668" t="s">
        <v>1384</v>
      </c>
      <c r="B69" s="1524" t="s">
        <v>8560</v>
      </c>
      <c r="C69" s="1669">
        <v>0.05181712962962963</v>
      </c>
      <c r="D69" s="1486" t="s">
        <v>9986</v>
      </c>
      <c r="E69" s="1615" t="s">
        <v>9987</v>
      </c>
      <c r="F69" s="1486" t="s">
        <v>9988</v>
      </c>
      <c r="G69" s="1486" t="s">
        <v>9989</v>
      </c>
      <c r="H69" s="1486" t="s">
        <v>9990</v>
      </c>
      <c r="I69" s="1486" t="s">
        <v>5082</v>
      </c>
      <c r="J69" s="1486" t="s">
        <v>8885</v>
      </c>
      <c r="K69" s="1615" t="s">
        <v>9164</v>
      </c>
      <c r="L69" s="1486" t="s">
        <v>9953</v>
      </c>
      <c r="M69" s="1486" t="s">
        <v>1523</v>
      </c>
      <c r="N69" s="1615" t="s">
        <v>9454</v>
      </c>
      <c r="O69" s="1486" t="s">
        <v>7480</v>
      </c>
      <c r="P69" s="1486" t="s">
        <v>9092</v>
      </c>
      <c r="Q69" s="1486" t="s">
        <v>9991</v>
      </c>
      <c r="R69" s="1486" t="s">
        <v>3224</v>
      </c>
      <c r="S69" s="1615" t="s">
        <v>4977</v>
      </c>
      <c r="T69" s="1486" t="s">
        <v>9992</v>
      </c>
      <c r="U69" s="1615" t="s">
        <v>9993</v>
      </c>
      <c r="V69" s="1486" t="s">
        <v>9906</v>
      </c>
      <c r="W69" s="1486" t="s">
        <v>9994</v>
      </c>
      <c r="X69" s="1486" t="s">
        <v>9547</v>
      </c>
      <c r="Y69" s="1486" t="s">
        <v>9995</v>
      </c>
      <c r="Z69" s="1615" t="s">
        <v>6275</v>
      </c>
      <c r="AA69" s="1486" t="s">
        <v>928</v>
      </c>
      <c r="AB69" s="1486" t="s">
        <v>9996</v>
      </c>
      <c r="AC69" s="1486" t="s">
        <v>2113</v>
      </c>
      <c r="AD69" s="1486" t="s">
        <v>9997</v>
      </c>
      <c r="AE69" s="1615" t="s">
        <v>6627</v>
      </c>
      <c r="AF69" s="1486" t="s">
        <v>9663</v>
      </c>
      <c r="AG69" s="1486" t="s">
        <v>408</v>
      </c>
      <c r="AH69" s="1486" t="s">
        <v>9998</v>
      </c>
      <c r="AI69" s="1486" t="s">
        <v>245</v>
      </c>
      <c r="AJ69" s="1615" t="s">
        <v>9999</v>
      </c>
      <c r="AK69" s="1486" t="s">
        <v>9263</v>
      </c>
      <c r="AL69" s="1486" t="s">
        <v>4804</v>
      </c>
      <c r="AM69" s="1486" t="s">
        <v>10000</v>
      </c>
      <c r="AN69" s="1486" t="s">
        <v>9314</v>
      </c>
      <c r="AO69" s="1486" t="s">
        <v>10001</v>
      </c>
      <c r="AP69" s="1615" t="s">
        <v>10002</v>
      </c>
      <c r="AQ69" s="1486" t="s">
        <v>10003</v>
      </c>
      <c r="AR69" s="1486" t="s">
        <v>10004</v>
      </c>
      <c r="AS69" s="1615" t="s">
        <v>357</v>
      </c>
      <c r="AT69" s="1486" t="s">
        <v>10005</v>
      </c>
      <c r="AU69" s="1493" t="s">
        <v>10006</v>
      </c>
      <c r="AV69" s="1553" t="str">
        <f t="shared" si="1"/>
        <v>3:49</v>
      </c>
      <c r="AW69" s="1670" t="s">
        <v>10007</v>
      </c>
    </row>
    <row r="70" ht="15.75" customHeight="1">
      <c r="A70" s="1482" t="s">
        <v>3111</v>
      </c>
      <c r="B70" s="1542" t="s">
        <v>8560</v>
      </c>
      <c r="C70" s="1625">
        <v>0.051863425925925924</v>
      </c>
      <c r="D70" s="1401" t="s">
        <v>10008</v>
      </c>
      <c r="E70" s="1659" t="s">
        <v>6390</v>
      </c>
      <c r="F70" s="1659" t="s">
        <v>10009</v>
      </c>
      <c r="G70" s="1659" t="s">
        <v>10010</v>
      </c>
      <c r="H70" s="1659" t="s">
        <v>10011</v>
      </c>
      <c r="I70" s="1659" t="s">
        <v>2130</v>
      </c>
      <c r="J70" s="1659" t="s">
        <v>1839</v>
      </c>
      <c r="K70" s="1659" t="s">
        <v>1666</v>
      </c>
      <c r="L70" s="1659" t="s">
        <v>3119</v>
      </c>
      <c r="M70" s="1659" t="s">
        <v>9779</v>
      </c>
      <c r="N70" s="1659" t="s">
        <v>5168</v>
      </c>
      <c r="O70" s="1659" t="s">
        <v>10012</v>
      </c>
      <c r="P70" s="1659" t="s">
        <v>1286</v>
      </c>
      <c r="Q70" s="1659" t="s">
        <v>10013</v>
      </c>
      <c r="R70" s="1659" t="s">
        <v>10014</v>
      </c>
      <c r="S70" s="1659" t="s">
        <v>10015</v>
      </c>
      <c r="T70" s="1659" t="s">
        <v>10016</v>
      </c>
      <c r="U70" s="1659" t="s">
        <v>10017</v>
      </c>
      <c r="V70" s="1659" t="s">
        <v>9566</v>
      </c>
      <c r="W70" s="1659" t="s">
        <v>10018</v>
      </c>
      <c r="X70" s="1659" t="s">
        <v>9911</v>
      </c>
      <c r="Y70" s="1659" t="s">
        <v>3248</v>
      </c>
      <c r="Z70" s="1659" t="s">
        <v>10019</v>
      </c>
      <c r="AA70" s="1659" t="s">
        <v>10020</v>
      </c>
      <c r="AB70" s="1659" t="s">
        <v>8407</v>
      </c>
      <c r="AC70" s="1659" t="s">
        <v>968</v>
      </c>
      <c r="AD70" s="1659" t="s">
        <v>10021</v>
      </c>
      <c r="AE70" s="1659" t="s">
        <v>1231</v>
      </c>
      <c r="AF70" s="1659" t="s">
        <v>10022</v>
      </c>
      <c r="AG70" s="1659" t="s">
        <v>10023</v>
      </c>
      <c r="AH70" s="1659" t="s">
        <v>5413</v>
      </c>
      <c r="AI70" s="1659" t="s">
        <v>9954</v>
      </c>
      <c r="AJ70" s="1659" t="s">
        <v>10024</v>
      </c>
      <c r="AK70" s="1659" t="s">
        <v>1999</v>
      </c>
      <c r="AL70" s="1659" t="s">
        <v>9998</v>
      </c>
      <c r="AM70" s="1659" t="s">
        <v>10025</v>
      </c>
      <c r="AN70" s="1659" t="s">
        <v>9474</v>
      </c>
      <c r="AO70" s="1659" t="s">
        <v>8757</v>
      </c>
      <c r="AP70" s="1659" t="s">
        <v>10026</v>
      </c>
      <c r="AQ70" s="1659" t="s">
        <v>10027</v>
      </c>
      <c r="AR70" s="1659" t="s">
        <v>2275</v>
      </c>
      <c r="AS70" s="1659" t="s">
        <v>4858</v>
      </c>
      <c r="AT70" s="1659" t="s">
        <v>10028</v>
      </c>
      <c r="AU70" s="1659" t="s">
        <v>10029</v>
      </c>
      <c r="AV70" s="1659" t="str">
        <f t="shared" si="1"/>
        <v>2:06</v>
      </c>
      <c r="AW70" s="1660" t="s">
        <v>10030</v>
      </c>
    </row>
    <row r="71" ht="15.75" customHeight="1">
      <c r="A71" s="1482" t="s">
        <v>1174</v>
      </c>
      <c r="B71" s="1483" t="s">
        <v>8531</v>
      </c>
      <c r="C71" s="1625">
        <v>0.051875</v>
      </c>
      <c r="D71" s="1401" t="s">
        <v>10031</v>
      </c>
      <c r="E71" s="1659" t="s">
        <v>3333</v>
      </c>
      <c r="F71" s="1659" t="s">
        <v>10032</v>
      </c>
      <c r="G71" s="1659" t="s">
        <v>10033</v>
      </c>
      <c r="H71" s="1659" t="s">
        <v>10034</v>
      </c>
      <c r="I71" s="1659" t="s">
        <v>10035</v>
      </c>
      <c r="J71" s="1659" t="s">
        <v>2619</v>
      </c>
      <c r="K71" s="1659" t="s">
        <v>10036</v>
      </c>
      <c r="L71" s="1659" t="s">
        <v>8624</v>
      </c>
      <c r="M71" s="1659" t="s">
        <v>7591</v>
      </c>
      <c r="N71" s="1659" t="s">
        <v>9666</v>
      </c>
      <c r="O71" s="1659" t="s">
        <v>4581</v>
      </c>
      <c r="P71" s="1659" t="s">
        <v>1597</v>
      </c>
      <c r="Q71" s="1659" t="s">
        <v>10037</v>
      </c>
      <c r="R71" s="1659" t="s">
        <v>9279</v>
      </c>
      <c r="S71" s="1659" t="s">
        <v>4546</v>
      </c>
      <c r="T71" s="1659" t="s">
        <v>10038</v>
      </c>
      <c r="U71" s="1659" t="s">
        <v>9826</v>
      </c>
      <c r="V71" s="1659" t="s">
        <v>6407</v>
      </c>
      <c r="W71" s="1659" t="s">
        <v>4581</v>
      </c>
      <c r="X71" s="1659" t="s">
        <v>9454</v>
      </c>
      <c r="Y71" s="1659" t="s">
        <v>9488</v>
      </c>
      <c r="Z71" s="1659" t="s">
        <v>10039</v>
      </c>
      <c r="AA71" s="1659" t="s">
        <v>429</v>
      </c>
      <c r="AB71" s="1659" t="s">
        <v>642</v>
      </c>
      <c r="AC71" s="1659" t="s">
        <v>10040</v>
      </c>
      <c r="AD71" s="1659" t="s">
        <v>9867</v>
      </c>
      <c r="AE71" s="1659" t="s">
        <v>979</v>
      </c>
      <c r="AF71" s="1659" t="s">
        <v>10041</v>
      </c>
      <c r="AG71" s="1659" t="s">
        <v>10042</v>
      </c>
      <c r="AH71" s="1659" t="s">
        <v>9777</v>
      </c>
      <c r="AI71" s="1659" t="s">
        <v>10043</v>
      </c>
      <c r="AJ71" s="1659" t="s">
        <v>10044</v>
      </c>
      <c r="AK71" s="1659" t="s">
        <v>10045</v>
      </c>
      <c r="AL71" s="1659" t="s">
        <v>5682</v>
      </c>
      <c r="AM71" s="1659" t="s">
        <v>10046</v>
      </c>
      <c r="AN71" s="1659" t="s">
        <v>6242</v>
      </c>
      <c r="AO71" s="1562" t="s">
        <v>9624</v>
      </c>
      <c r="AP71" s="1659" t="s">
        <v>10047</v>
      </c>
      <c r="AQ71" s="1659" t="s">
        <v>10048</v>
      </c>
      <c r="AR71" s="1659" t="s">
        <v>9301</v>
      </c>
      <c r="AS71" s="1659" t="s">
        <v>9367</v>
      </c>
      <c r="AT71" s="1659" t="s">
        <v>10049</v>
      </c>
      <c r="AU71" s="1562" t="s">
        <v>10050</v>
      </c>
      <c r="AV71" s="1659" t="str">
        <f t="shared" si="1"/>
        <v>0:37</v>
      </c>
      <c r="AW71" s="1664" t="s">
        <v>10051</v>
      </c>
    </row>
    <row r="72">
      <c r="A72" s="1529" t="s">
        <v>7885</v>
      </c>
      <c r="B72" s="1524" t="s">
        <v>8531</v>
      </c>
      <c r="C72" s="1484">
        <v>0.05188657407407407</v>
      </c>
      <c r="D72" s="1562" t="s">
        <v>10052</v>
      </c>
      <c r="E72" s="1401" t="s">
        <v>900</v>
      </c>
      <c r="F72" s="1401" t="s">
        <v>10053</v>
      </c>
      <c r="G72" s="1401" t="s">
        <v>10054</v>
      </c>
      <c r="H72" s="1401" t="s">
        <v>10055</v>
      </c>
      <c r="I72" s="1401" t="s">
        <v>703</v>
      </c>
      <c r="J72" s="1401" t="s">
        <v>4241</v>
      </c>
      <c r="K72" s="1401" t="s">
        <v>9274</v>
      </c>
      <c r="L72" s="1401" t="s">
        <v>2802</v>
      </c>
      <c r="M72" s="1401" t="s">
        <v>10056</v>
      </c>
      <c r="N72" s="1401" t="s">
        <v>4118</v>
      </c>
      <c r="O72" s="1401" t="s">
        <v>10057</v>
      </c>
      <c r="P72" s="1401" t="s">
        <v>5229</v>
      </c>
      <c r="Q72" s="1401" t="s">
        <v>10058</v>
      </c>
      <c r="R72" s="1401" t="s">
        <v>5601</v>
      </c>
      <c r="S72" s="1401" t="s">
        <v>10059</v>
      </c>
      <c r="T72" s="1401" t="s">
        <v>8608</v>
      </c>
      <c r="U72" s="1401" t="s">
        <v>10060</v>
      </c>
      <c r="V72" s="1401" t="s">
        <v>5508</v>
      </c>
      <c r="W72" s="1401" t="s">
        <v>10061</v>
      </c>
      <c r="X72" s="1401" t="s">
        <v>10062</v>
      </c>
      <c r="Y72" s="1401" t="s">
        <v>10063</v>
      </c>
      <c r="Z72" s="1401" t="s">
        <v>9286</v>
      </c>
      <c r="AA72" s="1401" t="s">
        <v>5202</v>
      </c>
      <c r="AB72" s="1401" t="s">
        <v>712</v>
      </c>
      <c r="AC72" s="1401" t="s">
        <v>10064</v>
      </c>
      <c r="AD72" s="1401" t="s">
        <v>3423</v>
      </c>
      <c r="AE72" s="1401" t="s">
        <v>5857</v>
      </c>
      <c r="AF72" s="1401" t="s">
        <v>10065</v>
      </c>
      <c r="AG72" s="1401" t="s">
        <v>2534</v>
      </c>
      <c r="AH72" s="1401" t="s">
        <v>2802</v>
      </c>
      <c r="AI72" s="1401" t="s">
        <v>3587</v>
      </c>
      <c r="AJ72" s="1401" t="s">
        <v>10066</v>
      </c>
      <c r="AK72" s="1401" t="s">
        <v>9293</v>
      </c>
      <c r="AL72" s="1401" t="s">
        <v>9739</v>
      </c>
      <c r="AM72" s="1401" t="s">
        <v>9261</v>
      </c>
      <c r="AN72" s="1401" t="s">
        <v>3648</v>
      </c>
      <c r="AO72" s="1401" t="s">
        <v>8750</v>
      </c>
      <c r="AP72" s="1401" t="s">
        <v>9691</v>
      </c>
      <c r="AQ72" s="1401" t="s">
        <v>10048</v>
      </c>
      <c r="AR72" s="1401" t="s">
        <v>10067</v>
      </c>
      <c r="AS72" s="1401" t="s">
        <v>6411</v>
      </c>
      <c r="AT72" s="1401" t="s">
        <v>10068</v>
      </c>
      <c r="AU72" s="1562" t="s">
        <v>10069</v>
      </c>
      <c r="AV72" s="1659" t="str">
        <f t="shared" si="1"/>
        <v>4:21</v>
      </c>
      <c r="AW72" s="1660" t="s">
        <v>10070</v>
      </c>
    </row>
    <row r="73" ht="15.75" customHeight="1">
      <c r="A73" s="1482" t="s">
        <v>4942</v>
      </c>
      <c r="B73" s="1649" t="s">
        <v>8586</v>
      </c>
      <c r="C73" s="1484">
        <v>0.051909722222222225</v>
      </c>
      <c r="D73" s="1671" t="s">
        <v>10071</v>
      </c>
      <c r="E73" s="1558" t="s">
        <v>2290</v>
      </c>
      <c r="F73" s="1558" t="s">
        <v>10072</v>
      </c>
      <c r="G73" s="1558" t="s">
        <v>10073</v>
      </c>
      <c r="H73" s="1558" t="s">
        <v>10074</v>
      </c>
      <c r="I73" s="1671">
        <v>49.97</v>
      </c>
      <c r="J73" s="1558" t="s">
        <v>2273</v>
      </c>
      <c r="K73" s="1558" t="s">
        <v>10075</v>
      </c>
      <c r="L73" s="1558" t="s">
        <v>10076</v>
      </c>
      <c r="M73" s="1558" t="s">
        <v>2989</v>
      </c>
      <c r="N73" s="1558" t="s">
        <v>4806</v>
      </c>
      <c r="O73" s="1558" t="s">
        <v>5875</v>
      </c>
      <c r="P73" s="1671">
        <v>48.99</v>
      </c>
      <c r="Q73" s="1558" t="s">
        <v>10077</v>
      </c>
      <c r="R73" s="1558" t="s">
        <v>5808</v>
      </c>
      <c r="S73" s="1558" t="s">
        <v>4310</v>
      </c>
      <c r="T73" s="1558" t="s">
        <v>10078</v>
      </c>
      <c r="U73" s="1558" t="s">
        <v>10079</v>
      </c>
      <c r="V73" s="1558" t="s">
        <v>2540</v>
      </c>
      <c r="W73" s="1558" t="s">
        <v>10080</v>
      </c>
      <c r="X73" s="1558" t="s">
        <v>9782</v>
      </c>
      <c r="Y73" s="1672">
        <v>47.93</v>
      </c>
      <c r="Z73" s="1558" t="s">
        <v>10081</v>
      </c>
      <c r="AA73" s="1558" t="s">
        <v>5119</v>
      </c>
      <c r="AB73" s="1558" t="s">
        <v>9762</v>
      </c>
      <c r="AC73" s="1666">
        <v>49.24</v>
      </c>
      <c r="AD73" s="1558" t="s">
        <v>9183</v>
      </c>
      <c r="AE73" s="1671">
        <v>49.87</v>
      </c>
      <c r="AF73" s="1558" t="s">
        <v>10082</v>
      </c>
      <c r="AG73" s="1558" t="s">
        <v>10083</v>
      </c>
      <c r="AH73" s="1671">
        <v>59.9</v>
      </c>
      <c r="AI73" s="1558" t="s">
        <v>10084</v>
      </c>
      <c r="AJ73" s="1673" t="s">
        <v>8609</v>
      </c>
      <c r="AK73" s="1558" t="s">
        <v>2040</v>
      </c>
      <c r="AL73" s="1671">
        <v>58.74</v>
      </c>
      <c r="AM73" s="1558" t="s">
        <v>2087</v>
      </c>
      <c r="AN73" s="1671">
        <v>57.51</v>
      </c>
      <c r="AO73" s="1558" t="s">
        <v>4894</v>
      </c>
      <c r="AP73" s="1558" t="s">
        <v>10085</v>
      </c>
      <c r="AQ73" s="1558" t="s">
        <v>3365</v>
      </c>
      <c r="AR73" s="1673" t="s">
        <v>6528</v>
      </c>
      <c r="AS73" s="1671">
        <v>47.44</v>
      </c>
      <c r="AT73" s="1558" t="s">
        <v>10086</v>
      </c>
      <c r="AU73" s="1562" t="s">
        <v>10087</v>
      </c>
      <c r="AV73" s="1659" t="str">
        <f t="shared" si="1"/>
        <v>2:59</v>
      </c>
      <c r="AW73" s="1660" t="s">
        <v>7860</v>
      </c>
    </row>
    <row r="74">
      <c r="A74" s="1529" t="s">
        <v>8450</v>
      </c>
      <c r="B74" s="1527" t="s">
        <v>8531</v>
      </c>
      <c r="C74" s="1484">
        <v>0.05193287037037037</v>
      </c>
      <c r="D74" s="1635" t="s">
        <v>10088</v>
      </c>
      <c r="E74" s="1562" t="s">
        <v>7619</v>
      </c>
      <c r="F74" s="1562" t="s">
        <v>10089</v>
      </c>
      <c r="G74" s="1562" t="s">
        <v>10090</v>
      </c>
      <c r="H74" s="1562" t="s">
        <v>10091</v>
      </c>
      <c r="I74" s="1562" t="s">
        <v>2504</v>
      </c>
      <c r="J74" s="1562" t="s">
        <v>4335</v>
      </c>
      <c r="K74" s="1562" t="s">
        <v>9212</v>
      </c>
      <c r="L74" s="1562"/>
      <c r="M74" s="1562" t="s">
        <v>7267</v>
      </c>
      <c r="N74" s="1562" t="s">
        <v>9435</v>
      </c>
      <c r="O74" s="1562" t="s">
        <v>8601</v>
      </c>
      <c r="P74" s="1562" t="s">
        <v>9684</v>
      </c>
      <c r="Q74" s="1562" t="s">
        <v>10092</v>
      </c>
      <c r="R74" s="1562" t="s">
        <v>10093</v>
      </c>
      <c r="S74" s="1562" t="s">
        <v>8973</v>
      </c>
      <c r="T74" s="1562" t="s">
        <v>9229</v>
      </c>
      <c r="U74" s="1562" t="s">
        <v>2352</v>
      </c>
      <c r="V74" s="1562" t="s">
        <v>9045</v>
      </c>
      <c r="W74" s="1562" t="s">
        <v>5875</v>
      </c>
      <c r="X74" s="1562" t="s">
        <v>648</v>
      </c>
      <c r="Y74" s="1562" t="s">
        <v>8987</v>
      </c>
      <c r="Z74" s="1562" t="s">
        <v>8632</v>
      </c>
      <c r="AA74" s="1562" t="s">
        <v>7738</v>
      </c>
      <c r="AB74" s="1562" t="s">
        <v>9692</v>
      </c>
      <c r="AC74" s="1562" t="s">
        <v>3029</v>
      </c>
      <c r="AD74" s="1562" t="s">
        <v>10094</v>
      </c>
      <c r="AE74" s="1562" t="s">
        <v>10095</v>
      </c>
      <c r="AF74" s="1562" t="s">
        <v>10096</v>
      </c>
      <c r="AG74" s="1562" t="s">
        <v>9830</v>
      </c>
      <c r="AH74" s="1562" t="s">
        <v>10097</v>
      </c>
      <c r="AI74" s="1562" t="s">
        <v>10098</v>
      </c>
      <c r="AJ74" s="1562" t="s">
        <v>10099</v>
      </c>
      <c r="AK74" s="1562" t="s">
        <v>10100</v>
      </c>
      <c r="AL74" s="1562" t="s">
        <v>3243</v>
      </c>
      <c r="AM74" s="1562" t="s">
        <v>10101</v>
      </c>
      <c r="AN74" s="1562" t="s">
        <v>3659</v>
      </c>
      <c r="AO74" s="1562" t="s">
        <v>10102</v>
      </c>
      <c r="AP74" s="1562" t="s">
        <v>10103</v>
      </c>
      <c r="AQ74" s="1562" t="s">
        <v>10104</v>
      </c>
      <c r="AR74" s="1562" t="s">
        <v>10105</v>
      </c>
      <c r="AS74" s="1562" t="s">
        <v>3868</v>
      </c>
      <c r="AT74" s="1562" t="s">
        <v>10106</v>
      </c>
      <c r="AU74" s="1562" t="s">
        <v>10107</v>
      </c>
      <c r="AV74" s="1659" t="str">
        <f t="shared" si="1"/>
        <v>4:12</v>
      </c>
      <c r="AW74" s="1664"/>
    </row>
    <row r="75">
      <c r="A75" s="1529" t="s">
        <v>6500</v>
      </c>
      <c r="B75" s="1524" t="s">
        <v>8531</v>
      </c>
      <c r="C75" s="1484">
        <v>0.05196759259259259</v>
      </c>
      <c r="D75" s="1401" t="s">
        <v>10108</v>
      </c>
      <c r="E75" s="1562" t="s">
        <v>10109</v>
      </c>
      <c r="F75" s="1562" t="s">
        <v>1356</v>
      </c>
      <c r="G75" s="1562" t="s">
        <v>10110</v>
      </c>
      <c r="H75" s="1401" t="s">
        <v>10111</v>
      </c>
      <c r="I75" s="1562" t="s">
        <v>9800</v>
      </c>
      <c r="J75" s="1562" t="s">
        <v>4117</v>
      </c>
      <c r="K75" s="1562" t="s">
        <v>9416</v>
      </c>
      <c r="L75" s="1562" t="s">
        <v>4985</v>
      </c>
      <c r="M75" s="1562" t="s">
        <v>3260</v>
      </c>
      <c r="N75" s="1562" t="s">
        <v>10112</v>
      </c>
      <c r="O75" s="1562" t="s">
        <v>10113</v>
      </c>
      <c r="P75" s="1562" t="s">
        <v>8577</v>
      </c>
      <c r="Q75" s="1562" t="s">
        <v>10114</v>
      </c>
      <c r="R75" s="1562" t="s">
        <v>3260</v>
      </c>
      <c r="S75" s="1486" t="s">
        <v>2430</v>
      </c>
      <c r="T75" s="1562" t="s">
        <v>9662</v>
      </c>
      <c r="U75" s="1562" t="s">
        <v>9826</v>
      </c>
      <c r="V75" s="1562" t="s">
        <v>9227</v>
      </c>
      <c r="W75" s="1562" t="s">
        <v>10115</v>
      </c>
      <c r="X75" s="1562" t="s">
        <v>9845</v>
      </c>
      <c r="Y75" s="1562" t="s">
        <v>616</v>
      </c>
      <c r="Z75" s="1562" t="s">
        <v>10116</v>
      </c>
      <c r="AA75" s="1562" t="s">
        <v>9320</v>
      </c>
      <c r="AB75" s="1562" t="s">
        <v>504</v>
      </c>
      <c r="AC75" s="1562" t="s">
        <v>1118</v>
      </c>
      <c r="AD75" s="1562" t="s">
        <v>8543</v>
      </c>
      <c r="AE75" s="1562" t="s">
        <v>8949</v>
      </c>
      <c r="AF75" s="1562" t="s">
        <v>10117</v>
      </c>
      <c r="AG75" s="1562" t="s">
        <v>3435</v>
      </c>
      <c r="AH75" s="1562" t="s">
        <v>5078</v>
      </c>
      <c r="AI75" s="1562" t="s">
        <v>6120</v>
      </c>
      <c r="AJ75" s="1562" t="s">
        <v>10118</v>
      </c>
      <c r="AK75" s="1562" t="s">
        <v>472</v>
      </c>
      <c r="AL75" s="1562" t="s">
        <v>2304</v>
      </c>
      <c r="AM75" s="1562" t="s">
        <v>3329</v>
      </c>
      <c r="AN75" s="1562" t="s">
        <v>675</v>
      </c>
      <c r="AO75" s="1562" t="s">
        <v>10119</v>
      </c>
      <c r="AP75" s="1562" t="s">
        <v>10114</v>
      </c>
      <c r="AQ75" s="1562" t="s">
        <v>10120</v>
      </c>
      <c r="AR75" s="1562" t="s">
        <v>4117</v>
      </c>
      <c r="AS75" s="1562" t="s">
        <v>946</v>
      </c>
      <c r="AT75" s="1562" t="s">
        <v>10121</v>
      </c>
      <c r="AU75" s="1562" t="s">
        <v>10122</v>
      </c>
      <c r="AV75" s="1562" t="s">
        <v>8391</v>
      </c>
      <c r="AW75" s="1667" t="s">
        <v>10123</v>
      </c>
    </row>
    <row r="76" ht="15.75" customHeight="1">
      <c r="A76" s="1566" t="s">
        <v>10124</v>
      </c>
      <c r="B76" s="1483" t="s">
        <v>8531</v>
      </c>
      <c r="C76" s="1625">
        <v>0.05199074074074074</v>
      </c>
      <c r="D76" s="1401" t="s">
        <v>10125</v>
      </c>
      <c r="E76" s="1659" t="s">
        <v>10126</v>
      </c>
      <c r="F76" s="1659" t="s">
        <v>10127</v>
      </c>
      <c r="G76" s="1659" t="s">
        <v>10128</v>
      </c>
      <c r="H76" s="1659" t="s">
        <v>7534</v>
      </c>
      <c r="I76" s="1659" t="s">
        <v>9639</v>
      </c>
      <c r="J76" s="1659" t="s">
        <v>10129</v>
      </c>
      <c r="K76" s="1659" t="s">
        <v>10130</v>
      </c>
      <c r="L76" s="1659" t="s">
        <v>3119</v>
      </c>
      <c r="M76" s="1659" t="s">
        <v>10131</v>
      </c>
      <c r="N76" s="1659" t="s">
        <v>9363</v>
      </c>
      <c r="O76" s="1659" t="s">
        <v>10132</v>
      </c>
      <c r="P76" s="1659" t="s">
        <v>2470</v>
      </c>
      <c r="Q76" s="1659" t="s">
        <v>5091</v>
      </c>
      <c r="R76" s="1659" t="s">
        <v>5349</v>
      </c>
      <c r="S76" s="1659" t="s">
        <v>4945</v>
      </c>
      <c r="T76" s="1659" t="s">
        <v>5797</v>
      </c>
      <c r="U76" s="1659" t="s">
        <v>10133</v>
      </c>
      <c r="V76" s="1659" t="s">
        <v>6407</v>
      </c>
      <c r="W76" s="1659" t="s">
        <v>7893</v>
      </c>
      <c r="X76" s="1659" t="s">
        <v>10134</v>
      </c>
      <c r="Y76" s="1659" t="s">
        <v>2113</v>
      </c>
      <c r="Z76" s="1659" t="s">
        <v>10135</v>
      </c>
      <c r="AA76" s="1659" t="s">
        <v>9782</v>
      </c>
      <c r="AB76" s="1659" t="s">
        <v>10136</v>
      </c>
      <c r="AC76" s="1659" t="s">
        <v>8607</v>
      </c>
      <c r="AD76" s="1659" t="s">
        <v>10137</v>
      </c>
      <c r="AE76" s="1659" t="s">
        <v>6671</v>
      </c>
      <c r="AF76" s="1659" t="s">
        <v>10138</v>
      </c>
      <c r="AG76" s="1659" t="s">
        <v>10045</v>
      </c>
      <c r="AH76" s="1659" t="s">
        <v>10139</v>
      </c>
      <c r="AI76" s="1659" t="s">
        <v>10140</v>
      </c>
      <c r="AJ76" s="1659" t="s">
        <v>10141</v>
      </c>
      <c r="AK76" s="1659" t="s">
        <v>842</v>
      </c>
      <c r="AL76" s="1659" t="s">
        <v>3312</v>
      </c>
      <c r="AM76" s="1659" t="s">
        <v>9551</v>
      </c>
      <c r="AN76" s="1659" t="s">
        <v>10142</v>
      </c>
      <c r="AO76" s="1562" t="s">
        <v>7494</v>
      </c>
      <c r="AP76" s="1562" t="s">
        <v>10143</v>
      </c>
      <c r="AQ76" s="1659" t="s">
        <v>5385</v>
      </c>
      <c r="AR76" s="1659" t="s">
        <v>10144</v>
      </c>
      <c r="AS76" s="1659" t="s">
        <v>1136</v>
      </c>
      <c r="AT76" s="1659" t="s">
        <v>9685</v>
      </c>
      <c r="AU76" s="1662" t="str">
        <f>HYPERLINK("https://splits.io/m3t","1:18:40")</f>
        <v>1:18:40</v>
      </c>
      <c r="AV76" s="1659" t="str">
        <f t="shared" ref="AV76:AV79" si="2">TEXT(AU76-C76,"m:ss")</f>
        <v>3:48</v>
      </c>
      <c r="AW76" s="1663" t="s">
        <v>10145</v>
      </c>
    </row>
    <row r="77" ht="15.75" customHeight="1">
      <c r="A77" s="1566" t="s">
        <v>10146</v>
      </c>
      <c r="B77" s="1483" t="s">
        <v>8531</v>
      </c>
      <c r="C77" s="1625">
        <v>0.052002314814814814</v>
      </c>
      <c r="D77" s="1401" t="s">
        <v>10147</v>
      </c>
      <c r="E77" s="1659" t="s">
        <v>8825</v>
      </c>
      <c r="F77" s="1659" t="s">
        <v>10148</v>
      </c>
      <c r="G77" s="1659" t="s">
        <v>10149</v>
      </c>
      <c r="H77" s="1659" t="s">
        <v>10150</v>
      </c>
      <c r="I77" s="1659" t="s">
        <v>3660</v>
      </c>
      <c r="J77" s="1659" t="s">
        <v>9249</v>
      </c>
      <c r="K77" s="1659" t="s">
        <v>4546</v>
      </c>
      <c r="L77" s="1659" t="s">
        <v>3607</v>
      </c>
      <c r="M77" s="1659" t="s">
        <v>9825</v>
      </c>
      <c r="N77" s="1659" t="s">
        <v>4584</v>
      </c>
      <c r="O77" s="1659" t="s">
        <v>10151</v>
      </c>
      <c r="P77" s="1659" t="s">
        <v>10152</v>
      </c>
      <c r="Q77" s="1659" t="s">
        <v>4889</v>
      </c>
      <c r="R77" s="1659" t="s">
        <v>1523</v>
      </c>
      <c r="S77" s="1659" t="s">
        <v>9334</v>
      </c>
      <c r="T77" s="1659" t="s">
        <v>543</v>
      </c>
      <c r="U77" s="1659" t="s">
        <v>1932</v>
      </c>
      <c r="V77" s="1659" t="s">
        <v>476</v>
      </c>
      <c r="W77" s="1659" t="s">
        <v>5714</v>
      </c>
      <c r="X77" s="1659" t="s">
        <v>9594</v>
      </c>
      <c r="Y77" s="1659" t="s">
        <v>2481</v>
      </c>
      <c r="Z77" s="1659" t="s">
        <v>5490</v>
      </c>
      <c r="AA77" s="1659" t="s">
        <v>9363</v>
      </c>
      <c r="AB77" s="1659" t="s">
        <v>10153</v>
      </c>
      <c r="AC77" s="1659" t="s">
        <v>2985</v>
      </c>
      <c r="AD77" s="1659" t="s">
        <v>10154</v>
      </c>
      <c r="AE77" s="1659" t="s">
        <v>5229</v>
      </c>
      <c r="AF77" s="1659" t="s">
        <v>10155</v>
      </c>
      <c r="AG77" s="1659" t="s">
        <v>10156</v>
      </c>
      <c r="AH77" s="1659" t="s">
        <v>2300</v>
      </c>
      <c r="AI77" s="1659" t="s">
        <v>10157</v>
      </c>
      <c r="AJ77" s="1659" t="s">
        <v>10158</v>
      </c>
      <c r="AK77" s="1659" t="s">
        <v>4696</v>
      </c>
      <c r="AL77" s="1659" t="s">
        <v>8951</v>
      </c>
      <c r="AM77" s="1659" t="s">
        <v>1528</v>
      </c>
      <c r="AN77" s="1659" t="s">
        <v>8707</v>
      </c>
      <c r="AO77" s="1659" t="s">
        <v>9040</v>
      </c>
      <c r="AP77" s="1659" t="s">
        <v>10159</v>
      </c>
      <c r="AQ77" s="1659" t="s">
        <v>10160</v>
      </c>
      <c r="AR77" s="1659" t="s">
        <v>10078</v>
      </c>
      <c r="AS77" s="1659" t="s">
        <v>10161</v>
      </c>
      <c r="AT77" s="1659" t="s">
        <v>10162</v>
      </c>
      <c r="AU77" s="1659" t="s">
        <v>10163</v>
      </c>
      <c r="AV77" s="1659" t="str">
        <f t="shared" si="2"/>
        <v>3:32</v>
      </c>
      <c r="AW77" s="1663" t="s">
        <v>10164</v>
      </c>
    </row>
    <row r="78" ht="15.75" customHeight="1">
      <c r="A78" s="1566" t="s">
        <v>10165</v>
      </c>
      <c r="B78" s="1542" t="s">
        <v>8560</v>
      </c>
      <c r="C78" s="1625">
        <v>0.05201388888888889</v>
      </c>
      <c r="D78" s="1401" t="s">
        <v>10166</v>
      </c>
      <c r="E78" s="1562" t="s">
        <v>10167</v>
      </c>
      <c r="F78" s="1659" t="s">
        <v>10168</v>
      </c>
      <c r="G78" s="1659" t="s">
        <v>10169</v>
      </c>
      <c r="H78" s="1659" t="s">
        <v>1732</v>
      </c>
      <c r="I78" s="1659" t="s">
        <v>10170</v>
      </c>
      <c r="J78" s="1659" t="s">
        <v>10171</v>
      </c>
      <c r="K78" s="1659" t="s">
        <v>4310</v>
      </c>
      <c r="L78" s="1659" t="s">
        <v>10172</v>
      </c>
      <c r="M78" s="1659" t="s">
        <v>10173</v>
      </c>
      <c r="N78" s="1659" t="s">
        <v>10174</v>
      </c>
      <c r="O78" s="1659" t="s">
        <v>10175</v>
      </c>
      <c r="P78" s="1659" t="s">
        <v>1670</v>
      </c>
      <c r="Q78" s="1659" t="s">
        <v>10176</v>
      </c>
      <c r="R78" s="1659" t="s">
        <v>7421</v>
      </c>
      <c r="S78" s="1659" t="s">
        <v>10177</v>
      </c>
      <c r="T78" s="1659" t="s">
        <v>10178</v>
      </c>
      <c r="U78" s="1659" t="s">
        <v>10179</v>
      </c>
      <c r="V78" s="1659" t="s">
        <v>8123</v>
      </c>
      <c r="W78" s="1659" t="s">
        <v>10180</v>
      </c>
      <c r="X78" s="1659" t="s">
        <v>9594</v>
      </c>
      <c r="Y78" s="1659" t="s">
        <v>304</v>
      </c>
      <c r="Z78" s="1659" t="s">
        <v>2498</v>
      </c>
      <c r="AA78" s="1659" t="s">
        <v>5845</v>
      </c>
      <c r="AB78" s="1659" t="s">
        <v>8849</v>
      </c>
      <c r="AC78" s="1659" t="s">
        <v>890</v>
      </c>
      <c r="AD78" s="1659" t="s">
        <v>10181</v>
      </c>
      <c r="AE78" s="1659" t="s">
        <v>1213</v>
      </c>
      <c r="AF78" s="1659" t="s">
        <v>10182</v>
      </c>
      <c r="AG78" s="1659" t="s">
        <v>2909</v>
      </c>
      <c r="AH78" s="1659" t="s">
        <v>6062</v>
      </c>
      <c r="AI78" s="1659" t="s">
        <v>1645</v>
      </c>
      <c r="AJ78" s="1659" t="s">
        <v>10183</v>
      </c>
      <c r="AK78" s="1659" t="s">
        <v>3637</v>
      </c>
      <c r="AL78" s="1659" t="s">
        <v>3940</v>
      </c>
      <c r="AM78" s="1659" t="s">
        <v>971</v>
      </c>
      <c r="AN78" s="1659" t="s">
        <v>9913</v>
      </c>
      <c r="AO78" s="1659" t="s">
        <v>2303</v>
      </c>
      <c r="AP78" s="1659" t="s">
        <v>10184</v>
      </c>
      <c r="AQ78" s="1659" t="s">
        <v>1051</v>
      </c>
      <c r="AR78" s="1659" t="s">
        <v>8602</v>
      </c>
      <c r="AS78" s="1659" t="s">
        <v>9670</v>
      </c>
      <c r="AT78" s="1659" t="s">
        <v>10185</v>
      </c>
      <c r="AU78" s="1659" t="s">
        <v>10186</v>
      </c>
      <c r="AV78" s="1659" t="str">
        <f t="shared" si="2"/>
        <v>2:58</v>
      </c>
      <c r="AW78" s="1664" t="s">
        <v>10187</v>
      </c>
    </row>
    <row r="79" ht="15.75" customHeight="1">
      <c r="A79" s="1482" t="s">
        <v>6498</v>
      </c>
      <c r="B79" s="1542" t="s">
        <v>8560</v>
      </c>
      <c r="C79" s="1625">
        <v>0.05207175925925926</v>
      </c>
      <c r="D79" s="1401" t="s">
        <v>10188</v>
      </c>
      <c r="E79" s="1659" t="s">
        <v>10189</v>
      </c>
      <c r="F79" s="1659" t="s">
        <v>10190</v>
      </c>
      <c r="G79" s="1659" t="s">
        <v>10191</v>
      </c>
      <c r="H79" s="1659" t="s">
        <v>8999</v>
      </c>
      <c r="I79" s="1659" t="s">
        <v>4967</v>
      </c>
      <c r="J79" s="1659" t="s">
        <v>9156</v>
      </c>
      <c r="K79" s="1659" t="s">
        <v>9790</v>
      </c>
      <c r="L79" s="1659" t="s">
        <v>10192</v>
      </c>
      <c r="M79" s="1659" t="s">
        <v>2787</v>
      </c>
      <c r="N79" s="1659" t="s">
        <v>10193</v>
      </c>
      <c r="O79" s="1659" t="s">
        <v>10194</v>
      </c>
      <c r="P79" s="1659" t="s">
        <v>795</v>
      </c>
      <c r="Q79" s="1659" t="s">
        <v>10195</v>
      </c>
      <c r="R79" s="1659" t="s">
        <v>4979</v>
      </c>
      <c r="S79" s="1659" t="s">
        <v>6008</v>
      </c>
      <c r="T79" s="1659" t="s">
        <v>5797</v>
      </c>
      <c r="U79" s="1659" t="s">
        <v>10196</v>
      </c>
      <c r="V79" s="1659" t="s">
        <v>2540</v>
      </c>
      <c r="W79" s="1659" t="s">
        <v>8606</v>
      </c>
      <c r="X79" s="1659" t="s">
        <v>10197</v>
      </c>
      <c r="Y79" s="1659" t="s">
        <v>1379</v>
      </c>
      <c r="Z79" s="1659" t="s">
        <v>7367</v>
      </c>
      <c r="AA79" s="1659" t="s">
        <v>1556</v>
      </c>
      <c r="AB79" s="1659" t="s">
        <v>10198</v>
      </c>
      <c r="AC79" s="1659" t="s">
        <v>238</v>
      </c>
      <c r="AD79" s="1659" t="s">
        <v>4325</v>
      </c>
      <c r="AE79" s="1659" t="s">
        <v>6129</v>
      </c>
      <c r="AF79" s="1659" t="s">
        <v>10199</v>
      </c>
      <c r="AG79" s="1659" t="s">
        <v>9594</v>
      </c>
      <c r="AH79" s="1659" t="s">
        <v>7130</v>
      </c>
      <c r="AI79" s="1659" t="s">
        <v>9954</v>
      </c>
      <c r="AJ79" s="1659" t="s">
        <v>10200</v>
      </c>
      <c r="AK79" s="1659" t="s">
        <v>10201</v>
      </c>
      <c r="AL79" s="1659" t="s">
        <v>4389</v>
      </c>
      <c r="AM79" s="1659" t="s">
        <v>9708</v>
      </c>
      <c r="AN79" s="1659" t="s">
        <v>3940</v>
      </c>
      <c r="AO79" s="1659" t="s">
        <v>4310</v>
      </c>
      <c r="AP79" s="1659" t="s">
        <v>9446</v>
      </c>
      <c r="AQ79" s="1659" t="s">
        <v>10202</v>
      </c>
      <c r="AR79" s="1659" t="s">
        <v>1555</v>
      </c>
      <c r="AS79" s="1659" t="s">
        <v>6119</v>
      </c>
      <c r="AT79" s="1659" t="s">
        <v>7683</v>
      </c>
      <c r="AU79" s="1659" t="s">
        <v>10203</v>
      </c>
      <c r="AV79" s="1659" t="str">
        <f t="shared" si="2"/>
        <v>3:10</v>
      </c>
      <c r="AW79" s="1664" t="s">
        <v>10204</v>
      </c>
    </row>
    <row r="80">
      <c r="A80" s="1668" t="s">
        <v>4025</v>
      </c>
      <c r="B80" s="1649" t="s">
        <v>8586</v>
      </c>
      <c r="C80" s="1674">
        <v>0.052141203703703703</v>
      </c>
      <c r="D80" s="1401" t="s">
        <v>10205</v>
      </c>
      <c r="E80" s="1533" t="s">
        <v>3021</v>
      </c>
      <c r="F80" s="1533" t="s">
        <v>10206</v>
      </c>
      <c r="G80" s="1558" t="s">
        <v>10207</v>
      </c>
      <c r="H80" s="1558" t="s">
        <v>10208</v>
      </c>
      <c r="I80" s="1558" t="s">
        <v>2465</v>
      </c>
      <c r="J80" s="1558" t="s">
        <v>6964</v>
      </c>
      <c r="K80" s="1675" t="s">
        <v>6201</v>
      </c>
      <c r="L80" s="1676" t="s">
        <v>7127</v>
      </c>
      <c r="M80" s="1558" t="s">
        <v>10209</v>
      </c>
      <c r="N80" s="1558" t="s">
        <v>5797</v>
      </c>
      <c r="O80" s="1558" t="s">
        <v>5604</v>
      </c>
      <c r="P80" s="1558" t="s">
        <v>2007</v>
      </c>
      <c r="Q80" s="1558" t="s">
        <v>10210</v>
      </c>
      <c r="R80" s="1558" t="s">
        <v>10211</v>
      </c>
      <c r="S80" s="1677" t="s">
        <v>2350</v>
      </c>
      <c r="T80" s="1558" t="s">
        <v>8989</v>
      </c>
      <c r="U80" s="1558" t="s">
        <v>3573</v>
      </c>
      <c r="V80" s="1558" t="s">
        <v>10212</v>
      </c>
      <c r="W80" s="1558" t="s">
        <v>10213</v>
      </c>
      <c r="X80" s="1558" t="s">
        <v>4570</v>
      </c>
      <c r="Y80" s="1558" t="s">
        <v>3697</v>
      </c>
      <c r="Z80" s="1558" t="s">
        <v>4280</v>
      </c>
      <c r="AA80" s="1558" t="s">
        <v>408</v>
      </c>
      <c r="AB80" s="1558" t="s">
        <v>645</v>
      </c>
      <c r="AC80" s="1558" t="s">
        <v>6129</v>
      </c>
      <c r="AD80" s="1486" t="s">
        <v>8918</v>
      </c>
      <c r="AE80" s="1558" t="s">
        <v>492</v>
      </c>
      <c r="AF80" s="1558" t="s">
        <v>10214</v>
      </c>
      <c r="AG80" s="1558" t="s">
        <v>10215</v>
      </c>
      <c r="AH80" s="1558" t="s">
        <v>4641</v>
      </c>
      <c r="AI80" s="1558" t="s">
        <v>10216</v>
      </c>
      <c r="AJ80" s="1558" t="s">
        <v>10217</v>
      </c>
      <c r="AK80" s="1558" t="s">
        <v>10218</v>
      </c>
      <c r="AL80" s="1558" t="s">
        <v>5093</v>
      </c>
      <c r="AM80" s="1558" t="s">
        <v>9832</v>
      </c>
      <c r="AN80" s="1558" t="s">
        <v>4473</v>
      </c>
      <c r="AO80" s="1558" t="s">
        <v>8900</v>
      </c>
      <c r="AP80" s="1558" t="s">
        <v>10219</v>
      </c>
      <c r="AQ80" s="1675" t="s">
        <v>8616</v>
      </c>
      <c r="AR80" s="1558" t="s">
        <v>10220</v>
      </c>
      <c r="AS80" s="1673" t="s">
        <v>784</v>
      </c>
      <c r="AT80" s="1558" t="s">
        <v>10221</v>
      </c>
      <c r="AU80" s="1522" t="s">
        <v>10222</v>
      </c>
      <c r="AV80" s="1522" t="s">
        <v>10223</v>
      </c>
      <c r="AW80" s="1678" t="s">
        <v>10224</v>
      </c>
    </row>
    <row r="81">
      <c r="A81" s="1529" t="s">
        <v>3965</v>
      </c>
      <c r="B81" s="1527" t="s">
        <v>8531</v>
      </c>
      <c r="C81" s="1484">
        <v>0.0522337962962963</v>
      </c>
      <c r="D81" s="1635" t="s">
        <v>10225</v>
      </c>
      <c r="E81" s="1562" t="s">
        <v>10226</v>
      </c>
      <c r="F81" s="1562" t="s">
        <v>10227</v>
      </c>
      <c r="G81" s="1562" t="s">
        <v>10228</v>
      </c>
      <c r="H81" s="1562" t="s">
        <v>10229</v>
      </c>
      <c r="I81" s="1562" t="s">
        <v>1917</v>
      </c>
      <c r="J81" s="1562" t="s">
        <v>8198</v>
      </c>
      <c r="K81" s="1562" t="s">
        <v>4546</v>
      </c>
      <c r="L81" s="1562" t="s">
        <v>6218</v>
      </c>
      <c r="M81" s="1562" t="s">
        <v>10230</v>
      </c>
      <c r="N81" s="1562" t="s">
        <v>10231</v>
      </c>
      <c r="O81" s="1562" t="s">
        <v>10232</v>
      </c>
      <c r="P81" s="1562" t="s">
        <v>5229</v>
      </c>
      <c r="Q81" s="1562" t="s">
        <v>4954</v>
      </c>
      <c r="R81" s="1562" t="s">
        <v>6199</v>
      </c>
      <c r="S81" s="1562" t="s">
        <v>627</v>
      </c>
      <c r="T81" s="1562" t="s">
        <v>10000</v>
      </c>
      <c r="U81" s="1562" t="s">
        <v>8944</v>
      </c>
      <c r="V81" s="1562" t="s">
        <v>10233</v>
      </c>
      <c r="W81" s="1562" t="s">
        <v>10234</v>
      </c>
      <c r="X81" s="1562" t="s">
        <v>3435</v>
      </c>
      <c r="Y81" s="1562" t="s">
        <v>789</v>
      </c>
      <c r="Z81" s="1562" t="s">
        <v>10235</v>
      </c>
      <c r="AA81" s="1401" t="s">
        <v>10236</v>
      </c>
      <c r="AB81" s="1562" t="s">
        <v>7074</v>
      </c>
      <c r="AC81" s="1562" t="s">
        <v>9978</v>
      </c>
      <c r="AD81" s="1562" t="s">
        <v>7531</v>
      </c>
      <c r="AE81" s="1562" t="s">
        <v>4983</v>
      </c>
      <c r="AF81" s="1494" t="s">
        <v>10237</v>
      </c>
      <c r="AG81" s="1562" t="s">
        <v>10238</v>
      </c>
      <c r="AH81" s="1562" t="s">
        <v>5118</v>
      </c>
      <c r="AI81" s="1562" t="s">
        <v>6696</v>
      </c>
      <c r="AJ81" s="1562" t="s">
        <v>10239</v>
      </c>
      <c r="AK81" s="1562" t="s">
        <v>10240</v>
      </c>
      <c r="AL81" s="1562" t="s">
        <v>9914</v>
      </c>
      <c r="AM81" s="1562" t="s">
        <v>10241</v>
      </c>
      <c r="AN81" s="1562" t="s">
        <v>1126</v>
      </c>
      <c r="AO81" s="1562" t="s">
        <v>10242</v>
      </c>
      <c r="AP81" s="1562" t="s">
        <v>5685</v>
      </c>
      <c r="AQ81" s="1562" t="s">
        <v>10243</v>
      </c>
      <c r="AR81" s="1562" t="s">
        <v>715</v>
      </c>
      <c r="AS81" s="1494" t="s">
        <v>2926</v>
      </c>
      <c r="AT81" s="1562" t="s">
        <v>10244</v>
      </c>
      <c r="AU81" s="1562" t="s">
        <v>10245</v>
      </c>
      <c r="AV81" s="1659" t="str">
        <f t="shared" ref="AV81:AV99" si="3">TEXT(AU81-C81,"m:ss")</f>
        <v>4:32</v>
      </c>
      <c r="AW81" s="1660" t="s">
        <v>10246</v>
      </c>
    </row>
    <row r="82">
      <c r="A82" s="1529" t="s">
        <v>5260</v>
      </c>
      <c r="B82" s="1524" t="s">
        <v>8560</v>
      </c>
      <c r="C82" s="1484">
        <v>0.05232638888888889</v>
      </c>
      <c r="D82" s="1635" t="s">
        <v>10247</v>
      </c>
      <c r="E82" s="1562" t="s">
        <v>1283</v>
      </c>
      <c r="F82" s="1562" t="s">
        <v>10248</v>
      </c>
      <c r="G82" s="1562" t="s">
        <v>10249</v>
      </c>
      <c r="H82" s="1562" t="s">
        <v>10250</v>
      </c>
      <c r="I82" s="1562" t="s">
        <v>1315</v>
      </c>
      <c r="J82" s="1562" t="s">
        <v>6456</v>
      </c>
      <c r="K82" s="1562" t="s">
        <v>9801</v>
      </c>
      <c r="L82" s="1562" t="s">
        <v>10251</v>
      </c>
      <c r="M82" s="1562" t="s">
        <v>7559</v>
      </c>
      <c r="N82" s="1562" t="s">
        <v>10252</v>
      </c>
      <c r="O82" s="1562" t="s">
        <v>10253</v>
      </c>
      <c r="P82" s="1562" t="s">
        <v>535</v>
      </c>
      <c r="Q82" s="1562" t="s">
        <v>9635</v>
      </c>
      <c r="R82" s="1562" t="s">
        <v>5410</v>
      </c>
      <c r="S82" s="1562" t="s">
        <v>9454</v>
      </c>
      <c r="T82" s="1562" t="s">
        <v>10254</v>
      </c>
      <c r="U82" s="1562" t="s">
        <v>10255</v>
      </c>
      <c r="V82" s="1562" t="s">
        <v>10256</v>
      </c>
      <c r="W82" s="1562" t="s">
        <v>6282</v>
      </c>
      <c r="X82" s="1562" t="s">
        <v>314</v>
      </c>
      <c r="Y82" s="1562" t="s">
        <v>6541</v>
      </c>
      <c r="Z82" s="1562" t="s">
        <v>813</v>
      </c>
      <c r="AA82" s="1659" t="s">
        <v>9454</v>
      </c>
      <c r="AB82" s="1562" t="s">
        <v>10257</v>
      </c>
      <c r="AC82" s="1562" t="s">
        <v>6195</v>
      </c>
      <c r="AD82" s="1562" t="s">
        <v>10258</v>
      </c>
      <c r="AE82" s="1562" t="s">
        <v>223</v>
      </c>
      <c r="AF82" s="1562" t="s">
        <v>8116</v>
      </c>
      <c r="AG82" s="1562" t="s">
        <v>3185</v>
      </c>
      <c r="AH82" s="1562" t="s">
        <v>1896</v>
      </c>
      <c r="AI82" s="1562" t="s">
        <v>428</v>
      </c>
      <c r="AJ82" s="1562" t="s">
        <v>10259</v>
      </c>
      <c r="AK82" s="1562" t="s">
        <v>10260</v>
      </c>
      <c r="AL82" s="1562" t="s">
        <v>9956</v>
      </c>
      <c r="AM82" s="1562" t="s">
        <v>2909</v>
      </c>
      <c r="AN82" s="1562" t="s">
        <v>5939</v>
      </c>
      <c r="AO82" s="1562" t="s">
        <v>3731</v>
      </c>
      <c r="AP82" s="1562" t="s">
        <v>10261</v>
      </c>
      <c r="AQ82" s="1562" t="s">
        <v>7558</v>
      </c>
      <c r="AR82" s="1562" t="s">
        <v>6194</v>
      </c>
      <c r="AS82" s="1562" t="s">
        <v>10262</v>
      </c>
      <c r="AT82" s="1562" t="s">
        <v>10263</v>
      </c>
      <c r="AU82" s="1562" t="s">
        <v>10264</v>
      </c>
      <c r="AV82" s="1659" t="str">
        <f t="shared" si="3"/>
        <v>3:48</v>
      </c>
      <c r="AW82" s="1664"/>
    </row>
    <row r="83" ht="15.75" customHeight="1">
      <c r="A83" s="1482" t="s">
        <v>10265</v>
      </c>
      <c r="B83" s="1483" t="s">
        <v>8531</v>
      </c>
      <c r="C83" s="1625">
        <v>0.05240740740740741</v>
      </c>
      <c r="D83" s="1401" t="s">
        <v>10266</v>
      </c>
      <c r="E83" s="1659" t="s">
        <v>1736</v>
      </c>
      <c r="F83" s="1659" t="s">
        <v>7811</v>
      </c>
      <c r="G83" s="1659" t="s">
        <v>9936</v>
      </c>
      <c r="H83" s="1659" t="s">
        <v>10267</v>
      </c>
      <c r="I83" s="1659" t="s">
        <v>10268</v>
      </c>
      <c r="J83" s="1659" t="s">
        <v>10269</v>
      </c>
      <c r="K83" s="1659" t="s">
        <v>10270</v>
      </c>
      <c r="L83" s="1659" t="s">
        <v>4575</v>
      </c>
      <c r="M83" s="1659" t="s">
        <v>3270</v>
      </c>
      <c r="N83" s="1659" t="s">
        <v>4877</v>
      </c>
      <c r="O83" s="1659" t="s">
        <v>10271</v>
      </c>
      <c r="P83" s="1659" t="s">
        <v>10272</v>
      </c>
      <c r="Q83" s="1659" t="s">
        <v>4345</v>
      </c>
      <c r="R83" s="1659" t="s">
        <v>2325</v>
      </c>
      <c r="S83" s="1659" t="s">
        <v>9710</v>
      </c>
      <c r="T83" s="1659" t="s">
        <v>5119</v>
      </c>
      <c r="U83" s="1659" t="s">
        <v>10273</v>
      </c>
      <c r="V83" s="1659" t="s">
        <v>10274</v>
      </c>
      <c r="W83" s="1659" t="s">
        <v>10275</v>
      </c>
      <c r="X83" s="1659" t="s">
        <v>10276</v>
      </c>
      <c r="Y83" s="1659" t="s">
        <v>6423</v>
      </c>
      <c r="Z83" s="1659" t="s">
        <v>10135</v>
      </c>
      <c r="AA83" s="1659" t="s">
        <v>2026</v>
      </c>
      <c r="AB83" s="1659" t="s">
        <v>10277</v>
      </c>
      <c r="AC83" s="1659" t="s">
        <v>1612</v>
      </c>
      <c r="AD83" s="1659" t="s">
        <v>10278</v>
      </c>
      <c r="AE83" s="1659" t="s">
        <v>1612</v>
      </c>
      <c r="AF83" s="1659" t="s">
        <v>10279</v>
      </c>
      <c r="AG83" s="1659" t="s">
        <v>9869</v>
      </c>
      <c r="AH83" s="1659" t="s">
        <v>2195</v>
      </c>
      <c r="AI83" s="1659" t="s">
        <v>3251</v>
      </c>
      <c r="AJ83" s="1659" t="s">
        <v>10280</v>
      </c>
      <c r="AK83" s="1659" t="s">
        <v>7075</v>
      </c>
      <c r="AL83" s="1659" t="s">
        <v>10281</v>
      </c>
      <c r="AM83" s="1659" t="s">
        <v>1238</v>
      </c>
      <c r="AN83" s="1659" t="s">
        <v>3022</v>
      </c>
      <c r="AO83" s="1659" t="s">
        <v>10282</v>
      </c>
      <c r="AP83" s="1659" t="s">
        <v>3668</v>
      </c>
      <c r="AQ83" s="1659" t="s">
        <v>10283</v>
      </c>
      <c r="AR83" s="1659" t="s">
        <v>10284</v>
      </c>
      <c r="AS83" s="1659" t="s">
        <v>9177</v>
      </c>
      <c r="AT83" s="1659" t="s">
        <v>9262</v>
      </c>
      <c r="AU83" s="1659" t="s">
        <v>10285</v>
      </c>
      <c r="AV83" s="1659" t="str">
        <f t="shared" si="3"/>
        <v>3:40</v>
      </c>
      <c r="AW83" s="1663" t="s">
        <v>10286</v>
      </c>
    </row>
    <row r="84" ht="15.75" customHeight="1">
      <c r="A84" s="1566" t="s">
        <v>10287</v>
      </c>
      <c r="B84" s="1483" t="s">
        <v>8531</v>
      </c>
      <c r="C84" s="1625">
        <v>0.05263888888888889</v>
      </c>
      <c r="D84" s="1401" t="s">
        <v>10288</v>
      </c>
      <c r="E84" s="1659" t="s">
        <v>9987</v>
      </c>
      <c r="F84" s="1659" t="s">
        <v>10289</v>
      </c>
      <c r="G84" s="1659" t="s">
        <v>10290</v>
      </c>
      <c r="H84" s="1659" t="s">
        <v>10291</v>
      </c>
      <c r="I84" s="1659" t="s">
        <v>10292</v>
      </c>
      <c r="J84" s="1659" t="s">
        <v>10293</v>
      </c>
      <c r="K84" s="1659" t="s">
        <v>4241</v>
      </c>
      <c r="L84" s="1659" t="s">
        <v>4315</v>
      </c>
      <c r="M84" s="1659" t="s">
        <v>9284</v>
      </c>
      <c r="N84" s="1659" t="s">
        <v>10294</v>
      </c>
      <c r="O84" s="1659" t="s">
        <v>8576</v>
      </c>
      <c r="P84" s="1659" t="s">
        <v>496</v>
      </c>
      <c r="Q84" s="1659" t="s">
        <v>10295</v>
      </c>
      <c r="R84" s="1659" t="s">
        <v>5601</v>
      </c>
      <c r="S84" s="1659" t="s">
        <v>2002</v>
      </c>
      <c r="T84" s="1659" t="s">
        <v>10296</v>
      </c>
      <c r="U84" s="1659" t="s">
        <v>10297</v>
      </c>
      <c r="V84" s="1659" t="s">
        <v>10298</v>
      </c>
      <c r="W84" s="1659" t="s">
        <v>10299</v>
      </c>
      <c r="X84" s="1659" t="s">
        <v>5771</v>
      </c>
      <c r="Y84" s="1659" t="s">
        <v>1612</v>
      </c>
      <c r="Z84" s="1659" t="s">
        <v>6529</v>
      </c>
      <c r="AA84" s="1562" t="s">
        <v>6445</v>
      </c>
      <c r="AB84" s="1659" t="s">
        <v>9175</v>
      </c>
      <c r="AC84" s="1659" t="s">
        <v>9995</v>
      </c>
      <c r="AD84" s="1659" t="s">
        <v>3059</v>
      </c>
      <c r="AE84" s="1659" t="s">
        <v>1118</v>
      </c>
      <c r="AF84" s="1659" t="s">
        <v>10300</v>
      </c>
      <c r="AG84" s="1659" t="s">
        <v>2810</v>
      </c>
      <c r="AH84" s="1659" t="s">
        <v>6691</v>
      </c>
      <c r="AI84" s="1659" t="s">
        <v>10301</v>
      </c>
      <c r="AJ84" s="1659" t="s">
        <v>10302</v>
      </c>
      <c r="AK84" s="1659" t="s">
        <v>9590</v>
      </c>
      <c r="AL84" s="1659" t="s">
        <v>10303</v>
      </c>
      <c r="AM84" s="1659" t="s">
        <v>10304</v>
      </c>
      <c r="AN84" s="1659" t="s">
        <v>3939</v>
      </c>
      <c r="AO84" s="1659" t="s">
        <v>8900</v>
      </c>
      <c r="AP84" s="1659" t="s">
        <v>10305</v>
      </c>
      <c r="AQ84" s="1659" t="s">
        <v>10306</v>
      </c>
      <c r="AR84" s="1659" t="s">
        <v>1349</v>
      </c>
      <c r="AS84" s="1659" t="s">
        <v>1136</v>
      </c>
      <c r="AT84" s="1659" t="s">
        <v>10307</v>
      </c>
      <c r="AU84" s="1659" t="s">
        <v>10308</v>
      </c>
      <c r="AV84" s="1659" t="str">
        <f t="shared" si="3"/>
        <v>4:28</v>
      </c>
      <c r="AW84" s="1663" t="s">
        <v>10309</v>
      </c>
    </row>
    <row r="85">
      <c r="A85" s="1529" t="s">
        <v>3633</v>
      </c>
      <c r="B85" s="1636" t="s">
        <v>8586</v>
      </c>
      <c r="C85" s="1484">
        <v>0.052662037037037035</v>
      </c>
      <c r="D85" s="1401" t="s">
        <v>10310</v>
      </c>
      <c r="E85" s="1401" t="s">
        <v>547</v>
      </c>
      <c r="F85" s="1401" t="s">
        <v>10311</v>
      </c>
      <c r="G85" s="1401" t="s">
        <v>10312</v>
      </c>
      <c r="H85" s="1401" t="s">
        <v>8777</v>
      </c>
      <c r="I85" s="1401" t="s">
        <v>10313</v>
      </c>
      <c r="J85" s="1401" t="s">
        <v>1668</v>
      </c>
      <c r="K85" s="1401" t="s">
        <v>10314</v>
      </c>
      <c r="L85" s="1401" t="s">
        <v>2803</v>
      </c>
      <c r="M85" s="1401" t="s">
        <v>270</v>
      </c>
      <c r="N85" s="1401" t="s">
        <v>9074</v>
      </c>
      <c r="O85" s="1401" t="s">
        <v>10315</v>
      </c>
      <c r="P85" s="1401" t="s">
        <v>2152</v>
      </c>
      <c r="Q85" s="1401" t="s">
        <v>3529</v>
      </c>
      <c r="R85" s="1401" t="s">
        <v>10316</v>
      </c>
      <c r="S85" s="1401" t="s">
        <v>10317</v>
      </c>
      <c r="T85" s="1401" t="s">
        <v>10318</v>
      </c>
      <c r="U85" s="1401" t="s">
        <v>10319</v>
      </c>
      <c r="V85" s="1401" t="s">
        <v>10320</v>
      </c>
      <c r="W85" s="1401" t="s">
        <v>10321</v>
      </c>
      <c r="X85" s="1401" t="s">
        <v>2775</v>
      </c>
      <c r="Y85" s="1401" t="s">
        <v>2941</v>
      </c>
      <c r="Z85" s="1401" t="s">
        <v>6297</v>
      </c>
      <c r="AA85" s="1562" t="s">
        <v>10322</v>
      </c>
      <c r="AB85" s="1401" t="s">
        <v>10323</v>
      </c>
      <c r="AC85" s="1401" t="s">
        <v>6540</v>
      </c>
      <c r="AD85" s="1679" t="s">
        <v>8606</v>
      </c>
      <c r="AE85" s="1401" t="s">
        <v>339</v>
      </c>
      <c r="AF85" s="1401" t="s">
        <v>10324</v>
      </c>
      <c r="AG85" s="1401" t="s">
        <v>7482</v>
      </c>
      <c r="AH85" s="1401" t="s">
        <v>3806</v>
      </c>
      <c r="AI85" s="1401" t="s">
        <v>10325</v>
      </c>
      <c r="AJ85" s="1401" t="s">
        <v>10326</v>
      </c>
      <c r="AK85" s="1401" t="s">
        <v>10327</v>
      </c>
      <c r="AL85" s="1401" t="s">
        <v>4712</v>
      </c>
      <c r="AM85" s="1401" t="s">
        <v>5713</v>
      </c>
      <c r="AN85" s="1679" t="s">
        <v>8613</v>
      </c>
      <c r="AO85" s="1401" t="s">
        <v>10328</v>
      </c>
      <c r="AP85" s="1401" t="s">
        <v>10329</v>
      </c>
      <c r="AQ85" s="1401" t="s">
        <v>10330</v>
      </c>
      <c r="AR85" s="1401" t="s">
        <v>5979</v>
      </c>
      <c r="AS85" s="1401" t="s">
        <v>7012</v>
      </c>
      <c r="AT85" s="1401" t="s">
        <v>10331</v>
      </c>
      <c r="AU85" s="1680" t="s">
        <v>10332</v>
      </c>
      <c r="AV85" s="1659" t="str">
        <f t="shared" si="3"/>
        <v>4:43</v>
      </c>
      <c r="AW85" s="1667" t="s">
        <v>10333</v>
      </c>
    </row>
    <row r="86" ht="15.75" customHeight="1">
      <c r="A86" s="1529" t="s">
        <v>10334</v>
      </c>
      <c r="B86" s="1524" t="s">
        <v>8531</v>
      </c>
      <c r="C86" s="1484">
        <v>0.05267361111111111</v>
      </c>
      <c r="D86" s="1635" t="s">
        <v>9673</v>
      </c>
      <c r="E86" s="1562" t="s">
        <v>900</v>
      </c>
      <c r="F86" s="1562" t="s">
        <v>7507</v>
      </c>
      <c r="G86" s="1562" t="s">
        <v>10335</v>
      </c>
      <c r="H86" s="1562" t="s">
        <v>10336</v>
      </c>
      <c r="I86" s="1562" t="s">
        <v>5678</v>
      </c>
      <c r="J86" s="1401" t="s">
        <v>10337</v>
      </c>
      <c r="K86" s="1562" t="s">
        <v>10338</v>
      </c>
      <c r="L86" s="1562" t="s">
        <v>3806</v>
      </c>
      <c r="M86" s="1562" t="s">
        <v>7464</v>
      </c>
      <c r="N86" s="1562" t="s">
        <v>10339</v>
      </c>
      <c r="O86" s="1562" t="s">
        <v>10340</v>
      </c>
      <c r="P86" s="1562" t="s">
        <v>9639</v>
      </c>
      <c r="Q86" s="1562" t="s">
        <v>10341</v>
      </c>
      <c r="R86" s="1562" t="s">
        <v>5647</v>
      </c>
      <c r="S86" s="1562" t="s">
        <v>7500</v>
      </c>
      <c r="T86" s="1562" t="s">
        <v>10342</v>
      </c>
      <c r="U86" s="1562" t="s">
        <v>10343</v>
      </c>
      <c r="V86" s="1562" t="s">
        <v>4045</v>
      </c>
      <c r="W86" s="1562" t="s">
        <v>10344</v>
      </c>
      <c r="X86" s="1562" t="s">
        <v>2534</v>
      </c>
      <c r="Y86" s="1562" t="s">
        <v>9245</v>
      </c>
      <c r="Z86" s="1562" t="s">
        <v>8727</v>
      </c>
      <c r="AA86" s="1562" t="s">
        <v>10345</v>
      </c>
      <c r="AB86" s="1562" t="s">
        <v>9861</v>
      </c>
      <c r="AC86" s="1562" t="s">
        <v>9116</v>
      </c>
      <c r="AD86" s="1562" t="s">
        <v>10346</v>
      </c>
      <c r="AE86" s="1562" t="s">
        <v>2504</v>
      </c>
      <c r="AF86" s="1562" t="s">
        <v>10347</v>
      </c>
      <c r="AG86" s="1562" t="s">
        <v>10348</v>
      </c>
      <c r="AH86" s="1562" t="s">
        <v>4315</v>
      </c>
      <c r="AI86" s="1562" t="s">
        <v>10349</v>
      </c>
      <c r="AJ86" s="1562" t="s">
        <v>10350</v>
      </c>
      <c r="AK86" s="1562" t="s">
        <v>1767</v>
      </c>
      <c r="AL86" s="1562" t="s">
        <v>2660</v>
      </c>
      <c r="AM86" s="1562" t="s">
        <v>1767</v>
      </c>
      <c r="AN86" s="1562" t="s">
        <v>2660</v>
      </c>
      <c r="AO86" s="1562" t="s">
        <v>6080</v>
      </c>
      <c r="AP86" s="1562" t="s">
        <v>10351</v>
      </c>
      <c r="AQ86" s="1562" t="s">
        <v>2252</v>
      </c>
      <c r="AR86" s="1562" t="s">
        <v>10160</v>
      </c>
      <c r="AS86" s="1562" t="s">
        <v>10352</v>
      </c>
      <c r="AT86" s="1562" t="s">
        <v>10353</v>
      </c>
      <c r="AU86" s="1562" t="s">
        <v>10354</v>
      </c>
      <c r="AV86" s="1659" t="str">
        <f t="shared" si="3"/>
        <v>5:58</v>
      </c>
      <c r="AW86" s="1660" t="s">
        <v>10355</v>
      </c>
    </row>
    <row r="87" ht="15.75" customHeight="1">
      <c r="A87" s="1482" t="s">
        <v>5999</v>
      </c>
      <c r="B87" s="1542" t="s">
        <v>8560</v>
      </c>
      <c r="C87" s="1625">
        <v>0.05275462962962963</v>
      </c>
      <c r="D87" s="1401" t="s">
        <v>10356</v>
      </c>
      <c r="E87" s="1659" t="s">
        <v>9696</v>
      </c>
      <c r="F87" s="1659" t="s">
        <v>10357</v>
      </c>
      <c r="G87" s="1659" t="s">
        <v>8763</v>
      </c>
      <c r="H87" s="1659" t="s">
        <v>7340</v>
      </c>
      <c r="I87" s="1659" t="s">
        <v>2366</v>
      </c>
      <c r="J87" s="1659" t="s">
        <v>4257</v>
      </c>
      <c r="K87" s="1659" t="s">
        <v>10015</v>
      </c>
      <c r="L87" s="1659" t="s">
        <v>5328</v>
      </c>
      <c r="M87" s="1659" t="s">
        <v>4240</v>
      </c>
      <c r="N87" s="1659" t="s">
        <v>10358</v>
      </c>
      <c r="O87" s="1659" t="s">
        <v>10359</v>
      </c>
      <c r="P87" s="1659" t="s">
        <v>6258</v>
      </c>
      <c r="Q87" s="1659" t="s">
        <v>10360</v>
      </c>
      <c r="R87" s="1659" t="s">
        <v>10361</v>
      </c>
      <c r="S87" s="1659" t="s">
        <v>8550</v>
      </c>
      <c r="T87" s="1659" t="s">
        <v>2665</v>
      </c>
      <c r="U87" s="1659" t="s">
        <v>511</v>
      </c>
      <c r="V87" s="1659" t="s">
        <v>4208</v>
      </c>
      <c r="W87" s="1659" t="s">
        <v>10362</v>
      </c>
      <c r="X87" s="1659" t="s">
        <v>10363</v>
      </c>
      <c r="Y87" s="1659" t="s">
        <v>5741</v>
      </c>
      <c r="Z87" s="1659" t="s">
        <v>8849</v>
      </c>
      <c r="AA87" s="1659" t="s">
        <v>10364</v>
      </c>
      <c r="AB87" s="1659" t="s">
        <v>504</v>
      </c>
      <c r="AC87" s="1659" t="s">
        <v>9889</v>
      </c>
      <c r="AD87" s="1659" t="s">
        <v>10365</v>
      </c>
      <c r="AE87" s="1659" t="s">
        <v>10366</v>
      </c>
      <c r="AF87" s="1659" t="s">
        <v>9413</v>
      </c>
      <c r="AG87" s="1659" t="s">
        <v>3195</v>
      </c>
      <c r="AH87" s="1659" t="s">
        <v>748</v>
      </c>
      <c r="AI87" s="1659" t="s">
        <v>5356</v>
      </c>
      <c r="AJ87" s="1659" t="s">
        <v>10367</v>
      </c>
      <c r="AK87" s="1659" t="s">
        <v>8972</v>
      </c>
      <c r="AL87" s="1659" t="s">
        <v>5420</v>
      </c>
      <c r="AM87" s="1659" t="s">
        <v>3181</v>
      </c>
      <c r="AN87" s="1659" t="s">
        <v>6381</v>
      </c>
      <c r="AO87" s="1659" t="s">
        <v>10368</v>
      </c>
      <c r="AP87" s="1659" t="s">
        <v>10369</v>
      </c>
      <c r="AQ87" s="1659" t="s">
        <v>10370</v>
      </c>
      <c r="AR87" s="1659" t="s">
        <v>9950</v>
      </c>
      <c r="AS87" s="1659" t="s">
        <v>8861</v>
      </c>
      <c r="AT87" s="1659" t="s">
        <v>10371</v>
      </c>
      <c r="AU87" s="1659" t="s">
        <v>10372</v>
      </c>
      <c r="AV87" s="1659" t="str">
        <f t="shared" si="3"/>
        <v>3:59</v>
      </c>
      <c r="AW87" s="1664" t="s">
        <v>10373</v>
      </c>
    </row>
    <row r="88" ht="15.75" customHeight="1">
      <c r="A88" s="1566" t="s">
        <v>10374</v>
      </c>
      <c r="B88" s="1649" t="s">
        <v>8586</v>
      </c>
      <c r="C88" s="1625">
        <v>0.05291666666666667</v>
      </c>
      <c r="D88" s="1401" t="s">
        <v>10375</v>
      </c>
      <c r="E88" s="1659" t="s">
        <v>10376</v>
      </c>
      <c r="F88" s="1659" t="s">
        <v>5848</v>
      </c>
      <c r="G88" s="1659" t="s">
        <v>9552</v>
      </c>
      <c r="H88" s="1659" t="s">
        <v>9881</v>
      </c>
      <c r="I88" s="1659" t="s">
        <v>2992</v>
      </c>
      <c r="J88" s="1659" t="s">
        <v>10377</v>
      </c>
      <c r="K88" s="1659" t="s">
        <v>5485</v>
      </c>
      <c r="L88" s="1659" t="s">
        <v>7799</v>
      </c>
      <c r="M88" s="1659" t="s">
        <v>10378</v>
      </c>
      <c r="N88" s="1659" t="s">
        <v>10379</v>
      </c>
      <c r="O88" s="1659" t="s">
        <v>10380</v>
      </c>
      <c r="P88" s="1659" t="s">
        <v>9747</v>
      </c>
      <c r="Q88" s="1659" t="s">
        <v>10381</v>
      </c>
      <c r="R88" s="1659" t="s">
        <v>9636</v>
      </c>
      <c r="S88" s="1659" t="s">
        <v>4651</v>
      </c>
      <c r="T88" s="1659" t="s">
        <v>8762</v>
      </c>
      <c r="U88" s="1659" t="s">
        <v>5518</v>
      </c>
      <c r="V88" s="1659" t="s">
        <v>1195</v>
      </c>
      <c r="W88" s="1659" t="s">
        <v>1989</v>
      </c>
      <c r="X88" s="1659" t="s">
        <v>3245</v>
      </c>
      <c r="Y88" s="1659" t="s">
        <v>681</v>
      </c>
      <c r="Z88" s="1659" t="s">
        <v>10382</v>
      </c>
      <c r="AA88" s="1562" t="s">
        <v>7733</v>
      </c>
      <c r="AB88" s="1659" t="s">
        <v>3684</v>
      </c>
      <c r="AC88" s="1659" t="s">
        <v>2481</v>
      </c>
      <c r="AD88" s="1659" t="s">
        <v>10383</v>
      </c>
      <c r="AE88" s="1659" t="s">
        <v>10384</v>
      </c>
      <c r="AF88" s="1659" t="s">
        <v>10385</v>
      </c>
      <c r="AG88" s="1659" t="s">
        <v>10386</v>
      </c>
      <c r="AH88" s="1659" t="s">
        <v>10387</v>
      </c>
      <c r="AI88" s="1659" t="s">
        <v>10388</v>
      </c>
      <c r="AJ88" s="1659" t="s">
        <v>10389</v>
      </c>
      <c r="AK88" s="1659" t="s">
        <v>10390</v>
      </c>
      <c r="AL88" s="1659" t="s">
        <v>1739</v>
      </c>
      <c r="AM88" s="1659" t="s">
        <v>3342</v>
      </c>
      <c r="AN88" s="1659" t="s">
        <v>10391</v>
      </c>
      <c r="AO88" s="1659" t="s">
        <v>10392</v>
      </c>
      <c r="AP88" s="1659" t="s">
        <v>3177</v>
      </c>
      <c r="AQ88" s="1659" t="s">
        <v>10393</v>
      </c>
      <c r="AR88" s="1659" t="s">
        <v>10296</v>
      </c>
      <c r="AS88" s="1659" t="s">
        <v>4397</v>
      </c>
      <c r="AT88" s="1659" t="s">
        <v>10394</v>
      </c>
      <c r="AU88" s="1659" t="s">
        <v>10395</v>
      </c>
      <c r="AV88" s="1659" t="str">
        <f t="shared" si="3"/>
        <v>2:38</v>
      </c>
      <c r="AW88" s="1664"/>
    </row>
    <row r="89" ht="15.75" customHeight="1">
      <c r="A89" s="1529" t="s">
        <v>6310</v>
      </c>
      <c r="B89" s="1527" t="s">
        <v>8531</v>
      </c>
      <c r="C89" s="1484">
        <v>0.05324074074074074</v>
      </c>
      <c r="D89" s="1401" t="s">
        <v>10396</v>
      </c>
      <c r="E89" s="1401" t="s">
        <v>10397</v>
      </c>
      <c r="F89" s="1401" t="s">
        <v>10398</v>
      </c>
      <c r="G89" s="1401" t="s">
        <v>9290</v>
      </c>
      <c r="H89" s="1401" t="s">
        <v>10399</v>
      </c>
      <c r="I89" s="1401" t="s">
        <v>6129</v>
      </c>
      <c r="J89" s="1401" t="s">
        <v>1872</v>
      </c>
      <c r="K89" s="1401" t="s">
        <v>4433</v>
      </c>
      <c r="L89" s="1401" t="s">
        <v>10400</v>
      </c>
      <c r="M89" s="1401" t="s">
        <v>10401</v>
      </c>
      <c r="N89" s="1401" t="s">
        <v>10402</v>
      </c>
      <c r="O89" s="1401" t="s">
        <v>10403</v>
      </c>
      <c r="P89" s="1401" t="s">
        <v>10404</v>
      </c>
      <c r="Q89" s="1401" t="s">
        <v>10405</v>
      </c>
      <c r="R89" s="1401" t="s">
        <v>8546</v>
      </c>
      <c r="S89" s="1401" t="s">
        <v>10276</v>
      </c>
      <c r="T89" s="1401" t="s">
        <v>10406</v>
      </c>
      <c r="U89" s="1401" t="s">
        <v>10407</v>
      </c>
      <c r="V89" s="1401" t="s">
        <v>2825</v>
      </c>
      <c r="W89" s="1401" t="s">
        <v>10408</v>
      </c>
      <c r="X89" s="1401" t="s">
        <v>10409</v>
      </c>
      <c r="Y89" s="1401" t="s">
        <v>5678</v>
      </c>
      <c r="Z89" s="1401" t="s">
        <v>4174</v>
      </c>
      <c r="AA89" s="1562" t="s">
        <v>10410</v>
      </c>
      <c r="AB89" s="1401" t="s">
        <v>9679</v>
      </c>
      <c r="AC89" s="1401" t="s">
        <v>5600</v>
      </c>
      <c r="AD89" s="1401" t="s">
        <v>10411</v>
      </c>
      <c r="AE89" s="1401" t="s">
        <v>9488</v>
      </c>
      <c r="AF89" s="1401" t="s">
        <v>10412</v>
      </c>
      <c r="AG89" s="1401" t="s">
        <v>10215</v>
      </c>
      <c r="AH89" s="1401" t="s">
        <v>5715</v>
      </c>
      <c r="AI89" s="1401" t="s">
        <v>10413</v>
      </c>
      <c r="AJ89" s="1401" t="s">
        <v>10414</v>
      </c>
      <c r="AK89" s="1562" t="s">
        <v>10415</v>
      </c>
      <c r="AL89" s="1401" t="s">
        <v>9998</v>
      </c>
      <c r="AM89" s="1401" t="s">
        <v>10416</v>
      </c>
      <c r="AN89" s="1401" t="s">
        <v>9827</v>
      </c>
      <c r="AO89" s="1401" t="s">
        <v>4684</v>
      </c>
      <c r="AP89" s="1401" t="s">
        <v>10417</v>
      </c>
      <c r="AQ89" s="1401" t="s">
        <v>10418</v>
      </c>
      <c r="AR89" s="1562" t="s">
        <v>3805</v>
      </c>
      <c r="AS89" s="1401" t="s">
        <v>10419</v>
      </c>
      <c r="AT89" s="1401" t="s">
        <v>10420</v>
      </c>
      <c r="AU89" s="1562" t="s">
        <v>10332</v>
      </c>
      <c r="AV89" s="1659" t="str">
        <f t="shared" si="3"/>
        <v>3:53</v>
      </c>
      <c r="AW89" s="1660" t="s">
        <v>10421</v>
      </c>
    </row>
    <row r="90">
      <c r="A90" s="1529" t="s">
        <v>4815</v>
      </c>
      <c r="B90" s="1524" t="s">
        <v>8586</v>
      </c>
      <c r="C90" s="1484">
        <v>0.05331018518518518</v>
      </c>
      <c r="D90" s="1562" t="s">
        <v>10422</v>
      </c>
      <c r="E90" s="1562" t="s">
        <v>7878</v>
      </c>
      <c r="F90" s="1562" t="s">
        <v>10190</v>
      </c>
      <c r="G90" s="1562" t="s">
        <v>10423</v>
      </c>
      <c r="H90" s="1401" t="s">
        <v>10424</v>
      </c>
      <c r="I90" s="1562" t="s">
        <v>10425</v>
      </c>
      <c r="J90" s="1562" t="s">
        <v>9926</v>
      </c>
      <c r="K90" s="1562" t="s">
        <v>8757</v>
      </c>
      <c r="L90" s="1562" t="s">
        <v>4205</v>
      </c>
      <c r="M90" s="1562" t="s">
        <v>10426</v>
      </c>
      <c r="N90" s="1562" t="s">
        <v>9708</v>
      </c>
      <c r="O90" s="1562" t="s">
        <v>10427</v>
      </c>
      <c r="P90" s="1562" t="s">
        <v>6195</v>
      </c>
      <c r="Q90" s="1562" t="s">
        <v>10428</v>
      </c>
      <c r="R90" s="1562" t="s">
        <v>2232</v>
      </c>
      <c r="S90" s="1562" t="s">
        <v>7749</v>
      </c>
      <c r="T90" s="1562" t="s">
        <v>7321</v>
      </c>
      <c r="U90" s="1562" t="s">
        <v>10429</v>
      </c>
      <c r="V90" s="1562" t="s">
        <v>9906</v>
      </c>
      <c r="W90" s="1562" t="s">
        <v>10430</v>
      </c>
      <c r="X90" s="1562" t="s">
        <v>6959</v>
      </c>
      <c r="Y90" s="1562" t="s">
        <v>5531</v>
      </c>
      <c r="Z90" s="1562" t="s">
        <v>9710</v>
      </c>
      <c r="AA90" s="1562" t="s">
        <v>10431</v>
      </c>
      <c r="AB90" s="1562" t="s">
        <v>3591</v>
      </c>
      <c r="AC90" s="1562" t="s">
        <v>10432</v>
      </c>
      <c r="AD90" s="1562" t="s">
        <v>10433</v>
      </c>
      <c r="AE90" s="1562" t="s">
        <v>5741</v>
      </c>
      <c r="AF90" s="1562" t="s">
        <v>10434</v>
      </c>
      <c r="AG90" s="1562" t="s">
        <v>10435</v>
      </c>
      <c r="AH90" s="1562" t="s">
        <v>10436</v>
      </c>
      <c r="AI90" s="1562" t="s">
        <v>10437</v>
      </c>
      <c r="AJ90" s="1562" t="s">
        <v>10438</v>
      </c>
      <c r="AK90" s="1562" t="s">
        <v>2275</v>
      </c>
      <c r="AL90" s="1562" t="s">
        <v>2243</v>
      </c>
      <c r="AM90" s="1562" t="s">
        <v>10439</v>
      </c>
      <c r="AN90" s="1562" t="s">
        <v>10440</v>
      </c>
      <c r="AO90" s="1562" t="s">
        <v>10441</v>
      </c>
      <c r="AP90" s="1562" t="s">
        <v>2781</v>
      </c>
      <c r="AQ90" s="1562" t="s">
        <v>10442</v>
      </c>
      <c r="AR90" s="1562" t="s">
        <v>1753</v>
      </c>
      <c r="AS90" s="1562" t="s">
        <v>946</v>
      </c>
      <c r="AT90" s="1562" t="s">
        <v>10443</v>
      </c>
      <c r="AU90" s="1562" t="s">
        <v>10444</v>
      </c>
      <c r="AV90" s="1659" t="str">
        <f t="shared" si="3"/>
        <v>4:18</v>
      </c>
      <c r="AW90" s="1664"/>
    </row>
    <row r="91" ht="15.75" customHeight="1">
      <c r="A91" s="1566" t="s">
        <v>10445</v>
      </c>
      <c r="B91" s="1649" t="s">
        <v>8586</v>
      </c>
      <c r="C91" s="1484">
        <v>0.05348379629629629</v>
      </c>
      <c r="D91" s="1401" t="s">
        <v>10446</v>
      </c>
      <c r="E91" s="1659" t="s">
        <v>10226</v>
      </c>
      <c r="F91" s="1659" t="s">
        <v>6380</v>
      </c>
      <c r="G91" s="1659" t="s">
        <v>10447</v>
      </c>
      <c r="H91" s="1659" t="s">
        <v>10448</v>
      </c>
      <c r="I91" s="1659" t="s">
        <v>2435</v>
      </c>
      <c r="J91" s="1659" t="s">
        <v>9089</v>
      </c>
      <c r="K91" s="1659" t="s">
        <v>8598</v>
      </c>
      <c r="L91" s="1659" t="s">
        <v>4875</v>
      </c>
      <c r="M91" s="1659" t="s">
        <v>9007</v>
      </c>
      <c r="N91" s="1659" t="s">
        <v>10449</v>
      </c>
      <c r="O91" s="1659" t="s">
        <v>4475</v>
      </c>
      <c r="P91" s="1659" t="s">
        <v>890</v>
      </c>
      <c r="Q91" s="1562" t="s">
        <v>10450</v>
      </c>
      <c r="R91" s="1659" t="s">
        <v>9973</v>
      </c>
      <c r="S91" s="1659" t="s">
        <v>9322</v>
      </c>
      <c r="T91" s="1659" t="s">
        <v>10197</v>
      </c>
      <c r="U91" s="1659" t="s">
        <v>10451</v>
      </c>
      <c r="V91" s="1659" t="s">
        <v>3352</v>
      </c>
      <c r="W91" s="1659" t="s">
        <v>3454</v>
      </c>
      <c r="X91" s="1659" t="s">
        <v>3124</v>
      </c>
      <c r="Y91" s="1659" t="s">
        <v>1497</v>
      </c>
      <c r="Z91" s="1659" t="s">
        <v>8942</v>
      </c>
      <c r="AA91" s="1562" t="s">
        <v>10452</v>
      </c>
      <c r="AB91" s="1659" t="s">
        <v>9718</v>
      </c>
      <c r="AC91" s="1659" t="s">
        <v>1202</v>
      </c>
      <c r="AD91" s="1659" t="s">
        <v>10453</v>
      </c>
      <c r="AE91" s="1659" t="s">
        <v>604</v>
      </c>
      <c r="AF91" s="1562" t="s">
        <v>10454</v>
      </c>
      <c r="AG91" s="1659" t="s">
        <v>5783</v>
      </c>
      <c r="AH91" s="1659" t="s">
        <v>9188</v>
      </c>
      <c r="AI91" s="1659" t="s">
        <v>2690</v>
      </c>
      <c r="AJ91" s="1659" t="s">
        <v>10455</v>
      </c>
      <c r="AK91" s="1659" t="s">
        <v>8979</v>
      </c>
      <c r="AL91" s="1659" t="s">
        <v>10456</v>
      </c>
      <c r="AM91" s="1659" t="s">
        <v>8740</v>
      </c>
      <c r="AN91" s="1659" t="s">
        <v>9998</v>
      </c>
      <c r="AO91" s="1659" t="s">
        <v>8932</v>
      </c>
      <c r="AP91" s="1659" t="s">
        <v>10457</v>
      </c>
      <c r="AQ91" s="1659" t="s">
        <v>4572</v>
      </c>
      <c r="AR91" s="1659" t="s">
        <v>1349</v>
      </c>
      <c r="AS91" s="1659" t="s">
        <v>8772</v>
      </c>
      <c r="AT91" s="1659" t="s">
        <v>4775</v>
      </c>
      <c r="AU91" s="1659" t="s">
        <v>10458</v>
      </c>
      <c r="AV91" s="1659" t="str">
        <f t="shared" si="3"/>
        <v>3:27</v>
      </c>
      <c r="AW91" s="1660" t="s">
        <v>10459</v>
      </c>
    </row>
    <row r="92">
      <c r="A92" s="1529" t="s">
        <v>5438</v>
      </c>
      <c r="B92" s="1527" t="s">
        <v>8531</v>
      </c>
      <c r="C92" s="1484">
        <v>0.05376157407407407</v>
      </c>
      <c r="D92" s="1562" t="s">
        <v>10460</v>
      </c>
      <c r="E92" s="1562" t="s">
        <v>10461</v>
      </c>
      <c r="F92" s="1562" t="s">
        <v>10462</v>
      </c>
      <c r="G92" s="1562" t="s">
        <v>10463</v>
      </c>
      <c r="H92" s="1681" t="s">
        <v>10464</v>
      </c>
      <c r="I92" s="1401" t="s">
        <v>238</v>
      </c>
      <c r="J92" s="1562" t="s">
        <v>9590</v>
      </c>
      <c r="K92" s="1562" t="s">
        <v>10465</v>
      </c>
      <c r="L92" s="1562" t="s">
        <v>2608</v>
      </c>
      <c r="M92" s="1562" t="s">
        <v>1387</v>
      </c>
      <c r="N92" s="1562" t="s">
        <v>10466</v>
      </c>
      <c r="O92" s="1562" t="s">
        <v>10467</v>
      </c>
      <c r="P92" s="1562" t="s">
        <v>993</v>
      </c>
      <c r="Q92" s="1562" t="s">
        <v>4495</v>
      </c>
      <c r="R92" s="1562" t="s">
        <v>10468</v>
      </c>
      <c r="S92" s="1682" t="s">
        <v>10469</v>
      </c>
      <c r="T92" s="1682" t="s">
        <v>9152</v>
      </c>
      <c r="U92" s="1562" t="s">
        <v>10470</v>
      </c>
      <c r="V92" s="1562" t="s">
        <v>10471</v>
      </c>
      <c r="W92" s="1562" t="s">
        <v>7717</v>
      </c>
      <c r="X92" s="1562" t="s">
        <v>10472</v>
      </c>
      <c r="Y92" s="1562" t="s">
        <v>2206</v>
      </c>
      <c r="Z92" s="1562" t="s">
        <v>9718</v>
      </c>
      <c r="AA92" s="1562" t="s">
        <v>10473</v>
      </c>
      <c r="AB92" s="1562" t="s">
        <v>10474</v>
      </c>
      <c r="AC92" s="1562" t="s">
        <v>7671</v>
      </c>
      <c r="AD92" s="1562" t="s">
        <v>5970</v>
      </c>
      <c r="AE92" s="1562" t="s">
        <v>2481</v>
      </c>
      <c r="AF92" s="1562" t="s">
        <v>7754</v>
      </c>
      <c r="AG92" s="1562" t="s">
        <v>10475</v>
      </c>
      <c r="AH92" s="1562" t="s">
        <v>9149</v>
      </c>
      <c r="AI92" s="1562" t="s">
        <v>7551</v>
      </c>
      <c r="AJ92" s="1562" t="s">
        <v>10476</v>
      </c>
      <c r="AK92" s="1562" t="s">
        <v>4866</v>
      </c>
      <c r="AL92" s="1562" t="s">
        <v>10477</v>
      </c>
      <c r="AM92" s="1562" t="s">
        <v>4878</v>
      </c>
      <c r="AN92" s="1562" t="s">
        <v>10478</v>
      </c>
      <c r="AO92" s="1562" t="s">
        <v>8545</v>
      </c>
      <c r="AP92" s="1562" t="s">
        <v>10479</v>
      </c>
      <c r="AQ92" s="1562" t="s">
        <v>10480</v>
      </c>
      <c r="AR92" s="1562" t="s">
        <v>5225</v>
      </c>
      <c r="AS92" s="1562" t="s">
        <v>8720</v>
      </c>
      <c r="AT92" s="1562" t="s">
        <v>10481</v>
      </c>
      <c r="AU92" s="1562" t="s">
        <v>10482</v>
      </c>
      <c r="AV92" s="1659" t="str">
        <f t="shared" si="3"/>
        <v>4:58</v>
      </c>
      <c r="AW92" s="1683"/>
    </row>
    <row r="93" ht="15.75" customHeight="1">
      <c r="A93" s="1566" t="s">
        <v>6427</v>
      </c>
      <c r="B93" s="1649" t="s">
        <v>8586</v>
      </c>
      <c r="C93" s="1625">
        <v>0.05386574074074074</v>
      </c>
      <c r="D93" s="1659" t="s">
        <v>10483</v>
      </c>
      <c r="E93" s="1659" t="s">
        <v>7300</v>
      </c>
      <c r="F93" s="1659" t="s">
        <v>10484</v>
      </c>
      <c r="G93" s="1659" t="s">
        <v>4440</v>
      </c>
      <c r="H93" s="1659" t="s">
        <v>10485</v>
      </c>
      <c r="I93" s="1659" t="s">
        <v>10425</v>
      </c>
      <c r="J93" s="1659" t="s">
        <v>10486</v>
      </c>
      <c r="K93" s="1659" t="s">
        <v>10487</v>
      </c>
      <c r="L93" s="1659" t="s">
        <v>1504</v>
      </c>
      <c r="M93" s="1659" t="s">
        <v>4621</v>
      </c>
      <c r="N93" s="1659" t="s">
        <v>7457</v>
      </c>
      <c r="O93" s="1659" t="s">
        <v>10488</v>
      </c>
      <c r="P93" s="1659" t="s">
        <v>6195</v>
      </c>
      <c r="Q93" s="1659" t="s">
        <v>10489</v>
      </c>
      <c r="R93" s="1659" t="s">
        <v>10490</v>
      </c>
      <c r="S93" s="1659" t="s">
        <v>10491</v>
      </c>
      <c r="T93" s="1659" t="s">
        <v>9700</v>
      </c>
      <c r="U93" s="1659" t="s">
        <v>10492</v>
      </c>
      <c r="V93" s="1659" t="s">
        <v>10493</v>
      </c>
      <c r="W93" s="1659" t="s">
        <v>10494</v>
      </c>
      <c r="X93" s="1659" t="s">
        <v>1464</v>
      </c>
      <c r="Y93" s="1659" t="s">
        <v>1891</v>
      </c>
      <c r="Z93" s="1659" t="s">
        <v>9164</v>
      </c>
      <c r="AA93" s="1401" t="s">
        <v>10495</v>
      </c>
      <c r="AB93" s="1659" t="s">
        <v>10496</v>
      </c>
      <c r="AC93" s="1659" t="s">
        <v>7042</v>
      </c>
      <c r="AD93" s="1659" t="s">
        <v>10497</v>
      </c>
      <c r="AE93" s="1659" t="s">
        <v>10498</v>
      </c>
      <c r="AF93" s="1659" t="s">
        <v>10044</v>
      </c>
      <c r="AG93" s="1659" t="s">
        <v>10499</v>
      </c>
      <c r="AH93" s="1659" t="s">
        <v>10500</v>
      </c>
      <c r="AI93" s="1659" t="s">
        <v>3661</v>
      </c>
      <c r="AJ93" s="1659" t="s">
        <v>10501</v>
      </c>
      <c r="AK93" s="1659" t="s">
        <v>3202</v>
      </c>
      <c r="AL93" s="1659" t="s">
        <v>4678</v>
      </c>
      <c r="AM93" s="1659" t="s">
        <v>9688</v>
      </c>
      <c r="AN93" s="1659" t="s">
        <v>9227</v>
      </c>
      <c r="AO93" s="1562" t="s">
        <v>9404</v>
      </c>
      <c r="AP93" s="1659" t="s">
        <v>10502</v>
      </c>
      <c r="AQ93" s="1659" t="s">
        <v>10503</v>
      </c>
      <c r="AR93" s="1659" t="s">
        <v>10504</v>
      </c>
      <c r="AS93" s="1659" t="s">
        <v>8949</v>
      </c>
      <c r="AT93" s="1659" t="s">
        <v>10505</v>
      </c>
      <c r="AU93" s="1659" t="s">
        <v>10444</v>
      </c>
      <c r="AV93" s="1659" t="str">
        <f t="shared" si="3"/>
        <v>3:30</v>
      </c>
      <c r="AW93" s="1664"/>
    </row>
    <row r="94">
      <c r="A94" s="1529" t="s">
        <v>5307</v>
      </c>
      <c r="B94" s="1527" t="s">
        <v>8586</v>
      </c>
      <c r="C94" s="1484">
        <v>0.05482638888888889</v>
      </c>
      <c r="D94" s="1635" t="s">
        <v>10506</v>
      </c>
      <c r="E94" s="1562" t="s">
        <v>9315</v>
      </c>
      <c r="F94" s="1562" t="s">
        <v>10507</v>
      </c>
      <c r="G94" s="1562" t="s">
        <v>10508</v>
      </c>
      <c r="H94" s="1562" t="s">
        <v>10509</v>
      </c>
      <c r="I94" s="1562" t="s">
        <v>10510</v>
      </c>
      <c r="J94" s="1562" t="s">
        <v>10511</v>
      </c>
      <c r="K94" s="1562" t="s">
        <v>9722</v>
      </c>
      <c r="L94" s="1562" t="s">
        <v>10512</v>
      </c>
      <c r="M94" s="1562" t="s">
        <v>1751</v>
      </c>
      <c r="N94" s="1562" t="s">
        <v>6454</v>
      </c>
      <c r="O94" s="1562" t="s">
        <v>10513</v>
      </c>
      <c r="P94" s="1562" t="s">
        <v>6423</v>
      </c>
      <c r="Q94" s="1562" t="s">
        <v>10514</v>
      </c>
      <c r="R94" s="1562" t="s">
        <v>8947</v>
      </c>
      <c r="S94" s="1562" t="s">
        <v>10515</v>
      </c>
      <c r="T94" s="1562" t="s">
        <v>10431</v>
      </c>
      <c r="U94" s="1562" t="s">
        <v>10516</v>
      </c>
      <c r="V94" s="1562" t="s">
        <v>972</v>
      </c>
      <c r="W94" s="1562" t="s">
        <v>10517</v>
      </c>
      <c r="X94" s="1562" t="s">
        <v>10518</v>
      </c>
      <c r="Y94" s="1562" t="s">
        <v>1845</v>
      </c>
      <c r="Z94" s="1562" t="s">
        <v>9740</v>
      </c>
      <c r="AA94" s="1562" t="s">
        <v>2510</v>
      </c>
      <c r="AB94" s="1562" t="s">
        <v>5409</v>
      </c>
      <c r="AC94" s="1562" t="s">
        <v>10519</v>
      </c>
      <c r="AD94" s="1562" t="s">
        <v>10520</v>
      </c>
      <c r="AE94" s="1562" t="s">
        <v>1612</v>
      </c>
      <c r="AF94" s="1562" t="s">
        <v>10521</v>
      </c>
      <c r="AG94" s="1562" t="s">
        <v>10522</v>
      </c>
      <c r="AH94" s="1562" t="s">
        <v>6451</v>
      </c>
      <c r="AI94" s="1562" t="s">
        <v>10523</v>
      </c>
      <c r="AJ94" s="1562" t="s">
        <v>10524</v>
      </c>
      <c r="AK94" s="1562" t="s">
        <v>245</v>
      </c>
      <c r="AL94" s="1562" t="s">
        <v>7127</v>
      </c>
      <c r="AM94" s="1562" t="s">
        <v>4444</v>
      </c>
      <c r="AN94" s="1562" t="s">
        <v>10525</v>
      </c>
      <c r="AO94" s="1562" t="s">
        <v>1872</v>
      </c>
      <c r="AP94" s="1562" t="s">
        <v>1015</v>
      </c>
      <c r="AQ94" s="1562" t="s">
        <v>10526</v>
      </c>
      <c r="AR94" s="1562" t="s">
        <v>10527</v>
      </c>
      <c r="AS94" s="1562" t="s">
        <v>2270</v>
      </c>
      <c r="AT94" s="1562" t="s">
        <v>10528</v>
      </c>
      <c r="AU94" s="1562" t="s">
        <v>10529</v>
      </c>
      <c r="AV94" s="1659" t="str">
        <f t="shared" si="3"/>
        <v>3:40</v>
      </c>
      <c r="AW94" s="1660" t="s">
        <v>10530</v>
      </c>
    </row>
    <row r="95">
      <c r="A95" s="1529" t="s">
        <v>5488</v>
      </c>
      <c r="B95" s="1527" t="s">
        <v>8531</v>
      </c>
      <c r="C95" s="1484">
        <v>0.05482638888888889</v>
      </c>
      <c r="D95" s="1506" t="s">
        <v>10531</v>
      </c>
      <c r="E95" s="1506" t="s">
        <v>9163</v>
      </c>
      <c r="F95" s="1506" t="s">
        <v>10532</v>
      </c>
      <c r="G95" s="1506" t="s">
        <v>10533</v>
      </c>
      <c r="H95" s="1506" t="s">
        <v>10534</v>
      </c>
      <c r="I95" s="1506">
        <v>50.26</v>
      </c>
      <c r="J95" s="1506" t="s">
        <v>10511</v>
      </c>
      <c r="K95" s="1506" t="s">
        <v>10535</v>
      </c>
      <c r="L95" s="1506" t="s">
        <v>10536</v>
      </c>
      <c r="M95" s="1506" t="s">
        <v>2299</v>
      </c>
      <c r="N95" s="1506" t="s">
        <v>10537</v>
      </c>
      <c r="O95" s="1506" t="s">
        <v>10538</v>
      </c>
      <c r="P95" s="1506">
        <v>49.15</v>
      </c>
      <c r="Q95" s="1506" t="s">
        <v>10539</v>
      </c>
      <c r="R95" s="1506" t="s">
        <v>3404</v>
      </c>
      <c r="S95" s="1506" t="s">
        <v>10540</v>
      </c>
      <c r="T95" s="1506" t="s">
        <v>5119</v>
      </c>
      <c r="U95" s="1506" t="s">
        <v>10541</v>
      </c>
      <c r="V95" s="1506" t="s">
        <v>10542</v>
      </c>
      <c r="W95" s="1506" t="s">
        <v>10543</v>
      </c>
      <c r="X95" s="1506" t="s">
        <v>10544</v>
      </c>
      <c r="Y95" s="1506">
        <v>51.87</v>
      </c>
      <c r="Z95" s="1506" t="s">
        <v>6194</v>
      </c>
      <c r="AA95" s="1506" t="s">
        <v>6392</v>
      </c>
      <c r="AB95" s="1506" t="s">
        <v>2002</v>
      </c>
      <c r="AC95" s="1506">
        <v>49.75</v>
      </c>
      <c r="AD95" s="1506" t="s">
        <v>10545</v>
      </c>
      <c r="AE95" s="1506">
        <v>50.16</v>
      </c>
      <c r="AF95" s="1506" t="s">
        <v>10546</v>
      </c>
      <c r="AG95" s="1506" t="s">
        <v>10547</v>
      </c>
      <c r="AH95" s="1506" t="s">
        <v>6279</v>
      </c>
      <c r="AI95" s="1506" t="s">
        <v>2017</v>
      </c>
      <c r="AJ95" s="1506" t="s">
        <v>10548</v>
      </c>
      <c r="AK95" s="1506" t="s">
        <v>10466</v>
      </c>
      <c r="AL95" s="1506">
        <v>59.29</v>
      </c>
      <c r="AM95" s="1506" t="s">
        <v>4572</v>
      </c>
      <c r="AN95" s="1506" t="s">
        <v>643</v>
      </c>
      <c r="AO95" s="1506" t="s">
        <v>9008</v>
      </c>
      <c r="AP95" s="1506" t="s">
        <v>10549</v>
      </c>
      <c r="AQ95" s="1506" t="s">
        <v>10550</v>
      </c>
      <c r="AR95" s="1506" t="s">
        <v>7362</v>
      </c>
      <c r="AS95" s="1506">
        <v>47.7</v>
      </c>
      <c r="AT95" s="1506" t="s">
        <v>10551</v>
      </c>
      <c r="AU95" s="1513" t="s">
        <v>10552</v>
      </c>
      <c r="AV95" s="1659" t="str">
        <f t="shared" si="3"/>
        <v>5:51</v>
      </c>
      <c r="AW95" s="1667" t="s">
        <v>10553</v>
      </c>
    </row>
    <row r="96">
      <c r="A96" s="1529" t="s">
        <v>5560</v>
      </c>
      <c r="B96" s="1524" t="s">
        <v>8531</v>
      </c>
      <c r="C96" s="1484">
        <v>0.05559027777777778</v>
      </c>
      <c r="D96" s="1635" t="s">
        <v>10554</v>
      </c>
      <c r="E96" s="1562" t="s">
        <v>10555</v>
      </c>
      <c r="F96" s="1562" t="s">
        <v>10556</v>
      </c>
      <c r="G96" s="1562" t="s">
        <v>8202</v>
      </c>
      <c r="H96" s="1562" t="s">
        <v>5859</v>
      </c>
      <c r="I96" s="1562" t="s">
        <v>2004</v>
      </c>
      <c r="J96" s="1562" t="s">
        <v>10557</v>
      </c>
      <c r="K96" s="1562" t="s">
        <v>6198</v>
      </c>
      <c r="L96" s="1562" t="s">
        <v>8347</v>
      </c>
      <c r="M96" s="1562" t="s">
        <v>7367</v>
      </c>
      <c r="N96" s="1562" t="s">
        <v>10558</v>
      </c>
      <c r="O96" s="1562" t="s">
        <v>10559</v>
      </c>
      <c r="P96" s="1562" t="s">
        <v>293</v>
      </c>
      <c r="Q96" s="1562" t="s">
        <v>1835</v>
      </c>
      <c r="R96" s="1562" t="s">
        <v>10560</v>
      </c>
      <c r="S96" s="1562" t="s">
        <v>5298</v>
      </c>
      <c r="T96" s="1562" t="s">
        <v>10561</v>
      </c>
      <c r="U96" s="1562" t="s">
        <v>10562</v>
      </c>
      <c r="V96" s="1562" t="s">
        <v>6421</v>
      </c>
      <c r="W96" s="1562" t="s">
        <v>9296</v>
      </c>
      <c r="X96" s="1562" t="s">
        <v>10563</v>
      </c>
      <c r="Y96" s="1562" t="s">
        <v>3073</v>
      </c>
      <c r="Z96" s="1562" t="s">
        <v>10564</v>
      </c>
      <c r="AA96" s="1562" t="s">
        <v>10325</v>
      </c>
      <c r="AB96" s="1562" t="s">
        <v>3614</v>
      </c>
      <c r="AC96" s="1562" t="s">
        <v>4789</v>
      </c>
      <c r="AD96" s="1562" t="s">
        <v>9561</v>
      </c>
      <c r="AE96" s="1562" t="s">
        <v>990</v>
      </c>
      <c r="AF96" s="1562" t="s">
        <v>10565</v>
      </c>
      <c r="AG96" s="1562" t="s">
        <v>10566</v>
      </c>
      <c r="AH96" s="1562" t="s">
        <v>8236</v>
      </c>
      <c r="AI96" s="1562" t="s">
        <v>10567</v>
      </c>
      <c r="AJ96" s="1562" t="s">
        <v>10568</v>
      </c>
      <c r="AK96" s="1562" t="s">
        <v>4615</v>
      </c>
      <c r="AL96" s="1562" t="s">
        <v>588</v>
      </c>
      <c r="AM96" s="1562" t="s">
        <v>10569</v>
      </c>
      <c r="AN96" s="1562" t="s">
        <v>10570</v>
      </c>
      <c r="AO96" s="1562" t="s">
        <v>1086</v>
      </c>
      <c r="AP96" s="1562" t="s">
        <v>10571</v>
      </c>
      <c r="AQ96" s="1562" t="s">
        <v>10572</v>
      </c>
      <c r="AR96" s="1562" t="s">
        <v>10573</v>
      </c>
      <c r="AS96" s="1562" t="s">
        <v>960</v>
      </c>
      <c r="AT96" s="1562" t="s">
        <v>10574</v>
      </c>
      <c r="AU96" s="1562" t="s">
        <v>10575</v>
      </c>
      <c r="AV96" s="1659" t="str">
        <f t="shared" si="3"/>
        <v>5:05</v>
      </c>
      <c r="AW96" s="1660" t="s">
        <v>10576</v>
      </c>
    </row>
    <row r="97">
      <c r="A97" s="1529" t="s">
        <v>4975</v>
      </c>
      <c r="B97" s="1524" t="s">
        <v>8560</v>
      </c>
      <c r="C97" s="1564">
        <v>0.05565972222222222</v>
      </c>
      <c r="D97" s="1562" t="s">
        <v>10577</v>
      </c>
      <c r="E97" s="1562" t="s">
        <v>3332</v>
      </c>
      <c r="F97" s="1562" t="s">
        <v>10578</v>
      </c>
      <c r="G97" s="1562" t="s">
        <v>10579</v>
      </c>
      <c r="H97" s="1401" t="s">
        <v>9053</v>
      </c>
      <c r="I97" s="1562" t="s">
        <v>3610</v>
      </c>
      <c r="J97" s="1562" t="s">
        <v>9305</v>
      </c>
      <c r="K97" s="1562" t="s">
        <v>837</v>
      </c>
      <c r="L97" s="1562" t="s">
        <v>10580</v>
      </c>
      <c r="M97" s="1562" t="s">
        <v>10581</v>
      </c>
      <c r="N97" s="1562" t="s">
        <v>6309</v>
      </c>
      <c r="O97" s="1562" t="s">
        <v>10582</v>
      </c>
      <c r="P97" s="1562" t="s">
        <v>9978</v>
      </c>
      <c r="Q97" s="1562" t="s">
        <v>10583</v>
      </c>
      <c r="R97" s="1562" t="s">
        <v>9742</v>
      </c>
      <c r="S97" s="1562" t="s">
        <v>428</v>
      </c>
      <c r="T97" s="1562" t="s">
        <v>10584</v>
      </c>
      <c r="U97" s="1562" t="s">
        <v>10585</v>
      </c>
      <c r="V97" s="1562" t="s">
        <v>10586</v>
      </c>
      <c r="W97" s="1562" t="s">
        <v>10587</v>
      </c>
      <c r="X97" s="1562" t="s">
        <v>10588</v>
      </c>
      <c r="Y97" s="1562" t="s">
        <v>2481</v>
      </c>
      <c r="Z97" s="1562" t="s">
        <v>5372</v>
      </c>
      <c r="AA97" s="1562" t="s">
        <v>9911</v>
      </c>
      <c r="AB97" s="1562" t="s">
        <v>10270</v>
      </c>
      <c r="AC97" s="1562" t="s">
        <v>9747</v>
      </c>
      <c r="AD97" s="1562" t="s">
        <v>10589</v>
      </c>
      <c r="AE97" s="1562" t="s">
        <v>10590</v>
      </c>
      <c r="AF97" s="1562" t="s">
        <v>10591</v>
      </c>
      <c r="AG97" s="1562" t="s">
        <v>10592</v>
      </c>
      <c r="AH97" s="1562" t="s">
        <v>10593</v>
      </c>
      <c r="AI97" s="1562" t="s">
        <v>10594</v>
      </c>
      <c r="AJ97" s="1562" t="s">
        <v>10595</v>
      </c>
      <c r="AK97" s="1562" t="s">
        <v>7321</v>
      </c>
      <c r="AL97" s="1562" t="s">
        <v>3831</v>
      </c>
      <c r="AM97" s="1562" t="s">
        <v>4878</v>
      </c>
      <c r="AN97" s="1562" t="s">
        <v>10596</v>
      </c>
      <c r="AO97" s="1562" t="s">
        <v>2068</v>
      </c>
      <c r="AP97" s="1562" t="s">
        <v>10597</v>
      </c>
      <c r="AQ97" s="1562" t="s">
        <v>10598</v>
      </c>
      <c r="AR97" s="1562" t="s">
        <v>10599</v>
      </c>
      <c r="AS97" s="1562" t="s">
        <v>2328</v>
      </c>
      <c r="AT97" s="1562" t="s">
        <v>10600</v>
      </c>
      <c r="AU97" s="1562" t="s">
        <v>10601</v>
      </c>
      <c r="AV97" s="1659" t="str">
        <f t="shared" si="3"/>
        <v>8:24</v>
      </c>
      <c r="AW97" s="1660" t="s">
        <v>9603</v>
      </c>
    </row>
    <row r="98">
      <c r="A98" s="1566" t="s">
        <v>10602</v>
      </c>
      <c r="B98" s="1542" t="s">
        <v>8560</v>
      </c>
      <c r="C98" s="1625">
        <v>0.057881944444444444</v>
      </c>
      <c r="D98" s="1562" t="s">
        <v>10603</v>
      </c>
      <c r="E98" s="1659" t="s">
        <v>10604</v>
      </c>
      <c r="F98" s="1562" t="s">
        <v>10605</v>
      </c>
      <c r="G98" s="1562" t="s">
        <v>10606</v>
      </c>
      <c r="H98" s="1659" t="s">
        <v>10607</v>
      </c>
      <c r="I98" s="1659" t="s">
        <v>1074</v>
      </c>
      <c r="J98" s="1659" t="s">
        <v>10608</v>
      </c>
      <c r="K98" s="1659" t="s">
        <v>3721</v>
      </c>
      <c r="L98" s="1659" t="s">
        <v>10609</v>
      </c>
      <c r="M98" s="1659" t="s">
        <v>6803</v>
      </c>
      <c r="N98" s="1659" t="s">
        <v>10610</v>
      </c>
      <c r="O98" s="1659" t="s">
        <v>10611</v>
      </c>
      <c r="P98" s="1659" t="s">
        <v>2452</v>
      </c>
      <c r="Q98" s="1659" t="s">
        <v>10612</v>
      </c>
      <c r="R98" s="1659" t="s">
        <v>10613</v>
      </c>
      <c r="S98" s="1659" t="s">
        <v>10614</v>
      </c>
      <c r="T98" s="1659" t="s">
        <v>1843</v>
      </c>
      <c r="U98" s="1659" t="s">
        <v>10615</v>
      </c>
      <c r="V98" s="1659" t="s">
        <v>10616</v>
      </c>
      <c r="W98" s="1659" t="s">
        <v>10617</v>
      </c>
      <c r="X98" s="1659" t="s">
        <v>10618</v>
      </c>
      <c r="Y98" s="1659" t="s">
        <v>2906</v>
      </c>
      <c r="Z98" s="1659" t="s">
        <v>10619</v>
      </c>
      <c r="AA98" s="1562" t="s">
        <v>10620</v>
      </c>
      <c r="AB98" s="1659" t="s">
        <v>9089</v>
      </c>
      <c r="AC98" s="1659" t="s">
        <v>3526</v>
      </c>
      <c r="AD98" s="1659" t="s">
        <v>5338</v>
      </c>
      <c r="AE98" s="1659" t="s">
        <v>2667</v>
      </c>
      <c r="AF98" s="1659" t="s">
        <v>10621</v>
      </c>
      <c r="AG98" s="1659" t="s">
        <v>5786</v>
      </c>
      <c r="AH98" s="1659" t="s">
        <v>10622</v>
      </c>
      <c r="AI98" s="1659" t="s">
        <v>4922</v>
      </c>
      <c r="AJ98" s="1659" t="s">
        <v>10623</v>
      </c>
      <c r="AK98" s="1659" t="s">
        <v>10624</v>
      </c>
      <c r="AL98" s="1659" t="s">
        <v>4022</v>
      </c>
      <c r="AM98" s="1659" t="s">
        <v>4931</v>
      </c>
      <c r="AN98" s="1659" t="s">
        <v>10625</v>
      </c>
      <c r="AO98" s="1659" t="s">
        <v>9979</v>
      </c>
      <c r="AP98" s="1659" t="s">
        <v>10626</v>
      </c>
      <c r="AQ98" s="1659" t="s">
        <v>7339</v>
      </c>
      <c r="AR98" s="1659" t="s">
        <v>10627</v>
      </c>
      <c r="AS98" s="1659" t="s">
        <v>638</v>
      </c>
      <c r="AT98" s="1659" t="s">
        <v>10628</v>
      </c>
      <c r="AU98" s="1659" t="s">
        <v>10629</v>
      </c>
      <c r="AV98" s="1659" t="str">
        <f t="shared" si="3"/>
        <v>2:11</v>
      </c>
      <c r="AW98" s="1664" t="s">
        <v>10630</v>
      </c>
    </row>
    <row r="99" ht="15.75" customHeight="1">
      <c r="A99" s="1529" t="s">
        <v>6264</v>
      </c>
      <c r="B99" s="1542" t="s">
        <v>8560</v>
      </c>
      <c r="C99" s="1484">
        <v>0.06635416666666667</v>
      </c>
      <c r="D99" s="1401" t="s">
        <v>10631</v>
      </c>
      <c r="E99" s="1401" t="s">
        <v>8404</v>
      </c>
      <c r="F99" s="1401" t="s">
        <v>10632</v>
      </c>
      <c r="G99" s="1401" t="s">
        <v>10633</v>
      </c>
      <c r="H99" s="1401" t="s">
        <v>10634</v>
      </c>
      <c r="I99" s="1401" t="s">
        <v>3535</v>
      </c>
      <c r="J99" s="1401" t="s">
        <v>10635</v>
      </c>
      <c r="K99" s="1401" t="s">
        <v>3992</v>
      </c>
      <c r="L99" s="1401" t="s">
        <v>7368</v>
      </c>
      <c r="M99" s="1401" t="s">
        <v>902</v>
      </c>
      <c r="N99" s="1401" t="s">
        <v>10636</v>
      </c>
      <c r="O99" s="1401" t="s">
        <v>10637</v>
      </c>
      <c r="P99" s="1401" t="s">
        <v>5253</v>
      </c>
      <c r="Q99" s="1401" t="s">
        <v>10638</v>
      </c>
      <c r="R99" s="1401" t="s">
        <v>4630</v>
      </c>
      <c r="S99" s="1401" t="s">
        <v>10639</v>
      </c>
      <c r="T99" s="1401" t="s">
        <v>10517</v>
      </c>
      <c r="U99" s="1401" t="s">
        <v>10640</v>
      </c>
      <c r="V99" s="1401" t="s">
        <v>7878</v>
      </c>
      <c r="W99" s="1401" t="s">
        <v>10641</v>
      </c>
      <c r="X99" s="1401" t="s">
        <v>10642</v>
      </c>
      <c r="Y99" s="1401" t="s">
        <v>786</v>
      </c>
      <c r="Z99" s="1401" t="s">
        <v>10643</v>
      </c>
      <c r="AA99" s="1659"/>
      <c r="AB99" s="1401" t="s">
        <v>10644</v>
      </c>
      <c r="AC99" s="1401" t="s">
        <v>922</v>
      </c>
      <c r="AD99" s="1401" t="s">
        <v>10645</v>
      </c>
      <c r="AE99" s="1401" t="s">
        <v>10646</v>
      </c>
      <c r="AF99" s="1401" t="s">
        <v>10647</v>
      </c>
      <c r="AG99" s="1401" t="s">
        <v>10648</v>
      </c>
      <c r="AH99" s="1401" t="s">
        <v>4216</v>
      </c>
      <c r="AI99" s="1401" t="s">
        <v>10649</v>
      </c>
      <c r="AJ99" s="1401" t="s">
        <v>10650</v>
      </c>
      <c r="AK99" s="1401" t="s">
        <v>10651</v>
      </c>
      <c r="AL99" s="1401" t="s">
        <v>10652</v>
      </c>
      <c r="AM99" s="1401" t="s">
        <v>10653</v>
      </c>
      <c r="AN99" s="1401" t="s">
        <v>9168</v>
      </c>
      <c r="AO99" s="1401" t="s">
        <v>2414</v>
      </c>
      <c r="AP99" s="1401" t="s">
        <v>10654</v>
      </c>
      <c r="AQ99" s="1401" t="s">
        <v>882</v>
      </c>
      <c r="AR99" s="1401" t="s">
        <v>10655</v>
      </c>
      <c r="AS99" s="1401" t="s">
        <v>4123</v>
      </c>
      <c r="AT99" s="1401" t="s">
        <v>10656</v>
      </c>
      <c r="AU99" s="1545" t="s">
        <v>10657</v>
      </c>
      <c r="AV99" s="1659" t="str">
        <f t="shared" si="3"/>
        <v>9:53</v>
      </c>
      <c r="AW99" s="1667" t="s">
        <v>10658</v>
      </c>
    </row>
    <row r="100">
      <c r="A100" s="1529" t="s">
        <v>4741</v>
      </c>
      <c r="B100" s="1527" t="s">
        <v>8560</v>
      </c>
      <c r="C100" s="1484"/>
      <c r="D100" s="1533"/>
      <c r="E100" s="1533"/>
      <c r="F100" s="1533"/>
      <c r="G100" s="1533"/>
      <c r="H100" s="1401"/>
      <c r="I100" s="1621"/>
      <c r="J100" s="1535"/>
      <c r="K100" s="1535"/>
      <c r="L100" s="1535"/>
      <c r="M100" s="1535"/>
      <c r="N100" s="1535"/>
      <c r="O100" s="1535"/>
      <c r="P100" s="1535"/>
      <c r="Q100" s="1536"/>
      <c r="R100" s="1536"/>
      <c r="S100" s="1536"/>
      <c r="T100" s="1536"/>
      <c r="U100" s="1536"/>
      <c r="V100" s="1536"/>
      <c r="W100" s="1537"/>
      <c r="X100" s="1537"/>
      <c r="Y100" s="1537"/>
      <c r="Z100" s="1537"/>
      <c r="AA100" s="1493"/>
      <c r="AB100" s="1537"/>
      <c r="AC100" s="1537"/>
      <c r="AD100" s="1533"/>
      <c r="AE100" s="1533"/>
      <c r="AF100" s="1640" t="s">
        <v>8578</v>
      </c>
      <c r="AG100" s="1538"/>
      <c r="AH100" s="1538"/>
      <c r="AI100" s="1538"/>
      <c r="AJ100" s="1538"/>
      <c r="AK100" s="1538"/>
      <c r="AL100" s="1538"/>
      <c r="AM100" s="1540"/>
      <c r="AN100" s="1540"/>
      <c r="AO100" s="1540"/>
      <c r="AP100" s="1540"/>
      <c r="AQ100" s="1540"/>
      <c r="AR100" s="1540"/>
      <c r="AS100" s="1540"/>
      <c r="AT100" s="1535"/>
      <c r="AU100" s="1522"/>
      <c r="AV100" s="1522"/>
      <c r="AW100" s="1528"/>
    </row>
    <row r="101">
      <c r="A101" s="1529" t="s">
        <v>6489</v>
      </c>
      <c r="B101" s="1524" t="s">
        <v>8560</v>
      </c>
      <c r="C101" s="1625"/>
      <c r="D101" s="1506"/>
      <c r="E101" s="1506"/>
      <c r="F101" s="1506"/>
      <c r="G101" s="1506"/>
      <c r="H101" s="1506"/>
      <c r="I101" s="1506"/>
      <c r="J101" s="1506"/>
      <c r="K101" s="1506"/>
      <c r="L101" s="1506"/>
      <c r="M101" s="1506"/>
      <c r="N101" s="1506"/>
      <c r="O101" s="1506"/>
      <c r="P101" s="1506"/>
      <c r="Q101" s="1506"/>
      <c r="R101" s="1506"/>
      <c r="S101" s="1506"/>
      <c r="T101" s="1506"/>
      <c r="U101" s="1506"/>
      <c r="V101" s="1506"/>
      <c r="W101" s="1486" t="s">
        <v>9046</v>
      </c>
      <c r="X101" s="1506"/>
      <c r="Y101" s="1506"/>
      <c r="Z101" s="1506"/>
      <c r="AA101" s="1506"/>
      <c r="AB101" s="1684" t="s">
        <v>2914</v>
      </c>
      <c r="AC101" s="1506"/>
      <c r="AD101" s="1506"/>
      <c r="AE101" s="1513"/>
      <c r="AF101" s="1506"/>
      <c r="AG101" s="1506"/>
      <c r="AH101" s="1506"/>
      <c r="AI101" s="1506"/>
      <c r="AJ101" s="1506"/>
      <c r="AK101" s="1506"/>
      <c r="AL101" s="1506"/>
      <c r="AM101" s="1685" t="s">
        <v>2521</v>
      </c>
      <c r="AN101" s="1506"/>
      <c r="AO101" s="1506"/>
      <c r="AP101" s="1506"/>
      <c r="AQ101" s="1506"/>
      <c r="AR101" s="1506"/>
      <c r="AS101" s="1506"/>
      <c r="AT101" s="1506"/>
      <c r="AU101" s="1491"/>
      <c r="AV101" s="1491"/>
      <c r="AW101" s="1563"/>
    </row>
    <row r="102">
      <c r="A102" s="1686"/>
      <c r="B102" s="1687"/>
      <c r="C102" s="1688"/>
      <c r="D102" s="1665"/>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44"/>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4"/>
    </row>
    <row r="103">
      <c r="A103" s="1698"/>
      <c r="B103" s="1699"/>
      <c r="C103" s="1700"/>
      <c r="D103" s="1665"/>
      <c r="E103" s="1644"/>
      <c r="F103" s="1644"/>
      <c r="G103" s="1644"/>
      <c r="H103" s="1690"/>
      <c r="I103" s="1644"/>
      <c r="J103" s="1644"/>
      <c r="K103" s="1644"/>
      <c r="L103" s="1644"/>
      <c r="M103" s="1644"/>
      <c r="N103" s="1644"/>
      <c r="O103" s="1644"/>
      <c r="P103" s="1644"/>
      <c r="Q103" s="1644"/>
      <c r="R103" s="1644"/>
      <c r="S103" s="1644"/>
      <c r="T103" s="1644"/>
      <c r="U103" s="1644"/>
      <c r="V103" s="1644"/>
      <c r="W103" s="1644"/>
      <c r="X103" s="1644"/>
      <c r="Y103" s="1644"/>
      <c r="Z103" s="1644"/>
      <c r="AA103" s="1694"/>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686"/>
      <c r="B104" s="1687"/>
      <c r="C104" s="1688"/>
      <c r="D104" s="1665"/>
      <c r="E104" s="1689"/>
      <c r="F104" s="1689"/>
      <c r="G104" s="1689"/>
      <c r="H104" s="1690"/>
      <c r="I104" s="1691"/>
      <c r="J104" s="1692"/>
      <c r="K104" s="1692"/>
      <c r="L104" s="1692"/>
      <c r="M104" s="1692"/>
      <c r="N104" s="1692"/>
      <c r="O104" s="1692"/>
      <c r="P104" s="1692"/>
      <c r="Q104" s="1693"/>
      <c r="R104" s="1693"/>
      <c r="S104" s="1693"/>
      <c r="T104" s="1693"/>
      <c r="U104" s="1693"/>
      <c r="V104" s="1693"/>
      <c r="W104" s="1694"/>
      <c r="X104" s="1694"/>
      <c r="Y104" s="1694"/>
      <c r="Z104" s="1694"/>
      <c r="AA104" s="1644"/>
      <c r="AB104" s="1694"/>
      <c r="AC104" s="1694"/>
      <c r="AD104" s="1689"/>
      <c r="AE104" s="1689"/>
      <c r="AF104" s="1695"/>
      <c r="AG104" s="1695"/>
      <c r="AH104" s="1695"/>
      <c r="AI104" s="1695"/>
      <c r="AJ104" s="1695"/>
      <c r="AK104" s="1695"/>
      <c r="AL104" s="1695"/>
      <c r="AM104" s="1696"/>
      <c r="AN104" s="1696"/>
      <c r="AO104" s="1696"/>
      <c r="AP104" s="1696"/>
      <c r="AQ104" s="1696"/>
      <c r="AR104" s="1696"/>
      <c r="AS104" s="1696"/>
      <c r="AT104" s="1692"/>
      <c r="AU104" s="1697"/>
      <c r="AV104" s="1697"/>
      <c r="AW104" s="1624"/>
    </row>
    <row r="105">
      <c r="A105" s="1698"/>
      <c r="B105" s="1699"/>
      <c r="C105" s="1700"/>
      <c r="D105" s="1665"/>
      <c r="E105" s="1644"/>
      <c r="F105" s="1644"/>
      <c r="G105" s="1644"/>
      <c r="H105" s="1690"/>
      <c r="I105" s="1644"/>
      <c r="J105" s="1644"/>
      <c r="K105" s="1644"/>
      <c r="L105" s="1644"/>
      <c r="M105" s="1644"/>
      <c r="N105" s="1644"/>
      <c r="O105" s="1644"/>
      <c r="P105" s="1644"/>
      <c r="Q105" s="1644"/>
      <c r="R105" s="1644"/>
      <c r="S105" s="1644"/>
      <c r="T105" s="1644"/>
      <c r="U105" s="1644"/>
      <c r="V105" s="1644"/>
      <c r="W105" s="1644"/>
      <c r="X105" s="1644"/>
      <c r="Y105" s="1644"/>
      <c r="Z105" s="1644"/>
      <c r="AA105" s="1694"/>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686"/>
      <c r="B106" s="1687"/>
      <c r="C106" s="1688"/>
      <c r="D106" s="1665"/>
      <c r="E106" s="1689"/>
      <c r="F106" s="1689"/>
      <c r="G106" s="1689"/>
      <c r="H106" s="1690"/>
      <c r="I106" s="1691"/>
      <c r="J106" s="1692"/>
      <c r="K106" s="1692"/>
      <c r="L106" s="1692"/>
      <c r="M106" s="1692"/>
      <c r="N106" s="1692"/>
      <c r="O106" s="1692"/>
      <c r="P106" s="1692"/>
      <c r="Q106" s="1693"/>
      <c r="R106" s="1693"/>
      <c r="S106" s="1693"/>
      <c r="T106" s="1693"/>
      <c r="U106" s="1693"/>
      <c r="V106" s="1693"/>
      <c r="W106" s="1694"/>
      <c r="X106" s="1694"/>
      <c r="Y106" s="1694"/>
      <c r="Z106" s="1694"/>
      <c r="AA106" s="1644"/>
      <c r="AB106" s="1694"/>
      <c r="AC106" s="1694"/>
      <c r="AD106" s="1689"/>
      <c r="AE106" s="1689"/>
      <c r="AF106" s="1695"/>
      <c r="AG106" s="1695"/>
      <c r="AH106" s="1695"/>
      <c r="AI106" s="1695"/>
      <c r="AJ106" s="1695"/>
      <c r="AK106" s="1695"/>
      <c r="AL106" s="1695"/>
      <c r="AM106" s="1696"/>
      <c r="AN106" s="1696"/>
      <c r="AO106" s="1696"/>
      <c r="AP106" s="1696"/>
      <c r="AQ106" s="1696"/>
      <c r="AR106" s="1696"/>
      <c r="AS106" s="1696"/>
      <c r="AT106" s="1692"/>
      <c r="AU106" s="1697"/>
      <c r="AV106" s="1697"/>
      <c r="AW106" s="1624"/>
    </row>
    <row r="107">
      <c r="A107" s="1698"/>
      <c r="B107" s="1699"/>
      <c r="C107" s="1700"/>
      <c r="D107" s="1665"/>
      <c r="E107" s="1644"/>
      <c r="F107" s="1644"/>
      <c r="G107" s="1644"/>
      <c r="H107" s="1690"/>
      <c r="I107" s="1644"/>
      <c r="J107" s="1644"/>
      <c r="K107" s="1644"/>
      <c r="L107" s="1644"/>
      <c r="M107" s="1644"/>
      <c r="N107" s="1644"/>
      <c r="O107" s="1644"/>
      <c r="P107" s="1644"/>
      <c r="Q107" s="1644"/>
      <c r="R107" s="1644"/>
      <c r="S107" s="1644"/>
      <c r="T107" s="1644"/>
      <c r="U107" s="1644"/>
      <c r="V107" s="1644"/>
      <c r="W107" s="1644"/>
      <c r="X107" s="1644"/>
      <c r="Y107" s="1644"/>
      <c r="Z107" s="1644"/>
      <c r="AA107" s="1694"/>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686"/>
      <c r="B108" s="1687"/>
      <c r="C108" s="1688"/>
      <c r="D108" s="1665"/>
      <c r="E108" s="1689"/>
      <c r="F108" s="1689"/>
      <c r="G108" s="1689"/>
      <c r="H108" s="1690"/>
      <c r="I108" s="1691"/>
      <c r="J108" s="1692"/>
      <c r="K108" s="1692"/>
      <c r="L108" s="1692"/>
      <c r="M108" s="1692"/>
      <c r="N108" s="1692"/>
      <c r="O108" s="1692"/>
      <c r="P108" s="1692"/>
      <c r="Q108" s="1693"/>
      <c r="R108" s="1693"/>
      <c r="S108" s="1693"/>
      <c r="T108" s="1693"/>
      <c r="U108" s="1693"/>
      <c r="V108" s="1693"/>
      <c r="W108" s="1694"/>
      <c r="X108" s="1694"/>
      <c r="Y108" s="1694"/>
      <c r="Z108" s="1694"/>
      <c r="AA108" s="1644"/>
      <c r="AB108" s="1694"/>
      <c r="AC108" s="1694"/>
      <c r="AD108" s="1689"/>
      <c r="AE108" s="1689"/>
      <c r="AF108" s="1695"/>
      <c r="AG108" s="1695"/>
      <c r="AH108" s="1695"/>
      <c r="AI108" s="1695"/>
      <c r="AJ108" s="1695"/>
      <c r="AK108" s="1695"/>
      <c r="AL108" s="1695"/>
      <c r="AM108" s="1696"/>
      <c r="AN108" s="1696"/>
      <c r="AO108" s="1696"/>
      <c r="AP108" s="1696"/>
      <c r="AQ108" s="1696"/>
      <c r="AR108" s="1696"/>
      <c r="AS108" s="1696"/>
      <c r="AT108" s="1692"/>
      <c r="AU108" s="1697"/>
      <c r="AV108" s="1697"/>
      <c r="AW108" s="1624"/>
    </row>
    <row r="109">
      <c r="A109" s="1698"/>
      <c r="B109" s="1699"/>
      <c r="C109" s="1700"/>
      <c r="D109" s="1665"/>
      <c r="E109" s="1644"/>
      <c r="F109" s="1644"/>
      <c r="G109" s="1644"/>
      <c r="H109" s="1690"/>
      <c r="I109" s="1644"/>
      <c r="J109" s="1644"/>
      <c r="K109" s="1644"/>
      <c r="L109" s="1644"/>
      <c r="M109" s="1644"/>
      <c r="N109" s="1644"/>
      <c r="O109" s="1644"/>
      <c r="P109" s="1644"/>
      <c r="Q109" s="1644"/>
      <c r="R109" s="1644"/>
      <c r="S109" s="1644"/>
      <c r="T109" s="1644"/>
      <c r="U109" s="1644"/>
      <c r="V109" s="1644"/>
      <c r="W109" s="1644"/>
      <c r="X109" s="1644"/>
      <c r="Y109" s="1644"/>
      <c r="Z109" s="1644"/>
      <c r="AA109" s="1694"/>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686"/>
      <c r="B110" s="1687"/>
      <c r="C110" s="1688"/>
      <c r="D110" s="1665"/>
      <c r="E110" s="1689"/>
      <c r="F110" s="1689"/>
      <c r="G110" s="1689"/>
      <c r="H110" s="1690"/>
      <c r="I110" s="1691"/>
      <c r="J110" s="1692"/>
      <c r="K110" s="1692"/>
      <c r="L110" s="1692"/>
      <c r="M110" s="1692"/>
      <c r="N110" s="1692"/>
      <c r="O110" s="1692"/>
      <c r="P110" s="1692"/>
      <c r="Q110" s="1693"/>
      <c r="R110" s="1693"/>
      <c r="S110" s="1693"/>
      <c r="T110" s="1693"/>
      <c r="U110" s="1693"/>
      <c r="V110" s="1693"/>
      <c r="W110" s="1694"/>
      <c r="X110" s="1694"/>
      <c r="Y110" s="1694"/>
      <c r="Z110" s="1694"/>
      <c r="AA110" s="1644"/>
      <c r="AB110" s="1694"/>
      <c r="AC110" s="1694"/>
      <c r="AD110" s="1689"/>
      <c r="AE110" s="1689"/>
      <c r="AF110" s="1695"/>
      <c r="AG110" s="1695"/>
      <c r="AH110" s="1695"/>
      <c r="AI110" s="1695"/>
      <c r="AJ110" s="1695"/>
      <c r="AK110" s="1695"/>
      <c r="AL110" s="1695"/>
      <c r="AM110" s="1696"/>
      <c r="AN110" s="1696"/>
      <c r="AO110" s="1696"/>
      <c r="AP110" s="1696"/>
      <c r="AQ110" s="1696"/>
      <c r="AR110" s="1696"/>
      <c r="AS110" s="1696"/>
      <c r="AT110" s="1692"/>
      <c r="AU110" s="1697"/>
      <c r="AV110" s="1697"/>
      <c r="AW110" s="1624"/>
    </row>
    <row r="111">
      <c r="A111" s="1698"/>
      <c r="B111" s="1699"/>
      <c r="C111" s="1700"/>
      <c r="D111" s="1665"/>
      <c r="E111" s="1644"/>
      <c r="F111" s="1644"/>
      <c r="G111" s="1644"/>
      <c r="H111" s="1690"/>
      <c r="I111" s="1644"/>
      <c r="J111" s="1644"/>
      <c r="K111" s="1644"/>
      <c r="L111" s="1644"/>
      <c r="M111" s="1644"/>
      <c r="N111" s="1644"/>
      <c r="O111" s="1644"/>
      <c r="P111" s="1644"/>
      <c r="Q111" s="1644"/>
      <c r="R111" s="1644"/>
      <c r="S111" s="1644"/>
      <c r="T111" s="1644"/>
      <c r="U111" s="1644"/>
      <c r="V111" s="1644"/>
      <c r="W111" s="1644"/>
      <c r="X111" s="1644"/>
      <c r="Y111" s="1644"/>
      <c r="Z111" s="1644"/>
      <c r="AA111" s="1694"/>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686"/>
      <c r="B112" s="1687"/>
      <c r="C112" s="1688"/>
      <c r="D112" s="1665"/>
      <c r="E112" s="1689"/>
      <c r="F112" s="1689"/>
      <c r="G112" s="1689"/>
      <c r="H112" s="1690"/>
      <c r="I112" s="1691"/>
      <c r="J112" s="1692"/>
      <c r="K112" s="1692"/>
      <c r="L112" s="1692"/>
      <c r="M112" s="1692"/>
      <c r="N112" s="1692"/>
      <c r="O112" s="1692"/>
      <c r="P112" s="1692"/>
      <c r="Q112" s="1693"/>
      <c r="R112" s="1693"/>
      <c r="S112" s="1693"/>
      <c r="T112" s="1693"/>
      <c r="U112" s="1693"/>
      <c r="V112" s="1693"/>
      <c r="W112" s="1694"/>
      <c r="X112" s="1694"/>
      <c r="Y112" s="1694"/>
      <c r="Z112" s="1694"/>
      <c r="AA112" s="1644"/>
      <c r="AB112" s="1694"/>
      <c r="AC112" s="1694"/>
      <c r="AD112" s="1689"/>
      <c r="AE112" s="1689"/>
      <c r="AF112" s="1695"/>
      <c r="AG112" s="1695"/>
      <c r="AH112" s="1695"/>
      <c r="AI112" s="1695"/>
      <c r="AJ112" s="1695"/>
      <c r="AK112" s="1695"/>
      <c r="AL112" s="1695"/>
      <c r="AM112" s="1696"/>
      <c r="AN112" s="1696"/>
      <c r="AO112" s="1696"/>
      <c r="AP112" s="1696"/>
      <c r="AQ112" s="1696"/>
      <c r="AR112" s="1696"/>
      <c r="AS112" s="1696"/>
      <c r="AT112" s="1692"/>
      <c r="AU112" s="1697"/>
      <c r="AV112" s="1697"/>
      <c r="AW112" s="1624"/>
    </row>
    <row r="113">
      <c r="A113" s="1698"/>
      <c r="B113" s="1699"/>
      <c r="C113" s="1700"/>
      <c r="D113" s="1665"/>
      <c r="E113" s="1644"/>
      <c r="F113" s="1644"/>
      <c r="G113" s="1644"/>
      <c r="H113" s="1690"/>
      <c r="I113" s="1644"/>
      <c r="J113" s="1644"/>
      <c r="K113" s="1644"/>
      <c r="L113" s="1644"/>
      <c r="M113" s="1644"/>
      <c r="N113" s="1644"/>
      <c r="O113" s="1644"/>
      <c r="P113" s="1644"/>
      <c r="Q113" s="1644"/>
      <c r="R113" s="1644"/>
      <c r="S113" s="1644"/>
      <c r="T113" s="1644"/>
      <c r="U113" s="1644"/>
      <c r="V113" s="1644"/>
      <c r="W113" s="1644"/>
      <c r="X113" s="1644"/>
      <c r="Y113" s="1644"/>
      <c r="Z113" s="1644"/>
      <c r="AA113" s="1694"/>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686"/>
      <c r="B114" s="1687"/>
      <c r="C114" s="1688"/>
      <c r="D114" s="1665"/>
      <c r="E114" s="1689"/>
      <c r="F114" s="1689"/>
      <c r="G114" s="1689"/>
      <c r="H114" s="1690"/>
      <c r="I114" s="1691"/>
      <c r="J114" s="1692"/>
      <c r="K114" s="1692"/>
      <c r="L114" s="1692"/>
      <c r="M114" s="1692"/>
      <c r="N114" s="1692"/>
      <c r="O114" s="1692"/>
      <c r="P114" s="1692"/>
      <c r="Q114" s="1693"/>
      <c r="R114" s="1693"/>
      <c r="S114" s="1693"/>
      <c r="T114" s="1693"/>
      <c r="U114" s="1693"/>
      <c r="V114" s="1693"/>
      <c r="W114" s="1694"/>
      <c r="X114" s="1694"/>
      <c r="Y114" s="1694"/>
      <c r="Z114" s="1694"/>
      <c r="AA114" s="1644"/>
      <c r="AB114" s="1694"/>
      <c r="AC114" s="1694"/>
      <c r="AD114" s="1689"/>
      <c r="AE114" s="1689"/>
      <c r="AF114" s="1695"/>
      <c r="AG114" s="1695"/>
      <c r="AH114" s="1695"/>
      <c r="AI114" s="1695"/>
      <c r="AJ114" s="1695"/>
      <c r="AK114" s="1695"/>
      <c r="AL114" s="1695"/>
      <c r="AM114" s="1696"/>
      <c r="AN114" s="1696"/>
      <c r="AO114" s="1696"/>
      <c r="AP114" s="1696"/>
      <c r="AQ114" s="1696"/>
      <c r="AR114" s="1696"/>
      <c r="AS114" s="1696"/>
      <c r="AT114" s="1692"/>
      <c r="AU114" s="1697"/>
      <c r="AV114" s="1697"/>
      <c r="AW114" s="1624"/>
    </row>
    <row r="115">
      <c r="A115" s="1698"/>
      <c r="B115" s="1699"/>
      <c r="C115" s="1700"/>
      <c r="D115" s="1665"/>
      <c r="E115" s="1644"/>
      <c r="F115" s="1644"/>
      <c r="G115" s="1644"/>
      <c r="H115" s="1690"/>
      <c r="I115" s="1644"/>
      <c r="J115" s="1644"/>
      <c r="K115" s="1644"/>
      <c r="L115" s="1644"/>
      <c r="M115" s="1644"/>
      <c r="N115" s="1644"/>
      <c r="O115" s="1644"/>
      <c r="P115" s="1644"/>
      <c r="Q115" s="1644"/>
      <c r="R115" s="1644"/>
      <c r="S115" s="1644"/>
      <c r="T115" s="1644"/>
      <c r="U115" s="1644"/>
      <c r="V115" s="1644"/>
      <c r="W115" s="1644"/>
      <c r="X115" s="1644"/>
      <c r="Y115" s="1644"/>
      <c r="Z115" s="1644"/>
      <c r="AA115" s="1694"/>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686"/>
      <c r="B116" s="1687"/>
      <c r="C116" s="1688"/>
      <c r="D116" s="1665"/>
      <c r="E116" s="1689"/>
      <c r="F116" s="1689"/>
      <c r="G116" s="1689"/>
      <c r="H116" s="1691"/>
      <c r="I116" s="1691"/>
      <c r="J116" s="1692"/>
      <c r="K116" s="1692"/>
      <c r="L116" s="1692"/>
      <c r="M116" s="1692"/>
      <c r="N116" s="1692"/>
      <c r="O116" s="1692"/>
      <c r="P116" s="1692"/>
      <c r="Q116" s="1693"/>
      <c r="R116" s="1693"/>
      <c r="S116" s="1693"/>
      <c r="T116" s="1693"/>
      <c r="U116" s="1693"/>
      <c r="V116" s="1693"/>
      <c r="W116" s="1694"/>
      <c r="X116" s="1694"/>
      <c r="Y116" s="1694"/>
      <c r="Z116" s="1694"/>
      <c r="AA116" s="1644"/>
      <c r="AB116" s="1694"/>
      <c r="AC116" s="1694"/>
      <c r="AD116" s="1689"/>
      <c r="AE116" s="1689"/>
      <c r="AF116" s="1695"/>
      <c r="AG116" s="1695"/>
      <c r="AH116" s="1695"/>
      <c r="AI116" s="1695"/>
      <c r="AJ116" s="1695"/>
      <c r="AK116" s="1695"/>
      <c r="AL116" s="1695"/>
      <c r="AM116" s="1696"/>
      <c r="AN116" s="1696"/>
      <c r="AO116" s="1696"/>
      <c r="AP116" s="1696"/>
      <c r="AQ116" s="1696"/>
      <c r="AR116" s="1696"/>
      <c r="AS116" s="1696"/>
      <c r="AT116" s="1692"/>
      <c r="AU116" s="1697"/>
      <c r="AV116" s="1697"/>
      <c r="AW116" s="1624"/>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694"/>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686"/>
      <c r="B118" s="1687"/>
      <c r="C118" s="1688"/>
      <c r="D118" s="1665"/>
      <c r="E118" s="1689"/>
      <c r="F118" s="1689"/>
      <c r="G118" s="1689"/>
      <c r="H118" s="1691"/>
      <c r="I118" s="1691"/>
      <c r="J118" s="1692"/>
      <c r="K118" s="1692"/>
      <c r="L118" s="1692"/>
      <c r="M118" s="1692"/>
      <c r="N118" s="1692"/>
      <c r="O118" s="1692"/>
      <c r="P118" s="1692"/>
      <c r="Q118" s="1693"/>
      <c r="R118" s="1693"/>
      <c r="S118" s="1693"/>
      <c r="T118" s="1693"/>
      <c r="U118" s="1693"/>
      <c r="V118" s="1693"/>
      <c r="W118" s="1694"/>
      <c r="X118" s="1694"/>
      <c r="Y118" s="1694"/>
      <c r="Z118" s="1694"/>
      <c r="AA118" s="1644"/>
      <c r="AB118" s="1694"/>
      <c r="AC118" s="1694"/>
      <c r="AD118" s="1689"/>
      <c r="AE118" s="1689"/>
      <c r="AF118" s="1695"/>
      <c r="AG118" s="1695"/>
      <c r="AH118" s="1695"/>
      <c r="AI118" s="1695"/>
      <c r="AJ118" s="1695"/>
      <c r="AK118" s="1695"/>
      <c r="AL118" s="1695"/>
      <c r="AM118" s="1696"/>
      <c r="AN118" s="1696"/>
      <c r="AO118" s="1696"/>
      <c r="AP118" s="1696"/>
      <c r="AQ118" s="1696"/>
      <c r="AR118" s="1696"/>
      <c r="AS118" s="1696"/>
      <c r="AT118" s="1692"/>
      <c r="AU118" s="1697"/>
      <c r="AV118" s="1697"/>
      <c r="AW118" s="1624"/>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694"/>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686"/>
      <c r="B120" s="1687"/>
      <c r="C120" s="1688"/>
      <c r="D120" s="1665"/>
      <c r="E120" s="1689"/>
      <c r="F120" s="1689"/>
      <c r="G120" s="1689"/>
      <c r="H120" s="1691"/>
      <c r="I120" s="1691"/>
      <c r="J120" s="1692"/>
      <c r="K120" s="1692"/>
      <c r="L120" s="1692"/>
      <c r="M120" s="1692"/>
      <c r="N120" s="1692"/>
      <c r="O120" s="1692"/>
      <c r="P120" s="1692"/>
      <c r="Q120" s="1693"/>
      <c r="R120" s="1693"/>
      <c r="S120" s="1693"/>
      <c r="T120" s="1693"/>
      <c r="U120" s="1693"/>
      <c r="V120" s="1693"/>
      <c r="W120" s="1694"/>
      <c r="X120" s="1694"/>
      <c r="Y120" s="1694"/>
      <c r="Z120" s="1694"/>
      <c r="AA120" s="1644"/>
      <c r="AB120" s="1694"/>
      <c r="AC120" s="1694"/>
      <c r="AD120" s="1689"/>
      <c r="AE120" s="1689"/>
      <c r="AF120" s="1695"/>
      <c r="AG120" s="1695"/>
      <c r="AH120" s="1695"/>
      <c r="AI120" s="1695"/>
      <c r="AJ120" s="1695"/>
      <c r="AK120" s="1695"/>
      <c r="AL120" s="1695"/>
      <c r="AM120" s="1696"/>
      <c r="AN120" s="1696"/>
      <c r="AO120" s="1696"/>
      <c r="AP120" s="1696"/>
      <c r="AQ120" s="1696"/>
      <c r="AR120" s="1696"/>
      <c r="AS120" s="1696"/>
      <c r="AT120" s="1692"/>
      <c r="AU120" s="1697"/>
      <c r="AV120" s="1697"/>
      <c r="AW120" s="1624"/>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694"/>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686"/>
      <c r="B122" s="1687"/>
      <c r="C122" s="1688"/>
      <c r="D122" s="1665"/>
      <c r="E122" s="1689"/>
      <c r="F122" s="1689"/>
      <c r="G122" s="1689"/>
      <c r="H122" s="1691"/>
      <c r="I122" s="1691"/>
      <c r="J122" s="1692"/>
      <c r="K122" s="1692"/>
      <c r="L122" s="1692"/>
      <c r="M122" s="1692"/>
      <c r="N122" s="1692"/>
      <c r="O122" s="1692"/>
      <c r="P122" s="1692"/>
      <c r="Q122" s="1693"/>
      <c r="R122" s="1693"/>
      <c r="S122" s="1693"/>
      <c r="T122" s="1693"/>
      <c r="U122" s="1693"/>
      <c r="V122" s="1693"/>
      <c r="W122" s="1694"/>
      <c r="X122" s="1694"/>
      <c r="Y122" s="1694"/>
      <c r="Z122" s="1694"/>
      <c r="AA122" s="1644"/>
      <c r="AB122" s="1694"/>
      <c r="AC122" s="1694"/>
      <c r="AD122" s="1689"/>
      <c r="AE122" s="1689"/>
      <c r="AF122" s="1695"/>
      <c r="AG122" s="1695"/>
      <c r="AH122" s="1695"/>
      <c r="AI122" s="1695"/>
      <c r="AJ122" s="1695"/>
      <c r="AK122" s="1695"/>
      <c r="AL122" s="1695"/>
      <c r="AM122" s="1696"/>
      <c r="AN122" s="1696"/>
      <c r="AO122" s="1696"/>
      <c r="AP122" s="1696"/>
      <c r="AQ122" s="1696"/>
      <c r="AR122" s="1696"/>
      <c r="AS122" s="1696"/>
      <c r="AT122" s="1692"/>
      <c r="AU122" s="1697"/>
      <c r="AV122" s="1697"/>
      <c r="AW122" s="1624"/>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694"/>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686"/>
      <c r="B124" s="1687"/>
      <c r="C124" s="1688"/>
      <c r="D124" s="1665"/>
      <c r="E124" s="1689"/>
      <c r="F124" s="1689"/>
      <c r="G124" s="1689"/>
      <c r="H124" s="1691"/>
      <c r="I124" s="1691"/>
      <c r="J124" s="1692"/>
      <c r="K124" s="1692"/>
      <c r="L124" s="1692"/>
      <c r="M124" s="1692"/>
      <c r="N124" s="1692"/>
      <c r="O124" s="1692"/>
      <c r="P124" s="1692"/>
      <c r="Q124" s="1693"/>
      <c r="R124" s="1693"/>
      <c r="S124" s="1693"/>
      <c r="T124" s="1693"/>
      <c r="U124" s="1693"/>
      <c r="V124" s="1693"/>
      <c r="W124" s="1694"/>
      <c r="X124" s="1694"/>
      <c r="Y124" s="1694"/>
      <c r="Z124" s="1694"/>
      <c r="AA124" s="1644"/>
      <c r="AB124" s="1694"/>
      <c r="AC124" s="1694"/>
      <c r="AD124" s="1689"/>
      <c r="AE124" s="1689"/>
      <c r="AF124" s="1695"/>
      <c r="AG124" s="1695"/>
      <c r="AH124" s="1695"/>
      <c r="AI124" s="1695"/>
      <c r="AJ124" s="1695"/>
      <c r="AK124" s="1695"/>
      <c r="AL124" s="1695"/>
      <c r="AM124" s="1696"/>
      <c r="AN124" s="1696"/>
      <c r="AO124" s="1696"/>
      <c r="AP124" s="1696"/>
      <c r="AQ124" s="1696"/>
      <c r="AR124" s="1696"/>
      <c r="AS124" s="1696"/>
      <c r="AT124" s="1692"/>
      <c r="AU124" s="1697"/>
      <c r="AV124" s="1697"/>
      <c r="AW124" s="1624"/>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694"/>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686"/>
      <c r="B126" s="1687"/>
      <c r="C126" s="1688"/>
      <c r="D126" s="1665"/>
      <c r="E126" s="1689"/>
      <c r="F126" s="1689"/>
      <c r="G126" s="1689"/>
      <c r="H126" s="1691"/>
      <c r="I126" s="1691"/>
      <c r="J126" s="1692"/>
      <c r="K126" s="1692"/>
      <c r="L126" s="1692"/>
      <c r="M126" s="1692"/>
      <c r="N126" s="1692"/>
      <c r="O126" s="1692"/>
      <c r="P126" s="1692"/>
      <c r="Q126" s="1693"/>
      <c r="R126" s="1693"/>
      <c r="S126" s="1693"/>
      <c r="T126" s="1693"/>
      <c r="U126" s="1693"/>
      <c r="V126" s="1693"/>
      <c r="W126" s="1694"/>
      <c r="X126" s="1694"/>
      <c r="Y126" s="1694"/>
      <c r="Z126" s="1694"/>
      <c r="AA126" s="1644"/>
      <c r="AB126" s="1694"/>
      <c r="AC126" s="1694"/>
      <c r="AD126" s="1689"/>
      <c r="AE126" s="1689"/>
      <c r="AF126" s="1695"/>
      <c r="AG126" s="1695"/>
      <c r="AH126" s="1695"/>
      <c r="AI126" s="1695"/>
      <c r="AJ126" s="1695"/>
      <c r="AK126" s="1695"/>
      <c r="AL126" s="1695"/>
      <c r="AM126" s="1696"/>
      <c r="AN126" s="1696"/>
      <c r="AO126" s="1696"/>
      <c r="AP126" s="1696"/>
      <c r="AQ126" s="1696"/>
      <c r="AR126" s="1696"/>
      <c r="AS126" s="1696"/>
      <c r="AT126" s="1692"/>
      <c r="AU126" s="1697"/>
      <c r="AV126" s="1697"/>
      <c r="AW126" s="1624"/>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694"/>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686"/>
      <c r="B128" s="1687"/>
      <c r="C128" s="1688"/>
      <c r="D128" s="1665"/>
      <c r="E128" s="1689"/>
      <c r="F128" s="1689"/>
      <c r="G128" s="1689"/>
      <c r="H128" s="1691"/>
      <c r="I128" s="1691"/>
      <c r="J128" s="1692"/>
      <c r="K128" s="1692"/>
      <c r="L128" s="1692"/>
      <c r="M128" s="1692"/>
      <c r="N128" s="1692"/>
      <c r="O128" s="1692"/>
      <c r="P128" s="1692"/>
      <c r="Q128" s="1693"/>
      <c r="R128" s="1693"/>
      <c r="S128" s="1693"/>
      <c r="T128" s="1693"/>
      <c r="U128" s="1693"/>
      <c r="V128" s="1693"/>
      <c r="W128" s="1694"/>
      <c r="X128" s="1694"/>
      <c r="Y128" s="1694"/>
      <c r="Z128" s="1694"/>
      <c r="AA128" s="1644"/>
      <c r="AB128" s="1694"/>
      <c r="AC128" s="1694"/>
      <c r="AD128" s="1689"/>
      <c r="AE128" s="1689"/>
      <c r="AF128" s="1695"/>
      <c r="AG128" s="1695"/>
      <c r="AH128" s="1695"/>
      <c r="AI128" s="1695"/>
      <c r="AJ128" s="1695"/>
      <c r="AK128" s="1695"/>
      <c r="AL128" s="1695"/>
      <c r="AM128" s="1696"/>
      <c r="AN128" s="1696"/>
      <c r="AO128" s="1696"/>
      <c r="AP128" s="1696"/>
      <c r="AQ128" s="1696"/>
      <c r="AR128" s="1696"/>
      <c r="AS128" s="1696"/>
      <c r="AT128" s="1692"/>
      <c r="AU128" s="1697"/>
      <c r="AV128" s="1697"/>
      <c r="AW128" s="1624"/>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694"/>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686"/>
      <c r="B130" s="1687"/>
      <c r="C130" s="1688"/>
      <c r="D130" s="1665"/>
      <c r="E130" s="1689"/>
      <c r="F130" s="1689"/>
      <c r="G130" s="1689"/>
      <c r="H130" s="1691"/>
      <c r="I130" s="1691"/>
      <c r="J130" s="1692"/>
      <c r="K130" s="1692"/>
      <c r="L130" s="1692"/>
      <c r="M130" s="1692"/>
      <c r="N130" s="1692"/>
      <c r="O130" s="1692"/>
      <c r="P130" s="1692"/>
      <c r="Q130" s="1693"/>
      <c r="R130" s="1693"/>
      <c r="S130" s="1693"/>
      <c r="T130" s="1693"/>
      <c r="U130" s="1693"/>
      <c r="V130" s="1693"/>
      <c r="W130" s="1694"/>
      <c r="X130" s="1694"/>
      <c r="Y130" s="1694"/>
      <c r="Z130" s="1694"/>
      <c r="AA130" s="1644"/>
      <c r="AB130" s="1694"/>
      <c r="AC130" s="1694"/>
      <c r="AD130" s="1689"/>
      <c r="AE130" s="1689"/>
      <c r="AF130" s="1695"/>
      <c r="AG130" s="1695"/>
      <c r="AH130" s="1695"/>
      <c r="AI130" s="1695"/>
      <c r="AJ130" s="1695"/>
      <c r="AK130" s="1695"/>
      <c r="AL130" s="1695"/>
      <c r="AM130" s="1696"/>
      <c r="AN130" s="1696"/>
      <c r="AO130" s="1696"/>
      <c r="AP130" s="1696"/>
      <c r="AQ130" s="1696"/>
      <c r="AR130" s="1696"/>
      <c r="AS130" s="1696"/>
      <c r="AT130" s="1692"/>
      <c r="AU130" s="1697"/>
      <c r="AV130" s="1697"/>
      <c r="AW130" s="1624"/>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694"/>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686"/>
      <c r="B132" s="1687"/>
      <c r="C132" s="1688"/>
      <c r="D132" s="1665"/>
      <c r="E132" s="1689"/>
      <c r="F132" s="1689"/>
      <c r="G132" s="1689"/>
      <c r="H132" s="1691"/>
      <c r="I132" s="1691"/>
      <c r="J132" s="1692"/>
      <c r="K132" s="1692"/>
      <c r="L132" s="1692"/>
      <c r="M132" s="1692"/>
      <c r="N132" s="1692"/>
      <c r="O132" s="1692"/>
      <c r="P132" s="1692"/>
      <c r="Q132" s="1693"/>
      <c r="R132" s="1693"/>
      <c r="S132" s="1693"/>
      <c r="T132" s="1693"/>
      <c r="U132" s="1693"/>
      <c r="V132" s="1693"/>
      <c r="W132" s="1694"/>
      <c r="X132" s="1694"/>
      <c r="Y132" s="1694"/>
      <c r="Z132" s="1694"/>
      <c r="AA132" s="1644"/>
      <c r="AB132" s="1694"/>
      <c r="AC132" s="1694"/>
      <c r="AD132" s="1689"/>
      <c r="AE132" s="1689"/>
      <c r="AF132" s="1695"/>
      <c r="AG132" s="1695"/>
      <c r="AH132" s="1695"/>
      <c r="AI132" s="1695"/>
      <c r="AJ132" s="1695"/>
      <c r="AK132" s="1695"/>
      <c r="AL132" s="1695"/>
      <c r="AM132" s="1696"/>
      <c r="AN132" s="1696"/>
      <c r="AO132" s="1696"/>
      <c r="AP132" s="1696"/>
      <c r="AQ132" s="1696"/>
      <c r="AR132" s="1696"/>
      <c r="AS132" s="1696"/>
      <c r="AT132" s="1692"/>
      <c r="AU132" s="1697"/>
      <c r="AV132" s="1697"/>
      <c r="AW132" s="1624"/>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694"/>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686"/>
      <c r="B134" s="1687"/>
      <c r="C134" s="1688"/>
      <c r="D134" s="1665"/>
      <c r="E134" s="1689"/>
      <c r="F134" s="1689"/>
      <c r="G134" s="1689"/>
      <c r="H134" s="1691"/>
      <c r="I134" s="1691"/>
      <c r="J134" s="1692"/>
      <c r="K134" s="1692"/>
      <c r="L134" s="1692"/>
      <c r="M134" s="1692"/>
      <c r="N134" s="1692"/>
      <c r="O134" s="1692"/>
      <c r="P134" s="1692"/>
      <c r="Q134" s="1693"/>
      <c r="R134" s="1693"/>
      <c r="S134" s="1693"/>
      <c r="T134" s="1693"/>
      <c r="U134" s="1693"/>
      <c r="V134" s="1693"/>
      <c r="W134" s="1694"/>
      <c r="X134" s="1694"/>
      <c r="Y134" s="1694"/>
      <c r="Z134" s="1694"/>
      <c r="AA134" s="1644"/>
      <c r="AB134" s="1694"/>
      <c r="AC134" s="1694"/>
      <c r="AD134" s="1689"/>
      <c r="AE134" s="1689"/>
      <c r="AF134" s="1695"/>
      <c r="AG134" s="1695"/>
      <c r="AH134" s="1695"/>
      <c r="AI134" s="1695"/>
      <c r="AJ134" s="1695"/>
      <c r="AK134" s="1695"/>
      <c r="AL134" s="1695"/>
      <c r="AM134" s="1696"/>
      <c r="AN134" s="1696"/>
      <c r="AO134" s="1696"/>
      <c r="AP134" s="1696"/>
      <c r="AQ134" s="1696"/>
      <c r="AR134" s="1696"/>
      <c r="AS134" s="1696"/>
      <c r="AT134" s="1692"/>
      <c r="AU134" s="1697"/>
      <c r="AV134" s="1697"/>
      <c r="AW134" s="1624"/>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694"/>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686"/>
      <c r="B136" s="1687"/>
      <c r="C136" s="1688"/>
      <c r="D136" s="1665"/>
      <c r="E136" s="1689"/>
      <c r="F136" s="1689"/>
      <c r="G136" s="1689"/>
      <c r="H136" s="1691"/>
      <c r="I136" s="1691"/>
      <c r="J136" s="1692"/>
      <c r="K136" s="1692"/>
      <c r="L136" s="1692"/>
      <c r="M136" s="1692"/>
      <c r="N136" s="1692"/>
      <c r="O136" s="1692"/>
      <c r="P136" s="1692"/>
      <c r="Q136" s="1693"/>
      <c r="R136" s="1693"/>
      <c r="S136" s="1693"/>
      <c r="T136" s="1693"/>
      <c r="U136" s="1693"/>
      <c r="V136" s="1693"/>
      <c r="W136" s="1694"/>
      <c r="X136" s="1694"/>
      <c r="Y136" s="1694"/>
      <c r="Z136" s="1694"/>
      <c r="AA136" s="1644"/>
      <c r="AB136" s="1694"/>
      <c r="AC136" s="1694"/>
      <c r="AD136" s="1689"/>
      <c r="AE136" s="1689"/>
      <c r="AF136" s="1695"/>
      <c r="AG136" s="1695"/>
      <c r="AH136" s="1695"/>
      <c r="AI136" s="1695"/>
      <c r="AJ136" s="1695"/>
      <c r="AK136" s="1695"/>
      <c r="AL136" s="1695"/>
      <c r="AM136" s="1696"/>
      <c r="AN136" s="1696"/>
      <c r="AO136" s="1696"/>
      <c r="AP136" s="1696"/>
      <c r="AQ136" s="1696"/>
      <c r="AR136" s="1696"/>
      <c r="AS136" s="1696"/>
      <c r="AT136" s="1692"/>
      <c r="AU136" s="1697"/>
      <c r="AV136" s="1697"/>
      <c r="AW136" s="1624"/>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694"/>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686"/>
      <c r="B138" s="1687"/>
      <c r="C138" s="1688"/>
      <c r="D138" s="1689"/>
      <c r="E138" s="1689"/>
      <c r="F138" s="1689"/>
      <c r="G138" s="1689"/>
      <c r="H138" s="1691"/>
      <c r="I138" s="1691"/>
      <c r="J138" s="1692"/>
      <c r="K138" s="1692"/>
      <c r="L138" s="1692"/>
      <c r="M138" s="1692"/>
      <c r="N138" s="1692"/>
      <c r="O138" s="1692"/>
      <c r="P138" s="1692"/>
      <c r="Q138" s="1693"/>
      <c r="R138" s="1693"/>
      <c r="S138" s="1693"/>
      <c r="T138" s="1693"/>
      <c r="U138" s="1693"/>
      <c r="V138" s="1693"/>
      <c r="W138" s="1694"/>
      <c r="X138" s="1694"/>
      <c r="Y138" s="1694"/>
      <c r="Z138" s="1694"/>
      <c r="AA138" s="1644"/>
      <c r="AB138" s="1694"/>
      <c r="AC138" s="1694"/>
      <c r="AD138" s="1689"/>
      <c r="AE138" s="1689"/>
      <c r="AF138" s="1695"/>
      <c r="AG138" s="1695"/>
      <c r="AH138" s="1695"/>
      <c r="AI138" s="1695"/>
      <c r="AJ138" s="1695"/>
      <c r="AK138" s="1695"/>
      <c r="AL138" s="1695"/>
      <c r="AM138" s="1696"/>
      <c r="AN138" s="1696"/>
      <c r="AO138" s="1696"/>
      <c r="AP138" s="1696"/>
      <c r="AQ138" s="1696"/>
      <c r="AR138" s="1696"/>
      <c r="AS138" s="1696"/>
      <c r="AT138" s="1692"/>
      <c r="AU138" s="1697"/>
      <c r="AV138" s="1697"/>
      <c r="AW138" s="1624"/>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694"/>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686"/>
      <c r="B140" s="1687"/>
      <c r="C140" s="1688"/>
      <c r="D140" s="1689"/>
      <c r="E140" s="1689"/>
      <c r="F140" s="1689"/>
      <c r="G140" s="1689"/>
      <c r="H140" s="1691"/>
      <c r="I140" s="1691"/>
      <c r="J140" s="1692"/>
      <c r="K140" s="1692"/>
      <c r="L140" s="1692"/>
      <c r="M140" s="1692"/>
      <c r="N140" s="1692"/>
      <c r="O140" s="1692"/>
      <c r="P140" s="1692"/>
      <c r="Q140" s="1693"/>
      <c r="R140" s="1693"/>
      <c r="S140" s="1693"/>
      <c r="T140" s="1693"/>
      <c r="U140" s="1693"/>
      <c r="V140" s="1693"/>
      <c r="W140" s="1694"/>
      <c r="X140" s="1694"/>
      <c r="Y140" s="1694"/>
      <c r="Z140" s="1694"/>
      <c r="AA140" s="1644"/>
      <c r="AB140" s="1694"/>
      <c r="AC140" s="1694"/>
      <c r="AD140" s="1689"/>
      <c r="AE140" s="1689"/>
      <c r="AF140" s="1695"/>
      <c r="AG140" s="1695"/>
      <c r="AH140" s="1695"/>
      <c r="AI140" s="1695"/>
      <c r="AJ140" s="1695"/>
      <c r="AK140" s="1695"/>
      <c r="AL140" s="1695"/>
      <c r="AM140" s="1696"/>
      <c r="AN140" s="1696"/>
      <c r="AO140" s="1696"/>
      <c r="AP140" s="1696"/>
      <c r="AQ140" s="1696"/>
      <c r="AR140" s="1696"/>
      <c r="AS140" s="1696"/>
      <c r="AT140" s="1692"/>
      <c r="AU140" s="1697"/>
      <c r="AV140" s="1697"/>
      <c r="AW140" s="1624"/>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694"/>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686"/>
      <c r="B142" s="1687"/>
      <c r="C142" s="1688"/>
      <c r="D142" s="1689"/>
      <c r="E142" s="1689"/>
      <c r="F142" s="1689"/>
      <c r="G142" s="1689"/>
      <c r="H142" s="1691"/>
      <c r="I142" s="1691"/>
      <c r="J142" s="1692"/>
      <c r="K142" s="1692"/>
      <c r="L142" s="1692"/>
      <c r="M142" s="1692"/>
      <c r="N142" s="1692"/>
      <c r="O142" s="1692"/>
      <c r="P142" s="1692"/>
      <c r="Q142" s="1693"/>
      <c r="R142" s="1693"/>
      <c r="S142" s="1693"/>
      <c r="T142" s="1693"/>
      <c r="U142" s="1693"/>
      <c r="V142" s="1693"/>
      <c r="W142" s="1694"/>
      <c r="X142" s="1694"/>
      <c r="Y142" s="1694"/>
      <c r="Z142" s="1694"/>
      <c r="AA142" s="1644"/>
      <c r="AB142" s="1694"/>
      <c r="AC142" s="1694"/>
      <c r="AD142" s="1689"/>
      <c r="AE142" s="1689"/>
      <c r="AF142" s="1695"/>
      <c r="AG142" s="1695"/>
      <c r="AH142" s="1695"/>
      <c r="AI142" s="1695"/>
      <c r="AJ142" s="1695"/>
      <c r="AK142" s="1695"/>
      <c r="AL142" s="1695"/>
      <c r="AM142" s="1696"/>
      <c r="AN142" s="1696"/>
      <c r="AO142" s="1696"/>
      <c r="AP142" s="1696"/>
      <c r="AQ142" s="1696"/>
      <c r="AR142" s="1696"/>
      <c r="AS142" s="1696"/>
      <c r="AT142" s="1692"/>
      <c r="AU142" s="1697"/>
      <c r="AV142" s="1697"/>
      <c r="AW142" s="1624"/>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694"/>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686"/>
      <c r="B144" s="1687"/>
      <c r="C144" s="1688"/>
      <c r="D144" s="1689"/>
      <c r="E144" s="1689"/>
      <c r="F144" s="1689"/>
      <c r="G144" s="1689"/>
      <c r="H144" s="1691"/>
      <c r="I144" s="1691"/>
      <c r="J144" s="1692"/>
      <c r="K144" s="1692"/>
      <c r="L144" s="1692"/>
      <c r="M144" s="1692"/>
      <c r="N144" s="1692"/>
      <c r="O144" s="1692"/>
      <c r="P144" s="1692"/>
      <c r="Q144" s="1693"/>
      <c r="R144" s="1693"/>
      <c r="S144" s="1693"/>
      <c r="T144" s="1693"/>
      <c r="U144" s="1693"/>
      <c r="V144" s="1693"/>
      <c r="W144" s="1694"/>
      <c r="X144" s="1694"/>
      <c r="Y144" s="1694"/>
      <c r="Z144" s="1694"/>
      <c r="AA144" s="1644"/>
      <c r="AB144" s="1694"/>
      <c r="AC144" s="1694"/>
      <c r="AD144" s="1689"/>
      <c r="AE144" s="1689"/>
      <c r="AF144" s="1695"/>
      <c r="AG144" s="1695"/>
      <c r="AH144" s="1695"/>
      <c r="AI144" s="1695"/>
      <c r="AJ144" s="1695"/>
      <c r="AK144" s="1695"/>
      <c r="AL144" s="1695"/>
      <c r="AM144" s="1696"/>
      <c r="AN144" s="1696"/>
      <c r="AO144" s="1696"/>
      <c r="AP144" s="1696"/>
      <c r="AQ144" s="1696"/>
      <c r="AR144" s="1696"/>
      <c r="AS144" s="1696"/>
      <c r="AT144" s="1692"/>
      <c r="AU144" s="1697"/>
      <c r="AV144" s="1697"/>
      <c r="AW144" s="1624"/>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694"/>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686"/>
      <c r="B146" s="1687"/>
      <c r="C146" s="1688"/>
      <c r="D146" s="1689"/>
      <c r="E146" s="1689"/>
      <c r="F146" s="1689"/>
      <c r="G146" s="1689"/>
      <c r="H146" s="1691"/>
      <c r="I146" s="1691"/>
      <c r="J146" s="1692"/>
      <c r="K146" s="1692"/>
      <c r="L146" s="1692"/>
      <c r="M146" s="1692"/>
      <c r="N146" s="1692"/>
      <c r="O146" s="1692"/>
      <c r="P146" s="1692"/>
      <c r="Q146" s="1693"/>
      <c r="R146" s="1693"/>
      <c r="S146" s="1693"/>
      <c r="T146" s="1693"/>
      <c r="U146" s="1693"/>
      <c r="V146" s="1693"/>
      <c r="W146" s="1694"/>
      <c r="X146" s="1694"/>
      <c r="Y146" s="1694"/>
      <c r="Z146" s="1694"/>
      <c r="AA146" s="1644"/>
      <c r="AB146" s="1694"/>
      <c r="AC146" s="1694"/>
      <c r="AD146" s="1689"/>
      <c r="AE146" s="1689"/>
      <c r="AF146" s="1695"/>
      <c r="AG146" s="1695"/>
      <c r="AH146" s="1695"/>
      <c r="AI146" s="1695"/>
      <c r="AJ146" s="1695"/>
      <c r="AK146" s="1695"/>
      <c r="AL146" s="1695"/>
      <c r="AM146" s="1696"/>
      <c r="AN146" s="1696"/>
      <c r="AO146" s="1696"/>
      <c r="AP146" s="1696"/>
      <c r="AQ146" s="1696"/>
      <c r="AR146" s="1696"/>
      <c r="AS146" s="1696"/>
      <c r="AT146" s="1692"/>
      <c r="AU146" s="1697"/>
      <c r="AV146" s="1697"/>
      <c r="AW146" s="1624"/>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694"/>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686"/>
      <c r="B148" s="1687"/>
      <c r="C148" s="1688"/>
      <c r="D148" s="1689"/>
      <c r="E148" s="1689"/>
      <c r="F148" s="1689"/>
      <c r="G148" s="1689"/>
      <c r="H148" s="1691"/>
      <c r="I148" s="1691"/>
      <c r="J148" s="1692"/>
      <c r="K148" s="1692"/>
      <c r="L148" s="1692"/>
      <c r="M148" s="1692"/>
      <c r="N148" s="1692"/>
      <c r="O148" s="1692"/>
      <c r="P148" s="1692"/>
      <c r="Q148" s="1693"/>
      <c r="R148" s="1693"/>
      <c r="S148" s="1693"/>
      <c r="T148" s="1693"/>
      <c r="U148" s="1693"/>
      <c r="V148" s="1693"/>
      <c r="W148" s="1694"/>
      <c r="X148" s="1694"/>
      <c r="Y148" s="1694"/>
      <c r="Z148" s="1694"/>
      <c r="AA148" s="1644"/>
      <c r="AB148" s="1694"/>
      <c r="AC148" s="1694"/>
      <c r="AD148" s="1689"/>
      <c r="AE148" s="1689"/>
      <c r="AF148" s="1695"/>
      <c r="AG148" s="1695"/>
      <c r="AH148" s="1695"/>
      <c r="AI148" s="1695"/>
      <c r="AJ148" s="1695"/>
      <c r="AK148" s="1695"/>
      <c r="AL148" s="1695"/>
      <c r="AM148" s="1696"/>
      <c r="AN148" s="1696"/>
      <c r="AO148" s="1696"/>
      <c r="AP148" s="1696"/>
      <c r="AQ148" s="1696"/>
      <c r="AR148" s="1696"/>
      <c r="AS148" s="1696"/>
      <c r="AT148" s="1692"/>
      <c r="AU148" s="1697"/>
      <c r="AV148" s="1697"/>
      <c r="AW148" s="1624"/>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694"/>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686"/>
      <c r="B150" s="1687"/>
      <c r="C150" s="1688"/>
      <c r="D150" s="1689"/>
      <c r="E150" s="1689"/>
      <c r="F150" s="1689"/>
      <c r="G150" s="1689"/>
      <c r="H150" s="1691"/>
      <c r="I150" s="1691"/>
      <c r="J150" s="1692"/>
      <c r="K150" s="1692"/>
      <c r="L150" s="1692"/>
      <c r="M150" s="1692"/>
      <c r="N150" s="1692"/>
      <c r="O150" s="1692"/>
      <c r="P150" s="1692"/>
      <c r="Q150" s="1693"/>
      <c r="R150" s="1693"/>
      <c r="S150" s="1693"/>
      <c r="T150" s="1693"/>
      <c r="U150" s="1693"/>
      <c r="V150" s="1693"/>
      <c r="W150" s="1694"/>
      <c r="X150" s="1694"/>
      <c r="Y150" s="1694"/>
      <c r="Z150" s="1694"/>
      <c r="AA150" s="1644"/>
      <c r="AB150" s="1694"/>
      <c r="AC150" s="1694"/>
      <c r="AD150" s="1689"/>
      <c r="AE150" s="1689"/>
      <c r="AF150" s="1695"/>
      <c r="AG150" s="1695"/>
      <c r="AH150" s="1695"/>
      <c r="AI150" s="1695"/>
      <c r="AJ150" s="1695"/>
      <c r="AK150" s="1695"/>
      <c r="AL150" s="1695"/>
      <c r="AM150" s="1696"/>
      <c r="AN150" s="1696"/>
      <c r="AO150" s="1696"/>
      <c r="AP150" s="1696"/>
      <c r="AQ150" s="1696"/>
      <c r="AR150" s="1696"/>
      <c r="AS150" s="1696"/>
      <c r="AT150" s="1692"/>
      <c r="AU150" s="1697"/>
      <c r="AV150" s="1697"/>
      <c r="AW150" s="1624"/>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694"/>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686"/>
      <c r="B152" s="1687"/>
      <c r="C152" s="1688"/>
      <c r="D152" s="1689"/>
      <c r="E152" s="1689"/>
      <c r="F152" s="1689"/>
      <c r="G152" s="1689"/>
      <c r="H152" s="1691"/>
      <c r="I152" s="1691"/>
      <c r="J152" s="1692"/>
      <c r="K152" s="1692"/>
      <c r="L152" s="1692"/>
      <c r="M152" s="1692"/>
      <c r="N152" s="1692"/>
      <c r="O152" s="1692"/>
      <c r="P152" s="1692"/>
      <c r="Q152" s="1693"/>
      <c r="R152" s="1693"/>
      <c r="S152" s="1693"/>
      <c r="T152" s="1693"/>
      <c r="U152" s="1693"/>
      <c r="V152" s="1693"/>
      <c r="W152" s="1694"/>
      <c r="X152" s="1694"/>
      <c r="Y152" s="1694"/>
      <c r="Z152" s="1694"/>
      <c r="AA152" s="1644"/>
      <c r="AB152" s="1694"/>
      <c r="AC152" s="1694"/>
      <c r="AD152" s="1689"/>
      <c r="AE152" s="1689"/>
      <c r="AF152" s="1695"/>
      <c r="AG152" s="1695"/>
      <c r="AH152" s="1695"/>
      <c r="AI152" s="1695"/>
      <c r="AJ152" s="1695"/>
      <c r="AK152" s="1695"/>
      <c r="AL152" s="1695"/>
      <c r="AM152" s="1696"/>
      <c r="AN152" s="1696"/>
      <c r="AO152" s="1696"/>
      <c r="AP152" s="1696"/>
      <c r="AQ152" s="1696"/>
      <c r="AR152" s="1696"/>
      <c r="AS152" s="1696"/>
      <c r="AT152" s="1692"/>
      <c r="AU152" s="1697"/>
      <c r="AV152" s="1697"/>
      <c r="AW152" s="1624"/>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694"/>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686"/>
      <c r="B154" s="1687"/>
      <c r="C154" s="1688"/>
      <c r="D154" s="1689"/>
      <c r="E154" s="1689"/>
      <c r="F154" s="1689"/>
      <c r="G154" s="1689"/>
      <c r="H154" s="1691"/>
      <c r="I154" s="1691"/>
      <c r="J154" s="1692"/>
      <c r="K154" s="1692"/>
      <c r="L154" s="1692"/>
      <c r="M154" s="1692"/>
      <c r="N154" s="1692"/>
      <c r="O154" s="1692"/>
      <c r="P154" s="1692"/>
      <c r="Q154" s="1693"/>
      <c r="R154" s="1693"/>
      <c r="S154" s="1693"/>
      <c r="T154" s="1693"/>
      <c r="U154" s="1693"/>
      <c r="V154" s="1693"/>
      <c r="W154" s="1694"/>
      <c r="X154" s="1694"/>
      <c r="Y154" s="1694"/>
      <c r="Z154" s="1694"/>
      <c r="AA154" s="1644"/>
      <c r="AB154" s="1694"/>
      <c r="AC154" s="1694"/>
      <c r="AD154" s="1689"/>
      <c r="AE154" s="1689"/>
      <c r="AF154" s="1695"/>
      <c r="AG154" s="1695"/>
      <c r="AH154" s="1695"/>
      <c r="AI154" s="1695"/>
      <c r="AJ154" s="1695"/>
      <c r="AK154" s="1695"/>
      <c r="AL154" s="1695"/>
      <c r="AM154" s="1696"/>
      <c r="AN154" s="1696"/>
      <c r="AO154" s="1696"/>
      <c r="AP154" s="1696"/>
      <c r="AQ154" s="1696"/>
      <c r="AR154" s="1696"/>
      <c r="AS154" s="1696"/>
      <c r="AT154" s="1692"/>
      <c r="AU154" s="1697"/>
      <c r="AV154" s="1697"/>
      <c r="AW154" s="1624"/>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694"/>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686"/>
      <c r="B156" s="1687"/>
      <c r="C156" s="1688"/>
      <c r="D156" s="1689"/>
      <c r="E156" s="1689"/>
      <c r="F156" s="1689"/>
      <c r="G156" s="1689"/>
      <c r="H156" s="1691"/>
      <c r="I156" s="1691"/>
      <c r="J156" s="1692"/>
      <c r="K156" s="1692"/>
      <c r="L156" s="1692"/>
      <c r="M156" s="1692"/>
      <c r="N156" s="1692"/>
      <c r="O156" s="1692"/>
      <c r="P156" s="1692"/>
      <c r="Q156" s="1693"/>
      <c r="R156" s="1693"/>
      <c r="S156" s="1693"/>
      <c r="T156" s="1693"/>
      <c r="U156" s="1693"/>
      <c r="V156" s="1693"/>
      <c r="W156" s="1694"/>
      <c r="X156" s="1694"/>
      <c r="Y156" s="1694"/>
      <c r="Z156" s="1694"/>
      <c r="AA156" s="1644"/>
      <c r="AB156" s="1694"/>
      <c r="AC156" s="1694"/>
      <c r="AD156" s="1689"/>
      <c r="AE156" s="1689"/>
      <c r="AF156" s="1695"/>
      <c r="AG156" s="1695"/>
      <c r="AH156" s="1695"/>
      <c r="AI156" s="1695"/>
      <c r="AJ156" s="1695"/>
      <c r="AK156" s="1695"/>
      <c r="AL156" s="1695"/>
      <c r="AM156" s="1696"/>
      <c r="AN156" s="1696"/>
      <c r="AO156" s="1696"/>
      <c r="AP156" s="1696"/>
      <c r="AQ156" s="1696"/>
      <c r="AR156" s="1696"/>
      <c r="AS156" s="1696"/>
      <c r="AT156" s="1692"/>
      <c r="AU156" s="1697"/>
      <c r="AV156" s="1697"/>
      <c r="AW156" s="1624"/>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694"/>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686"/>
      <c r="B158" s="1687"/>
      <c r="C158" s="1688"/>
      <c r="D158" s="1689"/>
      <c r="E158" s="1689"/>
      <c r="F158" s="1689"/>
      <c r="G158" s="1689"/>
      <c r="H158" s="1691"/>
      <c r="I158" s="1691"/>
      <c r="J158" s="1692"/>
      <c r="K158" s="1692"/>
      <c r="L158" s="1692"/>
      <c r="M158" s="1692"/>
      <c r="N158" s="1692"/>
      <c r="O158" s="1692"/>
      <c r="P158" s="1692"/>
      <c r="Q158" s="1693"/>
      <c r="R158" s="1693"/>
      <c r="S158" s="1693"/>
      <c r="T158" s="1693"/>
      <c r="U158" s="1693"/>
      <c r="V158" s="1693"/>
      <c r="W158" s="1694"/>
      <c r="X158" s="1694"/>
      <c r="Y158" s="1694"/>
      <c r="Z158" s="1694"/>
      <c r="AA158" s="1644"/>
      <c r="AB158" s="1694"/>
      <c r="AC158" s="1694"/>
      <c r="AD158" s="1689"/>
      <c r="AE158" s="1689"/>
      <c r="AF158" s="1695"/>
      <c r="AG158" s="1695"/>
      <c r="AH158" s="1695"/>
      <c r="AI158" s="1695"/>
      <c r="AJ158" s="1695"/>
      <c r="AK158" s="1695"/>
      <c r="AL158" s="1695"/>
      <c r="AM158" s="1696"/>
      <c r="AN158" s="1696"/>
      <c r="AO158" s="1696"/>
      <c r="AP158" s="1696"/>
      <c r="AQ158" s="1696"/>
      <c r="AR158" s="1696"/>
      <c r="AS158" s="1696"/>
      <c r="AT158" s="1692"/>
      <c r="AU158" s="1697"/>
      <c r="AV158" s="1697"/>
      <c r="AW158" s="1624"/>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694"/>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686"/>
      <c r="B160" s="1687"/>
      <c r="C160" s="1688"/>
      <c r="D160" s="1689"/>
      <c r="E160" s="1689"/>
      <c r="F160" s="1689"/>
      <c r="G160" s="1689"/>
      <c r="H160" s="1691"/>
      <c r="I160" s="1691"/>
      <c r="J160" s="1692"/>
      <c r="K160" s="1692"/>
      <c r="L160" s="1692"/>
      <c r="M160" s="1692"/>
      <c r="N160" s="1692"/>
      <c r="O160" s="1692"/>
      <c r="P160" s="1692"/>
      <c r="Q160" s="1693"/>
      <c r="R160" s="1693"/>
      <c r="S160" s="1693"/>
      <c r="T160" s="1693"/>
      <c r="U160" s="1693"/>
      <c r="V160" s="1693"/>
      <c r="W160" s="1694"/>
      <c r="X160" s="1694"/>
      <c r="Y160" s="1694"/>
      <c r="Z160" s="1694"/>
      <c r="AA160" s="1644"/>
      <c r="AB160" s="1694"/>
      <c r="AC160" s="1694"/>
      <c r="AD160" s="1689"/>
      <c r="AE160" s="1689"/>
      <c r="AF160" s="1695"/>
      <c r="AG160" s="1695"/>
      <c r="AH160" s="1695"/>
      <c r="AI160" s="1695"/>
      <c r="AJ160" s="1695"/>
      <c r="AK160" s="1695"/>
      <c r="AL160" s="1695"/>
      <c r="AM160" s="1696"/>
      <c r="AN160" s="1696"/>
      <c r="AO160" s="1696"/>
      <c r="AP160" s="1696"/>
      <c r="AQ160" s="1696"/>
      <c r="AR160" s="1696"/>
      <c r="AS160" s="1696"/>
      <c r="AT160" s="1692"/>
      <c r="AU160" s="1697"/>
      <c r="AV160" s="1697"/>
      <c r="AW160" s="1624"/>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694"/>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686"/>
      <c r="B162" s="1687"/>
      <c r="C162" s="1688"/>
      <c r="D162" s="1689"/>
      <c r="E162" s="1689"/>
      <c r="F162" s="1689"/>
      <c r="G162" s="1689"/>
      <c r="H162" s="1691"/>
      <c r="I162" s="1691"/>
      <c r="J162" s="1692"/>
      <c r="K162" s="1692"/>
      <c r="L162" s="1692"/>
      <c r="M162" s="1692"/>
      <c r="N162" s="1692"/>
      <c r="O162" s="1692"/>
      <c r="P162" s="1692"/>
      <c r="Q162" s="1693"/>
      <c r="R162" s="1693"/>
      <c r="S162" s="1693"/>
      <c r="T162" s="1693"/>
      <c r="U162" s="1693"/>
      <c r="V162" s="1693"/>
      <c r="W162" s="1694"/>
      <c r="X162" s="1694"/>
      <c r="Y162" s="1694"/>
      <c r="Z162" s="1694"/>
      <c r="AA162" s="1644"/>
      <c r="AB162" s="1694"/>
      <c r="AC162" s="1694"/>
      <c r="AD162" s="1689"/>
      <c r="AE162" s="1689"/>
      <c r="AF162" s="1695"/>
      <c r="AG162" s="1695"/>
      <c r="AH162" s="1695"/>
      <c r="AI162" s="1695"/>
      <c r="AJ162" s="1695"/>
      <c r="AK162" s="1695"/>
      <c r="AL162" s="1695"/>
      <c r="AM162" s="1696"/>
      <c r="AN162" s="1696"/>
      <c r="AO162" s="1696"/>
      <c r="AP162" s="1696"/>
      <c r="AQ162" s="1696"/>
      <c r="AR162" s="1696"/>
      <c r="AS162" s="1696"/>
      <c r="AT162" s="1692"/>
      <c r="AU162" s="1697"/>
      <c r="AV162" s="1697"/>
      <c r="AW162" s="1624"/>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694"/>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686"/>
      <c r="B164" s="1687"/>
      <c r="C164" s="1688"/>
      <c r="D164" s="1689"/>
      <c r="E164" s="1689"/>
      <c r="F164" s="1689"/>
      <c r="G164" s="1689"/>
      <c r="H164" s="1691"/>
      <c r="I164" s="1691"/>
      <c r="J164" s="1692"/>
      <c r="K164" s="1692"/>
      <c r="L164" s="1692"/>
      <c r="M164" s="1692"/>
      <c r="N164" s="1692"/>
      <c r="O164" s="1692"/>
      <c r="P164" s="1692"/>
      <c r="Q164" s="1693"/>
      <c r="R164" s="1693"/>
      <c r="S164" s="1693"/>
      <c r="T164" s="1693"/>
      <c r="U164" s="1693"/>
      <c r="V164" s="1693"/>
      <c r="W164" s="1694"/>
      <c r="X164" s="1694"/>
      <c r="Y164" s="1694"/>
      <c r="Z164" s="1694"/>
      <c r="AA164" s="1644"/>
      <c r="AB164" s="1694"/>
      <c r="AC164" s="1694"/>
      <c r="AD164" s="1689"/>
      <c r="AE164" s="1689"/>
      <c r="AF164" s="1695"/>
      <c r="AG164" s="1695"/>
      <c r="AH164" s="1695"/>
      <c r="AI164" s="1695"/>
      <c r="AJ164" s="1695"/>
      <c r="AK164" s="1695"/>
      <c r="AL164" s="1695"/>
      <c r="AM164" s="1696"/>
      <c r="AN164" s="1696"/>
      <c r="AO164" s="1696"/>
      <c r="AP164" s="1696"/>
      <c r="AQ164" s="1696"/>
      <c r="AR164" s="1696"/>
      <c r="AS164" s="1696"/>
      <c r="AT164" s="1692"/>
      <c r="AU164" s="1697"/>
      <c r="AV164" s="1697"/>
      <c r="AW164" s="1624"/>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694"/>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686"/>
      <c r="B166" s="1687"/>
      <c r="C166" s="1688"/>
      <c r="D166" s="1689"/>
      <c r="E166" s="1689"/>
      <c r="F166" s="1689"/>
      <c r="G166" s="1689"/>
      <c r="H166" s="1691"/>
      <c r="I166" s="1691"/>
      <c r="J166" s="1692"/>
      <c r="K166" s="1692"/>
      <c r="L166" s="1692"/>
      <c r="M166" s="1692"/>
      <c r="N166" s="1692"/>
      <c r="O166" s="1692"/>
      <c r="P166" s="1692"/>
      <c r="Q166" s="1693"/>
      <c r="R166" s="1693"/>
      <c r="S166" s="1693"/>
      <c r="T166" s="1693"/>
      <c r="U166" s="1693"/>
      <c r="V166" s="1693"/>
      <c r="W166" s="1694"/>
      <c r="X166" s="1694"/>
      <c r="Y166" s="1694"/>
      <c r="Z166" s="1694"/>
      <c r="AA166" s="1644"/>
      <c r="AB166" s="1694"/>
      <c r="AC166" s="1694"/>
      <c r="AD166" s="1689"/>
      <c r="AE166" s="1689"/>
      <c r="AF166" s="1695"/>
      <c r="AG166" s="1695"/>
      <c r="AH166" s="1695"/>
      <c r="AI166" s="1695"/>
      <c r="AJ166" s="1695"/>
      <c r="AK166" s="1695"/>
      <c r="AL166" s="1695"/>
      <c r="AM166" s="1696"/>
      <c r="AN166" s="1696"/>
      <c r="AO166" s="1696"/>
      <c r="AP166" s="1696"/>
      <c r="AQ166" s="1696"/>
      <c r="AR166" s="1696"/>
      <c r="AS166" s="1696"/>
      <c r="AT166" s="1692"/>
      <c r="AU166" s="1697"/>
      <c r="AV166" s="1697"/>
      <c r="AW166" s="1624"/>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694"/>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686"/>
      <c r="B168" s="1687"/>
      <c r="C168" s="1688"/>
      <c r="D168" s="1689"/>
      <c r="E168" s="1689"/>
      <c r="F168" s="1689"/>
      <c r="G168" s="1689"/>
      <c r="H168" s="1691"/>
      <c r="I168" s="1691"/>
      <c r="J168" s="1692"/>
      <c r="K168" s="1692"/>
      <c r="L168" s="1692"/>
      <c r="M168" s="1692"/>
      <c r="N168" s="1692"/>
      <c r="O168" s="1692"/>
      <c r="P168" s="1692"/>
      <c r="Q168" s="1693"/>
      <c r="R168" s="1693"/>
      <c r="S168" s="1693"/>
      <c r="T168" s="1693"/>
      <c r="U168" s="1693"/>
      <c r="V168" s="1693"/>
      <c r="W168" s="1694"/>
      <c r="X168" s="1694"/>
      <c r="Y168" s="1694"/>
      <c r="Z168" s="1694"/>
      <c r="AA168" s="1644"/>
      <c r="AB168" s="1694"/>
      <c r="AC168" s="1694"/>
      <c r="AD168" s="1689"/>
      <c r="AE168" s="1689"/>
      <c r="AF168" s="1695"/>
      <c r="AG168" s="1695"/>
      <c r="AH168" s="1695"/>
      <c r="AI168" s="1695"/>
      <c r="AJ168" s="1695"/>
      <c r="AK168" s="1695"/>
      <c r="AL168" s="1695"/>
      <c r="AM168" s="1696"/>
      <c r="AN168" s="1696"/>
      <c r="AO168" s="1696"/>
      <c r="AP168" s="1696"/>
      <c r="AQ168" s="1696"/>
      <c r="AR168" s="1696"/>
      <c r="AS168" s="1696"/>
      <c r="AT168" s="1692"/>
      <c r="AU168" s="1697"/>
      <c r="AV168" s="1697"/>
      <c r="AW168" s="1624"/>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694"/>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686"/>
      <c r="B170" s="1687"/>
      <c r="C170" s="1688"/>
      <c r="D170" s="1689"/>
      <c r="E170" s="1689"/>
      <c r="F170" s="1689"/>
      <c r="G170" s="1689"/>
      <c r="H170" s="1691"/>
      <c r="I170" s="1691"/>
      <c r="J170" s="1692"/>
      <c r="K170" s="1692"/>
      <c r="L170" s="1692"/>
      <c r="M170" s="1692"/>
      <c r="N170" s="1692"/>
      <c r="O170" s="1692"/>
      <c r="P170" s="1692"/>
      <c r="Q170" s="1693"/>
      <c r="R170" s="1693"/>
      <c r="S170" s="1693"/>
      <c r="T170" s="1693"/>
      <c r="U170" s="1693"/>
      <c r="V170" s="1693"/>
      <c r="W170" s="1694"/>
      <c r="X170" s="1694"/>
      <c r="Y170" s="1694"/>
      <c r="Z170" s="1694"/>
      <c r="AA170" s="1644"/>
      <c r="AB170" s="1694"/>
      <c r="AC170" s="1694"/>
      <c r="AD170" s="1689"/>
      <c r="AE170" s="1689"/>
      <c r="AF170" s="1695"/>
      <c r="AG170" s="1695"/>
      <c r="AH170" s="1695"/>
      <c r="AI170" s="1695"/>
      <c r="AJ170" s="1695"/>
      <c r="AK170" s="1695"/>
      <c r="AL170" s="1695"/>
      <c r="AM170" s="1696"/>
      <c r="AN170" s="1696"/>
      <c r="AO170" s="1696"/>
      <c r="AP170" s="1696"/>
      <c r="AQ170" s="1696"/>
      <c r="AR170" s="1696"/>
      <c r="AS170" s="1696"/>
      <c r="AT170" s="1692"/>
      <c r="AU170" s="1697"/>
      <c r="AV170" s="1697"/>
      <c r="AW170" s="1624"/>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694"/>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686"/>
      <c r="B172" s="1687"/>
      <c r="C172" s="1688"/>
      <c r="D172" s="1689"/>
      <c r="E172" s="1689"/>
      <c r="F172" s="1689"/>
      <c r="G172" s="1689"/>
      <c r="H172" s="1691"/>
      <c r="I172" s="1691"/>
      <c r="J172" s="1692"/>
      <c r="K172" s="1692"/>
      <c r="L172" s="1692"/>
      <c r="M172" s="1692"/>
      <c r="N172" s="1692"/>
      <c r="O172" s="1692"/>
      <c r="P172" s="1692"/>
      <c r="Q172" s="1693"/>
      <c r="R172" s="1693"/>
      <c r="S172" s="1693"/>
      <c r="T172" s="1693"/>
      <c r="U172" s="1693"/>
      <c r="V172" s="1693"/>
      <c r="W172" s="1694"/>
      <c r="X172" s="1694"/>
      <c r="Y172" s="1694"/>
      <c r="Z172" s="1694"/>
      <c r="AA172" s="1644"/>
      <c r="AB172" s="1694"/>
      <c r="AC172" s="1694"/>
      <c r="AD172" s="1689"/>
      <c r="AE172" s="1689"/>
      <c r="AF172" s="1695"/>
      <c r="AG172" s="1695"/>
      <c r="AH172" s="1695"/>
      <c r="AI172" s="1695"/>
      <c r="AJ172" s="1695"/>
      <c r="AK172" s="1695"/>
      <c r="AL172" s="1695"/>
      <c r="AM172" s="1696"/>
      <c r="AN172" s="1696"/>
      <c r="AO172" s="1696"/>
      <c r="AP172" s="1696"/>
      <c r="AQ172" s="1696"/>
      <c r="AR172" s="1696"/>
      <c r="AS172" s="1696"/>
      <c r="AT172" s="1692"/>
      <c r="AU172" s="1697"/>
      <c r="AV172" s="1697"/>
      <c r="AW172" s="1624"/>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694"/>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686"/>
      <c r="B174" s="1687"/>
      <c r="C174" s="1688"/>
      <c r="D174" s="1689"/>
      <c r="E174" s="1689"/>
      <c r="F174" s="1689"/>
      <c r="G174" s="1689"/>
      <c r="H174" s="1691"/>
      <c r="I174" s="1691"/>
      <c r="J174" s="1692"/>
      <c r="K174" s="1692"/>
      <c r="L174" s="1692"/>
      <c r="M174" s="1692"/>
      <c r="N174" s="1692"/>
      <c r="O174" s="1692"/>
      <c r="P174" s="1692"/>
      <c r="Q174" s="1693"/>
      <c r="R174" s="1693"/>
      <c r="S174" s="1693"/>
      <c r="T174" s="1693"/>
      <c r="U174" s="1693"/>
      <c r="V174" s="1693"/>
      <c r="W174" s="1694"/>
      <c r="X174" s="1694"/>
      <c r="Y174" s="1694"/>
      <c r="Z174" s="1694"/>
      <c r="AA174" s="1644"/>
      <c r="AB174" s="1694"/>
      <c r="AC174" s="1694"/>
      <c r="AD174" s="1689"/>
      <c r="AE174" s="1689"/>
      <c r="AF174" s="1695"/>
      <c r="AG174" s="1695"/>
      <c r="AH174" s="1695"/>
      <c r="AI174" s="1695"/>
      <c r="AJ174" s="1695"/>
      <c r="AK174" s="1695"/>
      <c r="AL174" s="1695"/>
      <c r="AM174" s="1696"/>
      <c r="AN174" s="1696"/>
      <c r="AO174" s="1696"/>
      <c r="AP174" s="1696"/>
      <c r="AQ174" s="1696"/>
      <c r="AR174" s="1696"/>
      <c r="AS174" s="1696"/>
      <c r="AT174" s="1692"/>
      <c r="AU174" s="1697"/>
      <c r="AV174" s="1697"/>
      <c r="AW174" s="1624"/>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694"/>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686"/>
      <c r="B176" s="1687"/>
      <c r="C176" s="1688"/>
      <c r="D176" s="1689"/>
      <c r="E176" s="1689"/>
      <c r="F176" s="1689"/>
      <c r="G176" s="1689"/>
      <c r="H176" s="1691"/>
      <c r="I176" s="1691"/>
      <c r="J176" s="1692"/>
      <c r="K176" s="1692"/>
      <c r="L176" s="1692"/>
      <c r="M176" s="1692"/>
      <c r="N176" s="1692"/>
      <c r="O176" s="1692"/>
      <c r="P176" s="1692"/>
      <c r="Q176" s="1693"/>
      <c r="R176" s="1693"/>
      <c r="S176" s="1693"/>
      <c r="T176" s="1693"/>
      <c r="U176" s="1693"/>
      <c r="V176" s="1693"/>
      <c r="W176" s="1694"/>
      <c r="X176" s="1694"/>
      <c r="Y176" s="1694"/>
      <c r="Z176" s="1694"/>
      <c r="AA176" s="1644"/>
      <c r="AB176" s="1694"/>
      <c r="AC176" s="1694"/>
      <c r="AD176" s="1689"/>
      <c r="AE176" s="1689"/>
      <c r="AF176" s="1695"/>
      <c r="AG176" s="1695"/>
      <c r="AH176" s="1695"/>
      <c r="AI176" s="1695"/>
      <c r="AJ176" s="1695"/>
      <c r="AK176" s="1695"/>
      <c r="AL176" s="1695"/>
      <c r="AM176" s="1696"/>
      <c r="AN176" s="1696"/>
      <c r="AO176" s="1696"/>
      <c r="AP176" s="1696"/>
      <c r="AQ176" s="1696"/>
      <c r="AR176" s="1696"/>
      <c r="AS176" s="1696"/>
      <c r="AT176" s="1692"/>
      <c r="AU176" s="1697"/>
      <c r="AV176" s="1697"/>
      <c r="AW176" s="1624"/>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694"/>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686"/>
      <c r="B178" s="1687"/>
      <c r="C178" s="1688"/>
      <c r="D178" s="1689"/>
      <c r="E178" s="1689"/>
      <c r="F178" s="1689"/>
      <c r="G178" s="1689"/>
      <c r="H178" s="1691"/>
      <c r="I178" s="1691"/>
      <c r="J178" s="1692"/>
      <c r="K178" s="1692"/>
      <c r="L178" s="1692"/>
      <c r="M178" s="1692"/>
      <c r="N178" s="1692"/>
      <c r="O178" s="1692"/>
      <c r="P178" s="1692"/>
      <c r="Q178" s="1693"/>
      <c r="R178" s="1693"/>
      <c r="S178" s="1693"/>
      <c r="T178" s="1693"/>
      <c r="U178" s="1693"/>
      <c r="V178" s="1693"/>
      <c r="W178" s="1694"/>
      <c r="X178" s="1694"/>
      <c r="Y178" s="1694"/>
      <c r="Z178" s="1694"/>
      <c r="AA178" s="1644"/>
      <c r="AB178" s="1694"/>
      <c r="AC178" s="1694"/>
      <c r="AD178" s="1689"/>
      <c r="AE178" s="1689"/>
      <c r="AF178" s="1695"/>
      <c r="AG178" s="1695"/>
      <c r="AH178" s="1695"/>
      <c r="AI178" s="1695"/>
      <c r="AJ178" s="1695"/>
      <c r="AK178" s="1695"/>
      <c r="AL178" s="1695"/>
      <c r="AM178" s="1696"/>
      <c r="AN178" s="1696"/>
      <c r="AO178" s="1696"/>
      <c r="AP178" s="1696"/>
      <c r="AQ178" s="1696"/>
      <c r="AR178" s="1696"/>
      <c r="AS178" s="1696"/>
      <c r="AT178" s="1692"/>
      <c r="AU178" s="1697"/>
      <c r="AV178" s="1697"/>
      <c r="AW178" s="1624"/>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694"/>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686"/>
      <c r="B180" s="1687"/>
      <c r="C180" s="1688"/>
      <c r="D180" s="1689"/>
      <c r="E180" s="1689"/>
      <c r="F180" s="1689"/>
      <c r="G180" s="1689"/>
      <c r="H180" s="1691"/>
      <c r="I180" s="1691"/>
      <c r="J180" s="1692"/>
      <c r="K180" s="1692"/>
      <c r="L180" s="1692"/>
      <c r="M180" s="1692"/>
      <c r="N180" s="1692"/>
      <c r="O180" s="1692"/>
      <c r="P180" s="1692"/>
      <c r="Q180" s="1693"/>
      <c r="R180" s="1693"/>
      <c r="S180" s="1693"/>
      <c r="T180" s="1693"/>
      <c r="U180" s="1693"/>
      <c r="V180" s="1693"/>
      <c r="W180" s="1694"/>
      <c r="X180" s="1694"/>
      <c r="Y180" s="1694"/>
      <c r="Z180" s="1694"/>
      <c r="AA180" s="1644"/>
      <c r="AB180" s="1694"/>
      <c r="AC180" s="1694"/>
      <c r="AD180" s="1689"/>
      <c r="AE180" s="1689"/>
      <c r="AF180" s="1695"/>
      <c r="AG180" s="1695"/>
      <c r="AH180" s="1695"/>
      <c r="AI180" s="1695"/>
      <c r="AJ180" s="1695"/>
      <c r="AK180" s="1695"/>
      <c r="AL180" s="1695"/>
      <c r="AM180" s="1696"/>
      <c r="AN180" s="1696"/>
      <c r="AO180" s="1696"/>
      <c r="AP180" s="1696"/>
      <c r="AQ180" s="1696"/>
      <c r="AR180" s="1696"/>
      <c r="AS180" s="1696"/>
      <c r="AT180" s="1692"/>
      <c r="AU180" s="1697"/>
      <c r="AV180" s="1697"/>
      <c r="AW180" s="1624"/>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694"/>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686"/>
      <c r="B182" s="1687"/>
      <c r="C182" s="1688"/>
      <c r="D182" s="1689"/>
      <c r="E182" s="1689"/>
      <c r="F182" s="1689"/>
      <c r="G182" s="1689"/>
      <c r="H182" s="1691"/>
      <c r="I182" s="1691"/>
      <c r="J182" s="1692"/>
      <c r="K182" s="1692"/>
      <c r="L182" s="1692"/>
      <c r="M182" s="1692"/>
      <c r="N182" s="1692"/>
      <c r="O182" s="1692"/>
      <c r="P182" s="1692"/>
      <c r="Q182" s="1693"/>
      <c r="R182" s="1693"/>
      <c r="S182" s="1693"/>
      <c r="T182" s="1693"/>
      <c r="U182" s="1693"/>
      <c r="V182" s="1693"/>
      <c r="W182" s="1694"/>
      <c r="X182" s="1694"/>
      <c r="Y182" s="1694"/>
      <c r="Z182" s="1694"/>
      <c r="AA182" s="1644"/>
      <c r="AB182" s="1694"/>
      <c r="AC182" s="1694"/>
      <c r="AD182" s="1689"/>
      <c r="AE182" s="1689"/>
      <c r="AF182" s="1695"/>
      <c r="AG182" s="1695"/>
      <c r="AH182" s="1695"/>
      <c r="AI182" s="1695"/>
      <c r="AJ182" s="1695"/>
      <c r="AK182" s="1695"/>
      <c r="AL182" s="1695"/>
      <c r="AM182" s="1696"/>
      <c r="AN182" s="1696"/>
      <c r="AO182" s="1696"/>
      <c r="AP182" s="1696"/>
      <c r="AQ182" s="1696"/>
      <c r="AR182" s="1696"/>
      <c r="AS182" s="1696"/>
      <c r="AT182" s="1692"/>
      <c r="AU182" s="1697"/>
      <c r="AV182" s="1697"/>
      <c r="AW182" s="1624"/>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694"/>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686"/>
      <c r="B184" s="1687"/>
      <c r="C184" s="1688"/>
      <c r="D184" s="1689"/>
      <c r="E184" s="1689"/>
      <c r="F184" s="1689"/>
      <c r="G184" s="1689"/>
      <c r="H184" s="1691"/>
      <c r="I184" s="1691"/>
      <c r="J184" s="1692"/>
      <c r="K184" s="1692"/>
      <c r="L184" s="1692"/>
      <c r="M184" s="1692"/>
      <c r="N184" s="1692"/>
      <c r="O184" s="1692"/>
      <c r="P184" s="1692"/>
      <c r="Q184" s="1693"/>
      <c r="R184" s="1693"/>
      <c r="S184" s="1693"/>
      <c r="T184" s="1693"/>
      <c r="U184" s="1693"/>
      <c r="V184" s="1693"/>
      <c r="W184" s="1694"/>
      <c r="X184" s="1694"/>
      <c r="Y184" s="1694"/>
      <c r="Z184" s="1694"/>
      <c r="AA184" s="1644"/>
      <c r="AB184" s="1694"/>
      <c r="AC184" s="1694"/>
      <c r="AD184" s="1689"/>
      <c r="AE184" s="1689"/>
      <c r="AF184" s="1695"/>
      <c r="AG184" s="1695"/>
      <c r="AH184" s="1695"/>
      <c r="AI184" s="1695"/>
      <c r="AJ184" s="1695"/>
      <c r="AK184" s="1695"/>
      <c r="AL184" s="1695"/>
      <c r="AM184" s="1696"/>
      <c r="AN184" s="1696"/>
      <c r="AO184" s="1696"/>
      <c r="AP184" s="1696"/>
      <c r="AQ184" s="1696"/>
      <c r="AR184" s="1696"/>
      <c r="AS184" s="1696"/>
      <c r="AT184" s="1692"/>
      <c r="AU184" s="1697"/>
      <c r="AV184" s="1697"/>
      <c r="AW184" s="1624"/>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694"/>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686"/>
      <c r="B186" s="1687"/>
      <c r="C186" s="1688"/>
      <c r="D186" s="1689"/>
      <c r="E186" s="1689"/>
      <c r="F186" s="1689"/>
      <c r="G186" s="1689"/>
      <c r="H186" s="1691"/>
      <c r="I186" s="1691"/>
      <c r="J186" s="1692"/>
      <c r="K186" s="1692"/>
      <c r="L186" s="1692"/>
      <c r="M186" s="1692"/>
      <c r="N186" s="1692"/>
      <c r="O186" s="1692"/>
      <c r="P186" s="1692"/>
      <c r="Q186" s="1693"/>
      <c r="R186" s="1693"/>
      <c r="S186" s="1693"/>
      <c r="T186" s="1693"/>
      <c r="U186" s="1693"/>
      <c r="V186" s="1693"/>
      <c r="W186" s="1694"/>
      <c r="X186" s="1694"/>
      <c r="Y186" s="1694"/>
      <c r="Z186" s="1694"/>
      <c r="AA186" s="1644"/>
      <c r="AB186" s="1694"/>
      <c r="AC186" s="1694"/>
      <c r="AD186" s="1689"/>
      <c r="AE186" s="1689"/>
      <c r="AF186" s="1695"/>
      <c r="AG186" s="1695"/>
      <c r="AH186" s="1695"/>
      <c r="AI186" s="1695"/>
      <c r="AJ186" s="1695"/>
      <c r="AK186" s="1695"/>
      <c r="AL186" s="1695"/>
      <c r="AM186" s="1696"/>
      <c r="AN186" s="1696"/>
      <c r="AO186" s="1696"/>
      <c r="AP186" s="1696"/>
      <c r="AQ186" s="1696"/>
      <c r="AR186" s="1696"/>
      <c r="AS186" s="1696"/>
      <c r="AT186" s="1692"/>
      <c r="AU186" s="1697"/>
      <c r="AV186" s="1697"/>
      <c r="AW186" s="1624"/>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694"/>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686"/>
      <c r="B188" s="1687"/>
      <c r="C188" s="1688"/>
      <c r="D188" s="1689"/>
      <c r="E188" s="1689"/>
      <c r="F188" s="1689"/>
      <c r="G188" s="1689"/>
      <c r="H188" s="1691"/>
      <c r="I188" s="1691"/>
      <c r="J188" s="1692"/>
      <c r="K188" s="1692"/>
      <c r="L188" s="1692"/>
      <c r="M188" s="1692"/>
      <c r="N188" s="1692"/>
      <c r="O188" s="1692"/>
      <c r="P188" s="1692"/>
      <c r="Q188" s="1693"/>
      <c r="R188" s="1693"/>
      <c r="S188" s="1693"/>
      <c r="T188" s="1693"/>
      <c r="U188" s="1693"/>
      <c r="V188" s="1693"/>
      <c r="W188" s="1694"/>
      <c r="X188" s="1694"/>
      <c r="Y188" s="1694"/>
      <c r="Z188" s="1694"/>
      <c r="AA188" s="1644"/>
      <c r="AB188" s="1694"/>
      <c r="AC188" s="1694"/>
      <c r="AD188" s="1689"/>
      <c r="AE188" s="1689"/>
      <c r="AF188" s="1695"/>
      <c r="AG188" s="1695"/>
      <c r="AH188" s="1695"/>
      <c r="AI188" s="1695"/>
      <c r="AJ188" s="1695"/>
      <c r="AK188" s="1695"/>
      <c r="AL188" s="1695"/>
      <c r="AM188" s="1696"/>
      <c r="AN188" s="1696"/>
      <c r="AO188" s="1696"/>
      <c r="AP188" s="1696"/>
      <c r="AQ188" s="1696"/>
      <c r="AR188" s="1696"/>
      <c r="AS188" s="1696"/>
      <c r="AT188" s="1692"/>
      <c r="AU188" s="1697"/>
      <c r="AV188" s="1697"/>
      <c r="AW188" s="1624"/>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694"/>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686"/>
      <c r="B190" s="1687"/>
      <c r="C190" s="1688"/>
      <c r="D190" s="1689"/>
      <c r="E190" s="1689"/>
      <c r="F190" s="1689"/>
      <c r="G190" s="1689"/>
      <c r="H190" s="1691"/>
      <c r="I190" s="1691"/>
      <c r="J190" s="1692"/>
      <c r="K190" s="1692"/>
      <c r="L190" s="1692"/>
      <c r="M190" s="1692"/>
      <c r="N190" s="1692"/>
      <c r="O190" s="1692"/>
      <c r="P190" s="1692"/>
      <c r="Q190" s="1693"/>
      <c r="R190" s="1693"/>
      <c r="S190" s="1693"/>
      <c r="T190" s="1693"/>
      <c r="U190" s="1693"/>
      <c r="V190" s="1693"/>
      <c r="W190" s="1694"/>
      <c r="X190" s="1694"/>
      <c r="Y190" s="1694"/>
      <c r="Z190" s="1694"/>
      <c r="AA190" s="1644"/>
      <c r="AB190" s="1694"/>
      <c r="AC190" s="1694"/>
      <c r="AD190" s="1689"/>
      <c r="AE190" s="1689"/>
      <c r="AF190" s="1695"/>
      <c r="AG190" s="1695"/>
      <c r="AH190" s="1695"/>
      <c r="AI190" s="1695"/>
      <c r="AJ190" s="1695"/>
      <c r="AK190" s="1695"/>
      <c r="AL190" s="1695"/>
      <c r="AM190" s="1696"/>
      <c r="AN190" s="1696"/>
      <c r="AO190" s="1696"/>
      <c r="AP190" s="1696"/>
      <c r="AQ190" s="1696"/>
      <c r="AR190" s="1696"/>
      <c r="AS190" s="1696"/>
      <c r="AT190" s="1692"/>
      <c r="AU190" s="1697"/>
      <c r="AV190" s="1697"/>
      <c r="AW190" s="1624"/>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694"/>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686"/>
      <c r="B192" s="1687"/>
      <c r="C192" s="1688"/>
      <c r="D192" s="1689"/>
      <c r="E192" s="1689"/>
      <c r="F192" s="1689"/>
      <c r="G192" s="1689"/>
      <c r="H192" s="1691"/>
      <c r="I192" s="1691"/>
      <c r="J192" s="1692"/>
      <c r="K192" s="1692"/>
      <c r="L192" s="1692"/>
      <c r="M192" s="1692"/>
      <c r="N192" s="1692"/>
      <c r="O192" s="1692"/>
      <c r="P192" s="1692"/>
      <c r="Q192" s="1693"/>
      <c r="R192" s="1693"/>
      <c r="S192" s="1693"/>
      <c r="T192" s="1693"/>
      <c r="U192" s="1693"/>
      <c r="V192" s="1693"/>
      <c r="W192" s="1694"/>
      <c r="X192" s="1694"/>
      <c r="Y192" s="1694"/>
      <c r="Z192" s="1694"/>
      <c r="AA192" s="1644"/>
      <c r="AB192" s="1694"/>
      <c r="AC192" s="1694"/>
      <c r="AD192" s="1689"/>
      <c r="AE192" s="1689"/>
      <c r="AF192" s="1695"/>
      <c r="AG192" s="1695"/>
      <c r="AH192" s="1695"/>
      <c r="AI192" s="1695"/>
      <c r="AJ192" s="1695"/>
      <c r="AK192" s="1695"/>
      <c r="AL192" s="1695"/>
      <c r="AM192" s="1696"/>
      <c r="AN192" s="1696"/>
      <c r="AO192" s="1696"/>
      <c r="AP192" s="1696"/>
      <c r="AQ192" s="1696"/>
      <c r="AR192" s="1696"/>
      <c r="AS192" s="1696"/>
      <c r="AT192" s="1692"/>
      <c r="AU192" s="1697"/>
      <c r="AV192" s="1697"/>
      <c r="AW192" s="1624"/>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694"/>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686"/>
      <c r="B194" s="1687"/>
      <c r="C194" s="1688"/>
      <c r="D194" s="1689"/>
      <c r="E194" s="1689"/>
      <c r="F194" s="1689"/>
      <c r="G194" s="1689"/>
      <c r="H194" s="1691"/>
      <c r="I194" s="1691"/>
      <c r="J194" s="1692"/>
      <c r="K194" s="1692"/>
      <c r="L194" s="1692"/>
      <c r="M194" s="1692"/>
      <c r="N194" s="1692"/>
      <c r="O194" s="1692"/>
      <c r="P194" s="1692"/>
      <c r="Q194" s="1693"/>
      <c r="R194" s="1693"/>
      <c r="S194" s="1693"/>
      <c r="T194" s="1693"/>
      <c r="U194" s="1693"/>
      <c r="V194" s="1693"/>
      <c r="W194" s="1694"/>
      <c r="X194" s="1694"/>
      <c r="Y194" s="1694"/>
      <c r="Z194" s="1694"/>
      <c r="AA194" s="1644"/>
      <c r="AB194" s="1694"/>
      <c r="AC194" s="1694"/>
      <c r="AD194" s="1689"/>
      <c r="AE194" s="1689"/>
      <c r="AF194" s="1695"/>
      <c r="AG194" s="1695"/>
      <c r="AH194" s="1695"/>
      <c r="AI194" s="1695"/>
      <c r="AJ194" s="1695"/>
      <c r="AK194" s="1695"/>
      <c r="AL194" s="1695"/>
      <c r="AM194" s="1696"/>
      <c r="AN194" s="1696"/>
      <c r="AO194" s="1696"/>
      <c r="AP194" s="1696"/>
      <c r="AQ194" s="1696"/>
      <c r="AR194" s="1696"/>
      <c r="AS194" s="1696"/>
      <c r="AT194" s="1692"/>
      <c r="AU194" s="1697"/>
      <c r="AV194" s="1697"/>
      <c r="AW194" s="1624"/>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694"/>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686"/>
      <c r="B196" s="1687"/>
      <c r="C196" s="1688"/>
      <c r="D196" s="1689"/>
      <c r="E196" s="1689"/>
      <c r="F196" s="1689"/>
      <c r="G196" s="1689"/>
      <c r="H196" s="1691"/>
      <c r="I196" s="1691"/>
      <c r="J196" s="1692"/>
      <c r="K196" s="1692"/>
      <c r="L196" s="1692"/>
      <c r="M196" s="1692"/>
      <c r="N196" s="1692"/>
      <c r="O196" s="1692"/>
      <c r="P196" s="1692"/>
      <c r="Q196" s="1693"/>
      <c r="R196" s="1693"/>
      <c r="S196" s="1693"/>
      <c r="T196" s="1693"/>
      <c r="U196" s="1693"/>
      <c r="V196" s="1693"/>
      <c r="W196" s="1694"/>
      <c r="X196" s="1694"/>
      <c r="Y196" s="1694"/>
      <c r="Z196" s="1694"/>
      <c r="AA196" s="1644"/>
      <c r="AB196" s="1694"/>
      <c r="AC196" s="1694"/>
      <c r="AD196" s="1689"/>
      <c r="AE196" s="1689"/>
      <c r="AF196" s="1695"/>
      <c r="AG196" s="1695"/>
      <c r="AH196" s="1695"/>
      <c r="AI196" s="1695"/>
      <c r="AJ196" s="1695"/>
      <c r="AK196" s="1695"/>
      <c r="AL196" s="1695"/>
      <c r="AM196" s="1696"/>
      <c r="AN196" s="1696"/>
      <c r="AO196" s="1696"/>
      <c r="AP196" s="1696"/>
      <c r="AQ196" s="1696"/>
      <c r="AR196" s="1696"/>
      <c r="AS196" s="1696"/>
      <c r="AT196" s="1692"/>
      <c r="AU196" s="1697"/>
      <c r="AV196" s="1697"/>
      <c r="AW196" s="1624"/>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694"/>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686"/>
      <c r="B198" s="1687"/>
      <c r="C198" s="1688"/>
      <c r="D198" s="1689"/>
      <c r="E198" s="1689"/>
      <c r="F198" s="1689"/>
      <c r="G198" s="1689"/>
      <c r="H198" s="1691"/>
      <c r="I198" s="1691"/>
      <c r="J198" s="1692"/>
      <c r="K198" s="1692"/>
      <c r="L198" s="1692"/>
      <c r="M198" s="1692"/>
      <c r="N198" s="1692"/>
      <c r="O198" s="1692"/>
      <c r="P198" s="1692"/>
      <c r="Q198" s="1693"/>
      <c r="R198" s="1693"/>
      <c r="S198" s="1693"/>
      <c r="T198" s="1693"/>
      <c r="U198" s="1693"/>
      <c r="V198" s="1693"/>
      <c r="W198" s="1694"/>
      <c r="X198" s="1694"/>
      <c r="Y198" s="1694"/>
      <c r="Z198" s="1694"/>
      <c r="AA198" s="1644"/>
      <c r="AB198" s="1694"/>
      <c r="AC198" s="1694"/>
      <c r="AD198" s="1689"/>
      <c r="AE198" s="1689"/>
      <c r="AF198" s="1695"/>
      <c r="AG198" s="1695"/>
      <c r="AH198" s="1695"/>
      <c r="AI198" s="1695"/>
      <c r="AJ198" s="1695"/>
      <c r="AK198" s="1695"/>
      <c r="AL198" s="1695"/>
      <c r="AM198" s="1696"/>
      <c r="AN198" s="1696"/>
      <c r="AO198" s="1696"/>
      <c r="AP198" s="1696"/>
      <c r="AQ198" s="1696"/>
      <c r="AR198" s="1696"/>
      <c r="AS198" s="1696"/>
      <c r="AT198" s="1692"/>
      <c r="AU198" s="1697"/>
      <c r="AV198" s="1697"/>
      <c r="AW198" s="1624"/>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694"/>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1" t="s">
        <v>43</v>
      </c>
      <c r="B1" s="1413" t="s">
        <v>8493</v>
      </c>
      <c r="C1" s="1414" t="s">
        <v>8494</v>
      </c>
      <c r="D1" s="1702" t="s">
        <v>10659</v>
      </c>
      <c r="E1" s="1703" t="s">
        <v>6720</v>
      </c>
      <c r="F1" s="1704" t="s">
        <v>7008</v>
      </c>
      <c r="G1" s="1705" t="s">
        <v>38</v>
      </c>
      <c r="H1" s="1706" t="s">
        <v>36</v>
      </c>
      <c r="I1" s="1702" t="s">
        <v>10660</v>
      </c>
      <c r="J1" s="1707" t="s">
        <v>39</v>
      </c>
      <c r="K1" s="1708" t="s">
        <v>6949</v>
      </c>
      <c r="L1" s="1422" t="s">
        <v>8526</v>
      </c>
      <c r="M1" s="1709" t="s">
        <v>8527</v>
      </c>
      <c r="N1" s="1710" t="s">
        <v>8528</v>
      </c>
      <c r="O1" s="1412" t="s">
        <v>8529</v>
      </c>
    </row>
    <row r="2" ht="15.75" customHeight="1">
      <c r="A2" s="1425" t="s">
        <v>8530</v>
      </c>
      <c r="B2" s="1711" t="s">
        <v>8531</v>
      </c>
      <c r="C2" s="1712">
        <v>0.04982638888888889</v>
      </c>
      <c r="D2" s="1441" t="s">
        <v>10661</v>
      </c>
      <c r="E2" s="1713" t="s">
        <v>10662</v>
      </c>
      <c r="F2" s="1714" t="s">
        <v>10663</v>
      </c>
      <c r="G2" s="1715" t="s">
        <v>10664</v>
      </c>
      <c r="H2" s="1716" t="s">
        <v>10665</v>
      </c>
      <c r="I2" s="1717" t="s">
        <v>10666</v>
      </c>
      <c r="J2" s="1718" t="s">
        <v>10667</v>
      </c>
      <c r="K2" s="1719" t="s">
        <v>10668</v>
      </c>
      <c r="L2" s="1720" t="s">
        <v>8721</v>
      </c>
      <c r="M2" s="1712">
        <v>0.050590277777777776</v>
      </c>
      <c r="N2" s="1721" t="str">
        <f t="shared" ref="N2:N39" si="1">TEXT(M2-C2, "m:ss")</f>
        <v>1:06</v>
      </c>
      <c r="O2" s="1450"/>
    </row>
    <row r="3" ht="15.75" customHeight="1">
      <c r="A3" s="1451" t="s">
        <v>8559</v>
      </c>
      <c r="B3" s="1722" t="s">
        <v>8560</v>
      </c>
      <c r="C3" s="1723">
        <v>0.051458333333333335</v>
      </c>
      <c r="D3" s="1454" t="s">
        <v>10669</v>
      </c>
      <c r="E3" s="1724" t="s">
        <v>5916</v>
      </c>
      <c r="F3" s="1456" t="s">
        <v>10670</v>
      </c>
      <c r="G3" s="1457" t="s">
        <v>10671</v>
      </c>
      <c r="H3" s="1460" t="s">
        <v>10672</v>
      </c>
      <c r="I3" s="1454" t="s">
        <v>10673</v>
      </c>
      <c r="J3" s="1462" t="s">
        <v>10674</v>
      </c>
      <c r="K3" s="1464" t="s">
        <v>10675</v>
      </c>
      <c r="L3" s="1465" t="s">
        <v>9159</v>
      </c>
      <c r="M3" s="1723">
        <v>0.05236111111111111</v>
      </c>
      <c r="N3" s="1725" t="str">
        <f t="shared" si="1"/>
        <v>1:18</v>
      </c>
    </row>
    <row r="4" ht="15.75" customHeight="1">
      <c r="A4" s="1467" t="s">
        <v>8585</v>
      </c>
      <c r="B4" s="1726" t="s">
        <v>8586</v>
      </c>
      <c r="C4" s="1727">
        <f>C24</f>
        <v>0.05158564815</v>
      </c>
      <c r="D4" s="1470" t="s">
        <v>10676</v>
      </c>
      <c r="E4" s="1728" t="s">
        <v>10677</v>
      </c>
      <c r="F4" s="1472" t="s">
        <v>10678</v>
      </c>
      <c r="G4" s="1473" t="s">
        <v>10679</v>
      </c>
      <c r="H4" s="1474" t="s">
        <v>10680</v>
      </c>
      <c r="I4" s="1470" t="s">
        <v>10681</v>
      </c>
      <c r="J4" s="1476" t="s">
        <v>10682</v>
      </c>
      <c r="K4" s="1477" t="s">
        <v>10683</v>
      </c>
      <c r="L4" s="1479" t="s">
        <v>8617</v>
      </c>
      <c r="M4" s="1729">
        <f>M24</f>
        <v>0.0521412037</v>
      </c>
      <c r="N4" s="1729" t="str">
        <f t="shared" si="1"/>
        <v>0:48</v>
      </c>
    </row>
    <row r="5" ht="15.75" customHeight="1">
      <c r="A5" s="1668" t="s">
        <v>1107</v>
      </c>
      <c r="B5" s="1645" t="s">
        <v>8531</v>
      </c>
      <c r="C5" s="1730">
        <v>0.04997685185185185</v>
      </c>
      <c r="D5" s="1731" t="s">
        <v>10661</v>
      </c>
      <c r="E5" s="1507" t="s">
        <v>10684</v>
      </c>
      <c r="F5" s="1731" t="s">
        <v>10663</v>
      </c>
      <c r="G5" s="1731" t="s">
        <v>10664</v>
      </c>
      <c r="H5" s="1732" t="s">
        <v>10685</v>
      </c>
      <c r="I5" s="1504" t="s">
        <v>10686</v>
      </c>
      <c r="J5" s="1504" t="s">
        <v>10687</v>
      </c>
      <c r="K5" s="1731" t="s">
        <v>10668</v>
      </c>
      <c r="L5" s="1504" t="s">
        <v>2159</v>
      </c>
      <c r="M5" s="1544" t="s">
        <v>8558</v>
      </c>
      <c r="N5" s="1733" t="str">
        <f t="shared" si="1"/>
        <v>0:53</v>
      </c>
      <c r="O5" s="1504" t="s">
        <v>10688</v>
      </c>
    </row>
    <row r="6" ht="15.75" customHeight="1">
      <c r="A6" s="1734" t="s">
        <v>446</v>
      </c>
      <c r="B6" s="1483" t="s">
        <v>8531</v>
      </c>
      <c r="C6" s="1735">
        <v>0.04998842592592593</v>
      </c>
      <c r="D6" s="1504" t="s">
        <v>10689</v>
      </c>
      <c r="E6" s="1736" t="s">
        <v>10662</v>
      </c>
      <c r="F6" s="1504" t="s">
        <v>10690</v>
      </c>
      <c r="G6" s="1504" t="s">
        <v>10691</v>
      </c>
      <c r="H6" s="1544" t="s">
        <v>10665</v>
      </c>
      <c r="I6" s="1504" t="s">
        <v>10692</v>
      </c>
      <c r="J6" s="1544" t="s">
        <v>10667</v>
      </c>
      <c r="K6" s="1504" t="s">
        <v>10693</v>
      </c>
      <c r="L6" s="1504" t="s">
        <v>8654</v>
      </c>
      <c r="M6" s="1504" t="s">
        <v>8655</v>
      </c>
      <c r="N6" s="1737" t="str">
        <f t="shared" si="1"/>
        <v>1:18</v>
      </c>
      <c r="O6" s="1504" t="s">
        <v>10694</v>
      </c>
    </row>
    <row r="7" ht="15.75" customHeight="1">
      <c r="A7" s="1698" t="s">
        <v>1969</v>
      </c>
      <c r="B7" s="1483" t="s">
        <v>8531</v>
      </c>
      <c r="C7" s="1730">
        <v>0.050150462962962966</v>
      </c>
      <c r="D7" s="1504" t="s">
        <v>10695</v>
      </c>
      <c r="E7" s="1504" t="s">
        <v>10696</v>
      </c>
      <c r="F7" s="1504" t="s">
        <v>10697</v>
      </c>
      <c r="G7" s="1504" t="s">
        <v>10698</v>
      </c>
      <c r="H7" s="1504" t="s">
        <v>10699</v>
      </c>
      <c r="I7" s="1504" t="s">
        <v>10700</v>
      </c>
      <c r="J7" s="1504" t="s">
        <v>10701</v>
      </c>
      <c r="K7" s="1504" t="s">
        <v>10702</v>
      </c>
      <c r="L7" s="1504" t="s">
        <v>10703</v>
      </c>
      <c r="M7" s="1738">
        <v>0.05077546296296296</v>
      </c>
      <c r="N7" s="1737" t="str">
        <f t="shared" si="1"/>
        <v>0:54</v>
      </c>
      <c r="O7" s="1504" t="s">
        <v>10694</v>
      </c>
    </row>
    <row r="8" ht="15.75" customHeight="1">
      <c r="A8" s="1734" t="s">
        <v>6416</v>
      </c>
      <c r="B8" s="1568" t="s">
        <v>8531</v>
      </c>
      <c r="C8" s="1739">
        <v>0.05025462962962963</v>
      </c>
      <c r="D8" s="1740" t="s">
        <v>10704</v>
      </c>
      <c r="E8" s="1505" t="s">
        <v>10705</v>
      </c>
      <c r="F8" s="1504" t="s">
        <v>10706</v>
      </c>
      <c r="G8" s="1504" t="s">
        <v>10707</v>
      </c>
      <c r="H8" s="1504" t="s">
        <v>10708</v>
      </c>
      <c r="I8" s="1504" t="s">
        <v>10489</v>
      </c>
      <c r="J8" s="1504" t="s">
        <v>10709</v>
      </c>
      <c r="K8" s="1504" t="s">
        <v>10710</v>
      </c>
      <c r="L8" s="1504" t="s">
        <v>8742</v>
      </c>
      <c r="M8" s="1738" t="s">
        <v>8743</v>
      </c>
      <c r="N8" s="1737" t="str">
        <f t="shared" si="1"/>
        <v>0:36</v>
      </c>
      <c r="O8" s="1504"/>
    </row>
    <row r="9" ht="15.75" customHeight="1">
      <c r="A9" s="1698" t="s">
        <v>6501</v>
      </c>
      <c r="B9" s="1483" t="s">
        <v>8531</v>
      </c>
      <c r="C9" s="1739">
        <v>0.050416666666666665</v>
      </c>
      <c r="D9" s="1504" t="s">
        <v>10711</v>
      </c>
      <c r="E9" s="1505" t="s">
        <v>10712</v>
      </c>
      <c r="F9" s="1507" t="s">
        <v>10713</v>
      </c>
      <c r="G9" s="1507" t="s">
        <v>10714</v>
      </c>
      <c r="H9" s="1504" t="s">
        <v>10715</v>
      </c>
      <c r="I9" s="1544" t="s">
        <v>10666</v>
      </c>
      <c r="J9" s="1504" t="s">
        <v>10716</v>
      </c>
      <c r="K9" s="1504" t="s">
        <v>10717</v>
      </c>
      <c r="L9" s="1507" t="s">
        <v>10703</v>
      </c>
      <c r="M9" s="1738">
        <v>0.0512037037037037</v>
      </c>
      <c r="N9" s="1737" t="str">
        <f t="shared" si="1"/>
        <v>1:08</v>
      </c>
      <c r="O9" s="1504" t="s">
        <v>10694</v>
      </c>
    </row>
    <row r="10">
      <c r="A10" s="1741" t="s">
        <v>955</v>
      </c>
      <c r="B10" s="1742" t="s">
        <v>8531</v>
      </c>
      <c r="C10" s="1739">
        <v>0.05047453703703704</v>
      </c>
      <c r="D10" s="1614" t="s">
        <v>10718</v>
      </c>
      <c r="E10" s="1505" t="s">
        <v>10719</v>
      </c>
      <c r="F10" s="1732" t="s">
        <v>10720</v>
      </c>
      <c r="G10" s="1504" t="s">
        <v>10721</v>
      </c>
      <c r="H10" s="1504" t="s">
        <v>10722</v>
      </c>
      <c r="I10" s="1504" t="s">
        <v>10723</v>
      </c>
      <c r="J10" s="1504" t="s">
        <v>10724</v>
      </c>
      <c r="K10" s="1504" t="s">
        <v>10725</v>
      </c>
      <c r="L10" s="1504" t="s">
        <v>3682</v>
      </c>
      <c r="M10" s="1738">
        <v>0.051076388888888886</v>
      </c>
      <c r="N10" s="1737" t="str">
        <f t="shared" si="1"/>
        <v>0:52</v>
      </c>
      <c r="O10" s="1504" t="s">
        <v>10726</v>
      </c>
    </row>
    <row r="11" ht="15.75" customHeight="1">
      <c r="A11" s="1668" t="s">
        <v>1626</v>
      </c>
      <c r="B11" s="1426" t="s">
        <v>8531</v>
      </c>
      <c r="C11" s="1739">
        <v>0.05061342592592592</v>
      </c>
      <c r="D11" s="1743" t="s">
        <v>10727</v>
      </c>
      <c r="E11" s="1505" t="s">
        <v>10728</v>
      </c>
      <c r="F11" s="1744" t="s">
        <v>10729</v>
      </c>
      <c r="G11" s="1504" t="s">
        <v>10730</v>
      </c>
      <c r="H11" s="1744" t="s">
        <v>10731</v>
      </c>
      <c r="I11" s="1744" t="s">
        <v>10732</v>
      </c>
      <c r="J11" s="1504" t="s">
        <v>10733</v>
      </c>
      <c r="K11" s="1504" t="s">
        <v>10734</v>
      </c>
      <c r="L11" s="1504" t="s">
        <v>3620</v>
      </c>
      <c r="M11" s="1738">
        <v>0.05122685185185185</v>
      </c>
      <c r="N11" s="1737" t="str">
        <f t="shared" si="1"/>
        <v>0:53</v>
      </c>
      <c r="O11" s="1504" t="s">
        <v>10735</v>
      </c>
    </row>
    <row r="12" ht="15.75" customHeight="1">
      <c r="A12" s="1686" t="s">
        <v>2099</v>
      </c>
      <c r="B12" s="1483" t="s">
        <v>8531</v>
      </c>
      <c r="C12" s="1735">
        <v>0.05061342592592592</v>
      </c>
      <c r="D12" s="1614" t="s">
        <v>10736</v>
      </c>
      <c r="E12" s="1745" t="s">
        <v>10737</v>
      </c>
      <c r="F12" s="1504" t="s">
        <v>10738</v>
      </c>
      <c r="G12" s="1504" t="s">
        <v>10739</v>
      </c>
      <c r="H12" s="1504" t="s">
        <v>10740</v>
      </c>
      <c r="I12" s="1504" t="s">
        <v>10741</v>
      </c>
      <c r="J12" s="1504" t="s">
        <v>10742</v>
      </c>
      <c r="K12" s="1504" t="s">
        <v>10743</v>
      </c>
      <c r="L12" s="1504" t="s">
        <v>6388</v>
      </c>
      <c r="M12" s="1738">
        <v>0.05153935185185185</v>
      </c>
      <c r="N12" s="1737" t="str">
        <f t="shared" si="1"/>
        <v>1:20</v>
      </c>
      <c r="O12" s="1504" t="s">
        <v>10694</v>
      </c>
    </row>
    <row r="13" ht="15.75" customHeight="1">
      <c r="A13" s="1734" t="s">
        <v>334</v>
      </c>
      <c r="B13" s="1483" t="s">
        <v>8531</v>
      </c>
      <c r="C13" s="1735">
        <v>0.05068287037037037</v>
      </c>
      <c r="D13" s="1504" t="s">
        <v>10744</v>
      </c>
      <c r="E13" s="1745" t="s">
        <v>10745</v>
      </c>
      <c r="F13" s="1504" t="s">
        <v>10746</v>
      </c>
      <c r="G13" s="1504" t="s">
        <v>10747</v>
      </c>
      <c r="H13" s="1504" t="s">
        <v>10748</v>
      </c>
      <c r="I13" s="1504" t="s">
        <v>10749</v>
      </c>
      <c r="J13" s="1504" t="s">
        <v>10750</v>
      </c>
      <c r="K13" s="1504" t="s">
        <v>10751</v>
      </c>
      <c r="L13" s="1746" t="s">
        <v>8721</v>
      </c>
      <c r="M13" s="1738">
        <v>0.05164351851851852</v>
      </c>
      <c r="N13" s="1737" t="str">
        <f t="shared" si="1"/>
        <v>1:23</v>
      </c>
      <c r="O13" s="1504" t="s">
        <v>10694</v>
      </c>
    </row>
    <row r="14">
      <c r="A14" s="1747" t="s">
        <v>3173</v>
      </c>
      <c r="B14" s="1748" t="s">
        <v>8531</v>
      </c>
      <c r="C14" s="1735">
        <v>0.05074791666666666</v>
      </c>
      <c r="D14" s="1749" t="s">
        <v>10752</v>
      </c>
      <c r="E14" s="1750" t="s">
        <v>5136</v>
      </c>
      <c r="F14" s="1732" t="s">
        <v>10753</v>
      </c>
      <c r="G14" s="1732" t="s">
        <v>10754</v>
      </c>
      <c r="H14" s="1732" t="s">
        <v>10755</v>
      </c>
      <c r="I14" s="1732" t="s">
        <v>10756</v>
      </c>
      <c r="J14" s="1732" t="s">
        <v>10757</v>
      </c>
      <c r="K14" s="1732" t="s">
        <v>10758</v>
      </c>
      <c r="L14" s="1732" t="s">
        <v>2075</v>
      </c>
      <c r="M14" s="1738">
        <v>0.052210648148148145</v>
      </c>
      <c r="N14" s="1738" t="str">
        <f t="shared" si="1"/>
        <v>2:06</v>
      </c>
      <c r="O14" s="1504"/>
    </row>
    <row r="15" ht="15.75" customHeight="1">
      <c r="A15" s="1751" t="s">
        <v>2737</v>
      </c>
      <c r="B15" s="1483" t="s">
        <v>8531</v>
      </c>
      <c r="C15" s="1752">
        <v>0.05103009259259259</v>
      </c>
      <c r="D15" s="1504" t="s">
        <v>10759</v>
      </c>
      <c r="E15" s="1745" t="s">
        <v>10300</v>
      </c>
      <c r="F15" s="1504" t="s">
        <v>10760</v>
      </c>
      <c r="G15" s="1504" t="s">
        <v>10761</v>
      </c>
      <c r="H15" s="1732" t="s">
        <v>10762</v>
      </c>
      <c r="I15" s="1504" t="s">
        <v>10763</v>
      </c>
      <c r="J15" s="1504" t="s">
        <v>10764</v>
      </c>
      <c r="K15" s="1504" t="s">
        <v>10765</v>
      </c>
      <c r="L15" s="1504" t="s">
        <v>10766</v>
      </c>
      <c r="M15" s="1738">
        <v>0.051909722222222225</v>
      </c>
      <c r="N15" s="1737" t="str">
        <f t="shared" si="1"/>
        <v>1:16</v>
      </c>
      <c r="O15" s="1504" t="s">
        <v>10694</v>
      </c>
    </row>
    <row r="16" ht="15.75" customHeight="1">
      <c r="A16" s="1753" t="s">
        <v>2347</v>
      </c>
      <c r="B16" s="1568" t="s">
        <v>8531</v>
      </c>
      <c r="C16" s="1735">
        <v>0.051145833333333335</v>
      </c>
      <c r="D16" s="1614" t="s">
        <v>10767</v>
      </c>
      <c r="E16" s="1505" t="s">
        <v>10768</v>
      </c>
      <c r="F16" s="1504" t="s">
        <v>10769</v>
      </c>
      <c r="G16" s="1504" t="s">
        <v>10770</v>
      </c>
      <c r="H16" s="1504" t="s">
        <v>10771</v>
      </c>
      <c r="I16" s="1504" t="s">
        <v>10772</v>
      </c>
      <c r="J16" s="1504" t="s">
        <v>10773</v>
      </c>
      <c r="K16" s="1504" t="s">
        <v>10774</v>
      </c>
      <c r="L16" s="1504" t="s">
        <v>2993</v>
      </c>
      <c r="M16" s="1738">
        <v>0.05228009259259259</v>
      </c>
      <c r="N16" s="1737" t="str">
        <f t="shared" si="1"/>
        <v>1:38</v>
      </c>
      <c r="O16" s="1504" t="s">
        <v>10775</v>
      </c>
    </row>
    <row r="17" ht="15.75" customHeight="1">
      <c r="A17" s="1734" t="s">
        <v>1481</v>
      </c>
      <c r="B17" s="1483" t="s">
        <v>8531</v>
      </c>
      <c r="C17" s="1735">
        <v>0.05122685185185185</v>
      </c>
      <c r="D17" s="1504" t="s">
        <v>10776</v>
      </c>
      <c r="E17" s="1745" t="s">
        <v>8590</v>
      </c>
      <c r="F17" s="1504" t="s">
        <v>10777</v>
      </c>
      <c r="G17" s="1504" t="s">
        <v>10778</v>
      </c>
      <c r="H17" s="1504" t="s">
        <v>10664</v>
      </c>
      <c r="I17" s="1504" t="s">
        <v>8536</v>
      </c>
      <c r="J17" s="1504" t="s">
        <v>10779</v>
      </c>
      <c r="K17" s="1504" t="s">
        <v>10780</v>
      </c>
      <c r="L17" s="1504" t="s">
        <v>10781</v>
      </c>
      <c r="M17" s="1738">
        <v>0.052037037037037034</v>
      </c>
      <c r="N17" s="1737" t="str">
        <f t="shared" si="1"/>
        <v>1:10</v>
      </c>
      <c r="O17" s="1504" t="s">
        <v>10694</v>
      </c>
    </row>
    <row r="18" ht="15.75" customHeight="1">
      <c r="A18" s="1753" t="s">
        <v>1802</v>
      </c>
      <c r="B18" s="1568" t="s">
        <v>8531</v>
      </c>
      <c r="C18" s="1735">
        <v>0.05122685185185185</v>
      </c>
      <c r="D18" s="1740" t="s">
        <v>10782</v>
      </c>
      <c r="E18" s="1505" t="s">
        <v>10783</v>
      </c>
      <c r="F18" s="1504" t="s">
        <v>10784</v>
      </c>
      <c r="G18" s="1504" t="s">
        <v>10785</v>
      </c>
      <c r="H18" s="1504" t="s">
        <v>10786</v>
      </c>
      <c r="I18" s="1504" t="s">
        <v>10787</v>
      </c>
      <c r="J18" s="1504" t="s">
        <v>10788</v>
      </c>
      <c r="K18" s="1504" t="s">
        <v>10789</v>
      </c>
      <c r="L18" s="1504" t="s">
        <v>5993</v>
      </c>
      <c r="M18" s="1738">
        <v>0.05224537037037037</v>
      </c>
      <c r="N18" s="1737" t="str">
        <f t="shared" si="1"/>
        <v>1:28</v>
      </c>
      <c r="O18" s="1504" t="s">
        <v>10790</v>
      </c>
    </row>
    <row r="19" ht="15.75" customHeight="1">
      <c r="A19" s="1753" t="s">
        <v>6489</v>
      </c>
      <c r="B19" s="1568" t="s">
        <v>8531</v>
      </c>
      <c r="C19" s="1735">
        <v>0.05133101851851852</v>
      </c>
      <c r="D19" s="1504" t="s">
        <v>10791</v>
      </c>
      <c r="E19" s="1505" t="s">
        <v>10792</v>
      </c>
      <c r="F19" s="1504" t="s">
        <v>10793</v>
      </c>
      <c r="G19" s="1507" t="s">
        <v>10794</v>
      </c>
      <c r="H19" s="1507" t="s">
        <v>10795</v>
      </c>
      <c r="I19" s="1504" t="s">
        <v>10796</v>
      </c>
      <c r="J19" s="1504" t="s">
        <v>10797</v>
      </c>
      <c r="K19" s="1504" t="s">
        <v>10798</v>
      </c>
      <c r="L19" s="1504" t="s">
        <v>10799</v>
      </c>
      <c r="M19" s="1738">
        <v>0.05197916666666667</v>
      </c>
      <c r="N19" s="1737" t="str">
        <f t="shared" si="1"/>
        <v>0:56</v>
      </c>
      <c r="O19" s="1504" t="s">
        <v>10800</v>
      </c>
    </row>
    <row r="20" ht="15.75" customHeight="1">
      <c r="A20" s="1753" t="s">
        <v>2312</v>
      </c>
      <c r="B20" s="1645" t="s">
        <v>8560</v>
      </c>
      <c r="C20" s="1739">
        <v>0.05137731481481481</v>
      </c>
      <c r="D20" s="1740" t="s">
        <v>10801</v>
      </c>
      <c r="E20" s="1754" t="s">
        <v>10802</v>
      </c>
      <c r="F20" s="1754" t="s">
        <v>10803</v>
      </c>
      <c r="G20" s="1754" t="s">
        <v>10804</v>
      </c>
      <c r="H20" s="1754" t="s">
        <v>10805</v>
      </c>
      <c r="I20" s="1754" t="s">
        <v>10806</v>
      </c>
      <c r="J20" s="1754" t="s">
        <v>10807</v>
      </c>
      <c r="K20" s="1504" t="s">
        <v>10808</v>
      </c>
      <c r="L20" s="1755" t="s">
        <v>4062</v>
      </c>
      <c r="M20" s="1738">
        <v>0.05299768518518518</v>
      </c>
      <c r="N20" s="1737" t="str">
        <f t="shared" si="1"/>
        <v>2:20</v>
      </c>
      <c r="O20" s="1504" t="s">
        <v>10694</v>
      </c>
    </row>
    <row r="21" ht="15.75" customHeight="1">
      <c r="A21" s="1698" t="s">
        <v>8938</v>
      </c>
      <c r="B21" s="1483" t="s">
        <v>8531</v>
      </c>
      <c r="C21" s="1739">
        <v>0.05144675925925926</v>
      </c>
      <c r="D21" s="1504" t="s">
        <v>10809</v>
      </c>
      <c r="E21" s="1745" t="s">
        <v>10810</v>
      </c>
      <c r="F21" s="1504" t="s">
        <v>10811</v>
      </c>
      <c r="G21" s="1504" t="s">
        <v>10812</v>
      </c>
      <c r="H21" s="1504" t="s">
        <v>10813</v>
      </c>
      <c r="I21" s="1504" t="s">
        <v>10814</v>
      </c>
      <c r="J21" s="1504" t="s">
        <v>10815</v>
      </c>
      <c r="K21" s="1504" t="s">
        <v>10816</v>
      </c>
      <c r="L21" s="1756" t="s">
        <v>8831</v>
      </c>
      <c r="M21" s="1738">
        <v>0.05258101851851852</v>
      </c>
      <c r="N21" s="1737" t="str">
        <f t="shared" si="1"/>
        <v>1:38</v>
      </c>
      <c r="O21" s="1504" t="s">
        <v>10694</v>
      </c>
    </row>
    <row r="22" ht="15.75" customHeight="1">
      <c r="A22" s="1753" t="s">
        <v>9143</v>
      </c>
      <c r="B22" s="1568" t="s">
        <v>8560</v>
      </c>
      <c r="C22" s="1735">
        <v>0.05146990740740741</v>
      </c>
      <c r="D22" s="1754" t="s">
        <v>10669</v>
      </c>
      <c r="E22" s="1505" t="s">
        <v>10128</v>
      </c>
      <c r="F22" s="1505" t="s">
        <v>10670</v>
      </c>
      <c r="G22" s="1505" t="s">
        <v>10671</v>
      </c>
      <c r="H22" s="1505" t="s">
        <v>10672</v>
      </c>
      <c r="I22" s="1504" t="s">
        <v>10817</v>
      </c>
      <c r="J22" s="1614" t="s">
        <v>10674</v>
      </c>
      <c r="K22" s="1754" t="s">
        <v>10675</v>
      </c>
      <c r="L22" s="1614" t="s">
        <v>9159</v>
      </c>
      <c r="M22" s="1757">
        <v>0.05236111111111111</v>
      </c>
      <c r="N22" s="1737" t="str">
        <f t="shared" si="1"/>
        <v>1:17</v>
      </c>
      <c r="O22" s="1504" t="s">
        <v>10694</v>
      </c>
    </row>
    <row r="23" ht="15.75" customHeight="1">
      <c r="A23" s="1734" t="s">
        <v>859</v>
      </c>
      <c r="B23" s="1483" t="s">
        <v>8531</v>
      </c>
      <c r="C23" s="1739">
        <v>0.051550925925925924</v>
      </c>
      <c r="D23" s="1504" t="s">
        <v>10818</v>
      </c>
      <c r="E23" s="1745" t="s">
        <v>10096</v>
      </c>
      <c r="F23" s="1504" t="s">
        <v>10819</v>
      </c>
      <c r="G23" s="1504" t="s">
        <v>10820</v>
      </c>
      <c r="H23" s="1504" t="s">
        <v>10821</v>
      </c>
      <c r="I23" s="1504" t="s">
        <v>10822</v>
      </c>
      <c r="J23" s="1504" t="s">
        <v>10823</v>
      </c>
      <c r="K23" s="1504" t="s">
        <v>10824</v>
      </c>
      <c r="L23" s="1756" t="s">
        <v>10825</v>
      </c>
      <c r="M23" s="1738">
        <v>0.05229166666666667</v>
      </c>
      <c r="N23" s="1737" t="str">
        <f t="shared" si="1"/>
        <v>1:04</v>
      </c>
      <c r="O23" s="1504" t="s">
        <v>10694</v>
      </c>
    </row>
    <row r="24">
      <c r="A24" s="1747" t="s">
        <v>1969</v>
      </c>
      <c r="B24" s="1645" t="s">
        <v>8586</v>
      </c>
      <c r="C24" s="1735">
        <v>0.05158564814814815</v>
      </c>
      <c r="D24" s="1758" t="s">
        <v>10676</v>
      </c>
      <c r="E24" s="1759" t="s">
        <v>10677</v>
      </c>
      <c r="F24" s="1758" t="s">
        <v>10678</v>
      </c>
      <c r="G24" s="1758" t="s">
        <v>10679</v>
      </c>
      <c r="H24" s="1758" t="s">
        <v>10680</v>
      </c>
      <c r="I24" s="1758" t="s">
        <v>10681</v>
      </c>
      <c r="J24" s="1758" t="s">
        <v>10682</v>
      </c>
      <c r="K24" s="1758" t="s">
        <v>10683</v>
      </c>
      <c r="L24" s="1758" t="s">
        <v>8617</v>
      </c>
      <c r="M24" s="1760">
        <v>0.052141203703703703</v>
      </c>
      <c r="N24" s="1737" t="str">
        <f t="shared" si="1"/>
        <v>0:48</v>
      </c>
      <c r="O24" s="1504" t="s">
        <v>10826</v>
      </c>
    </row>
    <row r="25" ht="15.75" customHeight="1">
      <c r="A25" s="1668" t="s">
        <v>2920</v>
      </c>
      <c r="B25" s="1568" t="s">
        <v>8531</v>
      </c>
      <c r="C25" s="1739">
        <v>0.051706365740740744</v>
      </c>
      <c r="D25" s="1614" t="s">
        <v>10827</v>
      </c>
      <c r="E25" s="1505" t="s">
        <v>10828</v>
      </c>
      <c r="F25" s="1504" t="s">
        <v>10829</v>
      </c>
      <c r="G25" s="1504" t="s">
        <v>10830</v>
      </c>
      <c r="H25" s="1504" t="s">
        <v>10831</v>
      </c>
      <c r="I25" s="1504" t="s">
        <v>10832</v>
      </c>
      <c r="J25" s="1504" t="s">
        <v>10833</v>
      </c>
      <c r="K25" s="1504" t="s">
        <v>10834</v>
      </c>
      <c r="L25" s="1504" t="s">
        <v>9458</v>
      </c>
      <c r="M25" s="1738">
        <v>0.0525</v>
      </c>
      <c r="N25" s="1738" t="str">
        <f t="shared" si="1"/>
        <v>1:09</v>
      </c>
      <c r="O25" s="1504"/>
    </row>
    <row r="26" ht="15.75" customHeight="1">
      <c r="A26" s="1761" t="s">
        <v>2186</v>
      </c>
      <c r="B26" s="1636" t="s">
        <v>8531</v>
      </c>
      <c r="C26" s="1739">
        <v>0.05171296296296296</v>
      </c>
      <c r="D26" s="1762" t="s">
        <v>10835</v>
      </c>
      <c r="E26" s="1762" t="s">
        <v>10836</v>
      </c>
      <c r="F26" s="1762" t="s">
        <v>10837</v>
      </c>
      <c r="G26" s="1762" t="s">
        <v>10838</v>
      </c>
      <c r="H26" s="1614" t="s">
        <v>10839</v>
      </c>
      <c r="I26" s="1762" t="s">
        <v>10840</v>
      </c>
      <c r="J26" s="1614" t="s">
        <v>10841</v>
      </c>
      <c r="K26" s="1762" t="s">
        <v>10842</v>
      </c>
      <c r="L26" s="1614" t="s">
        <v>8004</v>
      </c>
      <c r="M26" s="1738">
        <v>0.054375</v>
      </c>
      <c r="N26" s="1737" t="str">
        <f t="shared" si="1"/>
        <v>3:50</v>
      </c>
      <c r="O26" s="1504" t="s">
        <v>10843</v>
      </c>
    </row>
    <row r="27" ht="15.75" customHeight="1">
      <c r="A27" s="1753" t="s">
        <v>2969</v>
      </c>
      <c r="B27" s="1568" t="s">
        <v>8531</v>
      </c>
      <c r="C27" s="1735">
        <v>0.05180160879629629</v>
      </c>
      <c r="D27" s="1614" t="s">
        <v>10844</v>
      </c>
      <c r="E27" s="1505" t="s">
        <v>10845</v>
      </c>
      <c r="F27" s="1504" t="s">
        <v>10846</v>
      </c>
      <c r="G27" s="1504" t="s">
        <v>10847</v>
      </c>
      <c r="H27" s="1504" t="s">
        <v>10848</v>
      </c>
      <c r="I27" s="1504" t="s">
        <v>10849</v>
      </c>
      <c r="J27" s="1504" t="s">
        <v>10850</v>
      </c>
      <c r="K27" s="1504" t="s">
        <v>10851</v>
      </c>
      <c r="L27" s="1504" t="s">
        <v>10852</v>
      </c>
      <c r="M27" s="1738">
        <v>0.05303240740740741</v>
      </c>
      <c r="N27" s="1737" t="str">
        <f t="shared" si="1"/>
        <v>1:46</v>
      </c>
      <c r="O27" s="1504"/>
    </row>
    <row r="28" ht="15.75" customHeight="1">
      <c r="A28" s="1668" t="s">
        <v>1311</v>
      </c>
      <c r="B28" s="1645" t="s">
        <v>8586</v>
      </c>
      <c r="C28" s="1739">
        <v>0.052088194444444444</v>
      </c>
      <c r="D28" s="1614" t="s">
        <v>10853</v>
      </c>
      <c r="E28" s="1505" t="s">
        <v>10854</v>
      </c>
      <c r="F28" s="1504" t="s">
        <v>10855</v>
      </c>
      <c r="G28" s="1504" t="s">
        <v>10856</v>
      </c>
      <c r="H28" s="1504" t="s">
        <v>10857</v>
      </c>
      <c r="I28" s="1504" t="s">
        <v>10858</v>
      </c>
      <c r="J28" s="1504" t="s">
        <v>10859</v>
      </c>
      <c r="K28" s="1504" t="s">
        <v>10860</v>
      </c>
      <c r="L28" s="1504" t="s">
        <v>9752</v>
      </c>
      <c r="M28" s="1738">
        <v>0.053043981481481484</v>
      </c>
      <c r="N28" s="1737" t="str">
        <f t="shared" si="1"/>
        <v>1:23</v>
      </c>
      <c r="O28" s="1504" t="s">
        <v>10694</v>
      </c>
    </row>
    <row r="29" ht="15.75" customHeight="1">
      <c r="A29" s="1668" t="s">
        <v>2633</v>
      </c>
      <c r="B29" s="1568" t="s">
        <v>8560</v>
      </c>
      <c r="C29" s="1739">
        <v>0.05215277777777778</v>
      </c>
      <c r="D29" s="1504" t="s">
        <v>10861</v>
      </c>
      <c r="E29" s="1504" t="s">
        <v>5916</v>
      </c>
      <c r="F29" s="1504" t="s">
        <v>10862</v>
      </c>
      <c r="G29" s="1504" t="s">
        <v>10863</v>
      </c>
      <c r="H29" s="1504" t="s">
        <v>10864</v>
      </c>
      <c r="I29" s="1504" t="s">
        <v>10728</v>
      </c>
      <c r="J29" s="1504" t="s">
        <v>10865</v>
      </c>
      <c r="K29" s="1504" t="s">
        <v>10866</v>
      </c>
      <c r="L29" s="1504" t="s">
        <v>9510</v>
      </c>
      <c r="M29" s="1738">
        <v>0.05399305555555556</v>
      </c>
      <c r="N29" s="1737" t="str">
        <f t="shared" si="1"/>
        <v>2:39</v>
      </c>
      <c r="O29" s="1504" t="s">
        <v>10867</v>
      </c>
    </row>
    <row r="30" ht="15.75" customHeight="1">
      <c r="A30" s="1753" t="s">
        <v>3005</v>
      </c>
      <c r="B30" s="1568" t="s">
        <v>8531</v>
      </c>
      <c r="C30" s="1763">
        <v>0.05216435185185185</v>
      </c>
      <c r="D30" s="1504" t="s">
        <v>10868</v>
      </c>
      <c r="E30" s="1505" t="s">
        <v>10869</v>
      </c>
      <c r="F30" s="1504" t="s">
        <v>10870</v>
      </c>
      <c r="G30" s="1504" t="s">
        <v>10871</v>
      </c>
      <c r="H30" s="1504" t="s">
        <v>10872</v>
      </c>
      <c r="I30" s="1504" t="s">
        <v>10873</v>
      </c>
      <c r="J30" s="1504" t="s">
        <v>10874</v>
      </c>
      <c r="K30" s="1504" t="s">
        <v>10875</v>
      </c>
      <c r="L30" s="1504" t="s">
        <v>10876</v>
      </c>
      <c r="M30" s="1764">
        <v>0.05337962962962963</v>
      </c>
      <c r="N30" s="1737" t="str">
        <f t="shared" si="1"/>
        <v>1:45</v>
      </c>
      <c r="O30" s="1504" t="s">
        <v>10877</v>
      </c>
    </row>
    <row r="31" ht="15.75" customHeight="1">
      <c r="A31" s="1668" t="s">
        <v>767</v>
      </c>
      <c r="B31" s="1568" t="s">
        <v>8560</v>
      </c>
      <c r="C31" s="1739">
        <v>0.05224537037037037</v>
      </c>
      <c r="D31" s="1504" t="s">
        <v>10878</v>
      </c>
      <c r="E31" s="1765" t="s">
        <v>10879</v>
      </c>
      <c r="F31" s="1504" t="s">
        <v>10880</v>
      </c>
      <c r="G31" s="1504" t="s">
        <v>10881</v>
      </c>
      <c r="H31" s="1504" t="s">
        <v>10882</v>
      </c>
      <c r="I31" s="1504" t="s">
        <v>10673</v>
      </c>
      <c r="J31" s="1504" t="s">
        <v>10883</v>
      </c>
      <c r="K31" s="1507" t="s">
        <v>10884</v>
      </c>
      <c r="L31" s="1504" t="s">
        <v>10885</v>
      </c>
      <c r="M31" s="1738">
        <v>0.053043981481481484</v>
      </c>
      <c r="N31" s="1737" t="str">
        <f t="shared" si="1"/>
        <v>1:09</v>
      </c>
      <c r="O31" s="1504" t="s">
        <v>10886</v>
      </c>
    </row>
    <row r="32" ht="15.75" customHeight="1">
      <c r="A32" s="1753" t="s">
        <v>2969</v>
      </c>
      <c r="B32" s="1645" t="s">
        <v>8560</v>
      </c>
      <c r="C32" s="1735">
        <v>0.052316898148148154</v>
      </c>
      <c r="D32" s="1614" t="s">
        <v>10887</v>
      </c>
      <c r="E32" s="1505" t="s">
        <v>10888</v>
      </c>
      <c r="F32" s="1504" t="s">
        <v>10889</v>
      </c>
      <c r="G32" s="1504" t="s">
        <v>10890</v>
      </c>
      <c r="H32" s="1504" t="s">
        <v>10891</v>
      </c>
      <c r="I32" s="1504" t="s">
        <v>10892</v>
      </c>
      <c r="J32" s="1504" t="s">
        <v>10893</v>
      </c>
      <c r="K32" s="1504" t="s">
        <v>10894</v>
      </c>
      <c r="L32" s="1504" t="s">
        <v>9236</v>
      </c>
      <c r="M32" s="1738">
        <v>0.0537625</v>
      </c>
      <c r="N32" s="1737" t="str">
        <f t="shared" si="1"/>
        <v>2:05</v>
      </c>
      <c r="O32" s="1504" t="s">
        <v>10694</v>
      </c>
    </row>
    <row r="33" ht="15.75" customHeight="1">
      <c r="A33" s="1668" t="s">
        <v>4093</v>
      </c>
      <c r="B33" s="1568" t="s">
        <v>8531</v>
      </c>
      <c r="C33" s="1739">
        <v>0.05238425925925926</v>
      </c>
      <c r="D33" s="1740" t="s">
        <v>10895</v>
      </c>
      <c r="E33" s="1505" t="s">
        <v>10869</v>
      </c>
      <c r="F33" s="1504" t="s">
        <v>10896</v>
      </c>
      <c r="G33" s="1766" t="s">
        <v>10897</v>
      </c>
      <c r="H33" s="1504" t="s">
        <v>10898</v>
      </c>
      <c r="I33" s="1504" t="s">
        <v>10899</v>
      </c>
      <c r="J33" s="1504" t="s">
        <v>10900</v>
      </c>
      <c r="K33" s="1504" t="s">
        <v>10901</v>
      </c>
      <c r="L33" s="1504" t="s">
        <v>9770</v>
      </c>
      <c r="M33" s="1738">
        <v>0.05340277777777778</v>
      </c>
      <c r="N33" s="1737" t="str">
        <f t="shared" si="1"/>
        <v>1:28</v>
      </c>
      <c r="O33" s="1504" t="s">
        <v>10902</v>
      </c>
    </row>
    <row r="34" ht="15.75" customHeight="1">
      <c r="A34" s="1753" t="s">
        <v>9796</v>
      </c>
      <c r="B34" s="1568" t="s">
        <v>8531</v>
      </c>
      <c r="C34" s="1735">
        <v>0.05268518518518518</v>
      </c>
      <c r="D34" s="1614" t="s">
        <v>10903</v>
      </c>
      <c r="E34" s="1505" t="s">
        <v>10904</v>
      </c>
      <c r="F34" s="1504" t="s">
        <v>10905</v>
      </c>
      <c r="G34" s="1504" t="s">
        <v>10906</v>
      </c>
      <c r="H34" s="1504" t="s">
        <v>10907</v>
      </c>
      <c r="I34" s="1504" t="s">
        <v>10908</v>
      </c>
      <c r="J34" s="1504" t="s">
        <v>10909</v>
      </c>
      <c r="K34" s="1504" t="s">
        <v>10910</v>
      </c>
      <c r="L34" s="1504" t="s">
        <v>9814</v>
      </c>
      <c r="M34" s="1738">
        <v>0.05331018518518518</v>
      </c>
      <c r="N34" s="1737" t="str">
        <f t="shared" si="1"/>
        <v>0:54</v>
      </c>
      <c r="O34" s="1504" t="s">
        <v>10911</v>
      </c>
    </row>
    <row r="35" ht="15.75" customHeight="1">
      <c r="A35" s="1767" t="s">
        <v>3819</v>
      </c>
      <c r="B35" s="1742" t="s">
        <v>8531</v>
      </c>
      <c r="C35" s="1735">
        <v>0.05270034722222223</v>
      </c>
      <c r="D35" s="1740" t="s">
        <v>10912</v>
      </c>
      <c r="E35" s="1505" t="s">
        <v>10913</v>
      </c>
      <c r="F35" s="1504" t="s">
        <v>10914</v>
      </c>
      <c r="G35" s="1504" t="s">
        <v>10915</v>
      </c>
      <c r="H35" s="1504" t="s">
        <v>10916</v>
      </c>
      <c r="I35" s="1504" t="s">
        <v>10917</v>
      </c>
      <c r="J35" s="1504" t="s">
        <v>10918</v>
      </c>
      <c r="K35" s="1504" t="s">
        <v>10919</v>
      </c>
      <c r="L35" s="1504" t="s">
        <v>10920</v>
      </c>
      <c r="M35" s="1738">
        <v>0.05425925925925926</v>
      </c>
      <c r="N35" s="1737" t="str">
        <f t="shared" si="1"/>
        <v>2:15</v>
      </c>
      <c r="O35" s="1504" t="s">
        <v>10694</v>
      </c>
    </row>
    <row r="36">
      <c r="A36" s="1768" t="s">
        <v>3497</v>
      </c>
      <c r="B36" s="1742" t="s">
        <v>8531</v>
      </c>
      <c r="C36" s="1735">
        <v>0.053009259259259256</v>
      </c>
      <c r="D36" s="1740" t="s">
        <v>10921</v>
      </c>
      <c r="E36" s="1505" t="s">
        <v>10922</v>
      </c>
      <c r="F36" s="1504" t="s">
        <v>10923</v>
      </c>
      <c r="G36" s="1504" t="s">
        <v>10924</v>
      </c>
      <c r="H36" s="1504" t="s">
        <v>10925</v>
      </c>
      <c r="I36" s="1504" t="s">
        <v>10926</v>
      </c>
      <c r="J36" s="1504" t="s">
        <v>10927</v>
      </c>
      <c r="K36" s="1504" t="s">
        <v>10928</v>
      </c>
      <c r="L36" s="1504" t="s">
        <v>10929</v>
      </c>
      <c r="M36" s="1738">
        <v>0.05372685185185185</v>
      </c>
      <c r="N36" s="1737" t="str">
        <f t="shared" si="1"/>
        <v>1:02</v>
      </c>
      <c r="O36" s="1504" t="s">
        <v>10694</v>
      </c>
    </row>
    <row r="37" ht="15.75" customHeight="1">
      <c r="A37" s="1668" t="s">
        <v>6500</v>
      </c>
      <c r="B37" s="1568" t="s">
        <v>8531</v>
      </c>
      <c r="C37" s="1739">
        <v>0.05340277777777778</v>
      </c>
      <c r="D37" s="1614" t="s">
        <v>10930</v>
      </c>
      <c r="E37" s="1505" t="s">
        <v>10931</v>
      </c>
      <c r="F37" s="1504" t="s">
        <v>10932</v>
      </c>
      <c r="G37" s="1504" t="s">
        <v>10933</v>
      </c>
      <c r="H37" s="1504" t="s">
        <v>10934</v>
      </c>
      <c r="I37" s="1504" t="s">
        <v>10935</v>
      </c>
      <c r="J37" s="1504" t="s">
        <v>10936</v>
      </c>
      <c r="K37" s="1504" t="s">
        <v>10937</v>
      </c>
      <c r="L37" s="1504" t="s">
        <v>10938</v>
      </c>
      <c r="M37" s="1738">
        <v>0.05466435185185185</v>
      </c>
      <c r="N37" s="1737" t="str">
        <f t="shared" si="1"/>
        <v>1:49</v>
      </c>
      <c r="O37" s="1504" t="s">
        <v>10939</v>
      </c>
    </row>
    <row r="38" ht="15.75" customHeight="1">
      <c r="A38" s="1668" t="s">
        <v>1031</v>
      </c>
      <c r="B38" s="1722" t="s">
        <v>8560</v>
      </c>
      <c r="C38" s="1739">
        <v>0.05378472222222222</v>
      </c>
      <c r="D38" s="1614" t="s">
        <v>10940</v>
      </c>
      <c r="E38" s="1505" t="s">
        <v>10941</v>
      </c>
      <c r="F38" s="1504" t="s">
        <v>10942</v>
      </c>
      <c r="G38" s="1504" t="s">
        <v>10943</v>
      </c>
      <c r="H38" s="1504" t="s">
        <v>10944</v>
      </c>
      <c r="I38" s="1504" t="s">
        <v>8116</v>
      </c>
      <c r="J38" s="1504" t="s">
        <v>10945</v>
      </c>
      <c r="K38" s="1504" t="s">
        <v>10946</v>
      </c>
      <c r="L38" s="1504" t="s">
        <v>9558</v>
      </c>
      <c r="M38" s="1738">
        <v>0.054560185185185184</v>
      </c>
      <c r="N38" s="1737" t="str">
        <f t="shared" si="1"/>
        <v>1:07</v>
      </c>
      <c r="O38" s="1504"/>
    </row>
    <row r="39" ht="15.75" customHeight="1">
      <c r="A39" s="1668" t="s">
        <v>4975</v>
      </c>
      <c r="B39" s="1645" t="s">
        <v>8560</v>
      </c>
      <c r="C39" s="1739">
        <v>0.05748842592592593</v>
      </c>
      <c r="D39" s="1614" t="s">
        <v>10947</v>
      </c>
      <c r="E39" s="1505" t="s">
        <v>10948</v>
      </c>
      <c r="F39" s="1504" t="s">
        <v>10949</v>
      </c>
      <c r="G39" s="1504" t="s">
        <v>10950</v>
      </c>
      <c r="H39" s="1504" t="s">
        <v>10951</v>
      </c>
      <c r="I39" s="1504" t="s">
        <v>10952</v>
      </c>
      <c r="J39" s="1504" t="s">
        <v>10953</v>
      </c>
      <c r="K39" s="1504" t="s">
        <v>10954</v>
      </c>
      <c r="L39" s="1504" t="s">
        <v>10600</v>
      </c>
      <c r="M39" s="1738">
        <v>0.06149305555555556</v>
      </c>
      <c r="N39" s="1737" t="str">
        <f t="shared" si="1"/>
        <v>5:46</v>
      </c>
      <c r="O39" s="1504" t="s">
        <v>10694</v>
      </c>
    </row>
    <row r="40">
      <c r="A40" s="1753"/>
      <c r="B40" s="1769"/>
      <c r="C40" s="1735"/>
      <c r="D40" s="1689"/>
      <c r="E40" s="1745"/>
      <c r="F40" s="1504"/>
      <c r="G40" s="1504"/>
      <c r="H40" s="1504"/>
      <c r="I40" s="1504"/>
      <c r="J40" s="1504"/>
      <c r="K40" s="1504"/>
      <c r="L40" s="1504"/>
      <c r="M40" s="1738"/>
      <c r="N40" s="1738"/>
      <c r="O40" s="1504"/>
    </row>
    <row r="41" ht="15.75" customHeight="1">
      <c r="A41" s="1698"/>
      <c r="B41" s="1542"/>
      <c r="C41" s="1770"/>
      <c r="D41" s="1644"/>
      <c r="E41" s="1745"/>
      <c r="F41" s="1504"/>
      <c r="G41" s="1504"/>
      <c r="H41" s="1504"/>
      <c r="I41" s="1504"/>
      <c r="J41" s="1504"/>
      <c r="K41" s="1504"/>
      <c r="L41" s="1504"/>
      <c r="M41" s="1738"/>
      <c r="N41" s="1738"/>
      <c r="O41" s="1504"/>
    </row>
    <row r="42" ht="15.75" customHeight="1">
      <c r="A42" s="1686"/>
      <c r="B42" s="1483"/>
      <c r="C42" s="1771"/>
      <c r="D42" s="1689"/>
      <c r="E42" s="1745"/>
      <c r="F42" s="1504"/>
      <c r="G42" s="1504"/>
      <c r="H42" s="1504"/>
      <c r="I42" s="1504"/>
      <c r="J42" s="1504"/>
      <c r="K42" s="1504"/>
      <c r="L42" s="1504"/>
      <c r="M42" s="1738"/>
      <c r="N42" s="1738"/>
      <c r="O42" s="1504"/>
    </row>
    <row r="43">
      <c r="A43" s="1747"/>
      <c r="B43" s="1748"/>
      <c r="C43" s="1735"/>
      <c r="D43" s="1644"/>
      <c r="E43" s="1745"/>
      <c r="F43" s="1504"/>
      <c r="G43" s="1504"/>
      <c r="H43" s="1504"/>
      <c r="I43" s="1504"/>
      <c r="J43" s="1504"/>
      <c r="K43" s="1504"/>
      <c r="L43" s="1504"/>
      <c r="M43" s="1738"/>
      <c r="N43" s="1738"/>
      <c r="O43" s="1504"/>
    </row>
    <row r="44" ht="15.75" customHeight="1">
      <c r="A44" s="1753"/>
      <c r="B44" s="1568"/>
      <c r="C44" s="1735"/>
      <c r="D44" s="1689"/>
      <c r="E44" s="1745"/>
      <c r="F44" s="1504"/>
      <c r="G44" s="1504"/>
      <c r="H44" s="1504"/>
      <c r="I44" s="1504"/>
      <c r="J44" s="1504"/>
      <c r="K44" s="1504"/>
      <c r="L44" s="1504"/>
      <c r="M44" s="1738"/>
      <c r="N44" s="1738"/>
      <c r="O44" s="1504"/>
    </row>
    <row r="45" ht="15.75" customHeight="1">
      <c r="A45" s="1686"/>
      <c r="B45" s="1649"/>
      <c r="C45" s="1771"/>
      <c r="D45" s="1644"/>
      <c r="E45" s="1745"/>
      <c r="F45" s="1504"/>
      <c r="G45" s="1504"/>
      <c r="H45" s="1504"/>
      <c r="I45" s="1504"/>
      <c r="J45" s="1504"/>
      <c r="K45" s="1504"/>
      <c r="L45" s="1504"/>
      <c r="M45" s="1738"/>
      <c r="N45" s="1738"/>
      <c r="O45" s="1504"/>
    </row>
    <row r="46">
      <c r="A46" s="1768"/>
      <c r="B46" s="1742"/>
      <c r="C46" s="1772"/>
      <c r="D46" s="1689"/>
      <c r="E46" s="1745"/>
      <c r="F46" s="1504"/>
      <c r="G46" s="1504"/>
      <c r="H46" s="1504"/>
      <c r="I46" s="1504"/>
      <c r="J46" s="1504"/>
      <c r="K46" s="1504"/>
      <c r="L46" s="1504"/>
      <c r="M46" s="1738"/>
      <c r="N46" s="1738"/>
      <c r="O46" s="1504"/>
    </row>
    <row r="47" ht="15.75" customHeight="1">
      <c r="A47" s="1698"/>
      <c r="B47" s="1483"/>
      <c r="C47" s="1770"/>
      <c r="D47" s="1644"/>
      <c r="E47" s="1745"/>
      <c r="F47" s="1504"/>
      <c r="G47" s="1504"/>
      <c r="H47" s="1504"/>
      <c r="I47" s="1504"/>
      <c r="J47" s="1504"/>
      <c r="K47" s="1504"/>
      <c r="L47" s="1504"/>
      <c r="M47" s="1738"/>
      <c r="N47" s="1738"/>
      <c r="O47" s="1504"/>
    </row>
    <row r="48" ht="15.75" customHeight="1">
      <c r="A48" s="1686"/>
      <c r="B48" s="1483"/>
      <c r="C48" s="1771"/>
      <c r="D48" s="1689"/>
      <c r="E48" s="1745"/>
      <c r="F48" s="1504"/>
      <c r="G48" s="1504"/>
      <c r="H48" s="1504"/>
      <c r="I48" s="1504"/>
      <c r="J48" s="1504"/>
      <c r="K48" s="1504"/>
      <c r="L48" s="1504"/>
      <c r="M48" s="1738"/>
      <c r="N48" s="1738"/>
      <c r="O48" s="1504"/>
    </row>
    <row r="49" ht="15.75" customHeight="1">
      <c r="A49" s="1747"/>
      <c r="B49" s="1748"/>
      <c r="C49" s="1735"/>
      <c r="D49" s="1644"/>
      <c r="E49" s="1745"/>
      <c r="F49" s="1504"/>
      <c r="G49" s="1504"/>
      <c r="H49" s="1504"/>
      <c r="I49" s="1504"/>
      <c r="J49" s="1504"/>
      <c r="K49" s="1504"/>
      <c r="L49" s="1504"/>
      <c r="M49" s="1738"/>
      <c r="N49" s="1738"/>
      <c r="O49" s="1504"/>
    </row>
    <row r="50" ht="15.75" customHeight="1">
      <c r="A50" s="1698"/>
      <c r="B50" s="1542"/>
      <c r="C50" s="1770"/>
      <c r="D50" s="1689"/>
      <c r="E50" s="1745"/>
      <c r="F50" s="1504"/>
      <c r="G50" s="1504"/>
      <c r="H50" s="1504"/>
      <c r="I50" s="1504"/>
      <c r="J50" s="1504"/>
      <c r="K50" s="1504"/>
      <c r="L50" s="1504"/>
      <c r="M50" s="1738"/>
      <c r="N50" s="1738"/>
      <c r="O50" s="1504"/>
    </row>
    <row r="51" ht="15.75" customHeight="1">
      <c r="A51" s="1686"/>
      <c r="B51" s="1649"/>
      <c r="C51" s="1771"/>
      <c r="D51" s="1644"/>
      <c r="E51" s="1745"/>
      <c r="F51" s="1504"/>
      <c r="G51" s="1504"/>
      <c r="H51" s="1504"/>
      <c r="I51" s="1504"/>
      <c r="J51" s="1504"/>
      <c r="K51" s="1504"/>
      <c r="L51" s="1504"/>
      <c r="M51" s="1738"/>
      <c r="N51" s="1738"/>
      <c r="O51" s="1504"/>
    </row>
    <row r="52" ht="15.75" customHeight="1">
      <c r="A52" s="1747"/>
      <c r="B52" s="1568"/>
      <c r="C52" s="1735"/>
      <c r="D52" s="1689"/>
      <c r="E52" s="1745"/>
      <c r="F52" s="1504"/>
      <c r="G52" s="1504"/>
      <c r="H52" s="1504"/>
      <c r="I52" s="1504"/>
      <c r="J52" s="1504"/>
      <c r="K52" s="1504"/>
      <c r="L52" s="1504"/>
      <c r="M52" s="1738"/>
      <c r="N52" s="1738"/>
      <c r="O52" s="1504"/>
    </row>
    <row r="53" ht="15.75" customHeight="1">
      <c r="A53" s="1753"/>
      <c r="B53" s="1645"/>
      <c r="C53" s="1735"/>
      <c r="D53" s="1644"/>
      <c r="E53" s="1745"/>
      <c r="F53" s="1504"/>
      <c r="G53" s="1504"/>
      <c r="H53" s="1504"/>
      <c r="I53" s="1504"/>
      <c r="J53" s="1504"/>
      <c r="K53" s="1504"/>
      <c r="L53" s="1504"/>
      <c r="M53" s="1738"/>
      <c r="N53" s="1738"/>
      <c r="O53" s="1504"/>
    </row>
    <row r="54" ht="15.75" customHeight="1">
      <c r="A54" s="1747"/>
      <c r="B54" s="1748"/>
      <c r="C54" s="1735"/>
      <c r="D54" s="1689"/>
      <c r="E54" s="1745"/>
      <c r="F54" s="1504"/>
      <c r="G54" s="1504"/>
      <c r="H54" s="1504"/>
      <c r="I54" s="1504"/>
      <c r="J54" s="1504"/>
      <c r="K54" s="1504"/>
      <c r="L54" s="1504"/>
      <c r="M54" s="1738"/>
      <c r="N54" s="1738"/>
      <c r="O54" s="1504"/>
    </row>
    <row r="55" ht="15.75" customHeight="1">
      <c r="A55" s="1686"/>
      <c r="B55" s="1649"/>
      <c r="C55" s="1771"/>
      <c r="D55" s="1644"/>
      <c r="E55" s="1745"/>
      <c r="F55" s="1504"/>
      <c r="G55" s="1504"/>
      <c r="H55" s="1504"/>
      <c r="I55" s="1504"/>
      <c r="J55" s="1504"/>
      <c r="K55" s="1504"/>
      <c r="L55" s="1504"/>
      <c r="M55" s="1738"/>
      <c r="N55" s="1738"/>
      <c r="O55" s="1504"/>
    </row>
    <row r="56" ht="16.5" customHeight="1">
      <c r="A56" s="1698"/>
      <c r="B56" s="1649"/>
      <c r="C56" s="1770"/>
      <c r="D56" s="1689"/>
      <c r="E56" s="1745"/>
      <c r="F56" s="1504"/>
      <c r="G56" s="1504"/>
      <c r="H56" s="1504"/>
      <c r="I56" s="1504"/>
      <c r="J56" s="1504"/>
      <c r="K56" s="1504"/>
      <c r="L56" s="1504"/>
      <c r="M56" s="1738"/>
      <c r="N56" s="1738"/>
      <c r="O56" s="1504"/>
    </row>
    <row r="57">
      <c r="A57" s="1747"/>
      <c r="B57" s="1748"/>
      <c r="C57" s="1739"/>
      <c r="D57" s="1644"/>
      <c r="E57" s="1745"/>
      <c r="F57" s="1504"/>
      <c r="G57" s="1504"/>
      <c r="H57" s="1504"/>
      <c r="I57" s="1504"/>
      <c r="J57" s="1504"/>
      <c r="K57" s="1504"/>
      <c r="L57" s="1504"/>
      <c r="M57" s="1738"/>
      <c r="N57" s="1738"/>
      <c r="O57" s="1504"/>
    </row>
    <row r="58">
      <c r="A58" s="1768"/>
      <c r="B58" s="1636"/>
      <c r="C58" s="1739"/>
      <c r="D58" s="1644"/>
      <c r="E58" s="1745"/>
      <c r="F58" s="1504"/>
      <c r="G58" s="1504"/>
      <c r="H58" s="1504"/>
      <c r="I58" s="1504"/>
      <c r="J58" s="1504"/>
      <c r="K58" s="1504"/>
      <c r="L58" s="1504"/>
      <c r="M58" s="1738"/>
      <c r="N58" s="1738"/>
      <c r="O58" s="1504"/>
    </row>
    <row r="59">
      <c r="A59" s="1747"/>
      <c r="B59" s="1748"/>
      <c r="C59" s="1735"/>
      <c r="D59" s="1504"/>
      <c r="E59" s="1745"/>
      <c r="F59" s="1504"/>
      <c r="G59" s="1504"/>
      <c r="H59" s="1504"/>
      <c r="I59" s="1504"/>
      <c r="J59" s="1504"/>
      <c r="K59" s="1504"/>
      <c r="L59" s="1504"/>
      <c r="M59" s="1738"/>
      <c r="N59" s="1738"/>
      <c r="O59" s="1504"/>
    </row>
    <row r="60">
      <c r="A60" s="1686"/>
      <c r="B60" s="1542"/>
      <c r="C60" s="1771"/>
      <c r="D60" s="1504"/>
      <c r="E60" s="1745"/>
      <c r="F60" s="1504"/>
      <c r="G60" s="1504"/>
      <c r="H60" s="1504"/>
      <c r="I60" s="1504"/>
      <c r="J60" s="1504"/>
      <c r="K60" s="1504"/>
      <c r="L60" s="1504"/>
      <c r="M60" s="1738"/>
      <c r="N60" s="1738"/>
      <c r="O60" s="1504"/>
    </row>
    <row r="61">
      <c r="A61" s="1773"/>
      <c r="B61" s="1774"/>
      <c r="C61" s="1775"/>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3"/>
      <c r="B63" s="1774"/>
      <c r="C63" s="1775"/>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3"/>
      <c r="B65" s="1774"/>
      <c r="C65" s="1775"/>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3"/>
      <c r="B67" s="1774"/>
      <c r="C67" s="1775"/>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3"/>
      <c r="B69" s="1774"/>
      <c r="C69" s="1775"/>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3"/>
      <c r="B71" s="1774"/>
      <c r="C71" s="1775"/>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3"/>
      <c r="B73" s="1774"/>
      <c r="C73" s="1775"/>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3"/>
      <c r="B75" s="1774"/>
      <c r="C75" s="1775"/>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3"/>
      <c r="B77" s="1774"/>
      <c r="C77" s="1775"/>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3"/>
      <c r="B79" s="1774"/>
      <c r="C79" s="1775"/>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3"/>
      <c r="B81" s="1774"/>
      <c r="C81" s="1775"/>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3"/>
      <c r="B83" s="1774"/>
      <c r="C83" s="1775"/>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3"/>
      <c r="B85" s="1774"/>
      <c r="C85" s="1775"/>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3"/>
      <c r="B87" s="1774"/>
      <c r="C87" s="1775"/>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3"/>
      <c r="B89" s="1774"/>
      <c r="C89" s="1775"/>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3"/>
      <c r="B91" s="1774"/>
      <c r="C91" s="1775"/>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3"/>
      <c r="B93" s="1774"/>
      <c r="C93" s="1775"/>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3"/>
      <c r="B95" s="1774"/>
      <c r="C95" s="1775"/>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3"/>
      <c r="B97" s="1774"/>
      <c r="C97" s="1775"/>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3"/>
      <c r="B99" s="1774"/>
      <c r="C99" s="1775"/>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3"/>
      <c r="B101" s="1774"/>
      <c r="C101" s="1775"/>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3"/>
      <c r="B103" s="1774"/>
      <c r="C103" s="1775"/>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3"/>
      <c r="B105" s="1774"/>
      <c r="C105" s="1775"/>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3"/>
      <c r="B107" s="1774"/>
      <c r="C107" s="1775"/>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3"/>
      <c r="B109" s="1774"/>
      <c r="C109" s="1775"/>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3"/>
      <c r="B111" s="1774"/>
      <c r="C111" s="1775"/>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3"/>
      <c r="B113" s="1774"/>
      <c r="C113" s="1775"/>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3"/>
      <c r="B115" s="1774"/>
      <c r="C115" s="1775"/>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3"/>
      <c r="B117" s="1774"/>
      <c r="C117" s="1775"/>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3"/>
      <c r="B119" s="1774"/>
      <c r="C119" s="1775"/>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3"/>
      <c r="B121" s="1774"/>
      <c r="C121" s="1775"/>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3"/>
      <c r="B123" s="1774"/>
      <c r="C123" s="1775"/>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3"/>
      <c r="B125" s="1774"/>
      <c r="C125" s="1775"/>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3"/>
      <c r="B127" s="1774"/>
      <c r="C127" s="1775"/>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3"/>
      <c r="B129" s="1774"/>
      <c r="C129" s="1775"/>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3"/>
      <c r="B131" s="1774"/>
      <c r="C131" s="1775"/>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3"/>
      <c r="B133" s="1774"/>
      <c r="C133" s="1775"/>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3"/>
      <c r="B135" s="1774"/>
      <c r="C135" s="1775"/>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3"/>
      <c r="B137" s="1774"/>
      <c r="C137" s="1775"/>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3"/>
      <c r="B139" s="1774"/>
      <c r="C139" s="1775"/>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3"/>
      <c r="B141" s="1774"/>
      <c r="C141" s="1775"/>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3"/>
      <c r="B143" s="1774"/>
      <c r="C143" s="1775"/>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3"/>
      <c r="B145" s="1774"/>
      <c r="C145" s="1775"/>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3"/>
      <c r="B147" s="1774"/>
      <c r="C147" s="1775"/>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3"/>
      <c r="B149" s="1774"/>
      <c r="C149" s="1775"/>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3"/>
      <c r="B151" s="1774"/>
      <c r="C151" s="1775"/>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3"/>
      <c r="B153" s="1774"/>
      <c r="C153" s="1775"/>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3"/>
      <c r="B155" s="1774"/>
      <c r="C155" s="1775"/>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3"/>
      <c r="B157" s="1774"/>
      <c r="C157" s="1775"/>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3"/>
      <c r="B159" s="1774"/>
      <c r="C159" s="1775"/>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3"/>
      <c r="B161" s="1774"/>
      <c r="C161" s="1775"/>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3"/>
      <c r="B163" s="1774"/>
      <c r="C163" s="1775"/>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3"/>
      <c r="B165" s="1774"/>
      <c r="C165" s="1775"/>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3"/>
      <c r="B167" s="1774"/>
      <c r="C167" s="1775"/>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3"/>
      <c r="B169" s="1774"/>
      <c r="C169" s="1775"/>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3"/>
      <c r="B171" s="1774"/>
      <c r="C171" s="1775"/>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3"/>
      <c r="B173" s="1774"/>
      <c r="C173" s="1775"/>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3"/>
      <c r="B175" s="1774"/>
      <c r="C175" s="1775"/>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3"/>
      <c r="B177" s="1774"/>
      <c r="C177" s="1775"/>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3"/>
      <c r="B179" s="1774"/>
      <c r="C179" s="1775"/>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3"/>
      <c r="B181" s="1774"/>
      <c r="C181" s="1775"/>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3"/>
      <c r="B183" s="1774"/>
      <c r="C183" s="1775"/>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3"/>
      <c r="B185" s="1774"/>
      <c r="C185" s="1775"/>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3"/>
      <c r="B187" s="1774"/>
      <c r="C187" s="1775"/>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3"/>
      <c r="B189" s="1774"/>
      <c r="C189" s="1775"/>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3"/>
      <c r="B191" s="1774"/>
      <c r="C191" s="1775"/>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3"/>
      <c r="B193" s="1774"/>
      <c r="C193" s="1775"/>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3"/>
      <c r="B195" s="1774"/>
      <c r="C195" s="1775"/>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3"/>
      <c r="B197" s="1774"/>
      <c r="C197" s="1775"/>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3"/>
      <c r="B199" s="1774"/>
      <c r="C199" s="1775"/>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3"/>
      <c r="B201" s="1774"/>
      <c r="C201" s="1775"/>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3"/>
      <c r="B203" s="1774"/>
      <c r="C203" s="1775"/>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3"/>
      <c r="B205" s="1774"/>
      <c r="C205" s="1775"/>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3"/>
      <c r="B207" s="1774"/>
      <c r="C207" s="1775"/>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3"/>
      <c r="B209" s="1774"/>
      <c r="C209" s="1775"/>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3"/>
      <c r="B211" s="1774"/>
      <c r="C211" s="1775"/>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3"/>
      <c r="B213" s="1774"/>
      <c r="C213" s="1775"/>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3"/>
      <c r="B215" s="1774"/>
      <c r="C215" s="1775"/>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3"/>
      <c r="B217" s="1774"/>
      <c r="C217" s="1775"/>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3"/>
      <c r="B219" s="1774"/>
      <c r="C219" s="1775"/>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3"/>
      <c r="B221" s="1774"/>
      <c r="C221" s="1775"/>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3"/>
      <c r="B223" s="1774"/>
      <c r="C223" s="1775"/>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3"/>
      <c r="B225" s="1774"/>
      <c r="C225" s="1775"/>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3"/>
      <c r="B227" s="1774"/>
      <c r="C227" s="1775"/>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3"/>
      <c r="B229" s="1774"/>
      <c r="C229" s="1775"/>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3"/>
      <c r="B231" s="1774"/>
      <c r="C231" s="1775"/>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3"/>
      <c r="B233" s="1774"/>
      <c r="C233" s="1775"/>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3"/>
      <c r="B235" s="1774"/>
      <c r="C235" s="1775"/>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3"/>
      <c r="B237" s="1774"/>
      <c r="C237" s="1775"/>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3"/>
      <c r="B239" s="1774"/>
      <c r="C239" s="1775"/>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3"/>
      <c r="B241" s="1774"/>
      <c r="C241" s="1775"/>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3"/>
      <c r="B243" s="1774"/>
      <c r="C243" s="1775"/>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3"/>
      <c r="B245" s="1774"/>
      <c r="C245" s="1775"/>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3"/>
      <c r="B247" s="1774"/>
      <c r="C247" s="1775"/>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3"/>
      <c r="B249" s="1774"/>
      <c r="C249" s="1775"/>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3"/>
      <c r="B251" s="1774"/>
      <c r="C251" s="1775"/>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3"/>
      <c r="B253" s="1774"/>
      <c r="C253" s="1775"/>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3"/>
      <c r="B255" s="1774"/>
      <c r="C255" s="1775"/>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3"/>
      <c r="B257" s="1774"/>
      <c r="C257" s="1775"/>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3"/>
      <c r="B259" s="1774"/>
      <c r="C259" s="1775"/>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3"/>
      <c r="B261" s="1774"/>
      <c r="C261" s="1775"/>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3"/>
      <c r="B263" s="1774"/>
      <c r="C263" s="1775"/>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3"/>
      <c r="B265" s="1774"/>
      <c r="C265" s="1775"/>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3"/>
      <c r="B267" s="1774"/>
      <c r="C267" s="1775"/>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3"/>
      <c r="B269" s="1774"/>
      <c r="C269" s="1775"/>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3"/>
      <c r="B271" s="1774"/>
      <c r="C271" s="1775"/>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3"/>
      <c r="B273" s="1774"/>
      <c r="C273" s="1775"/>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3"/>
      <c r="B275" s="1774"/>
      <c r="C275" s="1775"/>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3"/>
      <c r="B277" s="1774"/>
      <c r="C277" s="1775"/>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3"/>
      <c r="B279" s="1774"/>
      <c r="C279" s="1775"/>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3"/>
      <c r="B281" s="1774"/>
      <c r="C281" s="1775"/>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3"/>
      <c r="B283" s="1774"/>
      <c r="C283" s="1775"/>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3"/>
      <c r="B285" s="1774"/>
      <c r="C285" s="1775"/>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3"/>
      <c r="B287" s="1774"/>
      <c r="C287" s="1775"/>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3"/>
      <c r="B289" s="1774"/>
      <c r="C289" s="1775"/>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3"/>
      <c r="B291" s="1774"/>
      <c r="C291" s="1775"/>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3"/>
      <c r="B293" s="1774"/>
      <c r="C293" s="1775"/>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3"/>
      <c r="B295" s="1774"/>
      <c r="C295" s="1775"/>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3"/>
      <c r="B297" s="1774"/>
      <c r="C297" s="1775"/>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3"/>
      <c r="B299" s="1774"/>
      <c r="C299" s="1775"/>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3"/>
      <c r="B301" s="1774"/>
      <c r="C301" s="1775"/>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3"/>
      <c r="B303" s="1774"/>
      <c r="C303" s="1775"/>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3"/>
      <c r="B305" s="1774"/>
      <c r="C305" s="1775"/>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3"/>
      <c r="B307" s="1774"/>
      <c r="C307" s="1775"/>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3"/>
      <c r="B309" s="1774"/>
      <c r="C309" s="1775"/>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3"/>
      <c r="B311" s="1774"/>
      <c r="C311" s="1775"/>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3"/>
      <c r="B313" s="1774"/>
      <c r="C313" s="1775"/>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3"/>
      <c r="B315" s="1774"/>
      <c r="C315" s="1775"/>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3"/>
      <c r="B317" s="1774"/>
      <c r="C317" s="1775"/>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3"/>
      <c r="B319" s="1774"/>
      <c r="C319" s="1775"/>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3"/>
      <c r="B321" s="1774"/>
      <c r="C321" s="1775"/>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3"/>
      <c r="B323" s="1774"/>
      <c r="C323" s="1775"/>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3"/>
      <c r="B325" s="1774"/>
      <c r="C325" s="1775"/>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3"/>
      <c r="B327" s="1774"/>
      <c r="C327" s="1775"/>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3"/>
      <c r="B329" s="1774"/>
      <c r="C329" s="1775"/>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3"/>
      <c r="B331" s="1774"/>
      <c r="C331" s="1775"/>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3"/>
      <c r="B333" s="1774"/>
      <c r="C333" s="1775"/>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3"/>
      <c r="B335" s="1774"/>
      <c r="C335" s="1775"/>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3"/>
      <c r="B337" s="1774"/>
      <c r="C337" s="1775"/>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3"/>
      <c r="B339" s="1774"/>
      <c r="C339" s="1775"/>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3"/>
      <c r="B341" s="1774"/>
      <c r="C341" s="1775"/>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3"/>
      <c r="B343" s="1774"/>
      <c r="C343" s="1775"/>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3"/>
      <c r="B345" s="1774"/>
      <c r="C345" s="1775"/>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3"/>
      <c r="B347" s="1774"/>
      <c r="C347" s="1775"/>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3"/>
      <c r="B349" s="1774"/>
      <c r="C349" s="1775"/>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3"/>
      <c r="B351" s="1774"/>
      <c r="C351" s="1775"/>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3"/>
      <c r="B353" s="1774"/>
      <c r="C353" s="1775"/>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3"/>
      <c r="B355" s="1774"/>
      <c r="C355" s="1775"/>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3"/>
      <c r="B357" s="1774"/>
      <c r="C357" s="1775"/>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3"/>
      <c r="B359" s="1774"/>
      <c r="C359" s="1775"/>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3"/>
      <c r="B361" s="1774"/>
      <c r="C361" s="1775"/>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3"/>
      <c r="B363" s="1774"/>
      <c r="C363" s="1775"/>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3"/>
      <c r="B365" s="1774"/>
      <c r="C365" s="1775"/>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3"/>
      <c r="B367" s="1774"/>
      <c r="C367" s="1775"/>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3"/>
      <c r="B369" s="1774"/>
      <c r="C369" s="1775"/>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3"/>
      <c r="B371" s="1774"/>
      <c r="C371" s="1775"/>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3"/>
      <c r="B373" s="1774"/>
      <c r="C373" s="1775"/>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3"/>
      <c r="B375" s="1774"/>
      <c r="C375" s="1775"/>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3"/>
      <c r="B377" s="1774"/>
      <c r="C377" s="1775"/>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3"/>
      <c r="B379" s="1774"/>
      <c r="C379" s="1775"/>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3"/>
      <c r="B381" s="1774"/>
      <c r="C381" s="1775"/>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3"/>
      <c r="B383" s="1774"/>
      <c r="C383" s="1775"/>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3"/>
      <c r="B385" s="1774"/>
      <c r="C385" s="1775"/>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3"/>
      <c r="B387" s="1774"/>
      <c r="C387" s="1775"/>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3"/>
      <c r="B389" s="1774"/>
      <c r="C389" s="1775"/>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3"/>
      <c r="B391" s="1774"/>
      <c r="C391" s="1775"/>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3"/>
      <c r="B393" s="1774"/>
      <c r="C393" s="1775"/>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3"/>
      <c r="B395" s="1774"/>
      <c r="C395" s="1775"/>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3"/>
      <c r="B397" s="1774"/>
      <c r="C397" s="1775"/>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3"/>
      <c r="B399" s="1774"/>
      <c r="C399" s="1775"/>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3"/>
      <c r="B401" s="1774"/>
      <c r="C401" s="1775"/>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3"/>
      <c r="B403" s="1774"/>
      <c r="C403" s="1775"/>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3"/>
      <c r="B405" s="1774"/>
      <c r="C405" s="1775"/>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3"/>
      <c r="B407" s="1774"/>
      <c r="C407" s="1775"/>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3"/>
      <c r="B409" s="1774"/>
      <c r="C409" s="1775"/>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3"/>
      <c r="B411" s="1774"/>
      <c r="C411" s="1775"/>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3"/>
      <c r="B413" s="1774"/>
      <c r="C413" s="1775"/>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3"/>
      <c r="B415" s="1774"/>
      <c r="C415" s="1775"/>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3"/>
      <c r="B417" s="1774"/>
      <c r="C417" s="1775"/>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3"/>
      <c r="B419" s="1774"/>
      <c r="C419" s="1775"/>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3"/>
      <c r="B421" s="1774"/>
      <c r="C421" s="1775"/>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3"/>
      <c r="B423" s="1774"/>
      <c r="C423" s="1775"/>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3"/>
      <c r="B425" s="1774"/>
      <c r="C425" s="1775"/>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3"/>
      <c r="B427" s="1774"/>
      <c r="C427" s="1775"/>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3"/>
      <c r="B429" s="1774"/>
      <c r="C429" s="1775"/>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3"/>
      <c r="B431" s="1774"/>
      <c r="C431" s="1775"/>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3"/>
      <c r="B433" s="1774"/>
      <c r="C433" s="1775"/>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3"/>
      <c r="B435" s="1774"/>
      <c r="C435" s="1775"/>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3"/>
      <c r="B437" s="1774"/>
      <c r="C437" s="1775"/>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3"/>
      <c r="B439" s="1774"/>
      <c r="C439" s="1775"/>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3"/>
      <c r="B441" s="1774"/>
      <c r="C441" s="1775"/>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3"/>
      <c r="B443" s="1774"/>
      <c r="C443" s="1775"/>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3"/>
      <c r="B445" s="1774"/>
      <c r="C445" s="1775"/>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3"/>
      <c r="B447" s="1774"/>
      <c r="C447" s="1775"/>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3"/>
      <c r="B449" s="1774"/>
      <c r="C449" s="1775"/>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3"/>
      <c r="B451" s="1774"/>
      <c r="C451" s="1775"/>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3"/>
      <c r="B453" s="1774"/>
      <c r="C453" s="1775"/>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3"/>
      <c r="B455" s="1774"/>
      <c r="C455" s="1775"/>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3"/>
      <c r="B457" s="1774"/>
      <c r="C457" s="1775"/>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3"/>
      <c r="B459" s="1774"/>
      <c r="C459" s="1775"/>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3"/>
      <c r="B461" s="1774"/>
      <c r="C461" s="1775"/>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3"/>
      <c r="B463" s="1774"/>
      <c r="C463" s="1775"/>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3"/>
      <c r="B465" s="1774"/>
      <c r="C465" s="1775"/>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3"/>
      <c r="B467" s="1774"/>
      <c r="C467" s="1775"/>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3"/>
      <c r="B469" s="1774"/>
      <c r="C469" s="1775"/>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3"/>
      <c r="B471" s="1774"/>
      <c r="C471" s="1775"/>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3"/>
      <c r="B473" s="1774"/>
      <c r="C473" s="1775"/>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3"/>
      <c r="B475" s="1774"/>
      <c r="C475" s="1775"/>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3"/>
      <c r="B477" s="1774"/>
      <c r="C477" s="1775"/>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3"/>
      <c r="B479" s="1774"/>
      <c r="C479" s="1775"/>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3"/>
      <c r="B481" s="1774"/>
      <c r="C481" s="1775"/>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3"/>
      <c r="B483" s="1774"/>
      <c r="C483" s="1775"/>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3"/>
      <c r="B485" s="1774"/>
      <c r="C485" s="1775"/>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3"/>
      <c r="B487" s="1774"/>
      <c r="C487" s="1775"/>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3"/>
      <c r="B489" s="1774"/>
      <c r="C489" s="1775"/>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3"/>
      <c r="B491" s="1774"/>
      <c r="C491" s="1775"/>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3"/>
      <c r="B493" s="1774"/>
      <c r="C493" s="1775"/>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3"/>
      <c r="B495" s="1774"/>
      <c r="C495" s="1775"/>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3"/>
      <c r="B497" s="1774"/>
      <c r="C497" s="1775"/>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3"/>
      <c r="B499" s="1774"/>
      <c r="C499" s="1775"/>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3"/>
      <c r="B501" s="1774"/>
      <c r="C501" s="1775"/>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3"/>
      <c r="B503" s="1774"/>
      <c r="C503" s="1775"/>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3"/>
      <c r="B505" s="1774"/>
      <c r="C505" s="1775"/>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3"/>
      <c r="B507" s="1774"/>
      <c r="C507" s="1775"/>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3"/>
      <c r="B509" s="1774"/>
      <c r="C509" s="1775"/>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3"/>
      <c r="B511" s="1774"/>
      <c r="C511" s="1775"/>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3"/>
      <c r="B513" s="1774"/>
      <c r="C513" s="1775"/>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3"/>
      <c r="B515" s="1774"/>
      <c r="C515" s="1775"/>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3"/>
      <c r="B517" s="1774"/>
      <c r="C517" s="1775"/>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3"/>
      <c r="B519" s="1774"/>
      <c r="C519" s="1775"/>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3"/>
      <c r="B521" s="1774"/>
      <c r="C521" s="1775"/>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3"/>
      <c r="B523" s="1774"/>
      <c r="C523" s="1775"/>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3"/>
      <c r="B525" s="1774"/>
      <c r="C525" s="1775"/>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3"/>
      <c r="B527" s="1774"/>
      <c r="C527" s="1775"/>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3"/>
      <c r="B529" s="1774"/>
      <c r="C529" s="1775"/>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3"/>
      <c r="B531" s="1774"/>
      <c r="C531" s="1775"/>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3"/>
      <c r="B533" s="1774"/>
      <c r="C533" s="1775"/>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3"/>
      <c r="B535" s="1774"/>
      <c r="C535" s="1775"/>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3"/>
      <c r="B537" s="1774"/>
      <c r="C537" s="1775"/>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3"/>
      <c r="B539" s="1774"/>
      <c r="C539" s="1775"/>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3"/>
      <c r="B541" s="1774"/>
      <c r="C541" s="1775"/>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3"/>
      <c r="B543" s="1774"/>
      <c r="C543" s="1775"/>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3"/>
      <c r="B545" s="1774"/>
      <c r="C545" s="1775"/>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3"/>
      <c r="B547" s="1774"/>
      <c r="C547" s="1775"/>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3"/>
      <c r="B549" s="1774"/>
      <c r="C549" s="1775"/>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3"/>
      <c r="B551" s="1774"/>
      <c r="C551" s="1775"/>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3"/>
      <c r="B553" s="1774"/>
      <c r="C553" s="1775"/>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3"/>
      <c r="B555" s="1774"/>
      <c r="C555" s="1775"/>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3"/>
      <c r="B557" s="1774"/>
      <c r="C557" s="1775"/>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3"/>
      <c r="B559" s="1774"/>
      <c r="C559" s="1775"/>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3"/>
      <c r="B561" s="1774"/>
      <c r="C561" s="1775"/>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3"/>
      <c r="B563" s="1774"/>
      <c r="C563" s="1775"/>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3"/>
      <c r="B565" s="1774"/>
      <c r="C565" s="1775"/>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3"/>
      <c r="B567" s="1774"/>
      <c r="C567" s="1775"/>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3"/>
      <c r="B569" s="1774"/>
      <c r="C569" s="1775"/>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3"/>
      <c r="B571" s="1774"/>
      <c r="C571" s="1775"/>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3"/>
      <c r="B573" s="1774"/>
      <c r="C573" s="1775"/>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3"/>
      <c r="B575" s="1774"/>
      <c r="C575" s="1775"/>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3"/>
      <c r="B577" s="1774"/>
      <c r="C577" s="1775"/>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3"/>
      <c r="B579" s="1774"/>
      <c r="C579" s="1775"/>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3"/>
      <c r="B581" s="1774"/>
      <c r="C581" s="1775"/>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3"/>
      <c r="B583" s="1774"/>
      <c r="C583" s="1775"/>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3"/>
      <c r="B585" s="1774"/>
      <c r="C585" s="1775"/>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3"/>
      <c r="B587" s="1774"/>
      <c r="C587" s="1775"/>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3"/>
      <c r="B589" s="1774"/>
      <c r="C589" s="1775"/>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3"/>
      <c r="B591" s="1774"/>
      <c r="C591" s="1775"/>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3"/>
      <c r="B593" s="1774"/>
      <c r="C593" s="1775"/>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3"/>
      <c r="B595" s="1774"/>
      <c r="C595" s="1775"/>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3"/>
      <c r="B597" s="1774"/>
      <c r="C597" s="1775"/>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3"/>
      <c r="B599" s="1774"/>
      <c r="C599" s="1775"/>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3"/>
      <c r="B601" s="1774"/>
      <c r="C601" s="1775"/>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3"/>
      <c r="B603" s="1774"/>
      <c r="C603" s="1775"/>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3"/>
      <c r="B605" s="1774"/>
      <c r="C605" s="1775"/>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3"/>
      <c r="B607" s="1774"/>
      <c r="C607" s="1775"/>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3"/>
      <c r="B609" s="1774"/>
      <c r="C609" s="1775"/>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3"/>
      <c r="B611" s="1774"/>
      <c r="C611" s="1775"/>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3"/>
      <c r="B613" s="1774"/>
      <c r="C613" s="1775"/>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3"/>
      <c r="B615" s="1774"/>
      <c r="C615" s="1775"/>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3"/>
      <c r="B617" s="1774"/>
      <c r="C617" s="1775"/>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3"/>
      <c r="B619" s="1774"/>
      <c r="C619" s="1775"/>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3"/>
      <c r="B621" s="1774"/>
      <c r="C621" s="1775"/>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3"/>
      <c r="B623" s="1774"/>
      <c r="C623" s="1775"/>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3"/>
      <c r="B625" s="1774"/>
      <c r="C625" s="1775"/>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3"/>
      <c r="B627" s="1774"/>
      <c r="C627" s="1775"/>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3"/>
      <c r="B629" s="1774"/>
      <c r="C629" s="1775"/>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3"/>
      <c r="B631" s="1774"/>
      <c r="C631" s="1775"/>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3"/>
      <c r="B633" s="1774"/>
      <c r="C633" s="1775"/>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3"/>
      <c r="B635" s="1774"/>
      <c r="C635" s="1775"/>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3"/>
      <c r="B637" s="1774"/>
      <c r="C637" s="1775"/>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3"/>
      <c r="B639" s="1774"/>
      <c r="C639" s="1775"/>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3"/>
      <c r="B641" s="1774"/>
      <c r="C641" s="1775"/>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3"/>
      <c r="B643" s="1774"/>
      <c r="C643" s="1775"/>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3"/>
      <c r="B645" s="1774"/>
      <c r="C645" s="1775"/>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3"/>
      <c r="B647" s="1774"/>
      <c r="C647" s="1775"/>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3"/>
      <c r="B649" s="1774"/>
      <c r="C649" s="1775"/>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3"/>
      <c r="B651" s="1774"/>
      <c r="C651" s="1775"/>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3"/>
      <c r="B653" s="1774"/>
      <c r="C653" s="1775"/>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3"/>
      <c r="B655" s="1774"/>
      <c r="C655" s="1775"/>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3"/>
      <c r="B657" s="1774"/>
      <c r="C657" s="1775"/>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3"/>
      <c r="B659" s="1774"/>
      <c r="C659" s="1775"/>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3"/>
      <c r="B661" s="1774"/>
      <c r="C661" s="1775"/>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3"/>
      <c r="B663" s="1774"/>
      <c r="C663" s="1775"/>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3"/>
      <c r="B665" s="1774"/>
      <c r="C665" s="1775"/>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3"/>
      <c r="B667" s="1774"/>
      <c r="C667" s="1775"/>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3"/>
      <c r="B669" s="1774"/>
      <c r="C669" s="1775"/>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3"/>
      <c r="B671" s="1774"/>
      <c r="C671" s="1775"/>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3"/>
      <c r="B673" s="1774"/>
      <c r="C673" s="1775"/>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3"/>
      <c r="B675" s="1774"/>
      <c r="C675" s="1775"/>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3"/>
      <c r="B677" s="1774"/>
      <c r="C677" s="1775"/>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3"/>
      <c r="B679" s="1774"/>
      <c r="C679" s="1775"/>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3"/>
      <c r="B681" s="1774"/>
      <c r="C681" s="1775"/>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3"/>
      <c r="B683" s="1774"/>
      <c r="C683" s="1775"/>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3"/>
      <c r="B685" s="1774"/>
      <c r="C685" s="1775"/>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3"/>
      <c r="B687" s="1774"/>
      <c r="C687" s="1775"/>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3"/>
      <c r="B689" s="1774"/>
      <c r="C689" s="1775"/>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3"/>
      <c r="B691" s="1774"/>
      <c r="C691" s="1775"/>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3"/>
      <c r="B693" s="1774"/>
      <c r="C693" s="1775"/>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3"/>
      <c r="B695" s="1774"/>
      <c r="C695" s="1775"/>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3"/>
      <c r="B697" s="1774"/>
      <c r="C697" s="1775"/>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3"/>
      <c r="B699" s="1774"/>
      <c r="C699" s="1775"/>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3"/>
      <c r="B701" s="1774"/>
      <c r="C701" s="1775"/>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3"/>
      <c r="B703" s="1774"/>
      <c r="C703" s="1775"/>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3"/>
      <c r="B705" s="1774"/>
      <c r="C705" s="1775"/>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3"/>
      <c r="B707" s="1774"/>
      <c r="C707" s="1775"/>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3"/>
      <c r="B709" s="1774"/>
      <c r="C709" s="1775"/>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3"/>
      <c r="B711" s="1774"/>
      <c r="C711" s="1775"/>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3"/>
      <c r="B713" s="1774"/>
      <c r="C713" s="1775"/>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3"/>
      <c r="B715" s="1774"/>
      <c r="C715" s="1775"/>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3"/>
      <c r="B717" s="1774"/>
      <c r="C717" s="1775"/>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3"/>
      <c r="B719" s="1774"/>
      <c r="C719" s="1775"/>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3"/>
      <c r="B721" s="1774"/>
      <c r="C721" s="1775"/>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3"/>
      <c r="B723" s="1774"/>
      <c r="C723" s="1775"/>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3"/>
      <c r="B725" s="1774"/>
      <c r="C725" s="1775"/>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3"/>
      <c r="B727" s="1774"/>
      <c r="C727" s="1775"/>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3"/>
      <c r="B729" s="1774"/>
      <c r="C729" s="1775"/>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3"/>
      <c r="B731" s="1774"/>
      <c r="C731" s="1775"/>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3"/>
      <c r="B733" s="1774"/>
      <c r="C733" s="1775"/>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3"/>
      <c r="B735" s="1774"/>
      <c r="C735" s="1775"/>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3"/>
      <c r="B737" s="1774"/>
      <c r="C737" s="1775"/>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3"/>
      <c r="B739" s="1774"/>
      <c r="C739" s="1775"/>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3"/>
      <c r="B741" s="1774"/>
      <c r="C741" s="1775"/>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3"/>
      <c r="B743" s="1774"/>
      <c r="C743" s="1775"/>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3"/>
      <c r="B745" s="1774"/>
      <c r="C745" s="1775"/>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3"/>
      <c r="B747" s="1774"/>
      <c r="C747" s="1775"/>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3"/>
      <c r="B749" s="1774"/>
      <c r="C749" s="1775"/>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3"/>
      <c r="B751" s="1774"/>
      <c r="C751" s="1775"/>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3"/>
      <c r="B753" s="1774"/>
      <c r="C753" s="1775"/>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3"/>
      <c r="B755" s="1774"/>
      <c r="C755" s="1775"/>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3"/>
      <c r="B757" s="1774"/>
      <c r="C757" s="1775"/>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3"/>
      <c r="B759" s="1774"/>
      <c r="C759" s="1775"/>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3"/>
      <c r="B761" s="1774"/>
      <c r="C761" s="1775"/>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3"/>
      <c r="B763" s="1774"/>
      <c r="C763" s="1775"/>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3"/>
      <c r="B765" s="1774"/>
      <c r="C765" s="1775"/>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3"/>
      <c r="B767" s="1774"/>
      <c r="C767" s="1775"/>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3"/>
      <c r="B769" s="1774"/>
      <c r="C769" s="1775"/>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3"/>
      <c r="B771" s="1774"/>
      <c r="C771" s="1775"/>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3"/>
      <c r="B773" s="1774"/>
      <c r="C773" s="1775"/>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3"/>
      <c r="B775" s="1774"/>
      <c r="C775" s="1775"/>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3"/>
      <c r="B777" s="1774"/>
      <c r="C777" s="1775"/>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3"/>
      <c r="B779" s="1774"/>
      <c r="C779" s="1775"/>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3"/>
      <c r="B781" s="1774"/>
      <c r="C781" s="1775"/>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3"/>
      <c r="B783" s="1774"/>
      <c r="C783" s="1775"/>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3"/>
      <c r="B785" s="1774"/>
      <c r="C785" s="1775"/>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3"/>
      <c r="B787" s="1774"/>
      <c r="C787" s="1775"/>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3"/>
      <c r="B789" s="1774"/>
      <c r="C789" s="1775"/>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3"/>
      <c r="B791" s="1774"/>
      <c r="C791" s="1775"/>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3"/>
      <c r="B793" s="1774"/>
      <c r="C793" s="1775"/>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3"/>
      <c r="B795" s="1774"/>
      <c r="C795" s="1775"/>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3"/>
      <c r="B797" s="1774"/>
      <c r="C797" s="1775"/>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3"/>
      <c r="B799" s="1774"/>
      <c r="C799" s="1775"/>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3"/>
      <c r="B801" s="1774"/>
      <c r="C801" s="1775"/>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3"/>
      <c r="B803" s="1774"/>
      <c r="C803" s="1775"/>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3"/>
      <c r="B805" s="1774"/>
      <c r="C805" s="1775"/>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3"/>
      <c r="B807" s="1774"/>
      <c r="C807" s="1775"/>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3"/>
      <c r="B809" s="1774"/>
      <c r="C809" s="1775"/>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3"/>
      <c r="B811" s="1774"/>
      <c r="C811" s="1775"/>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3"/>
      <c r="B813" s="1774"/>
      <c r="C813" s="1775"/>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3"/>
      <c r="B815" s="1774"/>
      <c r="C815" s="1775"/>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3"/>
      <c r="B817" s="1774"/>
      <c r="C817" s="1775"/>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3"/>
      <c r="B819" s="1774"/>
      <c r="C819" s="1775"/>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3"/>
      <c r="B821" s="1774"/>
      <c r="C821" s="1775"/>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3"/>
      <c r="B823" s="1774"/>
      <c r="C823" s="1775"/>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3"/>
      <c r="B825" s="1774"/>
      <c r="C825" s="1775"/>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3"/>
      <c r="B827" s="1774"/>
      <c r="C827" s="1775"/>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3"/>
      <c r="B829" s="1774"/>
      <c r="C829" s="1775"/>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3"/>
      <c r="B831" s="1774"/>
      <c r="C831" s="1775"/>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3"/>
      <c r="B833" s="1774"/>
      <c r="C833" s="1775"/>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3"/>
      <c r="B835" s="1774"/>
      <c r="C835" s="1775"/>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3"/>
      <c r="B837" s="1774"/>
      <c r="C837" s="1775"/>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3"/>
      <c r="B839" s="1774"/>
      <c r="C839" s="1775"/>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3"/>
      <c r="B841" s="1774"/>
      <c r="C841" s="1775"/>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3"/>
      <c r="B843" s="1774"/>
      <c r="C843" s="1775"/>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3"/>
      <c r="B845" s="1774"/>
      <c r="C845" s="1775"/>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3"/>
      <c r="B847" s="1774"/>
      <c r="C847" s="1775"/>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3"/>
      <c r="B849" s="1774"/>
      <c r="C849" s="1775"/>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3"/>
      <c r="B851" s="1774"/>
      <c r="C851" s="1775"/>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3"/>
      <c r="B853" s="1774"/>
      <c r="C853" s="1775"/>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3"/>
      <c r="B855" s="1774"/>
      <c r="C855" s="1775"/>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3"/>
      <c r="B857" s="1774"/>
      <c r="C857" s="1775"/>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3"/>
      <c r="B859" s="1774"/>
      <c r="C859" s="1775"/>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3"/>
      <c r="B861" s="1774"/>
      <c r="C861" s="1775"/>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3"/>
      <c r="B863" s="1774"/>
      <c r="C863" s="1775"/>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3"/>
      <c r="B865" s="1774"/>
      <c r="C865" s="1775"/>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3"/>
      <c r="B867" s="1774"/>
      <c r="C867" s="1775"/>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3"/>
      <c r="B869" s="1774"/>
      <c r="C869" s="1775"/>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3"/>
      <c r="B871" s="1774"/>
      <c r="C871" s="1775"/>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3"/>
      <c r="B873" s="1774"/>
      <c r="C873" s="1775"/>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3"/>
      <c r="B875" s="1774"/>
      <c r="C875" s="1775"/>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3"/>
      <c r="B877" s="1774"/>
      <c r="C877" s="1775"/>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3"/>
      <c r="B879" s="1774"/>
      <c r="C879" s="1775"/>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3"/>
      <c r="B881" s="1774"/>
      <c r="C881" s="1775"/>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3"/>
      <c r="B883" s="1774"/>
      <c r="C883" s="1775"/>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3"/>
      <c r="B885" s="1774"/>
      <c r="C885" s="1775"/>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3"/>
      <c r="B887" s="1774"/>
      <c r="C887" s="1775"/>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3"/>
      <c r="B889" s="1774"/>
      <c r="C889" s="1775"/>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3"/>
      <c r="B891" s="1774"/>
      <c r="C891" s="1775"/>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3"/>
      <c r="B893" s="1774"/>
      <c r="C893" s="1775"/>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3"/>
      <c r="B895" s="1774"/>
      <c r="C895" s="1775"/>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3"/>
      <c r="B897" s="1774"/>
      <c r="C897" s="1775"/>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3"/>
      <c r="B899" s="1774"/>
      <c r="C899" s="1775"/>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3"/>
      <c r="B901" s="1774"/>
      <c r="C901" s="1775"/>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3"/>
      <c r="B903" s="1774"/>
      <c r="C903" s="1775"/>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3"/>
      <c r="B905" s="1774"/>
      <c r="C905" s="1775"/>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3"/>
      <c r="B907" s="1774"/>
      <c r="C907" s="1775"/>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3"/>
      <c r="B909" s="1774"/>
      <c r="C909" s="1775"/>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3"/>
      <c r="B911" s="1774"/>
      <c r="C911" s="1775"/>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3"/>
      <c r="B913" s="1774"/>
      <c r="C913" s="1775"/>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3"/>
      <c r="B915" s="1774"/>
      <c r="C915" s="1775"/>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3"/>
      <c r="B917" s="1774"/>
      <c r="C917" s="1775"/>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3"/>
      <c r="B919" s="1774"/>
      <c r="C919" s="1775"/>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3"/>
      <c r="B921" s="1774"/>
      <c r="C921" s="1775"/>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3"/>
      <c r="B923" s="1774"/>
      <c r="C923" s="1775"/>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3"/>
      <c r="B925" s="1774"/>
      <c r="C925" s="1775"/>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3"/>
      <c r="B927" s="1774"/>
      <c r="C927" s="1775"/>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3"/>
      <c r="B929" s="1774"/>
      <c r="C929" s="1775"/>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3"/>
      <c r="B931" s="1774"/>
      <c r="C931" s="1775"/>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3"/>
      <c r="B933" s="1774"/>
      <c r="C933" s="1775"/>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3"/>
      <c r="B935" s="1774"/>
      <c r="C935" s="1775"/>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3"/>
      <c r="B937" s="1774"/>
      <c r="C937" s="1775"/>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3"/>
      <c r="B939" s="1774"/>
      <c r="C939" s="1775"/>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3"/>
      <c r="B941" s="1774"/>
      <c r="C941" s="1775"/>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3"/>
      <c r="B943" s="1774"/>
      <c r="C943" s="1775"/>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3"/>
      <c r="B945" s="1774"/>
      <c r="C945" s="1775"/>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3"/>
      <c r="B947" s="1774"/>
      <c r="C947" s="1775"/>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3"/>
      <c r="B949" s="1774"/>
      <c r="C949" s="1775"/>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3"/>
      <c r="B951" s="1774"/>
      <c r="C951" s="1775"/>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3"/>
      <c r="B953" s="1774"/>
      <c r="C953" s="1775"/>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3"/>
      <c r="B955" s="1774"/>
      <c r="C955" s="1775"/>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3"/>
      <c r="B957" s="1774"/>
      <c r="C957" s="1775"/>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3"/>
      <c r="B959" s="1774"/>
      <c r="C959" s="1775"/>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3"/>
      <c r="B961" s="1774"/>
      <c r="C961" s="1775"/>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3"/>
      <c r="B963" s="1774"/>
      <c r="C963" s="1775"/>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3"/>
      <c r="B965" s="1774"/>
      <c r="C965" s="1775"/>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3"/>
      <c r="B967" s="1774"/>
      <c r="C967" s="1775"/>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3"/>
      <c r="B969" s="1774"/>
      <c r="C969" s="1775"/>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3"/>
      <c r="B971" s="1774"/>
      <c r="C971" s="1775"/>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3"/>
      <c r="B973" s="1774"/>
      <c r="C973" s="1775"/>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3"/>
      <c r="B975" s="1774"/>
      <c r="C975" s="1775"/>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3"/>
      <c r="B977" s="1774"/>
      <c r="C977" s="1775"/>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3"/>
      <c r="B979" s="1774"/>
      <c r="C979" s="1775"/>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3"/>
      <c r="B981" s="1774"/>
      <c r="C981" s="1775"/>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3"/>
      <c r="B983" s="1774"/>
      <c r="C983" s="1775"/>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3"/>
      <c r="B985" s="1774"/>
      <c r="C985" s="1775"/>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3"/>
      <c r="B987" s="1774"/>
      <c r="C987" s="1775"/>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3"/>
      <c r="B989" s="1774"/>
      <c r="C989" s="1775"/>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3"/>
      <c r="B991" s="1774"/>
      <c r="C991" s="1775"/>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3"/>
      <c r="B993" s="1774"/>
      <c r="C993" s="1775"/>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1" t="s">
        <v>43</v>
      </c>
      <c r="B1" s="1413" t="s">
        <v>8493</v>
      </c>
      <c r="C1" s="1793" t="s">
        <v>10659</v>
      </c>
      <c r="D1" s="1794" t="s">
        <v>6720</v>
      </c>
      <c r="E1" s="1795" t="s">
        <v>7008</v>
      </c>
      <c r="F1" s="1796" t="s">
        <v>38</v>
      </c>
      <c r="G1" s="1797" t="s">
        <v>36</v>
      </c>
      <c r="H1" s="1793" t="s">
        <v>10660</v>
      </c>
      <c r="I1" s="1798" t="s">
        <v>39</v>
      </c>
      <c r="J1" s="1799" t="s">
        <v>6949</v>
      </c>
      <c r="K1" s="1412" t="s">
        <v>8527</v>
      </c>
      <c r="L1" s="1412" t="s">
        <v>8529</v>
      </c>
    </row>
    <row r="2" ht="15.75" customHeight="1">
      <c r="A2" s="1425" t="s">
        <v>8530</v>
      </c>
      <c r="B2" s="1711" t="s">
        <v>8531</v>
      </c>
      <c r="C2" s="1441" t="s">
        <v>10661</v>
      </c>
      <c r="D2" s="1430" t="s">
        <v>10955</v>
      </c>
      <c r="E2" s="1800" t="s">
        <v>10956</v>
      </c>
      <c r="F2" s="1801" t="s">
        <v>10957</v>
      </c>
      <c r="G2" s="1802" t="s">
        <v>10958</v>
      </c>
      <c r="H2" s="1441" t="s">
        <v>10959</v>
      </c>
      <c r="I2" s="1803" t="s">
        <v>10960</v>
      </c>
      <c r="J2" s="1719" t="s">
        <v>10961</v>
      </c>
      <c r="K2" s="1804" t="s">
        <v>8558</v>
      </c>
      <c r="L2" s="1805"/>
    </row>
    <row r="3" ht="15.75" customHeight="1">
      <c r="A3" s="1451" t="s">
        <v>8559</v>
      </c>
      <c r="B3" s="1722" t="s">
        <v>8560</v>
      </c>
      <c r="C3" s="1454" t="s">
        <v>10861</v>
      </c>
      <c r="D3" s="1455" t="s">
        <v>10962</v>
      </c>
      <c r="E3" s="1456" t="s">
        <v>10963</v>
      </c>
      <c r="F3" s="1457" t="s">
        <v>10964</v>
      </c>
      <c r="G3" s="1460" t="s">
        <v>10965</v>
      </c>
      <c r="H3" s="1454" t="s">
        <v>10966</v>
      </c>
      <c r="I3" s="1462" t="s">
        <v>10967</v>
      </c>
      <c r="J3" s="1464" t="s">
        <v>10968</v>
      </c>
      <c r="K3" s="1723">
        <v>0.053043981481481484</v>
      </c>
    </row>
    <row r="4" ht="15.75" customHeight="1">
      <c r="A4" s="1467" t="s">
        <v>8585</v>
      </c>
      <c r="B4" s="1726" t="s">
        <v>8586</v>
      </c>
      <c r="C4" s="1470" t="s">
        <v>10853</v>
      </c>
      <c r="D4" s="1471" t="s">
        <v>10969</v>
      </c>
      <c r="E4" s="1472" t="s">
        <v>10970</v>
      </c>
      <c r="F4" s="1473" t="s">
        <v>10971</v>
      </c>
      <c r="G4" s="1474" t="s">
        <v>10972</v>
      </c>
      <c r="H4" s="1470" t="s">
        <v>10973</v>
      </c>
      <c r="I4" s="1476" t="s">
        <v>10974</v>
      </c>
      <c r="J4" s="1477" t="s">
        <v>10975</v>
      </c>
      <c r="K4" s="1727">
        <v>0.053043981481481484</v>
      </c>
    </row>
    <row r="5" ht="15.75" customHeight="1">
      <c r="A5" s="1668" t="s">
        <v>1107</v>
      </c>
      <c r="B5" s="1568" t="s">
        <v>8531</v>
      </c>
      <c r="C5" s="1731" t="s">
        <v>10661</v>
      </c>
      <c r="D5" s="1731" t="s">
        <v>10955</v>
      </c>
      <c r="E5" s="1731" t="s">
        <v>10956</v>
      </c>
      <c r="F5" s="1731" t="s">
        <v>10957</v>
      </c>
      <c r="G5" s="1731" t="s">
        <v>10958</v>
      </c>
      <c r="H5" s="1731" t="s">
        <v>10959</v>
      </c>
      <c r="I5" s="1731" t="s">
        <v>10960</v>
      </c>
      <c r="J5" s="1731" t="s">
        <v>10961</v>
      </c>
      <c r="K5" s="1806" t="s">
        <v>8558</v>
      </c>
      <c r="L5" s="1504" t="s">
        <v>10976</v>
      </c>
    </row>
    <row r="6" ht="15.75" customHeight="1">
      <c r="A6" s="1807" t="s">
        <v>6416</v>
      </c>
      <c r="B6" s="1568" t="s">
        <v>8531</v>
      </c>
      <c r="C6" s="1676" t="s">
        <v>10704</v>
      </c>
      <c r="D6" s="1504" t="s">
        <v>10977</v>
      </c>
      <c r="E6" s="1504" t="s">
        <v>10978</v>
      </c>
      <c r="F6" s="1504" t="s">
        <v>10979</v>
      </c>
      <c r="G6" s="1504" t="s">
        <v>10980</v>
      </c>
      <c r="H6" s="1504" t="s">
        <v>10981</v>
      </c>
      <c r="I6" s="1504" t="s">
        <v>10982</v>
      </c>
      <c r="J6" s="1504" t="s">
        <v>10983</v>
      </c>
      <c r="K6" s="1504" t="s">
        <v>8743</v>
      </c>
      <c r="L6" s="1504"/>
    </row>
    <row r="7" ht="15.75" customHeight="1">
      <c r="A7" s="1698" t="s">
        <v>1969</v>
      </c>
      <c r="B7" s="1808" t="s">
        <v>8531</v>
      </c>
      <c r="C7" s="1504" t="s">
        <v>10695</v>
      </c>
      <c r="D7" s="1504" t="s">
        <v>10984</v>
      </c>
      <c r="E7" s="1732" t="s">
        <v>10985</v>
      </c>
      <c r="F7" s="1507" t="s">
        <v>10986</v>
      </c>
      <c r="G7" s="1809" t="s">
        <v>10987</v>
      </c>
      <c r="H7" s="1809" t="s">
        <v>10988</v>
      </c>
      <c r="I7" s="1504" t="s">
        <v>10989</v>
      </c>
      <c r="J7" s="1810" t="s">
        <v>10990</v>
      </c>
      <c r="K7" s="1810" t="s">
        <v>8697</v>
      </c>
      <c r="L7" s="1504" t="s">
        <v>10991</v>
      </c>
    </row>
    <row r="8" ht="15.75" customHeight="1">
      <c r="A8" s="1734" t="s">
        <v>446</v>
      </c>
      <c r="B8" s="1483" t="s">
        <v>8531</v>
      </c>
      <c r="C8" s="1676" t="s">
        <v>10689</v>
      </c>
      <c r="D8" s="1504" t="s">
        <v>10992</v>
      </c>
      <c r="E8" s="1504" t="s">
        <v>10993</v>
      </c>
      <c r="F8" s="1504" t="s">
        <v>10994</v>
      </c>
      <c r="G8" s="1504" t="s">
        <v>10995</v>
      </c>
      <c r="H8" s="1504" t="s">
        <v>10996</v>
      </c>
      <c r="I8" s="1504" t="s">
        <v>10997</v>
      </c>
      <c r="J8" s="1504" t="s">
        <v>10998</v>
      </c>
      <c r="K8" s="1504" t="s">
        <v>8655</v>
      </c>
      <c r="L8" s="1504"/>
    </row>
    <row r="9" ht="15.75" customHeight="1">
      <c r="A9" s="1698" t="s">
        <v>6501</v>
      </c>
      <c r="B9" s="1483" t="s">
        <v>8531</v>
      </c>
      <c r="C9" s="1504" t="s">
        <v>10999</v>
      </c>
      <c r="D9" s="1504" t="s">
        <v>11000</v>
      </c>
      <c r="E9" s="1504" t="s">
        <v>11001</v>
      </c>
      <c r="F9" s="1507" t="s">
        <v>11002</v>
      </c>
      <c r="G9" s="1507" t="s">
        <v>11003</v>
      </c>
      <c r="H9" s="1811" t="s">
        <v>11004</v>
      </c>
      <c r="I9" s="1507" t="s">
        <v>11005</v>
      </c>
      <c r="J9" s="1507" t="s">
        <v>11006</v>
      </c>
      <c r="K9" s="1504" t="s">
        <v>8677</v>
      </c>
      <c r="L9" s="1504"/>
    </row>
    <row r="10" ht="15.75" customHeight="1">
      <c r="A10" s="1668" t="s">
        <v>1626</v>
      </c>
      <c r="B10" s="1568" t="s">
        <v>8531</v>
      </c>
      <c r="C10" s="1812" t="s">
        <v>10727</v>
      </c>
      <c r="D10" s="1744" t="s">
        <v>11007</v>
      </c>
      <c r="E10" s="1744" t="s">
        <v>11008</v>
      </c>
      <c r="F10" s="1504" t="s">
        <v>11009</v>
      </c>
      <c r="G10" s="1766" t="s">
        <v>11010</v>
      </c>
      <c r="H10" s="1766" t="s">
        <v>11011</v>
      </c>
      <c r="I10" s="1766" t="s">
        <v>11012</v>
      </c>
      <c r="J10" s="1766" t="s">
        <v>11013</v>
      </c>
      <c r="K10" s="1766" t="s">
        <v>8892</v>
      </c>
      <c r="L10" s="1504" t="s">
        <v>11014</v>
      </c>
    </row>
    <row r="11" ht="15.75" customHeight="1">
      <c r="A11" s="1753" t="s">
        <v>955</v>
      </c>
      <c r="B11" s="1645" t="s">
        <v>8531</v>
      </c>
      <c r="C11" s="1813" t="s">
        <v>10718</v>
      </c>
      <c r="D11" s="1504" t="s">
        <v>11015</v>
      </c>
      <c r="E11" s="1504" t="s">
        <v>11016</v>
      </c>
      <c r="F11" s="1504" t="s">
        <v>11017</v>
      </c>
      <c r="G11" s="1504" t="s">
        <v>11018</v>
      </c>
      <c r="H11" s="1504" t="s">
        <v>11019</v>
      </c>
      <c r="I11" s="1504" t="s">
        <v>11020</v>
      </c>
      <c r="J11" s="1504" t="s">
        <v>11021</v>
      </c>
      <c r="K11" s="1504" t="s">
        <v>8766</v>
      </c>
      <c r="L11" s="1504" t="s">
        <v>11022</v>
      </c>
    </row>
    <row r="12" ht="15.75" customHeight="1">
      <c r="A12" s="1686" t="s">
        <v>2099</v>
      </c>
      <c r="B12" s="1483" t="s">
        <v>8531</v>
      </c>
      <c r="C12" s="1812" t="s">
        <v>10736</v>
      </c>
      <c r="D12" s="1504" t="s">
        <v>11023</v>
      </c>
      <c r="E12" s="1504" t="s">
        <v>11024</v>
      </c>
      <c r="F12" s="1504" t="s">
        <v>11025</v>
      </c>
      <c r="G12" s="1504" t="s">
        <v>11026</v>
      </c>
      <c r="H12" s="1504" t="s">
        <v>11027</v>
      </c>
      <c r="I12" s="1504" t="s">
        <v>11028</v>
      </c>
      <c r="J12" s="1504" t="s">
        <v>11029</v>
      </c>
      <c r="K12" s="1504" t="s">
        <v>8870</v>
      </c>
      <c r="L12" s="1504"/>
    </row>
    <row r="13" ht="15.75" customHeight="1">
      <c r="A13" s="1734" t="s">
        <v>334</v>
      </c>
      <c r="B13" s="1483" t="s">
        <v>8531</v>
      </c>
      <c r="C13" s="1504" t="s">
        <v>11030</v>
      </c>
      <c r="D13" s="1504" t="s">
        <v>11031</v>
      </c>
      <c r="E13" s="1504" t="s">
        <v>11032</v>
      </c>
      <c r="F13" s="1504" t="s">
        <v>11033</v>
      </c>
      <c r="G13" s="1504" t="s">
        <v>11034</v>
      </c>
      <c r="H13" s="1504" t="s">
        <v>11035</v>
      </c>
      <c r="I13" s="1504" t="s">
        <v>11036</v>
      </c>
      <c r="J13" s="1504" t="s">
        <v>11037</v>
      </c>
      <c r="K13" s="1504" t="s">
        <v>8722</v>
      </c>
      <c r="L13" s="1504"/>
    </row>
    <row r="14" ht="16.5" customHeight="1">
      <c r="A14" s="1751" t="s">
        <v>2737</v>
      </c>
      <c r="B14" s="1483" t="s">
        <v>8531</v>
      </c>
      <c r="C14" s="1504" t="s">
        <v>10759</v>
      </c>
      <c r="D14" s="1504" t="s">
        <v>11038</v>
      </c>
      <c r="E14" s="1504" t="s">
        <v>11039</v>
      </c>
      <c r="F14" s="1504" t="s">
        <v>11040</v>
      </c>
      <c r="G14" s="1504" t="s">
        <v>11041</v>
      </c>
      <c r="H14" s="1504" t="s">
        <v>11042</v>
      </c>
      <c r="I14" s="1504" t="s">
        <v>11043</v>
      </c>
      <c r="J14" s="1504" t="s">
        <v>11044</v>
      </c>
      <c r="K14" s="1504" t="s">
        <v>11045</v>
      </c>
      <c r="L14" s="1504" t="s">
        <v>11046</v>
      </c>
    </row>
    <row r="15" ht="15.0" customHeight="1">
      <c r="A15" s="1761" t="s">
        <v>1710</v>
      </c>
      <c r="B15" s="1636" t="s">
        <v>8531</v>
      </c>
      <c r="C15" s="1813" t="s">
        <v>11047</v>
      </c>
      <c r="D15" s="1504" t="s">
        <v>11048</v>
      </c>
      <c r="E15" s="1504" t="s">
        <v>11049</v>
      </c>
      <c r="F15" s="1504" t="s">
        <v>11050</v>
      </c>
      <c r="G15" s="1504" t="s">
        <v>11051</v>
      </c>
      <c r="H15" s="1504" t="s">
        <v>11052</v>
      </c>
      <c r="I15" s="1504" t="s">
        <v>11053</v>
      </c>
      <c r="J15" s="1504" t="s">
        <v>11054</v>
      </c>
      <c r="K15" s="1504" t="s">
        <v>9215</v>
      </c>
      <c r="L15" s="1504"/>
    </row>
    <row r="16" ht="15.75" customHeight="1">
      <c r="A16" s="1668" t="s">
        <v>6489</v>
      </c>
      <c r="B16" s="1483" t="s">
        <v>8531</v>
      </c>
      <c r="C16" s="1504" t="s">
        <v>10791</v>
      </c>
      <c r="D16" s="1504" t="s">
        <v>11055</v>
      </c>
      <c r="E16" s="1504" t="s">
        <v>11056</v>
      </c>
      <c r="F16" s="1504" t="s">
        <v>11057</v>
      </c>
      <c r="G16" s="1504" t="s">
        <v>11058</v>
      </c>
      <c r="H16" s="1504" t="s">
        <v>11059</v>
      </c>
      <c r="I16" s="1504" t="s">
        <v>11060</v>
      </c>
      <c r="J16" s="1504" t="s">
        <v>11061</v>
      </c>
      <c r="K16" s="1504" t="s">
        <v>9100</v>
      </c>
      <c r="L16" s="1504" t="s">
        <v>11062</v>
      </c>
    </row>
    <row r="17" ht="15.75" customHeight="1">
      <c r="A17" s="1734" t="s">
        <v>1481</v>
      </c>
      <c r="B17" s="1483" t="s">
        <v>8531</v>
      </c>
      <c r="C17" s="1504" t="s">
        <v>11063</v>
      </c>
      <c r="D17" s="1504" t="s">
        <v>11064</v>
      </c>
      <c r="E17" s="1504" t="s">
        <v>11065</v>
      </c>
      <c r="F17" s="1504" t="s">
        <v>11066</v>
      </c>
      <c r="G17" s="1504" t="s">
        <v>11067</v>
      </c>
      <c r="H17" s="1504" t="s">
        <v>11068</v>
      </c>
      <c r="I17" s="1504" t="s">
        <v>11069</v>
      </c>
      <c r="J17" s="1504" t="s">
        <v>11070</v>
      </c>
      <c r="K17" s="1504" t="s">
        <v>9076</v>
      </c>
      <c r="L17" s="1504"/>
    </row>
    <row r="18" ht="15.75" customHeight="1">
      <c r="A18" s="1668" t="s">
        <v>3173</v>
      </c>
      <c r="B18" s="1568" t="s">
        <v>8531</v>
      </c>
      <c r="C18" s="1749" t="s">
        <v>10752</v>
      </c>
      <c r="D18" s="1732" t="s">
        <v>11071</v>
      </c>
      <c r="E18" s="1732" t="s">
        <v>11072</v>
      </c>
      <c r="F18" s="1732" t="s">
        <v>11073</v>
      </c>
      <c r="G18" s="1732" t="s">
        <v>11074</v>
      </c>
      <c r="H18" s="1732" t="s">
        <v>11075</v>
      </c>
      <c r="I18" s="1732" t="s">
        <v>11076</v>
      </c>
      <c r="J18" s="1732" t="s">
        <v>11077</v>
      </c>
      <c r="K18" s="1732" t="s">
        <v>9035</v>
      </c>
      <c r="L18" s="1504"/>
    </row>
    <row r="19" ht="15.75" customHeight="1">
      <c r="A19" s="1668" t="s">
        <v>2347</v>
      </c>
      <c r="B19" s="1645" t="s">
        <v>8531</v>
      </c>
      <c r="C19" s="1813" t="s">
        <v>10767</v>
      </c>
      <c r="D19" s="1504" t="s">
        <v>11078</v>
      </c>
      <c r="E19" s="1504" t="s">
        <v>11079</v>
      </c>
      <c r="F19" s="1504" t="s">
        <v>11080</v>
      </c>
      <c r="G19" s="1504" t="s">
        <v>11081</v>
      </c>
      <c r="H19" s="1504" t="s">
        <v>11082</v>
      </c>
      <c r="I19" s="1504" t="s">
        <v>11083</v>
      </c>
      <c r="J19" s="1504" t="s">
        <v>11084</v>
      </c>
      <c r="K19" s="1504" t="s">
        <v>8936</v>
      </c>
      <c r="L19" s="1504" t="s">
        <v>11085</v>
      </c>
    </row>
    <row r="20" ht="15.75" customHeight="1">
      <c r="A20" s="1734" t="s">
        <v>859</v>
      </c>
      <c r="B20" s="1483" t="s">
        <v>8531</v>
      </c>
      <c r="C20" s="1504" t="s">
        <v>11086</v>
      </c>
      <c r="D20" s="1504" t="s">
        <v>11087</v>
      </c>
      <c r="E20" s="1504" t="s">
        <v>11088</v>
      </c>
      <c r="F20" s="1504" t="s">
        <v>11089</v>
      </c>
      <c r="G20" s="1504" t="s">
        <v>11090</v>
      </c>
      <c r="H20" s="1504" t="s">
        <v>11091</v>
      </c>
      <c r="I20" s="1504" t="s">
        <v>11092</v>
      </c>
      <c r="J20" s="1504" t="s">
        <v>11093</v>
      </c>
      <c r="K20" s="1504" t="s">
        <v>9369</v>
      </c>
      <c r="L20" s="1504"/>
    </row>
    <row r="21" ht="15.75" customHeight="1">
      <c r="A21" s="1668" t="s">
        <v>1802</v>
      </c>
      <c r="B21" s="1568" t="s">
        <v>8531</v>
      </c>
      <c r="C21" s="1504" t="s">
        <v>11094</v>
      </c>
      <c r="D21" s="1504" t="s">
        <v>11095</v>
      </c>
      <c r="E21" s="1766" t="s">
        <v>11096</v>
      </c>
      <c r="F21" s="1504" t="s">
        <v>11097</v>
      </c>
      <c r="G21" s="1504" t="s">
        <v>11098</v>
      </c>
      <c r="H21" s="1504" t="s">
        <v>11099</v>
      </c>
      <c r="I21" s="1504" t="s">
        <v>11100</v>
      </c>
      <c r="J21" s="1504" t="s">
        <v>11101</v>
      </c>
      <c r="K21" s="1504" t="s">
        <v>9126</v>
      </c>
      <c r="L21" s="1504"/>
    </row>
    <row r="22" ht="15.75" customHeight="1">
      <c r="A22" s="1698" t="s">
        <v>8938</v>
      </c>
      <c r="B22" s="1483" t="s">
        <v>8531</v>
      </c>
      <c r="C22" s="1504" t="s">
        <v>10809</v>
      </c>
      <c r="D22" s="1504" t="s">
        <v>11102</v>
      </c>
      <c r="E22" s="1504" t="s">
        <v>11103</v>
      </c>
      <c r="F22" s="1504" t="s">
        <v>11104</v>
      </c>
      <c r="G22" s="1504" t="s">
        <v>11105</v>
      </c>
      <c r="H22" s="1504" t="s">
        <v>11106</v>
      </c>
      <c r="I22" s="1504" t="s">
        <v>11107</v>
      </c>
      <c r="J22" s="1504" t="s">
        <v>11108</v>
      </c>
      <c r="K22" s="1504" t="s">
        <v>8954</v>
      </c>
      <c r="L22" s="1504"/>
    </row>
    <row r="23" ht="15.75" customHeight="1">
      <c r="A23" s="1668" t="s">
        <v>767</v>
      </c>
      <c r="B23" s="1568" t="s">
        <v>8560</v>
      </c>
      <c r="C23" s="1504" t="s">
        <v>11109</v>
      </c>
      <c r="D23" s="1754" t="s">
        <v>10962</v>
      </c>
      <c r="E23" s="1754" t="s">
        <v>10963</v>
      </c>
      <c r="F23" s="1754" t="s">
        <v>10964</v>
      </c>
      <c r="G23" s="1754" t="s">
        <v>10965</v>
      </c>
      <c r="H23" s="1754" t="s">
        <v>10966</v>
      </c>
      <c r="I23" s="1754" t="s">
        <v>10967</v>
      </c>
      <c r="J23" s="1754" t="s">
        <v>10968</v>
      </c>
      <c r="K23" s="1754" t="s">
        <v>8913</v>
      </c>
      <c r="L23" s="1504" t="s">
        <v>11110</v>
      </c>
    </row>
    <row r="24" ht="15.75" customHeight="1">
      <c r="A24" s="1753" t="s">
        <v>1311</v>
      </c>
      <c r="B24" s="1568" t="s">
        <v>8586</v>
      </c>
      <c r="C24" s="1637" t="s">
        <v>10853</v>
      </c>
      <c r="D24" s="1637" t="s">
        <v>10969</v>
      </c>
      <c r="E24" s="1637" t="s">
        <v>10970</v>
      </c>
      <c r="F24" s="1637" t="s">
        <v>10971</v>
      </c>
      <c r="G24" s="1637" t="s">
        <v>10972</v>
      </c>
      <c r="H24" s="1637" t="s">
        <v>10973</v>
      </c>
      <c r="I24" s="1637" t="s">
        <v>10974</v>
      </c>
      <c r="J24" s="1637" t="s">
        <v>10975</v>
      </c>
      <c r="K24" s="1637" t="s">
        <v>8913</v>
      </c>
      <c r="L24" s="1504"/>
    </row>
    <row r="25" ht="16.5" customHeight="1">
      <c r="A25" s="1753" t="s">
        <v>11111</v>
      </c>
      <c r="B25" s="1568" t="s">
        <v>8531</v>
      </c>
      <c r="C25" s="1762" t="s">
        <v>10835</v>
      </c>
      <c r="D25" s="1504" t="s">
        <v>11112</v>
      </c>
      <c r="E25" s="1504" t="s">
        <v>11113</v>
      </c>
      <c r="F25" s="1504" t="s">
        <v>11114</v>
      </c>
      <c r="G25" s="1504" t="s">
        <v>11105</v>
      </c>
      <c r="H25" s="1504" t="s">
        <v>11115</v>
      </c>
      <c r="I25" s="1504" t="s">
        <v>11116</v>
      </c>
      <c r="J25" s="1504" t="s">
        <v>11117</v>
      </c>
      <c r="K25" s="1504" t="s">
        <v>9533</v>
      </c>
      <c r="L25" s="1504"/>
    </row>
    <row r="26" ht="15.75" customHeight="1">
      <c r="A26" s="1753" t="s">
        <v>3005</v>
      </c>
      <c r="B26" s="1568" t="s">
        <v>8531</v>
      </c>
      <c r="C26" s="1504" t="s">
        <v>11118</v>
      </c>
      <c r="D26" s="1504" t="s">
        <v>11119</v>
      </c>
      <c r="E26" s="1504" t="s">
        <v>11120</v>
      </c>
      <c r="F26" s="1504" t="s">
        <v>11121</v>
      </c>
      <c r="G26" s="1504" t="s">
        <v>11122</v>
      </c>
      <c r="H26" s="1504" t="s">
        <v>11123</v>
      </c>
      <c r="I26" s="1504" t="s">
        <v>11124</v>
      </c>
      <c r="J26" s="1504" t="s">
        <v>11125</v>
      </c>
      <c r="K26" s="1504" t="s">
        <v>11126</v>
      </c>
      <c r="L26" s="1504" t="s">
        <v>11127</v>
      </c>
    </row>
    <row r="27">
      <c r="A27" s="1768" t="s">
        <v>2969</v>
      </c>
      <c r="B27" s="1742" t="s">
        <v>8560</v>
      </c>
      <c r="C27" s="1813" t="s">
        <v>11128</v>
      </c>
      <c r="D27" s="1504"/>
      <c r="E27" s="1504" t="s">
        <v>11129</v>
      </c>
      <c r="F27" s="1504" t="s">
        <v>11130</v>
      </c>
      <c r="G27" s="1504"/>
      <c r="H27" s="1504"/>
      <c r="I27" s="1504"/>
      <c r="J27" s="1504"/>
      <c r="K27" s="1504" t="s">
        <v>9647</v>
      </c>
      <c r="L27" s="1504"/>
    </row>
    <row r="28">
      <c r="A28" s="1747" t="s">
        <v>2312</v>
      </c>
      <c r="B28" s="1645" t="s">
        <v>8560</v>
      </c>
      <c r="C28" s="1504" t="s">
        <v>11131</v>
      </c>
      <c r="D28" s="1504" t="s">
        <v>11132</v>
      </c>
      <c r="E28" s="1504" t="s">
        <v>11133</v>
      </c>
      <c r="F28" s="1504" t="s">
        <v>11134</v>
      </c>
      <c r="G28" s="1504" t="s">
        <v>11135</v>
      </c>
      <c r="H28" s="1504" t="s">
        <v>11136</v>
      </c>
      <c r="I28" s="1504" t="s">
        <v>11137</v>
      </c>
      <c r="J28" s="1504" t="s">
        <v>11138</v>
      </c>
      <c r="K28" s="1504" t="s">
        <v>11139</v>
      </c>
      <c r="L28" s="1504" t="s">
        <v>11140</v>
      </c>
    </row>
    <row r="29" ht="15.75" customHeight="1">
      <c r="A29" s="1668" t="s">
        <v>2633</v>
      </c>
      <c r="B29" s="1636" t="s">
        <v>8560</v>
      </c>
      <c r="C29" s="1754" t="s">
        <v>10861</v>
      </c>
      <c r="D29" s="1504" t="s">
        <v>11141</v>
      </c>
      <c r="E29" s="1504" t="s">
        <v>11142</v>
      </c>
      <c r="F29" s="1504" t="s">
        <v>11143</v>
      </c>
      <c r="G29" s="1504" t="s">
        <v>11144</v>
      </c>
      <c r="H29" s="1504" t="s">
        <v>11145</v>
      </c>
      <c r="I29" s="1504" t="s">
        <v>11146</v>
      </c>
      <c r="J29" s="1504" t="s">
        <v>11147</v>
      </c>
      <c r="K29" s="1504" t="s">
        <v>9511</v>
      </c>
      <c r="L29" s="1504"/>
    </row>
    <row r="30" ht="15.75" customHeight="1">
      <c r="A30" s="1753" t="s">
        <v>5488</v>
      </c>
      <c r="B30" s="1568" t="s">
        <v>8531</v>
      </c>
      <c r="C30" s="1813" t="s">
        <v>11148</v>
      </c>
      <c r="D30" s="1504" t="s">
        <v>11149</v>
      </c>
      <c r="E30" s="1504" t="s">
        <v>11150</v>
      </c>
      <c r="F30" s="1504" t="s">
        <v>11151</v>
      </c>
      <c r="G30" s="1504" t="s">
        <v>11152</v>
      </c>
      <c r="H30" s="1504" t="s">
        <v>11153</v>
      </c>
      <c r="I30" s="1504" t="s">
        <v>11154</v>
      </c>
      <c r="J30" s="1504" t="s">
        <v>11155</v>
      </c>
      <c r="K30" s="1504" t="s">
        <v>11156</v>
      </c>
      <c r="L30" s="1504" t="s">
        <v>11157</v>
      </c>
    </row>
    <row r="31" ht="15.75" customHeight="1">
      <c r="A31" s="1753" t="s">
        <v>4975</v>
      </c>
      <c r="B31" s="1568" t="s">
        <v>8560</v>
      </c>
      <c r="C31" s="1813" t="s">
        <v>10947</v>
      </c>
      <c r="D31" s="1504" t="s">
        <v>11158</v>
      </c>
      <c r="E31" s="1504" t="s">
        <v>11159</v>
      </c>
      <c r="F31" s="1504" t="s">
        <v>11160</v>
      </c>
      <c r="G31" s="1504" t="s">
        <v>11161</v>
      </c>
      <c r="H31" s="1504" t="s">
        <v>11162</v>
      </c>
      <c r="I31" s="1504" t="s">
        <v>11163</v>
      </c>
      <c r="J31" s="1504" t="s">
        <v>11164</v>
      </c>
      <c r="K31" s="1504" t="s">
        <v>10601</v>
      </c>
      <c r="L31" s="1504" t="s">
        <v>11165</v>
      </c>
    </row>
    <row r="32" ht="15.75" customHeight="1">
      <c r="A32" s="1686"/>
      <c r="B32" s="1483"/>
      <c r="C32" s="1814"/>
      <c r="D32" s="1504"/>
      <c r="E32" s="1504"/>
      <c r="F32" s="1504"/>
      <c r="G32" s="1504"/>
      <c r="H32" s="1504"/>
      <c r="I32" s="1504"/>
      <c r="J32" s="1504"/>
      <c r="K32" s="1504"/>
      <c r="L32" s="1504"/>
    </row>
    <row r="33" ht="15.75" customHeight="1">
      <c r="A33" s="1698"/>
      <c r="B33" s="1483"/>
      <c r="C33" s="1814"/>
      <c r="D33" s="1504"/>
      <c r="E33" s="1504"/>
      <c r="F33" s="1504"/>
      <c r="G33" s="1504"/>
      <c r="H33" s="1504"/>
      <c r="I33" s="1504"/>
      <c r="J33" s="1504"/>
      <c r="K33" s="1504"/>
      <c r="L33" s="1504"/>
    </row>
    <row r="34" ht="15.75" customHeight="1">
      <c r="A34" s="1686"/>
      <c r="B34" s="1483"/>
      <c r="C34" s="1814"/>
      <c r="D34" s="1504"/>
      <c r="E34" s="1504"/>
      <c r="F34" s="1504"/>
      <c r="G34" s="1504"/>
      <c r="H34" s="1504"/>
      <c r="I34" s="1504"/>
      <c r="J34" s="1504"/>
      <c r="K34" s="1504"/>
      <c r="L34" s="1504"/>
    </row>
    <row r="35" ht="15.75" customHeight="1">
      <c r="A35" s="1698"/>
      <c r="B35" s="1483"/>
      <c r="C35" s="1814"/>
      <c r="D35" s="1504"/>
      <c r="E35" s="1504"/>
      <c r="F35" s="1504"/>
      <c r="G35" s="1504"/>
      <c r="H35" s="1504"/>
      <c r="I35" s="1504"/>
      <c r="J35" s="1504"/>
      <c r="K35" s="1504"/>
      <c r="L35" s="1504"/>
    </row>
    <row r="36">
      <c r="A36" s="1747"/>
      <c r="B36" s="1748"/>
      <c r="C36" s="1814"/>
      <c r="D36" s="1504"/>
      <c r="E36" s="1504"/>
      <c r="F36" s="1504"/>
      <c r="G36" s="1504"/>
      <c r="H36" s="1504"/>
      <c r="I36" s="1504"/>
      <c r="J36" s="1504"/>
      <c r="K36" s="1504"/>
      <c r="L36" s="1504"/>
    </row>
    <row r="37" ht="15.75" customHeight="1">
      <c r="A37" s="1753"/>
      <c r="B37" s="1649"/>
      <c r="C37" s="1814"/>
      <c r="D37" s="1504"/>
      <c r="E37" s="1504"/>
      <c r="F37" s="1504"/>
      <c r="G37" s="1504"/>
      <c r="H37" s="1504"/>
      <c r="I37" s="1504"/>
      <c r="J37" s="1504"/>
      <c r="K37" s="1504"/>
      <c r="L37" s="1504"/>
    </row>
    <row r="38" ht="15.75" customHeight="1">
      <c r="A38" s="1668"/>
      <c r="B38" s="1542"/>
      <c r="C38" s="1814"/>
      <c r="D38" s="1504"/>
      <c r="E38" s="1504"/>
      <c r="F38" s="1504"/>
      <c r="G38" s="1504"/>
      <c r="H38" s="1504"/>
      <c r="I38" s="1504"/>
      <c r="J38" s="1504"/>
      <c r="K38" s="1504"/>
      <c r="L38" s="1504"/>
    </row>
    <row r="39">
      <c r="A39" s="1768"/>
      <c r="B39" s="1742"/>
      <c r="C39" s="1814"/>
      <c r="D39" s="1504"/>
      <c r="E39" s="1504"/>
      <c r="F39" s="1504"/>
      <c r="G39" s="1504"/>
      <c r="H39" s="1504"/>
      <c r="I39" s="1504"/>
      <c r="J39" s="1504"/>
      <c r="K39" s="1504"/>
      <c r="L39" s="1504"/>
    </row>
    <row r="40" ht="15.75" customHeight="1">
      <c r="A40" s="1686"/>
      <c r="B40" s="1542"/>
      <c r="C40" s="1814"/>
      <c r="D40" s="1504"/>
      <c r="E40" s="1504"/>
      <c r="F40" s="1504"/>
      <c r="G40" s="1504"/>
      <c r="H40" s="1504"/>
      <c r="I40" s="1504"/>
      <c r="J40" s="1504"/>
      <c r="K40" s="1504"/>
      <c r="L40" s="1504"/>
    </row>
    <row r="41">
      <c r="A41" s="1753"/>
      <c r="B41" s="1769"/>
      <c r="C41" s="1814"/>
      <c r="D41" s="1504"/>
      <c r="E41" s="1504"/>
      <c r="F41" s="1504"/>
      <c r="G41" s="1504"/>
      <c r="H41" s="1504"/>
      <c r="I41" s="1504"/>
      <c r="J41" s="1504"/>
      <c r="K41" s="1504"/>
      <c r="L41" s="1504"/>
    </row>
    <row r="42" ht="15.75" customHeight="1">
      <c r="A42" s="1698"/>
      <c r="B42" s="1542"/>
      <c r="C42" s="1814"/>
      <c r="D42" s="1504"/>
      <c r="E42" s="1504"/>
      <c r="F42" s="1504"/>
      <c r="G42" s="1504"/>
      <c r="H42" s="1504"/>
      <c r="I42" s="1504"/>
      <c r="J42" s="1504"/>
      <c r="K42" s="1504"/>
      <c r="L42" s="1504"/>
    </row>
    <row r="43" ht="15.75" customHeight="1">
      <c r="A43" s="1686"/>
      <c r="B43" s="1483"/>
      <c r="C43" s="1814"/>
      <c r="D43" s="1504"/>
      <c r="E43" s="1504"/>
      <c r="F43" s="1504"/>
      <c r="G43" s="1504"/>
      <c r="H43" s="1504"/>
      <c r="I43" s="1504"/>
      <c r="J43" s="1504"/>
      <c r="K43" s="1504"/>
      <c r="L43" s="1504"/>
    </row>
    <row r="44">
      <c r="A44" s="1747"/>
      <c r="B44" s="1748"/>
      <c r="C44" s="1814"/>
      <c r="D44" s="1504"/>
      <c r="E44" s="1504"/>
      <c r="F44" s="1504"/>
      <c r="G44" s="1504"/>
      <c r="H44" s="1504"/>
      <c r="I44" s="1504"/>
      <c r="J44" s="1504"/>
      <c r="K44" s="1504"/>
      <c r="L44" s="1504"/>
    </row>
    <row r="45" ht="15.75" customHeight="1">
      <c r="A45" s="1686"/>
      <c r="B45" s="1483"/>
      <c r="C45" s="1814"/>
      <c r="D45" s="1504"/>
      <c r="E45" s="1504"/>
      <c r="F45" s="1504"/>
      <c r="G45" s="1504"/>
      <c r="H45" s="1504"/>
      <c r="I45" s="1504"/>
      <c r="J45" s="1504"/>
      <c r="K45" s="1504"/>
      <c r="L45" s="1504"/>
    </row>
    <row r="46" ht="15.75" customHeight="1">
      <c r="A46" s="1698"/>
      <c r="B46" s="1483"/>
      <c r="C46" s="1814"/>
      <c r="D46" s="1504"/>
      <c r="E46" s="1504"/>
      <c r="F46" s="1504"/>
      <c r="G46" s="1504"/>
      <c r="H46" s="1504"/>
      <c r="I46" s="1504"/>
      <c r="J46" s="1504"/>
      <c r="K46" s="1504"/>
      <c r="L46" s="1504"/>
    </row>
    <row r="47" ht="15.75" customHeight="1">
      <c r="A47" s="1686"/>
      <c r="B47" s="1542"/>
      <c r="C47" s="1814"/>
      <c r="D47" s="1504"/>
      <c r="E47" s="1504"/>
      <c r="F47" s="1504"/>
      <c r="G47" s="1504"/>
      <c r="H47" s="1504"/>
      <c r="I47" s="1504"/>
      <c r="J47" s="1504"/>
      <c r="K47" s="1504"/>
      <c r="L47" s="1504"/>
    </row>
    <row r="48" ht="15.0" customHeight="1">
      <c r="A48" s="1698"/>
      <c r="B48" s="1542"/>
      <c r="C48" s="1814"/>
      <c r="D48" s="1504"/>
      <c r="E48" s="1504"/>
      <c r="F48" s="1504"/>
      <c r="G48" s="1504"/>
      <c r="H48" s="1504"/>
      <c r="I48" s="1504"/>
      <c r="J48" s="1504"/>
      <c r="K48" s="1504"/>
      <c r="L48" s="1504"/>
    </row>
    <row r="49" ht="15.75" customHeight="1">
      <c r="A49" s="1753"/>
      <c r="B49" s="1568"/>
      <c r="C49" s="1814"/>
      <c r="D49" s="1504"/>
      <c r="E49" s="1504"/>
      <c r="F49" s="1504"/>
      <c r="G49" s="1504"/>
      <c r="H49" s="1504"/>
      <c r="I49" s="1504"/>
      <c r="J49" s="1504"/>
      <c r="K49" s="1504"/>
      <c r="L49" s="1504"/>
    </row>
    <row r="50" ht="15.75" customHeight="1">
      <c r="A50" s="1686"/>
      <c r="B50" s="1649"/>
      <c r="C50" s="1814"/>
      <c r="D50" s="1504"/>
      <c r="E50" s="1504"/>
      <c r="F50" s="1504"/>
      <c r="G50" s="1504"/>
      <c r="H50" s="1504"/>
      <c r="I50" s="1504"/>
      <c r="J50" s="1504"/>
      <c r="K50" s="1504"/>
      <c r="L50" s="1504"/>
    </row>
    <row r="51">
      <c r="A51" s="1768"/>
      <c r="B51" s="1742"/>
      <c r="C51" s="1814"/>
      <c r="D51" s="1504"/>
      <c r="E51" s="1504"/>
      <c r="F51" s="1504"/>
      <c r="G51" s="1504"/>
      <c r="H51" s="1504"/>
      <c r="I51" s="1504"/>
      <c r="J51" s="1504"/>
      <c r="K51" s="1504"/>
      <c r="L51" s="1504"/>
    </row>
    <row r="52" ht="15.75" customHeight="1">
      <c r="A52" s="1698"/>
      <c r="B52" s="1483"/>
      <c r="C52" s="1814"/>
      <c r="D52" s="1504"/>
      <c r="E52" s="1504"/>
      <c r="F52" s="1504"/>
      <c r="G52" s="1504"/>
      <c r="H52" s="1504"/>
      <c r="I52" s="1504"/>
      <c r="J52" s="1504"/>
      <c r="K52" s="1504"/>
      <c r="L52" s="1504"/>
    </row>
    <row r="53" ht="15.75" customHeight="1">
      <c r="A53" s="1686"/>
      <c r="B53" s="1483"/>
      <c r="C53" s="1814"/>
      <c r="D53" s="1504"/>
      <c r="E53" s="1504"/>
      <c r="F53" s="1504"/>
      <c r="G53" s="1504"/>
      <c r="H53" s="1504"/>
      <c r="I53" s="1504"/>
      <c r="J53" s="1504"/>
      <c r="K53" s="1504"/>
      <c r="L53" s="1504"/>
    </row>
    <row r="54" ht="15.75" customHeight="1">
      <c r="A54" s="1747"/>
      <c r="B54" s="1748"/>
      <c r="C54" s="1814"/>
      <c r="D54" s="1504"/>
      <c r="E54" s="1504"/>
      <c r="F54" s="1504"/>
      <c r="G54" s="1504"/>
      <c r="H54" s="1504"/>
      <c r="I54" s="1504"/>
      <c r="J54" s="1504"/>
      <c r="K54" s="1504"/>
      <c r="L54" s="1504"/>
    </row>
    <row r="55" ht="15.75" customHeight="1">
      <c r="A55" s="1698"/>
      <c r="B55" s="1542"/>
      <c r="C55" s="1814"/>
      <c r="D55" s="1504"/>
      <c r="E55" s="1504"/>
      <c r="F55" s="1504"/>
      <c r="G55" s="1504"/>
      <c r="H55" s="1504"/>
      <c r="I55" s="1504"/>
      <c r="J55" s="1504"/>
      <c r="K55" s="1504"/>
      <c r="L55" s="1504"/>
    </row>
    <row r="56" ht="15.75" customHeight="1">
      <c r="A56" s="1686"/>
      <c r="B56" s="1649"/>
      <c r="C56" s="1814"/>
      <c r="D56" s="1504"/>
      <c r="E56" s="1504"/>
      <c r="F56" s="1504"/>
      <c r="G56" s="1504"/>
      <c r="H56" s="1504"/>
      <c r="I56" s="1504"/>
      <c r="J56" s="1504"/>
      <c r="K56" s="1504"/>
      <c r="L56" s="1504"/>
    </row>
    <row r="57" ht="15.75" customHeight="1">
      <c r="A57" s="1747"/>
      <c r="B57" s="1568"/>
      <c r="C57" s="1814"/>
      <c r="D57" s="1504"/>
      <c r="E57" s="1504"/>
      <c r="F57" s="1504"/>
      <c r="G57" s="1504"/>
      <c r="H57" s="1504"/>
      <c r="I57" s="1504"/>
      <c r="J57" s="1504"/>
      <c r="K57" s="1504"/>
      <c r="L57" s="1504"/>
    </row>
    <row r="58" ht="15.75" customHeight="1">
      <c r="A58" s="1753"/>
      <c r="B58" s="1645"/>
      <c r="C58" s="1814"/>
      <c r="D58" s="1504"/>
      <c r="E58" s="1504"/>
      <c r="F58" s="1504"/>
      <c r="G58" s="1504"/>
      <c r="H58" s="1504"/>
      <c r="I58" s="1504"/>
      <c r="J58" s="1504"/>
      <c r="K58" s="1504"/>
      <c r="L58" s="1504"/>
    </row>
    <row r="59" ht="15.75" customHeight="1">
      <c r="A59" s="1747"/>
      <c r="B59" s="1748"/>
      <c r="C59" s="1814"/>
      <c r="D59" s="1504"/>
      <c r="E59" s="1504"/>
      <c r="F59" s="1504"/>
      <c r="G59" s="1504"/>
      <c r="H59" s="1504"/>
      <c r="I59" s="1504"/>
      <c r="J59" s="1504"/>
      <c r="K59" s="1504"/>
      <c r="L59" s="1504"/>
    </row>
    <row r="60" ht="15.75" customHeight="1">
      <c r="A60" s="1686"/>
      <c r="B60" s="1649"/>
      <c r="C60" s="1814"/>
      <c r="D60" s="1504"/>
      <c r="E60" s="1504"/>
      <c r="F60" s="1504"/>
      <c r="G60" s="1504"/>
      <c r="H60" s="1504"/>
      <c r="I60" s="1504"/>
      <c r="J60" s="1504"/>
      <c r="K60" s="1504"/>
      <c r="L60" s="1504"/>
    </row>
    <row r="61" ht="16.5" customHeight="1">
      <c r="A61" s="1698"/>
      <c r="B61" s="1649"/>
      <c r="C61" s="1814"/>
      <c r="D61" s="1504"/>
      <c r="E61" s="1504"/>
      <c r="F61" s="1504"/>
      <c r="G61" s="1504"/>
      <c r="H61" s="1504"/>
      <c r="I61" s="1504"/>
      <c r="J61" s="1504"/>
      <c r="K61" s="1504"/>
      <c r="L61" s="1504"/>
    </row>
    <row r="62">
      <c r="A62" s="1747"/>
      <c r="B62" s="1748"/>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68"/>
      <c r="B64" s="1636"/>
      <c r="C64" s="1504"/>
      <c r="D64" s="1504"/>
      <c r="E64" s="1504"/>
      <c r="F64" s="1504"/>
      <c r="G64" s="1504"/>
      <c r="H64" s="1504"/>
      <c r="I64" s="1504"/>
      <c r="J64" s="1504"/>
      <c r="K64" s="1504"/>
      <c r="L64" s="1504"/>
    </row>
    <row r="65">
      <c r="A65" s="1747"/>
      <c r="B65" s="1748"/>
      <c r="C65" s="1504"/>
      <c r="D65" s="1504"/>
      <c r="E65" s="1504"/>
      <c r="F65" s="1504"/>
      <c r="G65" s="1504"/>
      <c r="H65" s="1504"/>
      <c r="I65" s="1504"/>
      <c r="J65" s="1504"/>
      <c r="K65" s="1504"/>
      <c r="L65" s="1504"/>
    </row>
    <row r="66">
      <c r="A66" s="1686"/>
      <c r="B66" s="1542"/>
      <c r="C66" s="1504"/>
      <c r="D66" s="1504"/>
      <c r="E66" s="1504"/>
      <c r="F66" s="1504"/>
      <c r="G66" s="1504"/>
      <c r="H66" s="1504"/>
      <c r="I66" s="1504"/>
      <c r="J66" s="1504"/>
      <c r="K66" s="1504"/>
      <c r="L66" s="1504"/>
    </row>
    <row r="67">
      <c r="A67" s="1753"/>
      <c r="B67" s="1636"/>
      <c r="C67" s="1504"/>
      <c r="D67" s="1504"/>
      <c r="E67" s="1504"/>
      <c r="F67" s="1504"/>
      <c r="G67" s="1504"/>
      <c r="H67" s="1504"/>
      <c r="I67" s="1504"/>
      <c r="J67" s="1504"/>
      <c r="K67" s="1504"/>
      <c r="L67" s="1504"/>
    </row>
    <row r="68" ht="17.25" customHeight="1">
      <c r="A68" s="1768"/>
      <c r="B68" s="1542"/>
      <c r="C68" s="1504"/>
      <c r="D68" s="1504"/>
      <c r="E68" s="1504"/>
      <c r="F68" s="1504"/>
      <c r="G68" s="1504"/>
      <c r="H68" s="1504"/>
      <c r="I68" s="1504"/>
      <c r="J68" s="1504"/>
      <c r="K68" s="1504"/>
      <c r="L68" s="1504"/>
    </row>
    <row r="69">
      <c r="A69" s="1786"/>
      <c r="B69" s="1742"/>
      <c r="C69" s="1776"/>
      <c r="D69" s="1815"/>
      <c r="E69" s="1815"/>
      <c r="F69" s="1815"/>
      <c r="G69" s="1790"/>
      <c r="H69" s="1790"/>
      <c r="I69" s="1790"/>
      <c r="J69" s="1790"/>
      <c r="K69" s="1791"/>
      <c r="L69" s="1792"/>
    </row>
    <row r="70">
      <c r="A70" s="1773"/>
      <c r="B70" s="1774"/>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3"/>
      <c r="B72" s="1774"/>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3"/>
      <c r="B74" s="1774"/>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3"/>
      <c r="B76" s="1774"/>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3"/>
      <c r="B78" s="1774"/>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3"/>
      <c r="B80" s="1774"/>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3"/>
      <c r="B82" s="1774"/>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3"/>
      <c r="B84" s="1774"/>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3"/>
      <c r="B86" s="1774"/>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3"/>
      <c r="B88" s="1774"/>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3"/>
      <c r="B90" s="1774"/>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3"/>
      <c r="B92" s="1774"/>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3"/>
      <c r="B94" s="1774"/>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3"/>
      <c r="B96" s="1774"/>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3"/>
      <c r="B98" s="1774"/>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3"/>
      <c r="B100" s="1774"/>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11166</v>
      </c>
      <c r="C1" s="1818" t="s">
        <v>43</v>
      </c>
      <c r="D1" s="1819" t="s">
        <v>11167</v>
      </c>
      <c r="E1" s="1818" t="s">
        <v>11168</v>
      </c>
      <c r="F1" s="1820" t="s">
        <v>11169</v>
      </c>
    </row>
    <row r="2">
      <c r="A2" s="1821"/>
      <c r="B2" s="1822"/>
      <c r="C2" s="1822"/>
      <c r="D2" s="1822"/>
      <c r="E2" s="1822"/>
      <c r="F2" s="1822"/>
    </row>
    <row r="3">
      <c r="A3" s="1821"/>
      <c r="B3" s="1822"/>
      <c r="C3" s="1822"/>
      <c r="D3" s="1822"/>
      <c r="E3" s="1822"/>
      <c r="F3" s="1822"/>
    </row>
    <row r="4">
      <c r="A4" s="1823" t="s">
        <v>11170</v>
      </c>
      <c r="B4" s="1824" t="s">
        <v>11171</v>
      </c>
      <c r="C4" s="1825"/>
      <c r="D4" s="1825"/>
      <c r="E4" s="1825"/>
      <c r="F4" s="1826"/>
    </row>
    <row r="5">
      <c r="A5" s="1822"/>
      <c r="B5" s="1827"/>
      <c r="C5" s="1828"/>
      <c r="D5" s="1828"/>
      <c r="E5" s="1828"/>
      <c r="F5" s="1829"/>
    </row>
    <row r="6">
      <c r="A6" s="1830" t="s">
        <v>11171</v>
      </c>
      <c r="B6" s="1831" t="s">
        <v>11172</v>
      </c>
      <c r="C6" s="1832" t="s">
        <v>4370</v>
      </c>
      <c r="D6" s="1833" t="s">
        <v>11173</v>
      </c>
      <c r="E6" s="1832" t="s">
        <v>11174</v>
      </c>
      <c r="F6" s="1834">
        <v>44233.0</v>
      </c>
    </row>
    <row r="7">
      <c r="A7" s="1830" t="s">
        <v>11175</v>
      </c>
      <c r="B7" s="1835" t="s">
        <v>11176</v>
      </c>
      <c r="C7" s="1832" t="s">
        <v>859</v>
      </c>
      <c r="D7" s="1833" t="s">
        <v>11177</v>
      </c>
      <c r="E7" s="1832" t="s">
        <v>11174</v>
      </c>
      <c r="F7" s="1834">
        <v>43878.0</v>
      </c>
    </row>
    <row r="8">
      <c r="A8" s="1830" t="s">
        <v>11178</v>
      </c>
      <c r="B8" s="1836" t="s">
        <v>11179</v>
      </c>
      <c r="C8" s="1832" t="s">
        <v>334</v>
      </c>
      <c r="D8" s="1833" t="s">
        <v>11180</v>
      </c>
      <c r="E8" s="1832" t="s">
        <v>11174</v>
      </c>
      <c r="F8" s="1834">
        <v>43879.0</v>
      </c>
    </row>
    <row r="9">
      <c r="A9" s="1830" t="s">
        <v>11181</v>
      </c>
      <c r="B9" s="1837" t="s">
        <v>11182</v>
      </c>
      <c r="C9" s="1832" t="s">
        <v>4093</v>
      </c>
      <c r="D9" s="1833" t="s">
        <v>11183</v>
      </c>
      <c r="E9" s="1832" t="s">
        <v>11184</v>
      </c>
      <c r="F9" s="1834">
        <v>44084.0</v>
      </c>
    </row>
    <row r="10">
      <c r="A10" s="1830" t="s">
        <v>11185</v>
      </c>
      <c r="B10" s="1837" t="s">
        <v>11186</v>
      </c>
      <c r="C10" s="1838"/>
      <c r="D10" s="1839"/>
      <c r="E10" s="1838"/>
      <c r="F10" s="1838"/>
    </row>
    <row r="11">
      <c r="A11" s="1830" t="s">
        <v>11187</v>
      </c>
      <c r="B11" s="1824" t="s">
        <v>11175</v>
      </c>
      <c r="C11" s="1825"/>
      <c r="D11" s="1825"/>
      <c r="E11" s="1825"/>
      <c r="F11" s="1826"/>
    </row>
    <row r="12">
      <c r="A12" s="1830" t="s">
        <v>11188</v>
      </c>
      <c r="B12" s="1827"/>
      <c r="C12" s="1828"/>
      <c r="D12" s="1828"/>
      <c r="E12" s="1828"/>
      <c r="F12" s="1829"/>
    </row>
    <row r="13">
      <c r="A13" s="1830" t="s">
        <v>11189</v>
      </c>
      <c r="B13" s="1831" t="s">
        <v>11172</v>
      </c>
      <c r="C13" s="1832" t="s">
        <v>4370</v>
      </c>
      <c r="D13" s="1833" t="s">
        <v>11190</v>
      </c>
      <c r="E13" s="1832" t="s">
        <v>11174</v>
      </c>
      <c r="F13" s="1834">
        <v>44250.0</v>
      </c>
    </row>
    <row r="14" ht="15.75" customHeight="1">
      <c r="A14" s="1830" t="s">
        <v>11191</v>
      </c>
      <c r="B14" s="1835" t="s">
        <v>11176</v>
      </c>
      <c r="C14" s="1832" t="s">
        <v>4319</v>
      </c>
      <c r="D14" s="1833" t="s">
        <v>11192</v>
      </c>
      <c r="E14" s="1832" t="s">
        <v>11174</v>
      </c>
      <c r="F14" s="1834">
        <v>43364.0</v>
      </c>
    </row>
    <row r="15">
      <c r="A15" s="1830" t="s">
        <v>11193</v>
      </c>
      <c r="B15" s="1836" t="s">
        <v>11179</v>
      </c>
      <c r="C15" s="1832" t="s">
        <v>11194</v>
      </c>
      <c r="D15" s="1833" t="s">
        <v>11195</v>
      </c>
      <c r="E15" s="1832" t="s">
        <v>11184</v>
      </c>
      <c r="F15" s="1834">
        <v>43757.0</v>
      </c>
    </row>
    <row r="16">
      <c r="A16" s="1830" t="s">
        <v>11196</v>
      </c>
      <c r="B16" s="1837" t="s">
        <v>11182</v>
      </c>
      <c r="C16" s="1832" t="s">
        <v>11197</v>
      </c>
      <c r="D16" s="1833" t="s">
        <v>11198</v>
      </c>
      <c r="E16" s="1832" t="s">
        <v>11184</v>
      </c>
      <c r="F16" s="1834">
        <v>43438.0</v>
      </c>
    </row>
    <row r="17">
      <c r="A17" s="1830" t="s">
        <v>11199</v>
      </c>
      <c r="B17" s="1837" t="s">
        <v>11186</v>
      </c>
      <c r="C17" s="1838"/>
      <c r="D17" s="1839"/>
      <c r="E17" s="1838"/>
      <c r="F17" s="1838"/>
    </row>
    <row r="18">
      <c r="A18" s="1830" t="s">
        <v>11200</v>
      </c>
      <c r="B18" s="1840" t="s">
        <v>11178</v>
      </c>
      <c r="C18" s="1825"/>
      <c r="D18" s="1825"/>
      <c r="E18" s="1825"/>
      <c r="F18" s="1826"/>
    </row>
    <row r="19">
      <c r="A19" s="1830" t="s">
        <v>11201</v>
      </c>
      <c r="B19" s="1828"/>
      <c r="C19" s="1828"/>
      <c r="D19" s="1828"/>
      <c r="E19" s="1828"/>
      <c r="F19" s="1829"/>
    </row>
    <row r="20">
      <c r="A20" s="1841"/>
      <c r="B20" s="1831" t="s">
        <v>11172</v>
      </c>
      <c r="C20" s="1832" t="s">
        <v>11202</v>
      </c>
      <c r="D20" s="1833" t="s">
        <v>11203</v>
      </c>
      <c r="E20" s="1832" t="s">
        <v>11174</v>
      </c>
      <c r="F20" s="1834">
        <v>44021.0</v>
      </c>
    </row>
    <row r="21">
      <c r="A21" s="1841"/>
      <c r="B21" s="1835" t="s">
        <v>11176</v>
      </c>
      <c r="C21" s="1832" t="s">
        <v>5307</v>
      </c>
      <c r="D21" s="1833" t="s">
        <v>11204</v>
      </c>
      <c r="E21" s="1832" t="s">
        <v>11184</v>
      </c>
      <c r="F21" s="1834">
        <v>44022.0</v>
      </c>
    </row>
    <row r="22">
      <c r="A22" s="1842"/>
      <c r="B22" s="1836" t="s">
        <v>11179</v>
      </c>
      <c r="C22" s="1832" t="s">
        <v>11205</v>
      </c>
      <c r="D22" s="1833" t="s">
        <v>11206</v>
      </c>
      <c r="E22" s="1832" t="s">
        <v>11207</v>
      </c>
      <c r="F22" s="1834">
        <v>43884.0</v>
      </c>
    </row>
    <row r="23">
      <c r="A23" s="1842"/>
      <c r="B23" s="1837" t="s">
        <v>11182</v>
      </c>
      <c r="C23" s="1832" t="s">
        <v>5488</v>
      </c>
      <c r="D23" s="1833" t="s">
        <v>11208</v>
      </c>
      <c r="E23" s="1832" t="s">
        <v>11174</v>
      </c>
      <c r="F23" s="1834">
        <v>43892.0</v>
      </c>
    </row>
    <row r="24">
      <c r="A24" s="1842"/>
      <c r="B24" s="1837" t="s">
        <v>11186</v>
      </c>
      <c r="C24" s="1838"/>
      <c r="D24" s="1839"/>
      <c r="E24" s="1838"/>
      <c r="F24" s="1838"/>
    </row>
    <row r="25">
      <c r="A25" s="1842"/>
      <c r="B25" s="1824" t="s">
        <v>11181</v>
      </c>
      <c r="C25" s="1825"/>
      <c r="D25" s="1825"/>
      <c r="E25" s="1825"/>
      <c r="F25" s="1826"/>
    </row>
    <row r="26">
      <c r="A26" s="1842"/>
      <c r="B26" s="1827"/>
      <c r="C26" s="1828"/>
      <c r="D26" s="1828"/>
      <c r="E26" s="1828"/>
      <c r="F26" s="1829"/>
    </row>
    <row r="27">
      <c r="A27" s="1842"/>
      <c r="B27" s="1843" t="s">
        <v>11209</v>
      </c>
      <c r="C27" s="1825"/>
      <c r="D27" s="1825"/>
      <c r="E27" s="1825"/>
      <c r="F27" s="1826"/>
    </row>
    <row r="28">
      <c r="A28" s="1842"/>
      <c r="B28" s="1827"/>
      <c r="C28" s="1828"/>
      <c r="D28" s="1828"/>
      <c r="E28" s="1828"/>
      <c r="F28" s="1829"/>
    </row>
    <row r="29">
      <c r="A29" s="1842"/>
      <c r="B29" s="1831" t="s">
        <v>11172</v>
      </c>
      <c r="C29" s="1844" t="s">
        <v>446</v>
      </c>
      <c r="D29" s="1833" t="s">
        <v>11210</v>
      </c>
      <c r="E29" s="1832" t="s">
        <v>11174</v>
      </c>
      <c r="F29" s="1834">
        <v>43659.0</v>
      </c>
    </row>
    <row r="30">
      <c r="A30" s="1842"/>
      <c r="B30" s="1835" t="s">
        <v>11176</v>
      </c>
      <c r="C30" s="1832" t="s">
        <v>1710</v>
      </c>
      <c r="D30" s="1833" t="s">
        <v>11211</v>
      </c>
      <c r="E30" s="1832" t="s">
        <v>11174</v>
      </c>
      <c r="F30" s="1834">
        <v>43228.0</v>
      </c>
    </row>
    <row r="31">
      <c r="A31" s="1842"/>
      <c r="B31" s="1836" t="s">
        <v>11179</v>
      </c>
      <c r="C31" s="1838"/>
      <c r="D31" s="1845"/>
      <c r="E31" s="1838"/>
      <c r="F31" s="1838"/>
    </row>
    <row r="32">
      <c r="A32" s="1842"/>
      <c r="B32" s="1837" t="s">
        <v>11182</v>
      </c>
      <c r="C32" s="1838"/>
      <c r="D32" s="1845"/>
      <c r="E32" s="1838"/>
      <c r="F32" s="1838"/>
    </row>
    <row r="33">
      <c r="A33" s="1842"/>
      <c r="B33" s="1837" t="s">
        <v>11186</v>
      </c>
      <c r="C33" s="1838"/>
      <c r="D33" s="1845"/>
      <c r="E33" s="1838"/>
      <c r="F33" s="1838"/>
    </row>
    <row r="34">
      <c r="A34" s="1842"/>
      <c r="B34" s="1843" t="s">
        <v>11212</v>
      </c>
      <c r="C34" s="1825"/>
      <c r="D34" s="1825"/>
      <c r="E34" s="1825"/>
      <c r="F34" s="1826"/>
    </row>
    <row r="35">
      <c r="A35" s="1842"/>
      <c r="B35" s="1827"/>
      <c r="C35" s="1828"/>
      <c r="D35" s="1828"/>
      <c r="E35" s="1828"/>
      <c r="F35" s="1829"/>
    </row>
    <row r="36">
      <c r="A36" s="1842"/>
      <c r="B36" s="1831" t="s">
        <v>11172</v>
      </c>
      <c r="C36" s="1832" t="s">
        <v>1710</v>
      </c>
      <c r="D36" s="1833" t="s">
        <v>11213</v>
      </c>
      <c r="E36" s="1832" t="s">
        <v>11174</v>
      </c>
      <c r="F36" s="1834">
        <v>43352.0</v>
      </c>
    </row>
    <row r="37">
      <c r="A37" s="1842"/>
      <c r="B37" s="1835" t="s">
        <v>11176</v>
      </c>
      <c r="C37" s="1832" t="s">
        <v>11214</v>
      </c>
      <c r="D37" s="1833" t="s">
        <v>11215</v>
      </c>
      <c r="E37" s="1832" t="s">
        <v>11174</v>
      </c>
      <c r="F37" s="1834">
        <v>43799.0</v>
      </c>
    </row>
    <row r="38">
      <c r="A38" s="1842"/>
      <c r="B38" s="1836" t="s">
        <v>11179</v>
      </c>
      <c r="C38" s="1838"/>
      <c r="D38" s="1839"/>
      <c r="E38" s="1838"/>
      <c r="F38" s="1838"/>
    </row>
    <row r="39">
      <c r="A39" s="1842"/>
      <c r="B39" s="1837" t="s">
        <v>11182</v>
      </c>
      <c r="C39" s="1838"/>
      <c r="D39" s="1839"/>
      <c r="E39" s="1838"/>
      <c r="F39" s="1838"/>
    </row>
    <row r="40">
      <c r="A40" s="1842"/>
      <c r="B40" s="1837" t="s">
        <v>11186</v>
      </c>
      <c r="C40" s="1838"/>
      <c r="D40" s="1839"/>
      <c r="E40" s="1838"/>
      <c r="F40" s="1838"/>
    </row>
    <row r="41">
      <c r="A41" s="1842"/>
      <c r="B41" s="1824" t="s">
        <v>11185</v>
      </c>
      <c r="C41" s="1825"/>
      <c r="D41" s="1825"/>
      <c r="E41" s="1825"/>
      <c r="F41" s="1826"/>
    </row>
    <row r="42">
      <c r="A42" s="1842"/>
      <c r="B42" s="1827"/>
      <c r="C42" s="1828"/>
      <c r="D42" s="1828"/>
      <c r="E42" s="1828"/>
      <c r="F42" s="1829"/>
    </row>
    <row r="43">
      <c r="A43" s="1842"/>
      <c r="B43" s="1831" t="s">
        <v>11172</v>
      </c>
      <c r="C43" s="1832" t="s">
        <v>7228</v>
      </c>
      <c r="D43" s="1846" t="s">
        <v>11216</v>
      </c>
      <c r="E43" s="1832" t="s">
        <v>11174</v>
      </c>
      <c r="F43" s="1847">
        <v>44511.0</v>
      </c>
    </row>
    <row r="44">
      <c r="A44" s="1842"/>
      <c r="B44" s="1835" t="s">
        <v>11176</v>
      </c>
      <c r="C44" s="1832" t="s">
        <v>11214</v>
      </c>
      <c r="D44" s="1846" t="s">
        <v>11217</v>
      </c>
      <c r="E44" s="1832" t="s">
        <v>11174</v>
      </c>
      <c r="F44" s="1847">
        <v>43740.0</v>
      </c>
    </row>
    <row r="45">
      <c r="A45" s="1842"/>
      <c r="B45" s="1836" t="s">
        <v>11179</v>
      </c>
      <c r="C45" s="1832" t="s">
        <v>10287</v>
      </c>
      <c r="D45" s="1846" t="s">
        <v>11218</v>
      </c>
      <c r="E45" s="1832" t="s">
        <v>11174</v>
      </c>
      <c r="F45" s="1847">
        <v>42098.0</v>
      </c>
    </row>
    <row r="46">
      <c r="A46" s="1842"/>
      <c r="B46" s="1837" t="s">
        <v>11182</v>
      </c>
      <c r="C46" s="1832"/>
      <c r="D46" s="1846"/>
      <c r="E46" s="1832"/>
      <c r="F46" s="1847"/>
    </row>
    <row r="47">
      <c r="A47" s="1842"/>
      <c r="B47" s="1837" t="s">
        <v>11186</v>
      </c>
      <c r="C47" s="1838"/>
      <c r="D47" s="1848"/>
      <c r="E47" s="1838"/>
      <c r="F47" s="1842"/>
    </row>
    <row r="48">
      <c r="A48" s="1842"/>
      <c r="B48" s="1824" t="s">
        <v>11187</v>
      </c>
      <c r="C48" s="1825"/>
      <c r="D48" s="1825"/>
      <c r="E48" s="1825"/>
      <c r="F48" s="1826"/>
    </row>
    <row r="49">
      <c r="A49" s="1842"/>
      <c r="B49" s="1827"/>
      <c r="C49" s="1828"/>
      <c r="D49" s="1828"/>
      <c r="E49" s="1828"/>
      <c r="F49" s="1829"/>
    </row>
    <row r="50">
      <c r="A50" s="1842"/>
      <c r="B50" s="1831" t="s">
        <v>11172</v>
      </c>
      <c r="C50" s="1832" t="s">
        <v>11219</v>
      </c>
      <c r="D50" s="1846" t="s">
        <v>11220</v>
      </c>
      <c r="E50" s="1832" t="s">
        <v>11221</v>
      </c>
      <c r="F50" s="1847">
        <v>43395.0</v>
      </c>
    </row>
    <row r="51">
      <c r="A51" s="1842"/>
      <c r="B51" s="1835" t="s">
        <v>11176</v>
      </c>
      <c r="C51" s="1832" t="s">
        <v>2347</v>
      </c>
      <c r="D51" s="1846" t="s">
        <v>11222</v>
      </c>
      <c r="E51" s="1832" t="s">
        <v>11184</v>
      </c>
      <c r="F51" s="1847">
        <v>43376.0</v>
      </c>
    </row>
    <row r="52">
      <c r="A52" s="1842"/>
      <c r="B52" s="1836" t="s">
        <v>11179</v>
      </c>
      <c r="C52" s="1838"/>
      <c r="D52" s="1848"/>
      <c r="E52" s="1838"/>
      <c r="F52" s="1842"/>
    </row>
    <row r="53">
      <c r="A53" s="1842"/>
      <c r="B53" s="1837" t="s">
        <v>11182</v>
      </c>
      <c r="C53" s="1838"/>
      <c r="D53" s="1848"/>
      <c r="E53" s="1838"/>
      <c r="F53" s="1842"/>
    </row>
    <row r="54">
      <c r="A54" s="1842"/>
      <c r="B54" s="1837" t="s">
        <v>11186</v>
      </c>
      <c r="C54" s="1838"/>
      <c r="D54" s="1848"/>
      <c r="E54" s="1838"/>
      <c r="F54" s="1842"/>
    </row>
    <row r="55">
      <c r="A55" s="1842"/>
      <c r="B55" s="1824" t="s">
        <v>11188</v>
      </c>
      <c r="C55" s="1825"/>
      <c r="D55" s="1825"/>
      <c r="E55" s="1825"/>
      <c r="F55" s="1826"/>
    </row>
    <row r="56">
      <c r="A56" s="1842"/>
      <c r="B56" s="1827"/>
      <c r="C56" s="1828"/>
      <c r="D56" s="1828"/>
      <c r="E56" s="1828"/>
      <c r="F56" s="1829"/>
    </row>
    <row r="57">
      <c r="A57" s="1842"/>
      <c r="B57" s="1849" t="s">
        <v>11223</v>
      </c>
      <c r="C57" s="1825"/>
      <c r="D57" s="1825"/>
      <c r="E57" s="1825"/>
      <c r="F57" s="1826"/>
    </row>
    <row r="58">
      <c r="A58" s="1842"/>
      <c r="B58" s="1827"/>
      <c r="C58" s="1828"/>
      <c r="D58" s="1828"/>
      <c r="E58" s="1828"/>
      <c r="F58" s="1829"/>
    </row>
    <row r="59">
      <c r="A59" s="1842"/>
      <c r="B59" s="1831" t="s">
        <v>11172</v>
      </c>
      <c r="C59" s="1850" t="s">
        <v>446</v>
      </c>
      <c r="D59" s="1846" t="s">
        <v>11224</v>
      </c>
      <c r="E59" s="1832" t="s">
        <v>11174</v>
      </c>
      <c r="F59" s="1847">
        <v>43758.0</v>
      </c>
    </row>
    <row r="60">
      <c r="A60" s="1842"/>
      <c r="B60" s="1835" t="s">
        <v>11176</v>
      </c>
      <c r="C60" s="1838"/>
      <c r="D60" s="1848"/>
      <c r="E60" s="1838"/>
      <c r="F60" s="1842"/>
    </row>
    <row r="61">
      <c r="A61" s="1842"/>
      <c r="B61" s="1836" t="s">
        <v>11179</v>
      </c>
      <c r="C61" s="1838"/>
      <c r="D61" s="1848"/>
      <c r="E61" s="1838"/>
      <c r="F61" s="1842"/>
    </row>
    <row r="62">
      <c r="A62" s="1842"/>
      <c r="B62" s="1837" t="s">
        <v>11182</v>
      </c>
      <c r="C62" s="1838"/>
      <c r="D62" s="1848"/>
      <c r="E62" s="1838"/>
      <c r="F62" s="1842"/>
    </row>
    <row r="63">
      <c r="A63" s="1842"/>
      <c r="B63" s="1837" t="s">
        <v>11186</v>
      </c>
      <c r="C63" s="1838"/>
      <c r="D63" s="1848"/>
      <c r="E63" s="1838"/>
      <c r="F63" s="1842"/>
    </row>
    <row r="64">
      <c r="A64" s="1842"/>
      <c r="B64" s="1849" t="s">
        <v>11212</v>
      </c>
      <c r="C64" s="1825"/>
      <c r="D64" s="1825"/>
      <c r="E64" s="1825"/>
      <c r="F64" s="1826"/>
    </row>
    <row r="65">
      <c r="A65" s="1842"/>
      <c r="B65" s="1827"/>
      <c r="C65" s="1828"/>
      <c r="D65" s="1828"/>
      <c r="E65" s="1828"/>
      <c r="F65" s="1829"/>
    </row>
    <row r="66">
      <c r="A66" s="1842"/>
      <c r="B66" s="1831" t="s">
        <v>11172</v>
      </c>
      <c r="C66" s="1832" t="s">
        <v>11225</v>
      </c>
      <c r="D66" s="1851" t="s">
        <v>11226</v>
      </c>
      <c r="E66" s="1832" t="s">
        <v>11174</v>
      </c>
      <c r="F66" s="1847">
        <v>44805.0</v>
      </c>
    </row>
    <row r="67">
      <c r="A67" s="1842"/>
      <c r="B67" s="1835" t="s">
        <v>11176</v>
      </c>
      <c r="C67" s="1832" t="s">
        <v>11227</v>
      </c>
      <c r="D67" s="1846" t="s">
        <v>11228</v>
      </c>
      <c r="E67" s="1832" t="s">
        <v>11174</v>
      </c>
      <c r="F67" s="1847">
        <v>43307.0</v>
      </c>
    </row>
    <row r="68">
      <c r="A68" s="1842"/>
      <c r="B68" s="1836" t="s">
        <v>11179</v>
      </c>
      <c r="C68" s="1838"/>
      <c r="D68" s="1848"/>
      <c r="E68" s="1838"/>
      <c r="F68" s="1842"/>
    </row>
    <row r="69">
      <c r="A69" s="1842"/>
      <c r="B69" s="1837" t="s">
        <v>11182</v>
      </c>
      <c r="C69" s="1838"/>
      <c r="D69" s="1848"/>
      <c r="E69" s="1838"/>
      <c r="F69" s="1842"/>
    </row>
    <row r="70">
      <c r="A70" s="1842"/>
      <c r="B70" s="1837" t="s">
        <v>11186</v>
      </c>
      <c r="C70" s="1838"/>
      <c r="D70" s="1848"/>
      <c r="E70" s="1838"/>
      <c r="F70" s="1842"/>
    </row>
    <row r="71">
      <c r="A71" s="1842"/>
      <c r="B71" s="1824" t="s">
        <v>11189</v>
      </c>
      <c r="C71" s="1825"/>
      <c r="D71" s="1825"/>
      <c r="E71" s="1825"/>
      <c r="F71" s="1826"/>
    </row>
    <row r="72">
      <c r="A72" s="1842"/>
      <c r="B72" s="1827"/>
      <c r="C72" s="1828"/>
      <c r="D72" s="1828"/>
      <c r="E72" s="1828"/>
      <c r="F72" s="1829"/>
    </row>
    <row r="73">
      <c r="A73" s="1842"/>
      <c r="B73" s="1849" t="s">
        <v>11229</v>
      </c>
      <c r="C73" s="1825"/>
      <c r="D73" s="1825"/>
      <c r="E73" s="1825"/>
      <c r="F73" s="1826"/>
    </row>
    <row r="74">
      <c r="A74" s="1842"/>
      <c r="B74" s="1827"/>
      <c r="C74" s="1828"/>
      <c r="D74" s="1828"/>
      <c r="E74" s="1828"/>
      <c r="F74" s="1829"/>
    </row>
    <row r="75">
      <c r="A75" s="1842"/>
      <c r="B75" s="1831" t="s">
        <v>11172</v>
      </c>
      <c r="C75" s="1832" t="s">
        <v>4370</v>
      </c>
      <c r="D75" s="1846" t="s">
        <v>11230</v>
      </c>
      <c r="E75" s="1832" t="s">
        <v>11174</v>
      </c>
      <c r="F75" s="1847">
        <v>44246.0</v>
      </c>
    </row>
    <row r="76">
      <c r="A76" s="1842"/>
      <c r="B76" s="1835" t="s">
        <v>11176</v>
      </c>
      <c r="C76" s="1832" t="s">
        <v>11219</v>
      </c>
      <c r="D76" s="1846" t="s">
        <v>11231</v>
      </c>
      <c r="E76" s="1832" t="s">
        <v>11221</v>
      </c>
      <c r="F76" s="1847">
        <v>43637.0</v>
      </c>
    </row>
    <row r="77">
      <c r="A77" s="1842"/>
      <c r="B77" s="1836" t="s">
        <v>11179</v>
      </c>
      <c r="C77" s="1838"/>
      <c r="D77" s="1848"/>
      <c r="E77" s="1838"/>
      <c r="F77" s="1842"/>
    </row>
    <row r="78">
      <c r="A78" s="1842"/>
      <c r="B78" s="1837" t="s">
        <v>11182</v>
      </c>
      <c r="C78" s="1838"/>
      <c r="D78" s="1848"/>
      <c r="E78" s="1838"/>
      <c r="F78" s="1842"/>
    </row>
    <row r="79">
      <c r="A79" s="1842"/>
      <c r="B79" s="1837" t="s">
        <v>11186</v>
      </c>
      <c r="C79" s="1838"/>
      <c r="D79" s="1848"/>
      <c r="E79" s="1838"/>
      <c r="F79" s="1842"/>
    </row>
    <row r="80">
      <c r="A80" s="1842"/>
      <c r="B80" s="1849" t="s">
        <v>11232</v>
      </c>
      <c r="C80" s="1825"/>
      <c r="D80" s="1825"/>
      <c r="E80" s="1825"/>
      <c r="F80" s="1826"/>
    </row>
    <row r="81">
      <c r="A81" s="1842"/>
      <c r="B81" s="1827"/>
      <c r="C81" s="1828"/>
      <c r="D81" s="1828"/>
      <c r="E81" s="1828"/>
      <c r="F81" s="1829"/>
    </row>
    <row r="82">
      <c r="A82" s="1842"/>
      <c r="B82" s="1831" t="s">
        <v>11172</v>
      </c>
      <c r="C82" s="1832" t="s">
        <v>6290</v>
      </c>
      <c r="D82" s="1846" t="s">
        <v>11233</v>
      </c>
      <c r="E82" s="1832" t="s">
        <v>11174</v>
      </c>
      <c r="F82" s="1847">
        <v>43592.0</v>
      </c>
    </row>
    <row r="83">
      <c r="A83" s="1842"/>
      <c r="B83" s="1835" t="s">
        <v>11176</v>
      </c>
      <c r="C83" s="1832" t="s">
        <v>11234</v>
      </c>
      <c r="D83" s="1846" t="s">
        <v>11235</v>
      </c>
      <c r="E83" s="1832" t="s">
        <v>11174</v>
      </c>
      <c r="F83" s="1847">
        <v>43396.0</v>
      </c>
    </row>
    <row r="84">
      <c r="A84" s="1842"/>
      <c r="B84" s="1836" t="s">
        <v>11179</v>
      </c>
      <c r="C84" s="1838"/>
      <c r="D84" s="1848"/>
      <c r="E84" s="1838"/>
      <c r="F84" s="1842"/>
    </row>
    <row r="85">
      <c r="A85" s="1842"/>
      <c r="B85" s="1837" t="s">
        <v>11182</v>
      </c>
      <c r="C85" s="1838"/>
      <c r="D85" s="1848"/>
      <c r="E85" s="1838"/>
      <c r="F85" s="1842"/>
    </row>
    <row r="86">
      <c r="A86" s="1842"/>
      <c r="B86" s="1837" t="s">
        <v>11186</v>
      </c>
      <c r="C86" s="1838"/>
      <c r="D86" s="1848"/>
      <c r="E86" s="1838"/>
      <c r="F86" s="1842"/>
    </row>
    <row r="87">
      <c r="A87" s="1842"/>
      <c r="B87" s="1824" t="s">
        <v>11191</v>
      </c>
      <c r="C87" s="1825"/>
      <c r="D87" s="1825"/>
      <c r="E87" s="1825"/>
      <c r="F87" s="1826"/>
    </row>
    <row r="88">
      <c r="A88" s="1842"/>
      <c r="B88" s="1827"/>
      <c r="C88" s="1828"/>
      <c r="D88" s="1828"/>
      <c r="E88" s="1828"/>
      <c r="F88" s="1829"/>
    </row>
    <row r="89">
      <c r="A89" s="1842"/>
      <c r="B89" s="1831" t="s">
        <v>11172</v>
      </c>
      <c r="C89" s="1850" t="s">
        <v>446</v>
      </c>
      <c r="D89" s="1846" t="s">
        <v>11236</v>
      </c>
      <c r="E89" s="1832" t="s">
        <v>11174</v>
      </c>
      <c r="F89" s="1847">
        <v>43457.0</v>
      </c>
    </row>
    <row r="90">
      <c r="A90" s="1842"/>
      <c r="B90" s="1835" t="s">
        <v>11176</v>
      </c>
      <c r="C90" s="1832" t="s">
        <v>2549</v>
      </c>
      <c r="D90" s="1846" t="s">
        <v>11237</v>
      </c>
      <c r="E90" s="1832" t="s">
        <v>11174</v>
      </c>
      <c r="F90" s="1847">
        <v>43925.0</v>
      </c>
    </row>
    <row r="91">
      <c r="A91" s="1842"/>
      <c r="B91" s="1836" t="s">
        <v>11179</v>
      </c>
      <c r="C91" s="1832" t="s">
        <v>4815</v>
      </c>
      <c r="D91" s="1846" t="s">
        <v>11238</v>
      </c>
      <c r="E91" s="1832" t="s">
        <v>11207</v>
      </c>
      <c r="F91" s="1847">
        <v>43433.0</v>
      </c>
    </row>
    <row r="92">
      <c r="A92" s="1842"/>
      <c r="B92" s="1837" t="s">
        <v>11182</v>
      </c>
      <c r="C92" s="1838"/>
      <c r="D92" s="1848"/>
      <c r="E92" s="1838"/>
      <c r="F92" s="1842"/>
    </row>
    <row r="93">
      <c r="A93" s="1842"/>
      <c r="B93" s="1837" t="s">
        <v>11186</v>
      </c>
      <c r="C93" s="1838"/>
      <c r="D93" s="1848"/>
      <c r="E93" s="1838"/>
      <c r="F93" s="1842"/>
    </row>
    <row r="94">
      <c r="A94" s="1842"/>
      <c r="B94" s="1824" t="s">
        <v>11193</v>
      </c>
      <c r="C94" s="1825"/>
      <c r="D94" s="1825"/>
      <c r="E94" s="1825"/>
      <c r="F94" s="1826"/>
    </row>
    <row r="95">
      <c r="A95" s="1842"/>
      <c r="B95" s="1827"/>
      <c r="C95" s="1828"/>
      <c r="D95" s="1828"/>
      <c r="E95" s="1828"/>
      <c r="F95" s="1829"/>
    </row>
    <row r="96">
      <c r="A96" s="1842"/>
      <c r="B96" s="1849" t="s">
        <v>11239</v>
      </c>
      <c r="C96" s="1825"/>
      <c r="D96" s="1825"/>
      <c r="E96" s="1825"/>
      <c r="F96" s="1826"/>
    </row>
    <row r="97">
      <c r="A97" s="1842"/>
      <c r="B97" s="1827"/>
      <c r="C97" s="1828"/>
      <c r="D97" s="1828"/>
      <c r="E97" s="1828"/>
      <c r="F97" s="1829"/>
    </row>
    <row r="98">
      <c r="A98" s="1842"/>
      <c r="B98" s="1831" t="s">
        <v>11172</v>
      </c>
      <c r="C98" s="1832" t="s">
        <v>11214</v>
      </c>
      <c r="D98" s="1846" t="s">
        <v>11240</v>
      </c>
      <c r="E98" s="1832" t="s">
        <v>11174</v>
      </c>
      <c r="F98" s="1847">
        <v>43862.0</v>
      </c>
    </row>
    <row r="99">
      <c r="A99" s="1842"/>
      <c r="B99" s="1835" t="s">
        <v>11176</v>
      </c>
      <c r="C99" s="1838"/>
      <c r="D99" s="1848"/>
      <c r="E99" s="1838"/>
      <c r="F99" s="1842"/>
    </row>
    <row r="100">
      <c r="A100" s="1842"/>
      <c r="B100" s="1836" t="s">
        <v>11179</v>
      </c>
      <c r="C100" s="1838"/>
      <c r="D100" s="1848"/>
      <c r="E100" s="1838"/>
      <c r="F100" s="1842"/>
    </row>
    <row r="101">
      <c r="A101" s="1842"/>
      <c r="B101" s="1837" t="s">
        <v>11182</v>
      </c>
      <c r="C101" s="1838"/>
      <c r="D101" s="1848"/>
      <c r="E101" s="1838"/>
      <c r="F101" s="1842"/>
    </row>
    <row r="102">
      <c r="A102" s="1842"/>
      <c r="B102" s="1837" t="s">
        <v>11186</v>
      </c>
      <c r="C102" s="1838"/>
      <c r="D102" s="1848"/>
      <c r="E102" s="1838"/>
      <c r="F102" s="1842"/>
    </row>
    <row r="103">
      <c r="A103" s="1842"/>
      <c r="B103" s="1849" t="s">
        <v>11241</v>
      </c>
      <c r="C103" s="1825"/>
      <c r="D103" s="1825"/>
      <c r="E103" s="1825"/>
      <c r="F103" s="1826"/>
    </row>
    <row r="104">
      <c r="A104" s="1842"/>
      <c r="B104" s="1827"/>
      <c r="C104" s="1828"/>
      <c r="D104" s="1828"/>
      <c r="E104" s="1828"/>
      <c r="F104" s="1829"/>
    </row>
    <row r="105">
      <c r="A105" s="1842"/>
      <c r="B105" s="1831" t="s">
        <v>11172</v>
      </c>
      <c r="C105" s="1832" t="s">
        <v>11214</v>
      </c>
      <c r="D105" s="1846" t="s">
        <v>11242</v>
      </c>
      <c r="E105" s="1832" t="s">
        <v>11174</v>
      </c>
      <c r="F105" s="1847">
        <v>43862.0</v>
      </c>
    </row>
    <row r="106">
      <c r="A106" s="1842"/>
      <c r="B106" s="1835" t="s">
        <v>11176</v>
      </c>
      <c r="C106" s="1852" t="s">
        <v>6178</v>
      </c>
      <c r="D106" s="1846" t="s">
        <v>11243</v>
      </c>
      <c r="E106" s="1832" t="s">
        <v>11221</v>
      </c>
      <c r="F106" s="1847">
        <v>43630.0</v>
      </c>
    </row>
    <row r="107">
      <c r="A107" s="1842"/>
      <c r="B107" s="1836" t="s">
        <v>11179</v>
      </c>
      <c r="C107" s="1838"/>
      <c r="D107" s="1848"/>
      <c r="E107" s="1838"/>
      <c r="F107" s="1842"/>
    </row>
    <row r="108">
      <c r="A108" s="1842"/>
      <c r="B108" s="1837" t="s">
        <v>11182</v>
      </c>
      <c r="C108" s="1838"/>
      <c r="D108" s="1848"/>
      <c r="E108" s="1838"/>
      <c r="F108" s="1842"/>
    </row>
    <row r="109">
      <c r="A109" s="1842"/>
      <c r="B109" s="1837" t="s">
        <v>11186</v>
      </c>
      <c r="C109" s="1838"/>
      <c r="D109" s="1848"/>
      <c r="E109" s="1838"/>
      <c r="F109" s="1842"/>
    </row>
    <row r="110">
      <c r="A110" s="1842"/>
      <c r="B110" s="1824" t="s">
        <v>11196</v>
      </c>
      <c r="C110" s="1825"/>
      <c r="D110" s="1825"/>
      <c r="E110" s="1825"/>
      <c r="F110" s="1826"/>
    </row>
    <row r="111">
      <c r="A111" s="1842"/>
      <c r="B111" s="1827"/>
      <c r="C111" s="1828"/>
      <c r="D111" s="1828"/>
      <c r="E111" s="1828"/>
      <c r="F111" s="1829"/>
    </row>
    <row r="112">
      <c r="A112" s="1842"/>
      <c r="B112" s="1831" t="s">
        <v>11172</v>
      </c>
      <c r="C112" s="1832" t="s">
        <v>5307</v>
      </c>
      <c r="D112" s="1846" t="s">
        <v>11244</v>
      </c>
      <c r="E112" s="1832" t="s">
        <v>11184</v>
      </c>
      <c r="F112" s="1847">
        <v>44132.0</v>
      </c>
    </row>
    <row r="113">
      <c r="A113" s="1842"/>
      <c r="B113" s="1835" t="s">
        <v>11176</v>
      </c>
      <c r="C113" s="1838"/>
      <c r="D113" s="1848"/>
      <c r="E113" s="1838"/>
      <c r="F113" s="1842"/>
    </row>
    <row r="114">
      <c r="A114" s="1842"/>
      <c r="B114" s="1836" t="s">
        <v>11179</v>
      </c>
      <c r="C114" s="1838"/>
      <c r="D114" s="1848"/>
      <c r="E114" s="1838"/>
      <c r="F114" s="1842"/>
    </row>
    <row r="115">
      <c r="A115" s="1842"/>
      <c r="B115" s="1837" t="s">
        <v>11182</v>
      </c>
      <c r="C115" s="1838"/>
      <c r="D115" s="1848"/>
      <c r="E115" s="1838"/>
      <c r="F115" s="1842"/>
    </row>
    <row r="116">
      <c r="A116" s="1842"/>
      <c r="B116" s="1837" t="s">
        <v>11186</v>
      </c>
      <c r="C116" s="1838"/>
      <c r="D116" s="1848"/>
      <c r="E116" s="1838"/>
      <c r="F116" s="1842"/>
    </row>
    <row r="117">
      <c r="A117" s="1842"/>
      <c r="B117" s="1824" t="s">
        <v>11199</v>
      </c>
      <c r="C117" s="1825"/>
      <c r="D117" s="1825"/>
      <c r="E117" s="1825"/>
      <c r="F117" s="1826"/>
    </row>
    <row r="118">
      <c r="A118" s="1842"/>
      <c r="B118" s="1827"/>
      <c r="C118" s="1828"/>
      <c r="D118" s="1828"/>
      <c r="E118" s="1828"/>
      <c r="F118" s="1829"/>
    </row>
    <row r="119">
      <c r="A119" s="1842"/>
      <c r="B119" s="1831" t="s">
        <v>11172</v>
      </c>
      <c r="C119" s="1832" t="s">
        <v>6228</v>
      </c>
      <c r="D119" s="1846" t="s">
        <v>11245</v>
      </c>
      <c r="E119" s="1832" t="s">
        <v>11174</v>
      </c>
      <c r="F119" s="1847">
        <v>43741.0</v>
      </c>
    </row>
    <row r="120">
      <c r="A120" s="1842"/>
      <c r="B120" s="1835" t="s">
        <v>11176</v>
      </c>
      <c r="C120" s="1832" t="s">
        <v>11246</v>
      </c>
      <c r="D120" s="1846" t="s">
        <v>11247</v>
      </c>
      <c r="E120" s="1832" t="s">
        <v>11207</v>
      </c>
      <c r="F120" s="1847">
        <v>43748.0</v>
      </c>
    </row>
    <row r="121">
      <c r="A121" s="1842"/>
      <c r="B121" s="1836" t="s">
        <v>11179</v>
      </c>
      <c r="C121" s="1832" t="s">
        <v>2234</v>
      </c>
      <c r="D121" s="1846" t="s">
        <v>11248</v>
      </c>
      <c r="E121" s="1832" t="s">
        <v>11221</v>
      </c>
      <c r="F121" s="1847">
        <v>43729.0</v>
      </c>
    </row>
    <row r="122">
      <c r="A122" s="1842"/>
      <c r="B122" s="1837" t="s">
        <v>11182</v>
      </c>
      <c r="C122" s="1850" t="s">
        <v>446</v>
      </c>
      <c r="D122" s="1846" t="s">
        <v>11249</v>
      </c>
      <c r="E122" s="1832" t="s">
        <v>11174</v>
      </c>
      <c r="F122" s="1847">
        <v>44470.0</v>
      </c>
    </row>
    <row r="123">
      <c r="A123" s="1842"/>
      <c r="B123" s="1837" t="s">
        <v>11186</v>
      </c>
      <c r="C123" s="1832" t="s">
        <v>5307</v>
      </c>
      <c r="D123" s="1846" t="s">
        <v>11250</v>
      </c>
      <c r="E123" s="1832" t="s">
        <v>11184</v>
      </c>
      <c r="F123" s="1847">
        <v>44020.0</v>
      </c>
    </row>
    <row r="124">
      <c r="A124" s="1853" t="s">
        <v>11251</v>
      </c>
      <c r="B124" s="1824" t="s">
        <v>11200</v>
      </c>
      <c r="C124" s="1825"/>
      <c r="D124" s="1825"/>
      <c r="E124" s="1825"/>
      <c r="F124" s="1826"/>
    </row>
    <row r="125">
      <c r="A125" s="1853" t="s">
        <v>11252</v>
      </c>
      <c r="B125" s="1827"/>
      <c r="C125" s="1828"/>
      <c r="D125" s="1828"/>
      <c r="E125" s="1828"/>
      <c r="F125" s="1829"/>
    </row>
    <row r="126">
      <c r="A126" s="1854"/>
      <c r="B126" s="1831" t="s">
        <v>11172</v>
      </c>
      <c r="C126" s="1832" t="s">
        <v>1031</v>
      </c>
      <c r="D126" s="1855">
        <v>0.06525462962962963</v>
      </c>
      <c r="E126" s="1832" t="s">
        <v>11184</v>
      </c>
      <c r="F126" s="1834">
        <v>44652.0</v>
      </c>
    </row>
    <row r="127">
      <c r="A127" s="1854"/>
      <c r="B127" s="1835" t="s">
        <v>11176</v>
      </c>
      <c r="C127" s="1832" t="s">
        <v>4221</v>
      </c>
      <c r="D127" s="1855">
        <v>0.06892361111111112</v>
      </c>
      <c r="E127" s="1832" t="s">
        <v>11184</v>
      </c>
      <c r="F127" s="1834">
        <v>44652.0</v>
      </c>
    </row>
    <row r="128">
      <c r="A128" s="1854"/>
      <c r="B128" s="1836" t="s">
        <v>11179</v>
      </c>
      <c r="C128" s="1841" t="s">
        <v>5438</v>
      </c>
      <c r="D128" s="1856">
        <v>0.07195601851851852</v>
      </c>
      <c r="E128" s="1841" t="s">
        <v>11184</v>
      </c>
      <c r="F128" s="1847">
        <v>44652.0</v>
      </c>
    </row>
    <row r="129">
      <c r="A129" s="1854"/>
      <c r="B129" s="1837" t="s">
        <v>11182</v>
      </c>
      <c r="C129" s="1838" t="s">
        <v>11253</v>
      </c>
      <c r="D129" s="1857">
        <v>0.07211805555555556</v>
      </c>
      <c r="E129" s="1858" t="s">
        <v>11254</v>
      </c>
      <c r="F129" s="1847">
        <v>44652.0</v>
      </c>
    </row>
    <row r="130">
      <c r="A130" s="1854"/>
      <c r="B130" s="1837" t="s">
        <v>11186</v>
      </c>
      <c r="C130" s="1838"/>
      <c r="D130" s="1838"/>
      <c r="E130" s="1838"/>
      <c r="F130" s="1838"/>
    </row>
    <row r="131">
      <c r="A131" s="1859" t="s">
        <v>11201</v>
      </c>
      <c r="B131" s="1824" t="s">
        <v>11201</v>
      </c>
      <c r="C131" s="1825"/>
      <c r="D131" s="1825"/>
      <c r="E131" s="1825"/>
      <c r="F131" s="1826"/>
    </row>
    <row r="132">
      <c r="A132" s="1854"/>
      <c r="B132" s="1827"/>
      <c r="C132" s="1828"/>
      <c r="D132" s="1828"/>
      <c r="E132" s="1828"/>
      <c r="F132" s="1829"/>
    </row>
    <row r="133">
      <c r="A133" s="1854"/>
      <c r="B133" s="1831" t="s">
        <v>11172</v>
      </c>
      <c r="C133" s="1832" t="s">
        <v>2549</v>
      </c>
      <c r="D133" s="1860" t="s">
        <v>11255</v>
      </c>
      <c r="E133" s="1832" t="s">
        <v>11174</v>
      </c>
      <c r="F133" s="1834">
        <v>45152.0</v>
      </c>
    </row>
    <row r="134">
      <c r="A134" s="1854"/>
      <c r="B134" s="1835" t="s">
        <v>11176</v>
      </c>
      <c r="C134" s="1832" t="s">
        <v>4319</v>
      </c>
      <c r="D134" s="1860" t="s">
        <v>11256</v>
      </c>
      <c r="E134" s="1832" t="s">
        <v>11174</v>
      </c>
      <c r="F134" s="1834">
        <v>44866.0</v>
      </c>
    </row>
    <row r="135">
      <c r="A135" s="1854"/>
      <c r="B135" s="1836" t="s">
        <v>11179</v>
      </c>
      <c r="C135" s="1838"/>
      <c r="D135" s="1857"/>
      <c r="E135" s="1858"/>
      <c r="F135" s="1847"/>
    </row>
    <row r="136">
      <c r="A136" s="1854"/>
      <c r="B136" s="1837" t="s">
        <v>11182</v>
      </c>
      <c r="C136" s="1838"/>
      <c r="D136" s="1857"/>
      <c r="E136" s="1858"/>
      <c r="F136" s="1847"/>
    </row>
    <row r="137">
      <c r="A137" s="1854"/>
      <c r="B137" s="1837" t="s">
        <v>11186</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